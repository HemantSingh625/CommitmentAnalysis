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slin-my.sharepoint.com/personal/911546_tatasteel_com/Documents/ACRM PPC SHARE POINT/CRM Daily Report/2025/10.Oct'25/Oct'25 plan/Supporting files/"/>
    </mc:Choice>
  </mc:AlternateContent>
  <xr:revisionPtr revIDLastSave="2931" documentId="13_ncr:1_{C27749E7-94C9-4E4C-A844-62FD0D8750B5}" xr6:coauthVersionLast="47" xr6:coauthVersionMax="47" xr10:uidLastSave="{FEF87EEA-58B8-485E-AE95-A9756B6D6E82}"/>
  <bookViews>
    <workbookView xWindow="-110" yWindow="-110" windowWidth="19420" windowHeight="10300" tabRatio="747" firstSheet="2" activeTab="2" xr2:uid="{00000000-000D-0000-FFFF-FFFF00000000}"/>
  </bookViews>
  <sheets>
    <sheet name="Summary" sheetId="3" state="hidden" r:id="rId1"/>
    <sheet name="RM indent pivot" sheetId="5" state="hidden" r:id="rId2"/>
    <sheet name="Week wise plan summary" sheetId="9" r:id="rId3"/>
    <sheet name="Oct'25 order details" sheetId="2" r:id="rId4"/>
  </sheets>
  <externalReferences>
    <externalReference r:id="rId5"/>
    <externalReference r:id="rId6"/>
    <externalReference r:id="rId7"/>
  </externalReferences>
  <definedNames>
    <definedName name="_xlnm._FilterDatabase" localSheetId="3" hidden="1">'Oct''25 order details'!$A$1:$AQ$803</definedName>
  </definedNames>
  <calcPr calcId="191029"/>
  <pivotCaches>
    <pivotCache cacheId="51" r:id="rId8"/>
    <pivotCache cacheId="52" r:id="rId9"/>
    <pivotCache cacheId="5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4" i="2" l="1"/>
  <c r="L263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2" i="2"/>
  <c r="L769" i="2"/>
  <c r="L762" i="2"/>
  <c r="L759" i="2"/>
  <c r="L739" i="2"/>
  <c r="L724" i="2"/>
  <c r="L723" i="2"/>
  <c r="L716" i="2"/>
  <c r="L704" i="2"/>
  <c r="L703" i="2"/>
  <c r="L700" i="2"/>
  <c r="L697" i="2"/>
  <c r="L693" i="2"/>
  <c r="L692" i="2"/>
  <c r="L687" i="2"/>
  <c r="L686" i="2"/>
  <c r="L681" i="2"/>
  <c r="L678" i="2"/>
  <c r="L677" i="2"/>
  <c r="L675" i="2"/>
  <c r="L674" i="2"/>
  <c r="L668" i="2"/>
  <c r="L663" i="2"/>
  <c r="L662" i="2"/>
  <c r="L784" i="2"/>
  <c r="L783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8" i="2"/>
  <c r="L767" i="2"/>
  <c r="L766" i="2"/>
  <c r="L764" i="2"/>
  <c r="L763" i="2"/>
  <c r="L761" i="2"/>
  <c r="L760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2" i="2"/>
  <c r="L721" i="2"/>
  <c r="L720" i="2"/>
  <c r="L719" i="2"/>
  <c r="L718" i="2"/>
  <c r="L717" i="2"/>
  <c r="L715" i="2"/>
  <c r="L714" i="2"/>
  <c r="L713" i="2"/>
  <c r="L712" i="2"/>
  <c r="L711" i="2"/>
  <c r="L710" i="2"/>
  <c r="L709" i="2"/>
  <c r="L708" i="2"/>
  <c r="L707" i="2"/>
  <c r="L706" i="2"/>
  <c r="L705" i="2"/>
  <c r="L702" i="2"/>
  <c r="L701" i="2"/>
  <c r="L699" i="2"/>
  <c r="L696" i="2"/>
  <c r="L695" i="2"/>
  <c r="L694" i="2"/>
  <c r="L691" i="2"/>
  <c r="L690" i="2"/>
  <c r="L689" i="2"/>
  <c r="L688" i="2"/>
  <c r="L685" i="2"/>
  <c r="L684" i="2"/>
  <c r="L683" i="2"/>
  <c r="L682" i="2"/>
  <c r="L680" i="2"/>
  <c r="L679" i="2"/>
  <c r="L676" i="2"/>
  <c r="L673" i="2"/>
  <c r="L672" i="2"/>
  <c r="L671" i="2"/>
  <c r="L669" i="2"/>
  <c r="L667" i="2"/>
  <c r="L666" i="2"/>
  <c r="L665" i="2"/>
  <c r="L664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3" i="2"/>
  <c r="L632" i="2"/>
  <c r="L631" i="2"/>
  <c r="L630" i="2"/>
  <c r="L629" i="2"/>
  <c r="L628" i="2"/>
  <c r="L627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7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68" i="2"/>
  <c r="L267" i="2"/>
  <c r="L266" i="2"/>
  <c r="L265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7" i="2"/>
  <c r="L226" i="2"/>
  <c r="L225" i="2"/>
  <c r="L224" i="2"/>
  <c r="L223" i="2"/>
  <c r="L222" i="2"/>
  <c r="L221" i="2"/>
  <c r="L220" i="2"/>
  <c r="L219" i="2"/>
  <c r="L218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9" i="2"/>
  <c r="L28" i="2"/>
  <c r="L27" i="2"/>
  <c r="L26" i="2"/>
  <c r="L25" i="2"/>
  <c r="L24" i="2"/>
  <c r="L23" i="2"/>
  <c r="L20" i="2"/>
  <c r="L19" i="2"/>
  <c r="L18" i="2"/>
  <c r="L17" i="2"/>
  <c r="L15" i="2"/>
  <c r="L14" i="2"/>
  <c r="L13" i="2"/>
  <c r="L12" i="2"/>
  <c r="L10" i="2"/>
  <c r="L9" i="2"/>
  <c r="L8" i="2"/>
  <c r="L7" i="2"/>
  <c r="L6" i="2"/>
  <c r="L5" i="2"/>
  <c r="L4" i="2"/>
  <c r="L3" i="2"/>
  <c r="L2" i="2"/>
  <c r="AJ585" i="2" l="1"/>
  <c r="AO276" i="2"/>
  <c r="AJ276" i="2" s="1"/>
  <c r="AO219" i="2"/>
  <c r="AJ219" i="2" s="1"/>
  <c r="AO210" i="2"/>
  <c r="AJ210" i="2" s="1"/>
  <c r="AO209" i="2"/>
  <c r="AJ209" i="2" s="1"/>
  <c r="AO195" i="2"/>
  <c r="AJ195" i="2" s="1"/>
  <c r="AO175" i="2"/>
  <c r="AJ175" i="2" s="1"/>
  <c r="AO123" i="2"/>
  <c r="AJ123" i="2" s="1"/>
  <c r="AO122" i="2"/>
  <c r="AJ122" i="2" s="1"/>
  <c r="AO96" i="2"/>
  <c r="AJ96" i="2" s="1"/>
  <c r="AO12" i="2"/>
  <c r="AJ12" i="2" s="1"/>
  <c r="AO548" i="2"/>
  <c r="AJ548" i="2" s="1"/>
  <c r="AO547" i="2"/>
  <c r="AJ547" i="2" s="1"/>
  <c r="AO546" i="2"/>
  <c r="AJ546" i="2" s="1"/>
  <c r="AO457" i="2"/>
  <c r="AJ457" i="2" s="1"/>
  <c r="AO337" i="2"/>
  <c r="AJ337" i="2" s="1"/>
  <c r="AO336" i="2"/>
  <c r="AJ336" i="2" s="1"/>
  <c r="AO335" i="2"/>
  <c r="AJ335" i="2" s="1"/>
  <c r="AO89" i="2"/>
  <c r="AJ89" i="2" s="1"/>
  <c r="AO559" i="2"/>
  <c r="AJ559" i="2" s="1"/>
  <c r="AO556" i="2"/>
  <c r="AJ556" i="2" s="1"/>
  <c r="AO555" i="2"/>
  <c r="AJ555" i="2" s="1"/>
  <c r="AO554" i="2"/>
  <c r="AJ554" i="2" s="1"/>
  <c r="AO550" i="2"/>
  <c r="AJ550" i="2" s="1"/>
  <c r="AO439" i="2"/>
  <c r="AJ439" i="2" s="1"/>
  <c r="AO377" i="2"/>
  <c r="AJ377" i="2" s="1"/>
  <c r="AO376" i="2"/>
  <c r="AJ376" i="2" s="1"/>
  <c r="AO355" i="2"/>
  <c r="AJ355" i="2" s="1"/>
  <c r="AO354" i="2"/>
  <c r="AJ354" i="2" s="1"/>
  <c r="AO353" i="2"/>
  <c r="AJ353" i="2" s="1"/>
  <c r="AO352" i="2"/>
  <c r="AJ352" i="2" s="1"/>
  <c r="AO331" i="2"/>
  <c r="AJ331" i="2" s="1"/>
  <c r="AN317" i="2"/>
  <c r="AJ317" i="2" s="1"/>
  <c r="AN316" i="2"/>
  <c r="AJ316" i="2" s="1"/>
  <c r="AN311" i="2"/>
  <c r="AJ311" i="2" s="1"/>
  <c r="AN293" i="2"/>
  <c r="AJ293" i="2" s="1"/>
  <c r="AN285" i="2"/>
  <c r="AJ285" i="2" s="1"/>
  <c r="AN283" i="2"/>
  <c r="AJ283" i="2" s="1"/>
  <c r="AN250" i="2"/>
  <c r="AJ250" i="2" s="1"/>
  <c r="AN249" i="2"/>
  <c r="AJ249" i="2" s="1"/>
  <c r="AN227" i="2"/>
  <c r="AJ227" i="2" s="1"/>
  <c r="AN197" i="2"/>
  <c r="AJ197" i="2" s="1"/>
  <c r="AN178" i="2"/>
  <c r="AJ178" i="2" s="1"/>
  <c r="AN622" i="2"/>
  <c r="AJ622" i="2" s="1"/>
  <c r="AN621" i="2"/>
  <c r="AJ621" i="2" s="1"/>
  <c r="AN571" i="2"/>
  <c r="AJ571" i="2" s="1"/>
  <c r="AN570" i="2"/>
  <c r="AJ570" i="2" s="1"/>
  <c r="AN568" i="2"/>
  <c r="AJ568" i="2" s="1"/>
  <c r="AN401" i="2"/>
  <c r="AJ401" i="2" s="1"/>
  <c r="AN371" i="2"/>
  <c r="AJ371" i="2" s="1"/>
  <c r="AN359" i="2"/>
  <c r="AJ359" i="2" s="1"/>
  <c r="AN295" i="2"/>
  <c r="AJ295" i="2" s="1"/>
  <c r="AN260" i="2"/>
  <c r="AJ260" i="2" s="1"/>
  <c r="AN259" i="2"/>
  <c r="AJ259" i="2" s="1"/>
  <c r="AM248" i="2"/>
  <c r="AJ248" i="2" s="1"/>
  <c r="AM234" i="2"/>
  <c r="AJ234" i="2" s="1"/>
  <c r="AM218" i="2"/>
  <c r="AJ218" i="2" s="1"/>
  <c r="AM179" i="2"/>
  <c r="AJ179" i="2" s="1"/>
  <c r="AM160" i="2"/>
  <c r="AJ160" i="2" s="1"/>
  <c r="AM159" i="2"/>
  <c r="AJ159" i="2" s="1"/>
  <c r="AM68" i="2"/>
  <c r="AJ68" i="2" s="1"/>
  <c r="AM11" i="2"/>
  <c r="AJ11" i="2" s="1"/>
  <c r="AM593" i="2"/>
  <c r="AJ593" i="2" s="1"/>
  <c r="AM588" i="2"/>
  <c r="AJ588" i="2" s="1"/>
  <c r="AM587" i="2"/>
  <c r="AJ587" i="2" s="1"/>
  <c r="AM526" i="2"/>
  <c r="AJ526" i="2" s="1"/>
  <c r="AM524" i="2"/>
  <c r="AJ524" i="2" s="1"/>
  <c r="AM400" i="2"/>
  <c r="AJ400" i="2" s="1"/>
  <c r="AM399" i="2"/>
  <c r="AJ399" i="2" s="1"/>
  <c r="AM398" i="2"/>
  <c r="AJ398" i="2" s="1"/>
  <c r="AM314" i="2"/>
  <c r="AJ314" i="2" s="1"/>
  <c r="AM310" i="2"/>
  <c r="AJ310" i="2" s="1"/>
  <c r="AM294" i="2"/>
  <c r="AJ294" i="2" s="1"/>
  <c r="AM230" i="2"/>
  <c r="AJ230" i="2" s="1"/>
  <c r="AM207" i="2"/>
  <c r="AJ207" i="2" s="1"/>
  <c r="AM205" i="2"/>
  <c r="AJ205" i="2" s="1"/>
  <c r="AM204" i="2"/>
  <c r="AJ204" i="2" s="1"/>
  <c r="AM203" i="2"/>
  <c r="AJ203" i="2" s="1"/>
  <c r="AL201" i="2"/>
  <c r="AJ201" i="2" s="1"/>
  <c r="AL194" i="2"/>
  <c r="AJ194" i="2" s="1"/>
  <c r="AL80" i="2"/>
  <c r="AJ80" i="2" s="1"/>
  <c r="AL66" i="2"/>
  <c r="AJ66" i="2" s="1"/>
  <c r="AL20" i="2"/>
  <c r="AJ20" i="2" s="1"/>
  <c r="AL202" i="2"/>
  <c r="AJ202" i="2" s="1"/>
  <c r="AL619" i="2"/>
  <c r="AJ619" i="2" s="1"/>
  <c r="AL618" i="2"/>
  <c r="AJ618" i="2" s="1"/>
  <c r="AL617" i="2"/>
  <c r="AJ617" i="2" s="1"/>
  <c r="AL569" i="2"/>
  <c r="AJ569" i="2" s="1"/>
  <c r="AL561" i="2"/>
  <c r="AJ561" i="2" s="1"/>
  <c r="AL560" i="2"/>
  <c r="AJ560" i="2" s="1"/>
  <c r="AL558" i="2"/>
  <c r="AJ558" i="2" s="1"/>
  <c r="AL557" i="2"/>
  <c r="AJ557" i="2" s="1"/>
  <c r="AL545" i="2"/>
  <c r="AJ545" i="2" s="1"/>
  <c r="AL525" i="2"/>
  <c r="AJ525" i="2" s="1"/>
  <c r="AL363" i="2"/>
  <c r="AJ363" i="2" s="1"/>
  <c r="AL343" i="2"/>
  <c r="AJ343" i="2" s="1"/>
  <c r="AL315" i="2"/>
  <c r="AJ315" i="2" s="1"/>
  <c r="AL247" i="2"/>
  <c r="AJ247" i="2" s="1"/>
  <c r="AK171" i="2"/>
  <c r="AJ171" i="2" s="1"/>
  <c r="AK81" i="2"/>
  <c r="AJ81" i="2" s="1"/>
  <c r="AK46" i="2"/>
  <c r="AJ46" i="2" s="1"/>
  <c r="AK22" i="2"/>
  <c r="AJ22" i="2" s="1"/>
  <c r="AO584" i="2"/>
  <c r="AO583" i="2"/>
  <c r="AO577" i="2"/>
  <c r="AJ577" i="2" s="1"/>
  <c r="AO539" i="2"/>
  <c r="AJ539" i="2" s="1"/>
  <c r="AO538" i="2"/>
  <c r="AJ538" i="2" s="1"/>
  <c r="AN616" i="2"/>
  <c r="AJ616" i="2" s="1"/>
  <c r="AN614" i="2"/>
  <c r="AJ614" i="2" s="1"/>
  <c r="AM325" i="2"/>
  <c r="AJ325" i="2" s="1"/>
  <c r="AM324" i="2"/>
  <c r="AJ324" i="2" s="1"/>
  <c r="AO494" i="2"/>
  <c r="AO492" i="2"/>
  <c r="AJ492" i="2" s="1"/>
  <c r="AO490" i="2"/>
  <c r="AJ490" i="2" s="1"/>
  <c r="AO267" i="2"/>
  <c r="AO266" i="2"/>
  <c r="AO256" i="2"/>
  <c r="AO251" i="2"/>
  <c r="AJ251" i="2" s="1"/>
  <c r="AO509" i="2"/>
  <c r="AJ509" i="2" s="1"/>
  <c r="AO508" i="2"/>
  <c r="AJ508" i="2" s="1"/>
  <c r="AO502" i="2"/>
  <c r="AJ502" i="2" s="1"/>
  <c r="AO501" i="2"/>
  <c r="AJ501" i="2" s="1"/>
  <c r="AO499" i="2"/>
  <c r="AJ499" i="2" s="1"/>
  <c r="AO497" i="2"/>
  <c r="AJ497" i="2" s="1"/>
  <c r="AO495" i="2"/>
  <c r="AJ495" i="2" s="1"/>
  <c r="AN615" i="2"/>
  <c r="AJ615" i="2" s="1"/>
  <c r="AN544" i="2"/>
  <c r="AJ544" i="2" s="1"/>
  <c r="AN532" i="2"/>
  <c r="AJ532" i="2" s="1"/>
  <c r="AN531" i="2"/>
  <c r="AJ531" i="2" s="1"/>
  <c r="AN527" i="2"/>
  <c r="AJ527" i="2" s="1"/>
  <c r="AM599" i="2"/>
  <c r="AJ599" i="2" s="1"/>
  <c r="AM598" i="2"/>
  <c r="AJ598" i="2" s="1"/>
  <c r="AM597" i="2"/>
  <c r="AJ597" i="2" s="1"/>
  <c r="AM595" i="2"/>
  <c r="AJ595" i="2" s="1"/>
  <c r="AM594" i="2"/>
  <c r="AJ594" i="2" s="1"/>
  <c r="AM530" i="2"/>
  <c r="AJ530" i="2" s="1"/>
  <c r="AM522" i="2"/>
  <c r="AJ522" i="2" s="1"/>
  <c r="AM521" i="2"/>
  <c r="AJ521" i="2" s="1"/>
  <c r="AM510" i="2"/>
  <c r="AJ510" i="2" s="1"/>
  <c r="AM507" i="2"/>
  <c r="AJ507" i="2" s="1"/>
  <c r="AL500" i="2"/>
  <c r="AJ500" i="2" s="1"/>
  <c r="AL496" i="2"/>
  <c r="AJ496" i="2" s="1"/>
  <c r="AL491" i="2"/>
  <c r="AJ491" i="2" s="1"/>
  <c r="AL471" i="2"/>
  <c r="AJ471" i="2" s="1"/>
  <c r="AL3" i="2"/>
  <c r="AJ3" i="2" s="1"/>
  <c r="AL504" i="2"/>
  <c r="AJ504" i="2" s="1"/>
  <c r="AL576" i="2"/>
  <c r="AJ576" i="2" s="1"/>
  <c r="AL520" i="2"/>
  <c r="AJ520" i="2" s="1"/>
  <c r="AL168" i="2"/>
  <c r="AJ168" i="2" s="1"/>
  <c r="AL288" i="2"/>
  <c r="AJ288" i="2" s="1"/>
  <c r="AM580" i="2"/>
  <c r="AJ580" i="2" s="1"/>
  <c r="AL581" i="2"/>
  <c r="AJ581" i="2" s="1"/>
  <c r="AL574" i="2"/>
  <c r="AJ574" i="2" s="1"/>
  <c r="AN579" i="2"/>
  <c r="AJ579" i="2" s="1"/>
  <c r="AN578" i="2"/>
  <c r="AJ578" i="2" s="1"/>
  <c r="AN612" i="2"/>
  <c r="AJ612" i="2" s="1"/>
  <c r="AJ602" i="2"/>
  <c r="AN611" i="2"/>
  <c r="AJ611" i="2" s="1"/>
  <c r="AN609" i="2"/>
  <c r="AJ609" i="2" s="1"/>
  <c r="AN607" i="2"/>
  <c r="AJ607" i="2" s="1"/>
  <c r="AJ603" i="2"/>
  <c r="AN601" i="2"/>
  <c r="AJ601" i="2" s="1"/>
  <c r="AM482" i="2"/>
  <c r="AJ482" i="2" s="1"/>
  <c r="AM77" i="2"/>
  <c r="AJ77" i="2" s="1"/>
  <c r="AM613" i="2"/>
  <c r="AJ613" i="2" s="1"/>
  <c r="AM610" i="2"/>
  <c r="AJ610" i="2" s="1"/>
  <c r="AM608" i="2"/>
  <c r="AJ608" i="2" s="1"/>
  <c r="AM582" i="2"/>
  <c r="AJ582" i="2" s="1"/>
  <c r="AM513" i="2"/>
  <c r="AJ513" i="2" s="1"/>
  <c r="AJ485" i="2"/>
  <c r="AJ483" i="2"/>
  <c r="AM347" i="2"/>
  <c r="AJ347" i="2" s="1"/>
  <c r="AL289" i="2"/>
  <c r="AJ289" i="2" s="1"/>
  <c r="AL64" i="2"/>
  <c r="AJ64" i="2" s="1"/>
  <c r="AL572" i="2"/>
  <c r="AJ572" i="2" s="1"/>
  <c r="AL512" i="2"/>
  <c r="AJ512" i="2" s="1"/>
  <c r="AL511" i="2"/>
  <c r="AJ511" i="2" s="1"/>
  <c r="AL486" i="2"/>
  <c r="AJ486" i="2" s="1"/>
  <c r="AL484" i="2"/>
  <c r="AJ484" i="2" s="1"/>
  <c r="AL425" i="2"/>
  <c r="AJ425" i="2" s="1"/>
  <c r="AL165" i="2"/>
  <c r="AJ165" i="2" s="1"/>
  <c r="AL164" i="2"/>
  <c r="AJ164" i="2" s="1"/>
  <c r="AL163" i="2"/>
  <c r="AJ163" i="2" s="1"/>
  <c r="AK162" i="2"/>
  <c r="AJ162" i="2" s="1"/>
  <c r="AK161" i="2"/>
  <c r="AJ161" i="2" s="1"/>
  <c r="AK94" i="2"/>
  <c r="AJ94" i="2" s="1"/>
  <c r="AK44" i="2"/>
  <c r="AJ44" i="2" s="1"/>
  <c r="AO566" i="2"/>
  <c r="AN564" i="2"/>
  <c r="AN563" i="2"/>
  <c r="AN562" i="2"/>
  <c r="AN271" i="2"/>
  <c r="AJ271" i="2" s="1"/>
  <c r="AM566" i="2"/>
  <c r="AM565" i="2"/>
  <c r="AJ565" i="2" s="1"/>
  <c r="AM564" i="2"/>
  <c r="AM563" i="2"/>
  <c r="AM562" i="2"/>
  <c r="AM272" i="2"/>
  <c r="AJ272" i="2" s="1"/>
  <c r="AM567" i="2"/>
  <c r="AL567" i="2"/>
  <c r="AK270" i="2"/>
  <c r="AJ270" i="2" s="1"/>
  <c r="AL321" i="2"/>
  <c r="AL262" i="2"/>
  <c r="AL220" i="2"/>
  <c r="AL134" i="2"/>
  <c r="AL114" i="2"/>
  <c r="AL108" i="2"/>
  <c r="AL49" i="2"/>
  <c r="AL41" i="2"/>
  <c r="AL23" i="2"/>
  <c r="AL18" i="2"/>
  <c r="AM184" i="2"/>
  <c r="AJ184" i="2" s="1"/>
  <c r="AM149" i="2"/>
  <c r="AM121" i="2"/>
  <c r="AM112" i="2"/>
  <c r="AM109" i="2"/>
  <c r="AM106" i="2"/>
  <c r="AM105" i="2"/>
  <c r="AM87" i="2"/>
  <c r="AM86" i="2"/>
  <c r="AM65" i="2"/>
  <c r="AM50" i="2"/>
  <c r="AM42" i="2"/>
  <c r="AM39" i="2"/>
  <c r="AM31" i="2"/>
  <c r="AM217" i="2"/>
  <c r="AJ217" i="2" s="1"/>
  <c r="AM214" i="2"/>
  <c r="AL192" i="2"/>
  <c r="AL54" i="2"/>
  <c r="AL150" i="2"/>
  <c r="AL93" i="2"/>
  <c r="AL91" i="2"/>
  <c r="AL88" i="2"/>
  <c r="AL82" i="2"/>
  <c r="AL76" i="2"/>
  <c r="AL75" i="2"/>
  <c r="AL67" i="2"/>
  <c r="AL62" i="2"/>
  <c r="AL61" i="2"/>
  <c r="AL10" i="2"/>
  <c r="AL7" i="2"/>
  <c r="AN465" i="2"/>
  <c r="AJ465" i="2" s="1"/>
  <c r="AN464" i="2"/>
  <c r="AJ464" i="2" s="1"/>
  <c r="AN462" i="2"/>
  <c r="AJ462" i="2" s="1"/>
  <c r="AN454" i="2"/>
  <c r="AJ454" i="2" s="1"/>
  <c r="AN449" i="2"/>
  <c r="AJ449" i="2" s="1"/>
  <c r="AN447" i="2"/>
  <c r="AJ447" i="2" s="1"/>
  <c r="AN444" i="2"/>
  <c r="AJ444" i="2" s="1"/>
  <c r="AN53" i="2"/>
  <c r="AN51" i="2"/>
  <c r="AO456" i="2"/>
  <c r="AO436" i="2"/>
  <c r="AO429" i="2"/>
  <c r="AO428" i="2"/>
  <c r="AO424" i="2"/>
  <c r="AO423" i="2"/>
  <c r="AO422" i="2"/>
  <c r="AO421" i="2"/>
  <c r="AO418" i="2"/>
  <c r="AO417" i="2"/>
  <c r="AO416" i="2"/>
  <c r="AO415" i="2"/>
  <c r="AO414" i="2"/>
  <c r="AO413" i="2"/>
  <c r="AO412" i="2"/>
  <c r="AO411" i="2"/>
  <c r="AO410" i="2"/>
  <c r="AO409" i="2"/>
  <c r="AO408" i="2"/>
  <c r="AO407" i="2"/>
  <c r="AO406" i="2"/>
  <c r="AO405" i="2"/>
  <c r="AO404" i="2"/>
  <c r="AO403" i="2"/>
  <c r="AO402" i="2"/>
  <c r="AO395" i="2"/>
  <c r="AO394" i="2"/>
  <c r="AO393" i="2"/>
  <c r="AO392" i="2"/>
  <c r="AO388" i="2"/>
  <c r="AO384" i="2"/>
  <c r="AO383" i="2"/>
  <c r="AO382" i="2"/>
  <c r="AO381" i="2"/>
  <c r="AO380" i="2"/>
  <c r="AO379" i="2"/>
  <c r="AO378" i="2"/>
  <c r="AO368" i="2"/>
  <c r="AO366" i="2"/>
  <c r="AO365" i="2"/>
  <c r="AO364" i="2"/>
  <c r="AO362" i="2"/>
  <c r="AO361" i="2"/>
  <c r="AO357" i="2"/>
  <c r="AO356" i="2"/>
  <c r="AO351" i="2"/>
  <c r="AO340" i="2"/>
  <c r="AO339" i="2"/>
  <c r="AO338" i="2"/>
  <c r="AO333" i="2"/>
  <c r="AO330" i="2"/>
  <c r="AO326" i="2"/>
  <c r="AO321" i="2"/>
  <c r="AO312" i="2"/>
  <c r="AO309" i="2"/>
  <c r="AO307" i="2"/>
  <c r="AO306" i="2"/>
  <c r="AO299" i="2"/>
  <c r="AO297" i="2"/>
  <c r="AO292" i="2"/>
  <c r="AO291" i="2"/>
  <c r="AO284" i="2"/>
  <c r="AO278" i="2"/>
  <c r="AO268" i="2"/>
  <c r="AO265" i="2"/>
  <c r="AO262" i="2"/>
  <c r="AO261" i="2"/>
  <c r="AO257" i="2"/>
  <c r="AO244" i="2"/>
  <c r="AO240" i="2"/>
  <c r="AO239" i="2"/>
  <c r="AO238" i="2"/>
  <c r="AO225" i="2"/>
  <c r="AO221" i="2"/>
  <c r="AO220" i="2"/>
  <c r="AO213" i="2"/>
  <c r="AO211" i="2"/>
  <c r="AO200" i="2"/>
  <c r="AO183" i="2"/>
  <c r="AO158" i="2"/>
  <c r="AO149" i="2"/>
  <c r="AO134" i="2"/>
  <c r="AO121" i="2"/>
  <c r="AO114" i="2"/>
  <c r="AO112" i="2"/>
  <c r="AO109" i="2"/>
  <c r="AO108" i="2"/>
  <c r="AO106" i="2"/>
  <c r="AO105" i="2"/>
  <c r="AO87" i="2"/>
  <c r="AO86" i="2"/>
  <c r="AO65" i="2"/>
  <c r="AO50" i="2"/>
  <c r="AO49" i="2"/>
  <c r="AO42" i="2"/>
  <c r="AO41" i="2"/>
  <c r="AO39" i="2"/>
  <c r="AO37" i="2"/>
  <c r="AO34" i="2"/>
  <c r="AO32" i="2"/>
  <c r="AO23" i="2"/>
  <c r="AO18" i="2"/>
  <c r="AO15" i="2"/>
  <c r="AN456" i="2"/>
  <c r="AN436" i="2"/>
  <c r="AN429" i="2"/>
  <c r="AN428" i="2"/>
  <c r="AN424" i="2"/>
  <c r="AN423" i="2"/>
  <c r="AN422" i="2"/>
  <c r="AN421" i="2"/>
  <c r="AN418" i="2"/>
  <c r="AN417" i="2"/>
  <c r="AN416" i="2"/>
  <c r="AN415" i="2"/>
  <c r="AN414" i="2"/>
  <c r="AN413" i="2"/>
  <c r="AN412" i="2"/>
  <c r="AN411" i="2"/>
  <c r="AN410" i="2"/>
  <c r="AN409" i="2"/>
  <c r="AN408" i="2"/>
  <c r="AN407" i="2"/>
  <c r="AN406" i="2"/>
  <c r="AN405" i="2"/>
  <c r="AN404" i="2"/>
  <c r="AN403" i="2"/>
  <c r="AN402" i="2"/>
  <c r="AN395" i="2"/>
  <c r="AN394" i="2"/>
  <c r="AN393" i="2"/>
  <c r="AN392" i="2"/>
  <c r="AN388" i="2"/>
  <c r="AN384" i="2"/>
  <c r="AN383" i="2"/>
  <c r="AN382" i="2"/>
  <c r="AN381" i="2"/>
  <c r="AN380" i="2"/>
  <c r="AN379" i="2"/>
  <c r="AN378" i="2"/>
  <c r="AN368" i="2"/>
  <c r="AN366" i="2"/>
  <c r="AN365" i="2"/>
  <c r="AN364" i="2"/>
  <c r="AN362" i="2"/>
  <c r="AN361" i="2"/>
  <c r="AN357" i="2"/>
  <c r="AN356" i="2"/>
  <c r="AN351" i="2"/>
  <c r="AN340" i="2"/>
  <c r="AN339" i="2"/>
  <c r="AN338" i="2"/>
  <c r="AN333" i="2"/>
  <c r="AN330" i="2"/>
  <c r="AN326" i="2"/>
  <c r="AN321" i="2"/>
  <c r="AN312" i="2"/>
  <c r="AN309" i="2"/>
  <c r="AN307" i="2"/>
  <c r="AN306" i="2"/>
  <c r="AN299" i="2"/>
  <c r="AN297" i="2"/>
  <c r="AN292" i="2"/>
  <c r="AN291" i="2"/>
  <c r="AN284" i="2"/>
  <c r="AN278" i="2"/>
  <c r="AN268" i="2"/>
  <c r="AN265" i="2"/>
  <c r="AN262" i="2"/>
  <c r="AN261" i="2"/>
  <c r="AN257" i="2"/>
  <c r="AN244" i="2"/>
  <c r="AN240" i="2"/>
  <c r="AN239" i="2"/>
  <c r="AN238" i="2"/>
  <c r="AN225" i="2"/>
  <c r="AN221" i="2"/>
  <c r="AN220" i="2"/>
  <c r="AN213" i="2"/>
  <c r="AN211" i="2"/>
  <c r="AN200" i="2"/>
  <c r="AN183" i="2"/>
  <c r="AN158" i="2"/>
  <c r="AN134" i="2"/>
  <c r="AN114" i="2"/>
  <c r="AN108" i="2"/>
  <c r="AN49" i="2"/>
  <c r="AN41" i="2"/>
  <c r="AN37" i="2"/>
  <c r="AN34" i="2"/>
  <c r="AN32" i="2"/>
  <c r="AN23" i="2"/>
  <c r="AN18" i="2"/>
  <c r="AN15" i="2"/>
  <c r="AM456" i="2"/>
  <c r="AM436" i="2"/>
  <c r="AM429" i="2"/>
  <c r="AM428" i="2"/>
  <c r="AM424" i="2"/>
  <c r="AM423" i="2"/>
  <c r="AM422" i="2"/>
  <c r="AM421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395" i="2"/>
  <c r="AM394" i="2"/>
  <c r="AM393" i="2"/>
  <c r="AM392" i="2"/>
  <c r="AM388" i="2"/>
  <c r="AM384" i="2"/>
  <c r="AM383" i="2"/>
  <c r="AM382" i="2"/>
  <c r="AM381" i="2"/>
  <c r="AM380" i="2"/>
  <c r="AM379" i="2"/>
  <c r="AM378" i="2"/>
  <c r="AM368" i="2"/>
  <c r="AM366" i="2"/>
  <c r="AM365" i="2"/>
  <c r="AM364" i="2"/>
  <c r="AM362" i="2"/>
  <c r="AM361" i="2"/>
  <c r="AM357" i="2"/>
  <c r="AM356" i="2"/>
  <c r="AM351" i="2"/>
  <c r="AM340" i="2"/>
  <c r="AM339" i="2"/>
  <c r="AM338" i="2"/>
  <c r="AM333" i="2"/>
  <c r="AM330" i="2"/>
  <c r="AM326" i="2"/>
  <c r="AM312" i="2"/>
  <c r="AM309" i="2"/>
  <c r="AM307" i="2"/>
  <c r="AM306" i="2"/>
  <c r="AM299" i="2"/>
  <c r="AM297" i="2"/>
  <c r="AM292" i="2"/>
  <c r="AM291" i="2"/>
  <c r="AM284" i="2"/>
  <c r="AM278" i="2"/>
  <c r="AM268" i="2"/>
  <c r="AM265" i="2"/>
  <c r="AM261" i="2"/>
  <c r="AM257" i="2"/>
  <c r="AM244" i="2"/>
  <c r="AM240" i="2"/>
  <c r="AM239" i="2"/>
  <c r="AM238" i="2"/>
  <c r="AM225" i="2"/>
  <c r="AM221" i="2"/>
  <c r="AM213" i="2"/>
  <c r="AM211" i="2"/>
  <c r="AM200" i="2"/>
  <c r="AM199" i="2"/>
  <c r="AM189" i="2"/>
  <c r="AM187" i="2"/>
  <c r="AM183" i="2"/>
  <c r="AM158" i="2"/>
  <c r="AM107" i="2"/>
  <c r="AM103" i="2"/>
  <c r="AM97" i="2"/>
  <c r="AM48" i="2"/>
  <c r="AM37" i="2"/>
  <c r="AM34" i="2"/>
  <c r="AM32" i="2"/>
  <c r="AM15" i="2"/>
  <c r="AM14" i="2"/>
  <c r="AL456" i="2"/>
  <c r="AL436" i="2"/>
  <c r="AL429" i="2"/>
  <c r="AL428" i="2"/>
  <c r="AL424" i="2"/>
  <c r="AL423" i="2"/>
  <c r="AL422" i="2"/>
  <c r="AL421" i="2"/>
  <c r="AL418" i="2"/>
  <c r="AL417" i="2"/>
  <c r="AL416" i="2"/>
  <c r="AL415" i="2"/>
  <c r="AL414" i="2"/>
  <c r="AL413" i="2"/>
  <c r="AL412" i="2"/>
  <c r="AL411" i="2"/>
  <c r="AL410" i="2"/>
  <c r="AL409" i="2"/>
  <c r="AL408" i="2"/>
  <c r="AL407" i="2"/>
  <c r="AL406" i="2"/>
  <c r="AL405" i="2"/>
  <c r="AL404" i="2"/>
  <c r="AL403" i="2"/>
  <c r="AL402" i="2"/>
  <c r="AL395" i="2"/>
  <c r="AL394" i="2"/>
  <c r="AL393" i="2"/>
  <c r="AL392" i="2"/>
  <c r="AL388" i="2"/>
  <c r="AL384" i="2"/>
  <c r="AL383" i="2"/>
  <c r="AL382" i="2"/>
  <c r="AL381" i="2"/>
  <c r="AL380" i="2"/>
  <c r="AL379" i="2"/>
  <c r="AL378" i="2"/>
  <c r="AL368" i="2"/>
  <c r="AL366" i="2"/>
  <c r="AL365" i="2"/>
  <c r="AL364" i="2"/>
  <c r="AL362" i="2"/>
  <c r="AL361" i="2"/>
  <c r="AL357" i="2"/>
  <c r="AL356" i="2"/>
  <c r="AL351" i="2"/>
  <c r="AL340" i="2"/>
  <c r="AL339" i="2"/>
  <c r="AL338" i="2"/>
  <c r="AL333" i="2"/>
  <c r="AL330" i="2"/>
  <c r="AL326" i="2"/>
  <c r="AL312" i="2"/>
  <c r="AL309" i="2"/>
  <c r="AL307" i="2"/>
  <c r="AL306" i="2"/>
  <c r="AL299" i="2"/>
  <c r="AL297" i="2"/>
  <c r="AL292" i="2"/>
  <c r="AL291" i="2"/>
  <c r="AL284" i="2"/>
  <c r="AL278" i="2"/>
  <c r="AL268" i="2"/>
  <c r="AL265" i="2"/>
  <c r="AL261" i="2"/>
  <c r="AL257" i="2"/>
  <c r="AL244" i="2"/>
  <c r="AL240" i="2"/>
  <c r="AL239" i="2"/>
  <c r="AL238" i="2"/>
  <c r="AL225" i="2"/>
  <c r="AL221" i="2"/>
  <c r="AL213" i="2"/>
  <c r="AL211" i="2"/>
  <c r="AL200" i="2"/>
  <c r="AL199" i="2"/>
  <c r="AL189" i="2"/>
  <c r="AL187" i="2"/>
  <c r="AL183" i="2"/>
  <c r="AL158" i="2"/>
  <c r="AL149" i="2"/>
  <c r="AL121" i="2"/>
  <c r="AL112" i="2"/>
  <c r="AL109" i="2"/>
  <c r="AL107" i="2"/>
  <c r="AL106" i="2"/>
  <c r="AL105" i="2"/>
  <c r="AL103" i="2"/>
  <c r="AL97" i="2"/>
  <c r="AL87" i="2"/>
  <c r="AL86" i="2"/>
  <c r="AL65" i="2"/>
  <c r="AL50" i="2"/>
  <c r="AL48" i="2"/>
  <c r="AL42" i="2"/>
  <c r="AL39" i="2"/>
  <c r="AL37" i="2"/>
  <c r="AL34" i="2"/>
  <c r="AL32" i="2"/>
  <c r="AL31" i="2"/>
  <c r="AL15" i="2"/>
  <c r="AL14" i="2"/>
  <c r="AO626" i="2"/>
  <c r="AO625" i="2"/>
  <c r="AO624" i="2"/>
  <c r="AO623" i="2"/>
  <c r="AO620" i="2"/>
  <c r="AO540" i="2"/>
  <c r="AO529" i="2"/>
  <c r="AO528" i="2"/>
  <c r="AO473" i="2"/>
  <c r="AO437" i="2"/>
  <c r="AO420" i="2"/>
  <c r="AO419" i="2"/>
  <c r="AO391" i="2"/>
  <c r="AO390" i="2"/>
  <c r="AO389" i="2"/>
  <c r="AO387" i="2"/>
  <c r="AO386" i="2"/>
  <c r="AO385" i="2"/>
  <c r="AO375" i="2"/>
  <c r="AO374" i="2"/>
  <c r="AO373" i="2"/>
  <c r="AO372" i="2"/>
  <c r="AO370" i="2"/>
  <c r="AO367" i="2"/>
  <c r="AO358" i="2"/>
  <c r="AO349" i="2"/>
  <c r="AO345" i="2"/>
  <c r="AO344" i="2"/>
  <c r="AO342" i="2"/>
  <c r="AO334" i="2"/>
  <c r="AO328" i="2"/>
  <c r="AO320" i="2"/>
  <c r="AO319" i="2"/>
  <c r="AO305" i="2"/>
  <c r="AO302" i="2"/>
  <c r="AO301" i="2"/>
  <c r="AO300" i="2"/>
  <c r="AO282" i="2"/>
  <c r="AO281" i="2"/>
  <c r="AO253" i="2"/>
  <c r="AO236" i="2"/>
  <c r="AO232" i="2"/>
  <c r="AO231" i="2"/>
  <c r="AO222" i="2"/>
  <c r="AO191" i="2"/>
  <c r="AO186" i="2"/>
  <c r="AO185" i="2"/>
  <c r="AO176" i="2"/>
  <c r="AO154" i="2"/>
  <c r="AO153" i="2"/>
  <c r="AO152" i="2"/>
  <c r="AO151" i="2"/>
  <c r="AO150" i="2"/>
  <c r="AO148" i="2"/>
  <c r="AO146" i="2"/>
  <c r="AO99" i="2"/>
  <c r="AO98" i="2"/>
  <c r="AO93" i="2"/>
  <c r="AO91" i="2"/>
  <c r="AO88" i="2"/>
  <c r="AO84" i="2"/>
  <c r="AO83" i="2"/>
  <c r="AO82" i="2"/>
  <c r="AO76" i="2"/>
  <c r="AO75" i="2"/>
  <c r="AO67" i="2"/>
  <c r="AO63" i="2"/>
  <c r="AO62" i="2"/>
  <c r="AO61" i="2"/>
  <c r="AO47" i="2"/>
  <c r="AO10" i="2"/>
  <c r="AO7" i="2"/>
  <c r="AO6" i="2"/>
  <c r="AN626" i="2"/>
  <c r="AN625" i="2"/>
  <c r="AN624" i="2"/>
  <c r="AN623" i="2"/>
  <c r="AN620" i="2"/>
  <c r="AN540" i="2"/>
  <c r="AN529" i="2"/>
  <c r="AN528" i="2"/>
  <c r="AN473" i="2"/>
  <c r="AN437" i="2"/>
  <c r="AN420" i="2"/>
  <c r="AN419" i="2"/>
  <c r="AN391" i="2"/>
  <c r="AN390" i="2"/>
  <c r="AN389" i="2"/>
  <c r="AN387" i="2"/>
  <c r="AN386" i="2"/>
  <c r="AN385" i="2"/>
  <c r="AN375" i="2"/>
  <c r="AN374" i="2"/>
  <c r="AN373" i="2"/>
  <c r="AN372" i="2"/>
  <c r="AN370" i="2"/>
  <c r="AN367" i="2"/>
  <c r="AN358" i="2"/>
  <c r="AN349" i="2"/>
  <c r="AN345" i="2"/>
  <c r="AN344" i="2"/>
  <c r="AN342" i="2"/>
  <c r="AN334" i="2"/>
  <c r="AN328" i="2"/>
  <c r="AN320" i="2"/>
  <c r="AN319" i="2"/>
  <c r="AN305" i="2"/>
  <c r="AN302" i="2"/>
  <c r="AN301" i="2"/>
  <c r="AN300" i="2"/>
  <c r="AN282" i="2"/>
  <c r="AN281" i="2"/>
  <c r="AN253" i="2"/>
  <c r="AN236" i="2"/>
  <c r="AN232" i="2"/>
  <c r="AN231" i="2"/>
  <c r="AN222" i="2"/>
  <c r="AN191" i="2"/>
  <c r="AN186" i="2"/>
  <c r="AN185" i="2"/>
  <c r="AN176" i="2"/>
  <c r="AN154" i="2"/>
  <c r="AN153" i="2"/>
  <c r="AN152" i="2"/>
  <c r="AN151" i="2"/>
  <c r="AN150" i="2"/>
  <c r="AN148" i="2"/>
  <c r="AN146" i="2"/>
  <c r="AN99" i="2"/>
  <c r="AN98" i="2"/>
  <c r="AN93" i="2"/>
  <c r="AN91" i="2"/>
  <c r="AN88" i="2"/>
  <c r="AN84" i="2"/>
  <c r="AN83" i="2"/>
  <c r="AN82" i="2"/>
  <c r="AN76" i="2"/>
  <c r="AN75" i="2"/>
  <c r="AN67" i="2"/>
  <c r="AN63" i="2"/>
  <c r="AN62" i="2"/>
  <c r="AN61" i="2"/>
  <c r="AN47" i="2"/>
  <c r="AN10" i="2"/>
  <c r="AN7" i="2"/>
  <c r="AN6" i="2"/>
  <c r="AM626" i="2"/>
  <c r="AM625" i="2"/>
  <c r="AM624" i="2"/>
  <c r="AM623" i="2"/>
  <c r="AM620" i="2"/>
  <c r="AM540" i="2"/>
  <c r="AM529" i="2"/>
  <c r="AM528" i="2"/>
  <c r="AM473" i="2"/>
  <c r="AM437" i="2"/>
  <c r="AM420" i="2"/>
  <c r="AM419" i="2"/>
  <c r="AM391" i="2"/>
  <c r="AM390" i="2"/>
  <c r="AM389" i="2"/>
  <c r="AM387" i="2"/>
  <c r="AM386" i="2"/>
  <c r="AM385" i="2"/>
  <c r="AM375" i="2"/>
  <c r="AM374" i="2"/>
  <c r="AM373" i="2"/>
  <c r="AM372" i="2"/>
  <c r="AM370" i="2"/>
  <c r="AM367" i="2"/>
  <c r="AM358" i="2"/>
  <c r="AM349" i="2"/>
  <c r="AM345" i="2"/>
  <c r="AM344" i="2"/>
  <c r="AM342" i="2"/>
  <c r="AM334" i="2"/>
  <c r="AM328" i="2"/>
  <c r="AM320" i="2"/>
  <c r="AM319" i="2"/>
  <c r="AM305" i="2"/>
  <c r="AM302" i="2"/>
  <c r="AM301" i="2"/>
  <c r="AM300" i="2"/>
  <c r="AM282" i="2"/>
  <c r="AM281" i="2"/>
  <c r="AM253" i="2"/>
  <c r="AM236" i="2"/>
  <c r="AM232" i="2"/>
  <c r="AM231" i="2"/>
  <c r="AM222" i="2"/>
  <c r="AM191" i="2"/>
  <c r="AM186" i="2"/>
  <c r="AM185" i="2"/>
  <c r="AM176" i="2"/>
  <c r="AM154" i="2"/>
  <c r="AM153" i="2"/>
  <c r="AM152" i="2"/>
  <c r="AM151" i="2"/>
  <c r="AM148" i="2"/>
  <c r="AM146" i="2"/>
  <c r="AM99" i="2"/>
  <c r="AM98" i="2"/>
  <c r="AM84" i="2"/>
  <c r="AM83" i="2"/>
  <c r="AM63" i="2"/>
  <c r="AM47" i="2"/>
  <c r="AM6" i="2"/>
  <c r="AL626" i="2"/>
  <c r="AL625" i="2"/>
  <c r="AL624" i="2"/>
  <c r="AL623" i="2"/>
  <c r="AL620" i="2"/>
  <c r="AL540" i="2"/>
  <c r="AL529" i="2"/>
  <c r="AL528" i="2"/>
  <c r="AL473" i="2"/>
  <c r="AL437" i="2"/>
  <c r="AL420" i="2"/>
  <c r="AL419" i="2"/>
  <c r="AL391" i="2"/>
  <c r="AL390" i="2"/>
  <c r="AL389" i="2"/>
  <c r="AL387" i="2"/>
  <c r="AL386" i="2"/>
  <c r="AL385" i="2"/>
  <c r="AL375" i="2"/>
  <c r="AL374" i="2"/>
  <c r="AL373" i="2"/>
  <c r="AL372" i="2"/>
  <c r="AL370" i="2"/>
  <c r="AL367" i="2"/>
  <c r="AL358" i="2"/>
  <c r="AL349" i="2"/>
  <c r="AL345" i="2"/>
  <c r="AL344" i="2"/>
  <c r="AL342" i="2"/>
  <c r="AL334" i="2"/>
  <c r="AL328" i="2"/>
  <c r="AL320" i="2"/>
  <c r="AL319" i="2"/>
  <c r="AL305" i="2"/>
  <c r="AL302" i="2"/>
  <c r="AL301" i="2"/>
  <c r="AL300" i="2"/>
  <c r="AL282" i="2"/>
  <c r="AL281" i="2"/>
  <c r="AL253" i="2"/>
  <c r="AL236" i="2"/>
  <c r="AL232" i="2"/>
  <c r="AL231" i="2"/>
  <c r="AL222" i="2"/>
  <c r="AL191" i="2"/>
  <c r="AL186" i="2"/>
  <c r="AL185" i="2"/>
  <c r="AL153" i="2"/>
  <c r="AL151" i="2"/>
  <c r="AL148" i="2"/>
  <c r="AL146" i="2"/>
  <c r="AL99" i="2"/>
  <c r="AL98" i="2"/>
  <c r="AL84" i="2"/>
  <c r="AL83" i="2"/>
  <c r="AL63" i="2"/>
  <c r="AL47" i="2"/>
  <c r="AL6" i="2"/>
  <c r="AO460" i="2"/>
  <c r="AO476" i="2"/>
  <c r="AO475" i="2"/>
  <c r="AO459" i="2"/>
  <c r="AO458" i="2"/>
  <c r="AO346" i="2"/>
  <c r="AO304" i="2"/>
  <c r="AO229" i="2"/>
  <c r="AO228" i="2"/>
  <c r="AO5" i="2"/>
  <c r="AN476" i="2"/>
  <c r="AN475" i="2"/>
  <c r="AN460" i="2"/>
  <c r="AN459" i="2"/>
  <c r="AN458" i="2"/>
  <c r="AN346" i="2"/>
  <c r="AN304" i="2"/>
  <c r="AN229" i="2"/>
  <c r="AN228" i="2"/>
  <c r="AN5" i="2"/>
  <c r="AM476" i="2"/>
  <c r="AM475" i="2"/>
  <c r="AM460" i="2"/>
  <c r="AM459" i="2"/>
  <c r="AM458" i="2"/>
  <c r="AM346" i="2"/>
  <c r="AM304" i="2"/>
  <c r="AM229" i="2"/>
  <c r="AM228" i="2"/>
  <c r="AM5" i="2"/>
  <c r="AL476" i="2"/>
  <c r="AL475" i="2"/>
  <c r="AL460" i="2"/>
  <c r="AL459" i="2"/>
  <c r="AL458" i="2"/>
  <c r="AL346" i="2"/>
  <c r="AL304" i="2"/>
  <c r="AL229" i="2"/>
  <c r="AL228" i="2"/>
  <c r="AL5" i="2"/>
  <c r="AO516" i="2"/>
  <c r="AJ516" i="2" s="1"/>
  <c r="AO515" i="2"/>
  <c r="AJ515" i="2" s="1"/>
  <c r="AO470" i="2"/>
  <c r="AJ470" i="2" s="1"/>
  <c r="AO469" i="2"/>
  <c r="AJ469" i="2" s="1"/>
  <c r="AO467" i="2"/>
  <c r="AJ467" i="2" s="1"/>
  <c r="AO466" i="2"/>
  <c r="AJ466" i="2" s="1"/>
  <c r="AN518" i="2"/>
  <c r="AJ518" i="2" s="1"/>
  <c r="AN448" i="2"/>
  <c r="AJ448" i="2" s="1"/>
  <c r="AN445" i="2"/>
  <c r="AJ445" i="2" s="1"/>
  <c r="AN442" i="2"/>
  <c r="AJ442" i="2" s="1"/>
  <c r="AN348" i="2"/>
  <c r="AJ348" i="2" s="1"/>
  <c r="AN235" i="2"/>
  <c r="AJ235" i="2" s="1"/>
  <c r="AN26" i="2"/>
  <c r="AJ26" i="2" s="1"/>
  <c r="AM630" i="2"/>
  <c r="AJ630" i="2" s="1"/>
  <c r="AM629" i="2"/>
  <c r="AJ629" i="2" s="1"/>
  <c r="AM628" i="2"/>
  <c r="AJ628" i="2" s="1"/>
  <c r="AM627" i="2"/>
  <c r="AJ627" i="2" s="1"/>
  <c r="AM463" i="2"/>
  <c r="AJ463" i="2" s="1"/>
  <c r="AM192" i="2"/>
  <c r="AM54" i="2"/>
  <c r="AL100" i="2"/>
  <c r="AJ100" i="2" s="1"/>
  <c r="AL79" i="2"/>
  <c r="AJ79" i="2" s="1"/>
  <c r="AL57" i="2"/>
  <c r="AJ57" i="2" s="1"/>
  <c r="AL55" i="2"/>
  <c r="AJ55" i="2" s="1"/>
  <c r="AL52" i="2"/>
  <c r="AJ52" i="2" s="1"/>
  <c r="AL4" i="2"/>
  <c r="AJ4" i="2" s="1"/>
  <c r="AO517" i="2"/>
  <c r="AJ517" i="2" s="1"/>
  <c r="AO450" i="2"/>
  <c r="AJ450" i="2" s="1"/>
  <c r="AO446" i="2"/>
  <c r="AJ446" i="2" s="1"/>
  <c r="AO443" i="2"/>
  <c r="AJ443" i="2" s="1"/>
  <c r="AO441" i="2"/>
  <c r="AJ441" i="2" s="1"/>
  <c r="AO25" i="2"/>
  <c r="AJ25" i="2" s="1"/>
  <c r="AM537" i="2"/>
  <c r="AM266" i="2"/>
  <c r="AM256" i="2"/>
  <c r="AM102" i="2"/>
  <c r="AM797" i="2"/>
  <c r="AJ797" i="2" s="1"/>
  <c r="AM790" i="2"/>
  <c r="AJ790" i="2" s="1"/>
  <c r="AM787" i="2"/>
  <c r="AJ787" i="2" s="1"/>
  <c r="AM786" i="2"/>
  <c r="AJ786" i="2" s="1"/>
  <c r="AM785" i="2"/>
  <c r="AJ785" i="2" s="1"/>
  <c r="AM784" i="2"/>
  <c r="AJ784" i="2" s="1"/>
  <c r="AM783" i="2"/>
  <c r="AJ783" i="2" s="1"/>
  <c r="AM776" i="2"/>
  <c r="AJ776" i="2" s="1"/>
  <c r="AM775" i="2"/>
  <c r="AJ775" i="2" s="1"/>
  <c r="AM774" i="2"/>
  <c r="AJ774" i="2" s="1"/>
  <c r="AM773" i="2"/>
  <c r="AJ773" i="2" s="1"/>
  <c r="AL771" i="2"/>
  <c r="AJ771" i="2" s="1"/>
  <c r="AL743" i="2"/>
  <c r="AJ743" i="2" s="1"/>
  <c r="AL742" i="2"/>
  <c r="AJ742" i="2" s="1"/>
  <c r="AL694" i="2"/>
  <c r="AJ694" i="2" s="1"/>
  <c r="AL180" i="2"/>
  <c r="AJ180" i="2" s="1"/>
  <c r="AL156" i="2"/>
  <c r="AJ156" i="2" s="1"/>
  <c r="AL95" i="2"/>
  <c r="AJ95" i="2" s="1"/>
  <c r="AL27" i="2"/>
  <c r="AJ27" i="2" s="1"/>
  <c r="AL772" i="2"/>
  <c r="AJ772" i="2" s="1"/>
  <c r="AK803" i="2"/>
  <c r="AJ803" i="2" s="1"/>
  <c r="AK802" i="2"/>
  <c r="AJ802" i="2" s="1"/>
  <c r="AK801" i="2"/>
  <c r="AJ801" i="2" s="1"/>
  <c r="AK800" i="2"/>
  <c r="AJ800" i="2" s="1"/>
  <c r="AK796" i="2"/>
  <c r="AJ796" i="2" s="1"/>
  <c r="AK795" i="2"/>
  <c r="AJ795" i="2" s="1"/>
  <c r="AK794" i="2"/>
  <c r="AJ794" i="2" s="1"/>
  <c r="AK791" i="2"/>
  <c r="AJ791" i="2" s="1"/>
  <c r="AK788" i="2"/>
  <c r="AJ788" i="2" s="1"/>
  <c r="AK782" i="2"/>
  <c r="AJ782" i="2" s="1"/>
  <c r="AK780" i="2"/>
  <c r="AJ780" i="2" s="1"/>
  <c r="AK779" i="2"/>
  <c r="AJ779" i="2" s="1"/>
  <c r="AK778" i="2"/>
  <c r="AJ778" i="2" s="1"/>
  <c r="AK777" i="2"/>
  <c r="AJ777" i="2" s="1"/>
  <c r="AK769" i="2"/>
  <c r="AJ769" i="2" s="1"/>
  <c r="AK767" i="2"/>
  <c r="AJ767" i="2" s="1"/>
  <c r="AK766" i="2"/>
  <c r="AJ766" i="2" s="1"/>
  <c r="AK765" i="2"/>
  <c r="AJ765" i="2" s="1"/>
  <c r="AK763" i="2"/>
  <c r="AJ763" i="2" s="1"/>
  <c r="AK762" i="2"/>
  <c r="AJ762" i="2" s="1"/>
  <c r="AK759" i="2"/>
  <c r="AJ759" i="2" s="1"/>
  <c r="AK755" i="2"/>
  <c r="AJ755" i="2" s="1"/>
  <c r="AK745" i="2"/>
  <c r="AJ745" i="2" s="1"/>
  <c r="AK741" i="2"/>
  <c r="AJ741" i="2" s="1"/>
  <c r="AK740" i="2"/>
  <c r="AJ740" i="2" s="1"/>
  <c r="AK739" i="2"/>
  <c r="AJ739" i="2" s="1"/>
  <c r="AK738" i="2"/>
  <c r="AJ738" i="2" s="1"/>
  <c r="AK737" i="2"/>
  <c r="AJ737" i="2" s="1"/>
  <c r="AK736" i="2"/>
  <c r="AJ736" i="2" s="1"/>
  <c r="AK735" i="2"/>
  <c r="AJ735" i="2" s="1"/>
  <c r="AK731" i="2"/>
  <c r="AJ731" i="2" s="1"/>
  <c r="AK730" i="2"/>
  <c r="AJ730" i="2" s="1"/>
  <c r="AK729" i="2"/>
  <c r="AJ729" i="2" s="1"/>
  <c r="AK723" i="2"/>
  <c r="AJ723" i="2" s="1"/>
  <c r="AK721" i="2"/>
  <c r="AJ721" i="2" s="1"/>
  <c r="AK720" i="2"/>
  <c r="AJ720" i="2" s="1"/>
  <c r="AK719" i="2"/>
  <c r="AJ719" i="2" s="1"/>
  <c r="AK718" i="2"/>
  <c r="AJ718" i="2" s="1"/>
  <c r="AK717" i="2"/>
  <c r="AJ717" i="2" s="1"/>
  <c r="AK716" i="2"/>
  <c r="AJ716" i="2" s="1"/>
  <c r="AK715" i="2"/>
  <c r="AJ715" i="2" s="1"/>
  <c r="AK714" i="2"/>
  <c r="AJ714" i="2" s="1"/>
  <c r="AK713" i="2"/>
  <c r="AJ713" i="2" s="1"/>
  <c r="AK712" i="2"/>
  <c r="AJ712" i="2" s="1"/>
  <c r="AK711" i="2"/>
  <c r="AJ711" i="2" s="1"/>
  <c r="AK710" i="2"/>
  <c r="AJ710" i="2" s="1"/>
  <c r="AK709" i="2"/>
  <c r="AJ709" i="2" s="1"/>
  <c r="AK708" i="2"/>
  <c r="AJ708" i="2" s="1"/>
  <c r="AK707" i="2"/>
  <c r="AJ707" i="2" s="1"/>
  <c r="AK705" i="2"/>
  <c r="AJ705" i="2" s="1"/>
  <c r="AK703" i="2"/>
  <c r="AJ703" i="2" s="1"/>
  <c r="AK702" i="2"/>
  <c r="AJ702" i="2" s="1"/>
  <c r="AK701" i="2"/>
  <c r="AJ701" i="2" s="1"/>
  <c r="AK700" i="2"/>
  <c r="AJ700" i="2" s="1"/>
  <c r="AK699" i="2"/>
  <c r="AJ699" i="2" s="1"/>
  <c r="AK698" i="2"/>
  <c r="AJ698" i="2" s="1"/>
  <c r="AK697" i="2"/>
  <c r="AJ697" i="2" s="1"/>
  <c r="AK696" i="2"/>
  <c r="AJ696" i="2" s="1"/>
  <c r="AK695" i="2"/>
  <c r="AJ695" i="2" s="1"/>
  <c r="AK693" i="2"/>
  <c r="AJ693" i="2" s="1"/>
  <c r="AK692" i="2"/>
  <c r="AJ692" i="2" s="1"/>
  <c r="AK691" i="2"/>
  <c r="AJ691" i="2" s="1"/>
  <c r="AK690" i="2"/>
  <c r="AJ690" i="2" s="1"/>
  <c r="AK689" i="2"/>
  <c r="AJ689" i="2" s="1"/>
  <c r="AK688" i="2"/>
  <c r="AJ688" i="2" s="1"/>
  <c r="AK687" i="2"/>
  <c r="AJ687" i="2" s="1"/>
  <c r="AK686" i="2"/>
  <c r="AJ686" i="2" s="1"/>
  <c r="AK685" i="2"/>
  <c r="AJ685" i="2" s="1"/>
  <c r="AK684" i="2"/>
  <c r="AJ684" i="2" s="1"/>
  <c r="AK683" i="2"/>
  <c r="AJ683" i="2" s="1"/>
  <c r="AK681" i="2"/>
  <c r="AJ681" i="2" s="1"/>
  <c r="AK680" i="2"/>
  <c r="AJ680" i="2" s="1"/>
  <c r="AK679" i="2"/>
  <c r="AJ679" i="2" s="1"/>
  <c r="AK678" i="2"/>
  <c r="AJ678" i="2" s="1"/>
  <c r="AK677" i="2"/>
  <c r="AJ677" i="2" s="1"/>
  <c r="AK676" i="2"/>
  <c r="AJ676" i="2" s="1"/>
  <c r="AK675" i="2"/>
  <c r="AJ675" i="2" s="1"/>
  <c r="AK674" i="2"/>
  <c r="AJ674" i="2" s="1"/>
  <c r="AK673" i="2"/>
  <c r="AJ673" i="2" s="1"/>
  <c r="AK672" i="2"/>
  <c r="AJ672" i="2" s="1"/>
  <c r="AK671" i="2"/>
  <c r="AJ671" i="2" s="1"/>
  <c r="AK670" i="2"/>
  <c r="AJ670" i="2" s="1"/>
  <c r="AK668" i="2"/>
  <c r="AJ668" i="2" s="1"/>
  <c r="AK667" i="2"/>
  <c r="AJ667" i="2" s="1"/>
  <c r="AK666" i="2"/>
  <c r="AJ666" i="2" s="1"/>
  <c r="AK665" i="2"/>
  <c r="AJ665" i="2" s="1"/>
  <c r="AK664" i="2"/>
  <c r="AJ664" i="2" s="1"/>
  <c r="AK663" i="2"/>
  <c r="AJ663" i="2" s="1"/>
  <c r="AK661" i="2"/>
  <c r="AJ661" i="2" s="1"/>
  <c r="AK660" i="2"/>
  <c r="AJ660" i="2" s="1"/>
  <c r="AK659" i="2"/>
  <c r="AJ659" i="2" s="1"/>
  <c r="AK658" i="2"/>
  <c r="AJ658" i="2" s="1"/>
  <c r="AK657" i="2"/>
  <c r="AJ657" i="2" s="1"/>
  <c r="AK656" i="2"/>
  <c r="AJ656" i="2" s="1"/>
  <c r="AK655" i="2"/>
  <c r="AJ655" i="2" s="1"/>
  <c r="AK654" i="2"/>
  <c r="AJ654" i="2" s="1"/>
  <c r="AK653" i="2"/>
  <c r="AJ653" i="2" s="1"/>
  <c r="AK652" i="2"/>
  <c r="AJ652" i="2" s="1"/>
  <c r="AK651" i="2"/>
  <c r="AJ651" i="2" s="1"/>
  <c r="AK481" i="2"/>
  <c r="AJ481" i="2" s="1"/>
  <c r="AK480" i="2"/>
  <c r="AJ480" i="2" s="1"/>
  <c r="AK479" i="2"/>
  <c r="AJ479" i="2" s="1"/>
  <c r="AK478" i="2"/>
  <c r="AJ478" i="2" s="1"/>
  <c r="AK477" i="2"/>
  <c r="AJ477" i="2" s="1"/>
  <c r="AK435" i="2"/>
  <c r="AJ435" i="2" s="1"/>
  <c r="AK397" i="2"/>
  <c r="AJ397" i="2" s="1"/>
  <c r="AK396" i="2"/>
  <c r="AJ396" i="2" s="1"/>
  <c r="AK360" i="2"/>
  <c r="AJ360" i="2" s="1"/>
  <c r="AK329" i="2"/>
  <c r="AJ329" i="2" s="1"/>
  <c r="AK327" i="2"/>
  <c r="AJ327" i="2" s="1"/>
  <c r="AK308" i="2"/>
  <c r="AJ308" i="2" s="1"/>
  <c r="AK296" i="2"/>
  <c r="AJ296" i="2" s="1"/>
  <c r="AK290" i="2"/>
  <c r="AJ290" i="2" s="1"/>
  <c r="AK287" i="2"/>
  <c r="AJ287" i="2" s="1"/>
  <c r="AK274" i="2"/>
  <c r="AJ274" i="2" s="1"/>
  <c r="AK258" i="2"/>
  <c r="AJ258" i="2" s="1"/>
  <c r="AK252" i="2"/>
  <c r="AJ252" i="2" s="1"/>
  <c r="AK246" i="2"/>
  <c r="AJ246" i="2" s="1"/>
  <c r="AK245" i="2"/>
  <c r="AJ245" i="2" s="1"/>
  <c r="AK243" i="2"/>
  <c r="AJ243" i="2" s="1"/>
  <c r="AK233" i="2"/>
  <c r="AJ233" i="2" s="1"/>
  <c r="AK212" i="2"/>
  <c r="AJ212" i="2" s="1"/>
  <c r="AK206" i="2"/>
  <c r="AJ206" i="2" s="1"/>
  <c r="AK196" i="2"/>
  <c r="AJ196" i="2" s="1"/>
  <c r="AK193" i="2"/>
  <c r="AJ193" i="2" s="1"/>
  <c r="AK190" i="2"/>
  <c r="AJ190" i="2" s="1"/>
  <c r="AK177" i="2"/>
  <c r="AJ177" i="2" s="1"/>
  <c r="AK173" i="2"/>
  <c r="AJ173" i="2" s="1"/>
  <c r="AK170" i="2"/>
  <c r="AJ170" i="2" s="1"/>
  <c r="AK167" i="2"/>
  <c r="AJ167" i="2" s="1"/>
  <c r="AK166" i="2"/>
  <c r="AJ166" i="2" s="1"/>
  <c r="AK113" i="2"/>
  <c r="AJ113" i="2" s="1"/>
  <c r="AK110" i="2"/>
  <c r="AJ110" i="2" s="1"/>
  <c r="AK104" i="2"/>
  <c r="AJ104" i="2" s="1"/>
  <c r="AK90" i="2"/>
  <c r="AJ90" i="2" s="1"/>
  <c r="AK85" i="2"/>
  <c r="AJ85" i="2" s="1"/>
  <c r="AK78" i="2"/>
  <c r="AJ78" i="2" s="1"/>
  <c r="AK74" i="2"/>
  <c r="AJ74" i="2" s="1"/>
  <c r="AK73" i="2"/>
  <c r="AJ73" i="2" s="1"/>
  <c r="AK72" i="2"/>
  <c r="AJ72" i="2" s="1"/>
  <c r="AK70" i="2"/>
  <c r="AJ70" i="2" s="1"/>
  <c r="AK59" i="2"/>
  <c r="AJ59" i="2" s="1"/>
  <c r="AK58" i="2"/>
  <c r="AJ58" i="2" s="1"/>
  <c r="AK56" i="2"/>
  <c r="AJ56" i="2" s="1"/>
  <c r="AK45" i="2"/>
  <c r="AJ45" i="2" s="1"/>
  <c r="AK43" i="2"/>
  <c r="AJ43" i="2" s="1"/>
  <c r="AK40" i="2"/>
  <c r="AJ40" i="2" s="1"/>
  <c r="AK30" i="2"/>
  <c r="AJ30" i="2" s="1"/>
  <c r="AK29" i="2"/>
  <c r="AJ29" i="2" s="1"/>
  <c r="AK21" i="2"/>
  <c r="AJ21" i="2" s="1"/>
  <c r="AK16" i="2"/>
  <c r="AJ16" i="2" s="1"/>
  <c r="AK13" i="2"/>
  <c r="AJ13" i="2" s="1"/>
  <c r="AK9" i="2"/>
  <c r="AJ9" i="2" s="1"/>
  <c r="AK8" i="2"/>
  <c r="AJ8" i="2" s="1"/>
  <c r="AL799" i="2"/>
  <c r="AJ799" i="2" s="1"/>
  <c r="AL798" i="2"/>
  <c r="AJ798" i="2" s="1"/>
  <c r="AL793" i="2"/>
  <c r="AJ793" i="2" s="1"/>
  <c r="AL792" i="2"/>
  <c r="AJ792" i="2" s="1"/>
  <c r="AL789" i="2"/>
  <c r="AJ789" i="2" s="1"/>
  <c r="AL781" i="2"/>
  <c r="AJ781" i="2" s="1"/>
  <c r="AL770" i="2"/>
  <c r="AJ770" i="2" s="1"/>
  <c r="AL768" i="2"/>
  <c r="AJ768" i="2" s="1"/>
  <c r="AL764" i="2"/>
  <c r="AJ764" i="2" s="1"/>
  <c r="AL761" i="2"/>
  <c r="AJ761" i="2" s="1"/>
  <c r="AL760" i="2"/>
  <c r="AJ760" i="2" s="1"/>
  <c r="AL758" i="2"/>
  <c r="AJ758" i="2" s="1"/>
  <c r="AL757" i="2"/>
  <c r="AJ757" i="2" s="1"/>
  <c r="AL756" i="2"/>
  <c r="AJ756" i="2" s="1"/>
  <c r="AL754" i="2"/>
  <c r="AJ754" i="2" s="1"/>
  <c r="AL753" i="2"/>
  <c r="AJ753" i="2" s="1"/>
  <c r="AL752" i="2"/>
  <c r="AJ752" i="2" s="1"/>
  <c r="AL751" i="2"/>
  <c r="AJ751" i="2" s="1"/>
  <c r="AL750" i="2"/>
  <c r="AJ750" i="2" s="1"/>
  <c r="AL749" i="2"/>
  <c r="AJ749" i="2" s="1"/>
  <c r="AL748" i="2"/>
  <c r="AJ748" i="2" s="1"/>
  <c r="AL747" i="2"/>
  <c r="AJ747" i="2" s="1"/>
  <c r="AL746" i="2"/>
  <c r="AJ746" i="2" s="1"/>
  <c r="AL744" i="2"/>
  <c r="AJ744" i="2" s="1"/>
  <c r="AL734" i="2"/>
  <c r="AJ734" i="2" s="1"/>
  <c r="AL733" i="2"/>
  <c r="AJ733" i="2" s="1"/>
  <c r="AL732" i="2"/>
  <c r="AJ732" i="2" s="1"/>
  <c r="AL728" i="2"/>
  <c r="AJ728" i="2" s="1"/>
  <c r="AL727" i="2"/>
  <c r="AJ727" i="2" s="1"/>
  <c r="AL726" i="2"/>
  <c r="AJ726" i="2" s="1"/>
  <c r="AL725" i="2"/>
  <c r="AJ725" i="2" s="1"/>
  <c r="AL724" i="2"/>
  <c r="AJ724" i="2" s="1"/>
  <c r="AL722" i="2"/>
  <c r="AJ722" i="2" s="1"/>
  <c r="AL706" i="2"/>
  <c r="AJ706" i="2" s="1"/>
  <c r="AL704" i="2"/>
  <c r="AJ704" i="2" s="1"/>
  <c r="AL682" i="2"/>
  <c r="AJ682" i="2" s="1"/>
  <c r="AL669" i="2"/>
  <c r="AJ669" i="2" s="1"/>
  <c r="AL662" i="2"/>
  <c r="AJ662" i="2" s="1"/>
  <c r="AL523" i="2"/>
  <c r="AJ523" i="2" s="1"/>
  <c r="AK322" i="2"/>
  <c r="AJ322" i="2" s="1"/>
  <c r="AK280" i="2"/>
  <c r="AJ280" i="2" s="1"/>
  <c r="AK224" i="2"/>
  <c r="AJ224" i="2" s="1"/>
  <c r="AK155" i="2"/>
  <c r="AJ155" i="2" s="1"/>
  <c r="AK140" i="2"/>
  <c r="AJ140" i="2" s="1"/>
  <c r="AK136" i="2"/>
  <c r="AJ136" i="2" s="1"/>
  <c r="AK135" i="2"/>
  <c r="AJ135" i="2" s="1"/>
  <c r="AK133" i="2"/>
  <c r="AJ133" i="2" s="1"/>
  <c r="AK132" i="2"/>
  <c r="AJ132" i="2" s="1"/>
  <c r="AK131" i="2"/>
  <c r="AJ131" i="2" s="1"/>
  <c r="AK129" i="2"/>
  <c r="AJ129" i="2" s="1"/>
  <c r="AK128" i="2"/>
  <c r="AJ128" i="2" s="1"/>
  <c r="AK127" i="2"/>
  <c r="AJ127" i="2" s="1"/>
  <c r="AK126" i="2"/>
  <c r="AJ126" i="2" s="1"/>
  <c r="AK124" i="2"/>
  <c r="AJ124" i="2" s="1"/>
  <c r="AK120" i="2"/>
  <c r="AJ120" i="2" s="1"/>
  <c r="AK117" i="2"/>
  <c r="AJ117" i="2" s="1"/>
  <c r="AK116" i="2"/>
  <c r="AJ116" i="2" s="1"/>
  <c r="AK69" i="2"/>
  <c r="AJ69" i="2" s="1"/>
  <c r="AK60" i="2"/>
  <c r="AJ60" i="2" s="1"/>
  <c r="AK38" i="2"/>
  <c r="AJ38" i="2" s="1"/>
  <c r="AK323" i="2"/>
  <c r="AJ323" i="2" s="1"/>
  <c r="AN535" i="2"/>
  <c r="AJ535" i="2" s="1"/>
  <c r="AN519" i="2"/>
  <c r="AJ519" i="2" s="1"/>
  <c r="AN461" i="2"/>
  <c r="AJ461" i="2" s="1"/>
  <c r="AN141" i="2"/>
  <c r="AJ141" i="2" s="1"/>
  <c r="AN139" i="2"/>
  <c r="AJ139" i="2" s="1"/>
  <c r="AN138" i="2"/>
  <c r="AJ138" i="2" s="1"/>
  <c r="AN137" i="2"/>
  <c r="AJ137" i="2" s="1"/>
  <c r="AN130" i="2"/>
  <c r="AJ130" i="2" s="1"/>
  <c r="AN125" i="2"/>
  <c r="AJ125" i="2" s="1"/>
  <c r="AN119" i="2"/>
  <c r="AJ119" i="2" s="1"/>
  <c r="AN118" i="2"/>
  <c r="AJ118" i="2" s="1"/>
  <c r="AO431" i="2"/>
  <c r="AJ431" i="2" s="1"/>
  <c r="AJ255" i="2"/>
  <c r="AO242" i="2"/>
  <c r="AJ242" i="2" s="1"/>
  <c r="AJ17" i="2"/>
  <c r="AO468" i="2"/>
  <c r="AJ468" i="2" s="1"/>
  <c r="AO298" i="2"/>
  <c r="AJ298" i="2" s="1"/>
  <c r="AO279" i="2"/>
  <c r="AJ279" i="2" s="1"/>
  <c r="AO241" i="2"/>
  <c r="AJ241" i="2" s="1"/>
  <c r="AO215" i="2"/>
  <c r="AJ215" i="2" s="1"/>
  <c r="AN606" i="2"/>
  <c r="AJ606" i="2" s="1"/>
  <c r="AN474" i="2"/>
  <c r="AJ474" i="2" s="1"/>
  <c r="AN350" i="2"/>
  <c r="AJ350" i="2" s="1"/>
  <c r="AN303" i="2"/>
  <c r="AJ303" i="2" s="1"/>
  <c r="AN254" i="2"/>
  <c r="AJ254" i="2" s="1"/>
  <c r="AN71" i="2"/>
  <c r="AJ71" i="2" s="1"/>
  <c r="AN24" i="2"/>
  <c r="AJ24" i="2" s="1"/>
  <c r="AM573" i="2"/>
  <c r="AJ573" i="2" s="1"/>
  <c r="AM455" i="2"/>
  <c r="AJ455" i="2" s="1"/>
  <c r="AM426" i="2"/>
  <c r="AJ426" i="2" s="1"/>
  <c r="AM369" i="2"/>
  <c r="AJ369" i="2" s="1"/>
  <c r="AM237" i="2"/>
  <c r="AJ237" i="2" s="1"/>
  <c r="AM226" i="2"/>
  <c r="AJ226" i="2" s="1"/>
  <c r="AM208" i="2"/>
  <c r="AJ208" i="2" s="1"/>
  <c r="AM169" i="2"/>
  <c r="AJ169" i="2" s="1"/>
  <c r="AM157" i="2"/>
  <c r="AJ157" i="2" s="1"/>
  <c r="AM111" i="2"/>
  <c r="AJ111" i="2" s="1"/>
  <c r="AM28" i="2"/>
  <c r="AJ28" i="2" s="1"/>
  <c r="AL592" i="2"/>
  <c r="AJ592" i="2" s="1"/>
  <c r="AJ488" i="2"/>
  <c r="AJ487" i="2"/>
  <c r="AL472" i="2"/>
  <c r="AJ472" i="2" s="1"/>
  <c r="AL427" i="2"/>
  <c r="AJ427" i="2" s="1"/>
  <c r="AL341" i="2"/>
  <c r="AJ341" i="2" s="1"/>
  <c r="AL286" i="2"/>
  <c r="AJ286" i="2" s="1"/>
  <c r="AL273" i="2"/>
  <c r="AJ273" i="2" s="1"/>
  <c r="AL269" i="2"/>
  <c r="AJ269" i="2" s="1"/>
  <c r="AL216" i="2"/>
  <c r="AJ216" i="2" s="1"/>
  <c r="AL182" i="2"/>
  <c r="AJ182" i="2" s="1"/>
  <c r="AL181" i="2"/>
  <c r="AJ181" i="2" s="1"/>
  <c r="AL174" i="2"/>
  <c r="AJ174" i="2" s="1"/>
  <c r="AL172" i="2"/>
  <c r="AJ172" i="2" s="1"/>
  <c r="AL147" i="2"/>
  <c r="AJ147" i="2" s="1"/>
  <c r="AL19" i="2"/>
  <c r="AJ19" i="2" s="1"/>
  <c r="AJ649" i="2"/>
  <c r="AJ605" i="2"/>
  <c r="AJ604" i="2"/>
  <c r="AJ600" i="2"/>
  <c r="AJ596" i="2"/>
  <c r="AJ591" i="2"/>
  <c r="AJ590" i="2"/>
  <c r="AJ589" i="2"/>
  <c r="AJ586" i="2"/>
  <c r="AJ575" i="2"/>
  <c r="AJ553" i="2"/>
  <c r="AJ552" i="2"/>
  <c r="AJ551" i="2"/>
  <c r="AJ549" i="2"/>
  <c r="AJ543" i="2"/>
  <c r="AJ542" i="2"/>
  <c r="AJ541" i="2"/>
  <c r="AJ536" i="2"/>
  <c r="AJ533" i="2"/>
  <c r="AJ514" i="2"/>
  <c r="AJ506" i="2"/>
  <c r="AJ505" i="2"/>
  <c r="AJ503" i="2"/>
  <c r="AJ498" i="2"/>
  <c r="AJ493" i="2"/>
  <c r="AJ489" i="2"/>
  <c r="AJ453" i="2"/>
  <c r="AJ452" i="2"/>
  <c r="AJ451" i="2"/>
  <c r="AJ440" i="2"/>
  <c r="AJ438" i="2"/>
  <c r="AJ434" i="2"/>
  <c r="AJ433" i="2"/>
  <c r="AJ432" i="2"/>
  <c r="AJ430" i="2"/>
  <c r="AJ332" i="2"/>
  <c r="AJ318" i="2"/>
  <c r="AJ313" i="2"/>
  <c r="AJ277" i="2"/>
  <c r="AJ275" i="2"/>
  <c r="AJ223" i="2"/>
  <c r="AJ2" i="2"/>
  <c r="AJ583" i="2" l="1"/>
  <c r="AJ584" i="2"/>
  <c r="AJ494" i="2"/>
  <c r="AJ563" i="2"/>
  <c r="AJ567" i="2"/>
  <c r="AJ562" i="2"/>
  <c r="AJ564" i="2"/>
  <c r="AJ566" i="2"/>
  <c r="AJ50" i="2"/>
  <c r="AJ220" i="2"/>
  <c r="AJ297" i="2"/>
  <c r="AJ158" i="2"/>
  <c r="AJ261" i="2"/>
  <c r="AJ192" i="2"/>
  <c r="AJ330" i="2"/>
  <c r="AJ361" i="2"/>
  <c r="AJ380" i="2"/>
  <c r="AJ394" i="2"/>
  <c r="AJ408" i="2"/>
  <c r="AJ416" i="2"/>
  <c r="AJ429" i="2"/>
  <c r="AJ106" i="2"/>
  <c r="AJ41" i="2"/>
  <c r="AJ114" i="2"/>
  <c r="AJ244" i="2"/>
  <c r="AJ321" i="2"/>
  <c r="AJ356" i="2"/>
  <c r="AJ378" i="2"/>
  <c r="AJ414" i="2"/>
  <c r="AJ32" i="2"/>
  <c r="AJ362" i="2"/>
  <c r="AJ436" i="2"/>
  <c r="AJ37" i="2"/>
  <c r="AJ86" i="2"/>
  <c r="AJ225" i="2"/>
  <c r="AJ265" i="2"/>
  <c r="AJ306" i="2"/>
  <c r="AJ338" i="2"/>
  <c r="AJ364" i="2"/>
  <c r="AJ382" i="2"/>
  <c r="AJ402" i="2"/>
  <c r="AJ410" i="2"/>
  <c r="AJ418" i="2"/>
  <c r="AJ456" i="2"/>
  <c r="AJ15" i="2"/>
  <c r="AJ239" i="2"/>
  <c r="AJ278" i="2"/>
  <c r="AJ309" i="2"/>
  <c r="AJ340" i="2"/>
  <c r="AJ366" i="2"/>
  <c r="AJ384" i="2"/>
  <c r="AJ404" i="2"/>
  <c r="AJ412" i="2"/>
  <c r="AJ422" i="2"/>
  <c r="AJ109" i="2"/>
  <c r="AJ214" i="2"/>
  <c r="AJ54" i="2"/>
  <c r="AJ53" i="2"/>
  <c r="AJ51" i="2"/>
  <c r="AJ367" i="2"/>
  <c r="AJ388" i="2"/>
  <c r="AJ405" i="2"/>
  <c r="AJ49" i="2"/>
  <c r="AJ149" i="2"/>
  <c r="AJ292" i="2"/>
  <c r="AJ326" i="2"/>
  <c r="AJ379" i="2"/>
  <c r="AJ393" i="2"/>
  <c r="AJ415" i="2"/>
  <c r="AJ428" i="2"/>
  <c r="AJ34" i="2"/>
  <c r="AJ65" i="2"/>
  <c r="AJ108" i="2"/>
  <c r="AJ183" i="2"/>
  <c r="AJ221" i="2"/>
  <c r="AJ262" i="2"/>
  <c r="AJ299" i="2"/>
  <c r="AJ333" i="2"/>
  <c r="AJ381" i="2"/>
  <c r="AJ395" i="2"/>
  <c r="AJ409" i="2"/>
  <c r="AJ417" i="2"/>
  <c r="AJ98" i="2"/>
  <c r="AJ153" i="2"/>
  <c r="AJ23" i="2"/>
  <c r="AJ105" i="2"/>
  <c r="AJ134" i="2"/>
  <c r="AJ211" i="2"/>
  <c r="AJ291" i="2"/>
  <c r="AJ392" i="2"/>
  <c r="AJ406" i="2"/>
  <c r="AJ424" i="2"/>
  <c r="AJ213" i="2"/>
  <c r="AJ257" i="2"/>
  <c r="AJ357" i="2"/>
  <c r="AJ407" i="2"/>
  <c r="AJ39" i="2"/>
  <c r="AJ403" i="2"/>
  <c r="AJ112" i="2"/>
  <c r="AJ268" i="2"/>
  <c r="AJ307" i="2"/>
  <c r="AJ365" i="2"/>
  <c r="AJ421" i="2"/>
  <c r="AJ87" i="2"/>
  <c r="AJ238" i="2"/>
  <c r="AJ339" i="2"/>
  <c r="AJ383" i="2"/>
  <c r="AJ411" i="2"/>
  <c r="AJ200" i="2"/>
  <c r="AJ18" i="2"/>
  <c r="AJ42" i="2"/>
  <c r="AJ121" i="2"/>
  <c r="AJ240" i="2"/>
  <c r="AJ284" i="2"/>
  <c r="AJ312" i="2"/>
  <c r="AJ368" i="2"/>
  <c r="AJ413" i="2"/>
  <c r="AJ423" i="2"/>
  <c r="AJ351" i="2"/>
  <c r="AJ6" i="2"/>
  <c r="AJ75" i="2"/>
  <c r="AJ154" i="2"/>
  <c r="AJ236" i="2"/>
  <c r="AJ319" i="2"/>
  <c r="AJ358" i="2"/>
  <c r="AJ386" i="2"/>
  <c r="AJ473" i="2"/>
  <c r="AJ626" i="2"/>
  <c r="AJ7" i="2"/>
  <c r="AJ76" i="2"/>
  <c r="AJ99" i="2"/>
  <c r="AJ176" i="2"/>
  <c r="AJ253" i="2"/>
  <c r="AJ334" i="2"/>
  <c r="AJ91" i="2"/>
  <c r="AJ185" i="2"/>
  <c r="AJ389" i="2"/>
  <c r="AJ320" i="2"/>
  <c r="AJ387" i="2"/>
  <c r="AJ528" i="2"/>
  <c r="AJ62" i="2"/>
  <c r="AJ88" i="2"/>
  <c r="AJ151" i="2"/>
  <c r="AJ222" i="2"/>
  <c r="AJ301" i="2"/>
  <c r="AJ344" i="2"/>
  <c r="AJ374" i="2"/>
  <c r="AJ419" i="2"/>
  <c r="AJ61" i="2"/>
  <c r="AJ84" i="2"/>
  <c r="AJ391" i="2"/>
  <c r="AJ47" i="2"/>
  <c r="AJ282" i="2"/>
  <c r="AJ372" i="2"/>
  <c r="AJ10" i="2"/>
  <c r="AJ82" i="2"/>
  <c r="AJ146" i="2"/>
  <c r="AJ281" i="2"/>
  <c r="AJ328" i="2"/>
  <c r="AJ370" i="2"/>
  <c r="AJ83" i="2"/>
  <c r="AJ148" i="2"/>
  <c r="AJ186" i="2"/>
  <c r="AJ390" i="2"/>
  <c r="AJ540" i="2"/>
  <c r="AJ529" i="2"/>
  <c r="AJ623" i="2"/>
  <c r="AJ342" i="2"/>
  <c r="AJ620" i="2"/>
  <c r="AJ63" i="2"/>
  <c r="AJ152" i="2"/>
  <c r="AJ231" i="2"/>
  <c r="AJ302" i="2"/>
  <c r="AJ345" i="2"/>
  <c r="AJ375" i="2"/>
  <c r="AJ420" i="2"/>
  <c r="AJ624" i="2"/>
  <c r="AJ305" i="2"/>
  <c r="AJ150" i="2"/>
  <c r="AJ191" i="2"/>
  <c r="AJ300" i="2"/>
  <c r="AJ373" i="2"/>
  <c r="AJ67" i="2"/>
  <c r="AJ93" i="2"/>
  <c r="AJ232" i="2"/>
  <c r="AJ349" i="2"/>
  <c r="AJ385" i="2"/>
  <c r="AJ437" i="2"/>
  <c r="AJ625" i="2"/>
  <c r="AJ460" i="2"/>
  <c r="AJ458" i="2"/>
  <c r="AJ475" i="2"/>
  <c r="AJ459" i="2"/>
  <c r="AJ304" i="2"/>
  <c r="AJ346" i="2"/>
  <c r="AJ228" i="2"/>
  <c r="AJ476" i="2"/>
  <c r="AJ229" i="2"/>
  <c r="AJ5" i="2"/>
  <c r="AI650" i="2"/>
  <c r="AH650" i="2"/>
  <c r="AG650" i="2"/>
  <c r="AN650" i="2" s="1"/>
  <c r="AJ650" i="2" s="1"/>
  <c r="AF650" i="2"/>
  <c r="AE650" i="2"/>
  <c r="AI649" i="2"/>
  <c r="AH649" i="2"/>
  <c r="AG649" i="2"/>
  <c r="AF649" i="2"/>
  <c r="AE649" i="2"/>
  <c r="AI648" i="2"/>
  <c r="AO648" i="2" s="1"/>
  <c r="AJ648" i="2" s="1"/>
  <c r="AH648" i="2"/>
  <c r="AG648" i="2"/>
  <c r="AF648" i="2"/>
  <c r="AE648" i="2"/>
  <c r="AI647" i="2"/>
  <c r="AH647" i="2"/>
  <c r="AG647" i="2"/>
  <c r="AF647" i="2"/>
  <c r="AE647" i="2"/>
  <c r="AI646" i="2"/>
  <c r="AH646" i="2"/>
  <c r="AG646" i="2"/>
  <c r="AF646" i="2"/>
  <c r="AE646" i="2"/>
  <c r="AI645" i="2"/>
  <c r="AH645" i="2"/>
  <c r="AO645" i="2" s="1"/>
  <c r="AJ645" i="2" s="1"/>
  <c r="AG645" i="2"/>
  <c r="AF645" i="2"/>
  <c r="AE645" i="2"/>
  <c r="AI644" i="2"/>
  <c r="AH644" i="2"/>
  <c r="AO644" i="2" s="1"/>
  <c r="AJ644" i="2" s="1"/>
  <c r="AG644" i="2"/>
  <c r="AF644" i="2"/>
  <c r="AE644" i="2"/>
  <c r="AI643" i="2"/>
  <c r="AH643" i="2"/>
  <c r="AG643" i="2"/>
  <c r="AF643" i="2"/>
  <c r="AE643" i="2"/>
  <c r="AI642" i="2"/>
  <c r="AH642" i="2"/>
  <c r="AG642" i="2"/>
  <c r="AF642" i="2"/>
  <c r="AE642" i="2"/>
  <c r="AI641" i="2"/>
  <c r="AH641" i="2"/>
  <c r="AG641" i="2"/>
  <c r="AF641" i="2"/>
  <c r="AE641" i="2"/>
  <c r="AI640" i="2"/>
  <c r="AH640" i="2"/>
  <c r="AN640" i="2" s="1"/>
  <c r="AJ640" i="2" s="1"/>
  <c r="AG640" i="2"/>
  <c r="AF640" i="2"/>
  <c r="AE640" i="2"/>
  <c r="AI639" i="2"/>
  <c r="AH639" i="2"/>
  <c r="AO639" i="2" s="1"/>
  <c r="AG639" i="2"/>
  <c r="AN639" i="2" s="1"/>
  <c r="AF639" i="2"/>
  <c r="AM639" i="2" s="1"/>
  <c r="AE639" i="2"/>
  <c r="AL639" i="2" s="1"/>
  <c r="AI638" i="2"/>
  <c r="AH638" i="2"/>
  <c r="AO638" i="2" s="1"/>
  <c r="AG638" i="2"/>
  <c r="AN638" i="2" s="1"/>
  <c r="AF638" i="2"/>
  <c r="AM638" i="2" s="1"/>
  <c r="AE638" i="2"/>
  <c r="AL638" i="2" s="1"/>
  <c r="AI637" i="2"/>
  <c r="AH637" i="2"/>
  <c r="AO637" i="2" s="1"/>
  <c r="AG637" i="2"/>
  <c r="AN637" i="2" s="1"/>
  <c r="AF637" i="2"/>
  <c r="AM637" i="2" s="1"/>
  <c r="AE637" i="2"/>
  <c r="AL637" i="2" s="1"/>
  <c r="AI636" i="2"/>
  <c r="AH636" i="2"/>
  <c r="AO636" i="2" s="1"/>
  <c r="AG636" i="2"/>
  <c r="AN636" i="2" s="1"/>
  <c r="AF636" i="2"/>
  <c r="AM636" i="2" s="1"/>
  <c r="AE636" i="2"/>
  <c r="AL636" i="2" s="1"/>
  <c r="AI635" i="2"/>
  <c r="AH635" i="2"/>
  <c r="AO635" i="2" s="1"/>
  <c r="AG635" i="2"/>
  <c r="AN635" i="2" s="1"/>
  <c r="AF635" i="2"/>
  <c r="AM635" i="2" s="1"/>
  <c r="AE635" i="2"/>
  <c r="AL635" i="2" s="1"/>
  <c r="AI634" i="2"/>
  <c r="AH634" i="2"/>
  <c r="AO634" i="2" s="1"/>
  <c r="AG634" i="2"/>
  <c r="AN634" i="2" s="1"/>
  <c r="AF634" i="2"/>
  <c r="AM634" i="2" s="1"/>
  <c r="AE634" i="2"/>
  <c r="AL634" i="2" s="1"/>
  <c r="AI633" i="2"/>
  <c r="AH633" i="2"/>
  <c r="AO633" i="2" s="1"/>
  <c r="AG633" i="2"/>
  <c r="AN633" i="2" s="1"/>
  <c r="AF633" i="2"/>
  <c r="AM633" i="2" s="1"/>
  <c r="AE633" i="2"/>
  <c r="AL633" i="2" s="1"/>
  <c r="AI632" i="2"/>
  <c r="AH632" i="2"/>
  <c r="AO632" i="2" s="1"/>
  <c r="AG632" i="2"/>
  <c r="AN632" i="2" s="1"/>
  <c r="AF632" i="2"/>
  <c r="AM632" i="2" s="1"/>
  <c r="AE632" i="2"/>
  <c r="AL632" i="2" s="1"/>
  <c r="AI631" i="2"/>
  <c r="AH631" i="2"/>
  <c r="AG631" i="2"/>
  <c r="AF631" i="2"/>
  <c r="AM631" i="2" s="1"/>
  <c r="AJ631" i="2" s="1"/>
  <c r="AE631" i="2"/>
  <c r="AD803" i="2"/>
  <c r="AP803" i="2" s="1"/>
  <c r="AD802" i="2"/>
  <c r="AP802" i="2" s="1"/>
  <c r="AD801" i="2"/>
  <c r="AP801" i="2" s="1"/>
  <c r="AD800" i="2"/>
  <c r="AP800" i="2" s="1"/>
  <c r="AD799" i="2"/>
  <c r="AP799" i="2" s="1"/>
  <c r="AD798" i="2"/>
  <c r="AP798" i="2" s="1"/>
  <c r="AD797" i="2"/>
  <c r="AP797" i="2" s="1"/>
  <c r="AD796" i="2"/>
  <c r="AP796" i="2" s="1"/>
  <c r="AD795" i="2"/>
  <c r="AP795" i="2" s="1"/>
  <c r="AD794" i="2"/>
  <c r="AP794" i="2" s="1"/>
  <c r="AD793" i="2"/>
  <c r="AP793" i="2" s="1"/>
  <c r="AD792" i="2"/>
  <c r="AP792" i="2" s="1"/>
  <c r="AD791" i="2"/>
  <c r="AP791" i="2" s="1"/>
  <c r="AD790" i="2"/>
  <c r="AP790" i="2" s="1"/>
  <c r="AD789" i="2"/>
  <c r="AP789" i="2" s="1"/>
  <c r="AD788" i="2"/>
  <c r="AP788" i="2" s="1"/>
  <c r="AD787" i="2"/>
  <c r="AP787" i="2" s="1"/>
  <c r="AD786" i="2"/>
  <c r="AP786" i="2" s="1"/>
  <c r="AD785" i="2"/>
  <c r="AP785" i="2" s="1"/>
  <c r="AD784" i="2"/>
  <c r="AP784" i="2" s="1"/>
  <c r="AD783" i="2"/>
  <c r="AP783" i="2" s="1"/>
  <c r="AD782" i="2"/>
  <c r="AP782" i="2" s="1"/>
  <c r="AD781" i="2"/>
  <c r="AP781" i="2" s="1"/>
  <c r="AD780" i="2"/>
  <c r="AP780" i="2" s="1"/>
  <c r="AD779" i="2"/>
  <c r="AP779" i="2" s="1"/>
  <c r="AD778" i="2"/>
  <c r="AP778" i="2" s="1"/>
  <c r="AD777" i="2"/>
  <c r="AP777" i="2" s="1"/>
  <c r="AD776" i="2"/>
  <c r="AP776" i="2" s="1"/>
  <c r="AD775" i="2"/>
  <c r="AP775" i="2" s="1"/>
  <c r="AD774" i="2"/>
  <c r="AP774" i="2" s="1"/>
  <c r="AD773" i="2"/>
  <c r="AP773" i="2" s="1"/>
  <c r="AD772" i="2"/>
  <c r="AP772" i="2" s="1"/>
  <c r="AD771" i="2"/>
  <c r="AP771" i="2" s="1"/>
  <c r="AD770" i="2"/>
  <c r="AP770" i="2" s="1"/>
  <c r="AD769" i="2"/>
  <c r="AP769" i="2" s="1"/>
  <c r="AD768" i="2"/>
  <c r="AP768" i="2" s="1"/>
  <c r="AD767" i="2"/>
  <c r="AP767" i="2" s="1"/>
  <c r="AD766" i="2"/>
  <c r="AP766" i="2" s="1"/>
  <c r="AD765" i="2"/>
  <c r="AP765" i="2" s="1"/>
  <c r="AD764" i="2"/>
  <c r="AP764" i="2" s="1"/>
  <c r="AD763" i="2"/>
  <c r="AP763" i="2" s="1"/>
  <c r="AD762" i="2"/>
  <c r="AP762" i="2" s="1"/>
  <c r="AD761" i="2"/>
  <c r="AP761" i="2" s="1"/>
  <c r="AD760" i="2"/>
  <c r="AP760" i="2" s="1"/>
  <c r="AD759" i="2"/>
  <c r="AP759" i="2" s="1"/>
  <c r="AD758" i="2"/>
  <c r="AP758" i="2" s="1"/>
  <c r="AD757" i="2"/>
  <c r="AP757" i="2" s="1"/>
  <c r="AD756" i="2"/>
  <c r="AP756" i="2" s="1"/>
  <c r="AD755" i="2"/>
  <c r="AP755" i="2" s="1"/>
  <c r="AD754" i="2"/>
  <c r="AP754" i="2" s="1"/>
  <c r="AD753" i="2"/>
  <c r="AP753" i="2" s="1"/>
  <c r="AD752" i="2"/>
  <c r="AP752" i="2" s="1"/>
  <c r="AD751" i="2"/>
  <c r="AP751" i="2" s="1"/>
  <c r="AD750" i="2"/>
  <c r="AP750" i="2" s="1"/>
  <c r="AD749" i="2"/>
  <c r="AP749" i="2" s="1"/>
  <c r="AD748" i="2"/>
  <c r="AP748" i="2" s="1"/>
  <c r="AD747" i="2"/>
  <c r="AP747" i="2" s="1"/>
  <c r="AD746" i="2"/>
  <c r="AP746" i="2" s="1"/>
  <c r="AD745" i="2"/>
  <c r="AP745" i="2" s="1"/>
  <c r="AD744" i="2"/>
  <c r="AP744" i="2" s="1"/>
  <c r="AD743" i="2"/>
  <c r="AP743" i="2" s="1"/>
  <c r="AD742" i="2"/>
  <c r="AP742" i="2" s="1"/>
  <c r="AD741" i="2"/>
  <c r="AP741" i="2" s="1"/>
  <c r="AD740" i="2"/>
  <c r="AP740" i="2" s="1"/>
  <c r="AD739" i="2"/>
  <c r="AP739" i="2" s="1"/>
  <c r="AD738" i="2"/>
  <c r="AP738" i="2" s="1"/>
  <c r="AD737" i="2"/>
  <c r="AP737" i="2" s="1"/>
  <c r="AD736" i="2"/>
  <c r="AP736" i="2" s="1"/>
  <c r="AD735" i="2"/>
  <c r="AP735" i="2" s="1"/>
  <c r="AD734" i="2"/>
  <c r="AP734" i="2" s="1"/>
  <c r="AD733" i="2"/>
  <c r="AP733" i="2" s="1"/>
  <c r="AD732" i="2"/>
  <c r="AP732" i="2" s="1"/>
  <c r="AD731" i="2"/>
  <c r="AP731" i="2" s="1"/>
  <c r="AD730" i="2"/>
  <c r="AP730" i="2" s="1"/>
  <c r="AD729" i="2"/>
  <c r="AP729" i="2" s="1"/>
  <c r="AD728" i="2"/>
  <c r="AP728" i="2" s="1"/>
  <c r="AD727" i="2"/>
  <c r="AP727" i="2" s="1"/>
  <c r="AD726" i="2"/>
  <c r="AP726" i="2" s="1"/>
  <c r="AD725" i="2"/>
  <c r="AP725" i="2" s="1"/>
  <c r="AD724" i="2"/>
  <c r="AP724" i="2" s="1"/>
  <c r="AD723" i="2"/>
  <c r="AP723" i="2" s="1"/>
  <c r="AD722" i="2"/>
  <c r="AP722" i="2" s="1"/>
  <c r="AD721" i="2"/>
  <c r="AP721" i="2" s="1"/>
  <c r="AD720" i="2"/>
  <c r="AP720" i="2" s="1"/>
  <c r="AD719" i="2"/>
  <c r="AP719" i="2" s="1"/>
  <c r="AD718" i="2"/>
  <c r="AP718" i="2" s="1"/>
  <c r="AD717" i="2"/>
  <c r="AP717" i="2" s="1"/>
  <c r="AD716" i="2"/>
  <c r="AP716" i="2" s="1"/>
  <c r="AD715" i="2"/>
  <c r="AP715" i="2" s="1"/>
  <c r="AD714" i="2"/>
  <c r="AP714" i="2" s="1"/>
  <c r="AD713" i="2"/>
  <c r="AP713" i="2" s="1"/>
  <c r="AD712" i="2"/>
  <c r="AP712" i="2" s="1"/>
  <c r="AD711" i="2"/>
  <c r="AP711" i="2" s="1"/>
  <c r="AD710" i="2"/>
  <c r="AP710" i="2" s="1"/>
  <c r="AD709" i="2"/>
  <c r="AP709" i="2" s="1"/>
  <c r="AD708" i="2"/>
  <c r="AP708" i="2" s="1"/>
  <c r="AD707" i="2"/>
  <c r="AP707" i="2" s="1"/>
  <c r="AD706" i="2"/>
  <c r="AP706" i="2" s="1"/>
  <c r="AD705" i="2"/>
  <c r="AP705" i="2" s="1"/>
  <c r="AD704" i="2"/>
  <c r="AP704" i="2" s="1"/>
  <c r="AD703" i="2"/>
  <c r="AP703" i="2" s="1"/>
  <c r="AD702" i="2"/>
  <c r="AP702" i="2" s="1"/>
  <c r="AD701" i="2"/>
  <c r="AP701" i="2" s="1"/>
  <c r="AD700" i="2"/>
  <c r="AP700" i="2" s="1"/>
  <c r="AD699" i="2"/>
  <c r="AP699" i="2" s="1"/>
  <c r="AD698" i="2"/>
  <c r="AP698" i="2" s="1"/>
  <c r="AD697" i="2"/>
  <c r="AP697" i="2" s="1"/>
  <c r="AD696" i="2"/>
  <c r="AP696" i="2" s="1"/>
  <c r="AD695" i="2"/>
  <c r="AP695" i="2" s="1"/>
  <c r="AD694" i="2"/>
  <c r="AP694" i="2" s="1"/>
  <c r="AD693" i="2"/>
  <c r="AP693" i="2" s="1"/>
  <c r="AD692" i="2"/>
  <c r="AP692" i="2" s="1"/>
  <c r="AD691" i="2"/>
  <c r="AP691" i="2" s="1"/>
  <c r="AD690" i="2"/>
  <c r="AP690" i="2" s="1"/>
  <c r="AD689" i="2"/>
  <c r="AP689" i="2" s="1"/>
  <c r="AD688" i="2"/>
  <c r="AP688" i="2" s="1"/>
  <c r="AD687" i="2"/>
  <c r="AP687" i="2" s="1"/>
  <c r="AD686" i="2"/>
  <c r="AP686" i="2" s="1"/>
  <c r="AD685" i="2"/>
  <c r="AP685" i="2" s="1"/>
  <c r="AD684" i="2"/>
  <c r="AP684" i="2" s="1"/>
  <c r="AD683" i="2"/>
  <c r="AP683" i="2" s="1"/>
  <c r="AD682" i="2"/>
  <c r="AP682" i="2" s="1"/>
  <c r="AD681" i="2"/>
  <c r="AP681" i="2" s="1"/>
  <c r="AD680" i="2"/>
  <c r="AP680" i="2" s="1"/>
  <c r="AD679" i="2"/>
  <c r="AP679" i="2" s="1"/>
  <c r="AD678" i="2"/>
  <c r="AP678" i="2" s="1"/>
  <c r="AD677" i="2"/>
  <c r="AP677" i="2" s="1"/>
  <c r="AD676" i="2"/>
  <c r="AP676" i="2" s="1"/>
  <c r="AD675" i="2"/>
  <c r="AP675" i="2" s="1"/>
  <c r="AD674" i="2"/>
  <c r="AP674" i="2" s="1"/>
  <c r="AD673" i="2"/>
  <c r="AP673" i="2" s="1"/>
  <c r="AD672" i="2"/>
  <c r="AP672" i="2" s="1"/>
  <c r="AD671" i="2"/>
  <c r="AP671" i="2" s="1"/>
  <c r="AD670" i="2"/>
  <c r="AP670" i="2" s="1"/>
  <c r="AD669" i="2"/>
  <c r="AP669" i="2" s="1"/>
  <c r="AD668" i="2"/>
  <c r="AP668" i="2" s="1"/>
  <c r="AD667" i="2"/>
  <c r="AP667" i="2" s="1"/>
  <c r="AD666" i="2"/>
  <c r="AP666" i="2" s="1"/>
  <c r="AD665" i="2"/>
  <c r="AP665" i="2" s="1"/>
  <c r="AD664" i="2"/>
  <c r="AP664" i="2" s="1"/>
  <c r="AD663" i="2"/>
  <c r="AP663" i="2" s="1"/>
  <c r="AD662" i="2"/>
  <c r="AP662" i="2" s="1"/>
  <c r="AD661" i="2"/>
  <c r="AP661" i="2" s="1"/>
  <c r="AD660" i="2"/>
  <c r="AP660" i="2" s="1"/>
  <c r="AD659" i="2"/>
  <c r="AP659" i="2" s="1"/>
  <c r="AD658" i="2"/>
  <c r="AP658" i="2" s="1"/>
  <c r="AD657" i="2"/>
  <c r="AP657" i="2" s="1"/>
  <c r="AD656" i="2"/>
  <c r="AP656" i="2" s="1"/>
  <c r="AD655" i="2"/>
  <c r="AP655" i="2" s="1"/>
  <c r="AD654" i="2"/>
  <c r="AP654" i="2" s="1"/>
  <c r="AD653" i="2"/>
  <c r="AP653" i="2" s="1"/>
  <c r="AD652" i="2"/>
  <c r="AP652" i="2" s="1"/>
  <c r="AD651" i="2"/>
  <c r="AP651" i="2" s="1"/>
  <c r="AD630" i="2"/>
  <c r="AP630" i="2" s="1"/>
  <c r="AD629" i="2"/>
  <c r="AP629" i="2" s="1"/>
  <c r="AD628" i="2"/>
  <c r="AP628" i="2" s="1"/>
  <c r="AD627" i="2"/>
  <c r="AP627" i="2" s="1"/>
  <c r="AD626" i="2"/>
  <c r="AD625" i="2"/>
  <c r="AD624" i="2"/>
  <c r="AD623" i="2"/>
  <c r="AD622" i="2"/>
  <c r="AP622" i="2" s="1"/>
  <c r="AD621" i="2"/>
  <c r="AP621" i="2" s="1"/>
  <c r="AD620" i="2"/>
  <c r="AD619" i="2"/>
  <c r="AP619" i="2" s="1"/>
  <c r="AD618" i="2"/>
  <c r="AP618" i="2" s="1"/>
  <c r="AD617" i="2"/>
  <c r="AP617" i="2" s="1"/>
  <c r="AD616" i="2"/>
  <c r="AP616" i="2" s="1"/>
  <c r="AD615" i="2"/>
  <c r="AP615" i="2" s="1"/>
  <c r="AD614" i="2"/>
  <c r="AP614" i="2" s="1"/>
  <c r="AD613" i="2"/>
  <c r="AP613" i="2" s="1"/>
  <c r="AD612" i="2"/>
  <c r="AP612" i="2" s="1"/>
  <c r="AD611" i="2"/>
  <c r="AP611" i="2" s="1"/>
  <c r="AD610" i="2"/>
  <c r="AP610" i="2" s="1"/>
  <c r="AD609" i="2"/>
  <c r="AP609" i="2" s="1"/>
  <c r="AD608" i="2"/>
  <c r="AP608" i="2" s="1"/>
  <c r="AD607" i="2"/>
  <c r="AP607" i="2" s="1"/>
  <c r="AD606" i="2"/>
  <c r="AP606" i="2" s="1"/>
  <c r="AD605" i="2"/>
  <c r="AP605" i="2" s="1"/>
  <c r="AD604" i="2"/>
  <c r="AP604" i="2" s="1"/>
  <c r="AD603" i="2"/>
  <c r="AP603" i="2" s="1"/>
  <c r="AD602" i="2"/>
  <c r="AP602" i="2" s="1"/>
  <c r="AD601" i="2"/>
  <c r="AP601" i="2" s="1"/>
  <c r="AD600" i="2"/>
  <c r="AP600" i="2" s="1"/>
  <c r="AD599" i="2"/>
  <c r="AP599" i="2" s="1"/>
  <c r="AD598" i="2"/>
  <c r="AP598" i="2" s="1"/>
  <c r="AD597" i="2"/>
  <c r="AP597" i="2" s="1"/>
  <c r="AD596" i="2"/>
  <c r="AP596" i="2" s="1"/>
  <c r="AD595" i="2"/>
  <c r="AP595" i="2" s="1"/>
  <c r="AD594" i="2"/>
  <c r="AP594" i="2" s="1"/>
  <c r="AD593" i="2"/>
  <c r="AP593" i="2" s="1"/>
  <c r="AD592" i="2"/>
  <c r="AP592" i="2" s="1"/>
  <c r="AD591" i="2"/>
  <c r="AP591" i="2" s="1"/>
  <c r="AD590" i="2"/>
  <c r="AP590" i="2" s="1"/>
  <c r="AD589" i="2"/>
  <c r="AP589" i="2" s="1"/>
  <c r="AD588" i="2"/>
  <c r="AP588" i="2" s="1"/>
  <c r="AD587" i="2"/>
  <c r="AP587" i="2" s="1"/>
  <c r="AD586" i="2"/>
  <c r="AP586" i="2" s="1"/>
  <c r="AD585" i="2"/>
  <c r="AP585" i="2" s="1"/>
  <c r="AD584" i="2"/>
  <c r="AD583" i="2"/>
  <c r="AD582" i="2"/>
  <c r="AP582" i="2" s="1"/>
  <c r="AD581" i="2"/>
  <c r="AP581" i="2" s="1"/>
  <c r="AD580" i="2"/>
  <c r="AP580" i="2" s="1"/>
  <c r="AD579" i="2"/>
  <c r="AP579" i="2" s="1"/>
  <c r="AD578" i="2"/>
  <c r="AP578" i="2" s="1"/>
  <c r="AD577" i="2"/>
  <c r="AP577" i="2" s="1"/>
  <c r="AD576" i="2"/>
  <c r="AP576" i="2" s="1"/>
  <c r="AD575" i="2"/>
  <c r="AP575" i="2" s="1"/>
  <c r="AD574" i="2"/>
  <c r="AP574" i="2" s="1"/>
  <c r="AD573" i="2"/>
  <c r="AP573" i="2" s="1"/>
  <c r="AD572" i="2"/>
  <c r="AP572" i="2" s="1"/>
  <c r="AD571" i="2"/>
  <c r="AP571" i="2" s="1"/>
  <c r="AD570" i="2"/>
  <c r="AP570" i="2" s="1"/>
  <c r="AD569" i="2"/>
  <c r="AP569" i="2" s="1"/>
  <c r="AD568" i="2"/>
  <c r="AP568" i="2" s="1"/>
  <c r="AD567" i="2"/>
  <c r="AD566" i="2"/>
  <c r="AD565" i="2"/>
  <c r="AP565" i="2" s="1"/>
  <c r="AD564" i="2"/>
  <c r="AD563" i="2"/>
  <c r="AP563" i="2" s="1"/>
  <c r="AD562" i="2"/>
  <c r="AD561" i="2"/>
  <c r="AP561" i="2" s="1"/>
  <c r="AD560" i="2"/>
  <c r="AP560" i="2" s="1"/>
  <c r="AD559" i="2"/>
  <c r="AP559" i="2" s="1"/>
  <c r="AD558" i="2"/>
  <c r="AP558" i="2" s="1"/>
  <c r="AD557" i="2"/>
  <c r="AP557" i="2" s="1"/>
  <c r="AD556" i="2"/>
  <c r="AP556" i="2" s="1"/>
  <c r="AD555" i="2"/>
  <c r="AP555" i="2" s="1"/>
  <c r="AD554" i="2"/>
  <c r="AP554" i="2" s="1"/>
  <c r="AD553" i="2"/>
  <c r="AP553" i="2" s="1"/>
  <c r="AD552" i="2"/>
  <c r="AP552" i="2" s="1"/>
  <c r="AD551" i="2"/>
  <c r="AP551" i="2" s="1"/>
  <c r="AD550" i="2"/>
  <c r="AP550" i="2" s="1"/>
  <c r="AD549" i="2"/>
  <c r="AP549" i="2" s="1"/>
  <c r="AD548" i="2"/>
  <c r="AP548" i="2" s="1"/>
  <c r="AD547" i="2"/>
  <c r="AP547" i="2" s="1"/>
  <c r="AD546" i="2"/>
  <c r="AP546" i="2" s="1"/>
  <c r="AD545" i="2"/>
  <c r="AP545" i="2" s="1"/>
  <c r="AD544" i="2"/>
  <c r="AP544" i="2" s="1"/>
  <c r="AD543" i="2"/>
  <c r="AP543" i="2" s="1"/>
  <c r="AD542" i="2"/>
  <c r="AP542" i="2" s="1"/>
  <c r="AD541" i="2"/>
  <c r="AP541" i="2" s="1"/>
  <c r="AD540" i="2"/>
  <c r="AD539" i="2"/>
  <c r="AP539" i="2" s="1"/>
  <c r="AD538" i="2"/>
  <c r="AP538" i="2" s="1"/>
  <c r="AD537" i="2"/>
  <c r="AD536" i="2"/>
  <c r="AP536" i="2" s="1"/>
  <c r="AD535" i="2"/>
  <c r="AP535" i="2" s="1"/>
  <c r="AD534" i="2"/>
  <c r="AD533" i="2"/>
  <c r="AP533" i="2" s="1"/>
  <c r="AD532" i="2"/>
  <c r="AP532" i="2" s="1"/>
  <c r="AD531" i="2"/>
  <c r="AP531" i="2" s="1"/>
  <c r="AD530" i="2"/>
  <c r="AP530" i="2" s="1"/>
  <c r="AD529" i="2"/>
  <c r="AD528" i="2"/>
  <c r="AD527" i="2"/>
  <c r="AP527" i="2" s="1"/>
  <c r="AD526" i="2"/>
  <c r="AP526" i="2" s="1"/>
  <c r="AD525" i="2"/>
  <c r="AP525" i="2" s="1"/>
  <c r="AD524" i="2"/>
  <c r="AP524" i="2" s="1"/>
  <c r="AD523" i="2"/>
  <c r="AP523" i="2" s="1"/>
  <c r="AD522" i="2"/>
  <c r="AP522" i="2" s="1"/>
  <c r="AD521" i="2"/>
  <c r="AP521" i="2" s="1"/>
  <c r="AD520" i="2"/>
  <c r="AP520" i="2" s="1"/>
  <c r="AD519" i="2"/>
  <c r="AP519" i="2" s="1"/>
  <c r="AD518" i="2"/>
  <c r="AP518" i="2" s="1"/>
  <c r="AD517" i="2"/>
  <c r="AP517" i="2" s="1"/>
  <c r="AD516" i="2"/>
  <c r="AP516" i="2" s="1"/>
  <c r="AD515" i="2"/>
  <c r="AP515" i="2" s="1"/>
  <c r="AD514" i="2"/>
  <c r="AP514" i="2" s="1"/>
  <c r="AD513" i="2"/>
  <c r="AP513" i="2" s="1"/>
  <c r="AD512" i="2"/>
  <c r="AP512" i="2" s="1"/>
  <c r="AD511" i="2"/>
  <c r="AP511" i="2" s="1"/>
  <c r="AD510" i="2"/>
  <c r="AP510" i="2" s="1"/>
  <c r="AD509" i="2"/>
  <c r="AP509" i="2" s="1"/>
  <c r="AD508" i="2"/>
  <c r="AP508" i="2" s="1"/>
  <c r="AD507" i="2"/>
  <c r="AP507" i="2" s="1"/>
  <c r="AD506" i="2"/>
  <c r="AP506" i="2" s="1"/>
  <c r="AD505" i="2"/>
  <c r="AP505" i="2" s="1"/>
  <c r="AD504" i="2"/>
  <c r="AP504" i="2" s="1"/>
  <c r="AD503" i="2"/>
  <c r="AP503" i="2" s="1"/>
  <c r="AD502" i="2"/>
  <c r="AP502" i="2" s="1"/>
  <c r="AD501" i="2"/>
  <c r="AP501" i="2" s="1"/>
  <c r="AD500" i="2"/>
  <c r="AP500" i="2" s="1"/>
  <c r="AD499" i="2"/>
  <c r="AP499" i="2" s="1"/>
  <c r="AD498" i="2"/>
  <c r="AP498" i="2" s="1"/>
  <c r="AD497" i="2"/>
  <c r="AP497" i="2" s="1"/>
  <c r="AD496" i="2"/>
  <c r="AP496" i="2" s="1"/>
  <c r="AD495" i="2"/>
  <c r="AP495" i="2" s="1"/>
  <c r="AD494" i="2"/>
  <c r="AD493" i="2"/>
  <c r="AP493" i="2" s="1"/>
  <c r="AD492" i="2"/>
  <c r="AP492" i="2" s="1"/>
  <c r="AD491" i="2"/>
  <c r="AP491" i="2" s="1"/>
  <c r="AD490" i="2"/>
  <c r="AP490" i="2" s="1"/>
  <c r="AD489" i="2"/>
  <c r="AP489" i="2" s="1"/>
  <c r="AD488" i="2"/>
  <c r="AP488" i="2" s="1"/>
  <c r="AD487" i="2"/>
  <c r="AP487" i="2" s="1"/>
  <c r="AD486" i="2"/>
  <c r="AP486" i="2" s="1"/>
  <c r="AD485" i="2"/>
  <c r="AP485" i="2" s="1"/>
  <c r="AD484" i="2"/>
  <c r="AP484" i="2" s="1"/>
  <c r="AD483" i="2"/>
  <c r="AP483" i="2" s="1"/>
  <c r="AD482" i="2"/>
  <c r="AP482" i="2" s="1"/>
  <c r="AD481" i="2"/>
  <c r="AP481" i="2" s="1"/>
  <c r="AD480" i="2"/>
  <c r="AP480" i="2" s="1"/>
  <c r="AD479" i="2"/>
  <c r="AP479" i="2" s="1"/>
  <c r="AD478" i="2"/>
  <c r="AP478" i="2" s="1"/>
  <c r="AD477" i="2"/>
  <c r="AP477" i="2" s="1"/>
  <c r="AD476" i="2"/>
  <c r="AD475" i="2"/>
  <c r="AD474" i="2"/>
  <c r="AP474" i="2" s="1"/>
  <c r="AD473" i="2"/>
  <c r="AD472" i="2"/>
  <c r="AP472" i="2" s="1"/>
  <c r="AD471" i="2"/>
  <c r="AP471" i="2" s="1"/>
  <c r="AD470" i="2"/>
  <c r="AP470" i="2" s="1"/>
  <c r="AD469" i="2"/>
  <c r="AP469" i="2" s="1"/>
  <c r="AD468" i="2"/>
  <c r="AP468" i="2" s="1"/>
  <c r="AD467" i="2"/>
  <c r="AP467" i="2" s="1"/>
  <c r="AD466" i="2"/>
  <c r="AP466" i="2" s="1"/>
  <c r="AD465" i="2"/>
  <c r="AP465" i="2" s="1"/>
  <c r="AD464" i="2"/>
  <c r="AP464" i="2" s="1"/>
  <c r="AD463" i="2"/>
  <c r="AP463" i="2" s="1"/>
  <c r="AD462" i="2"/>
  <c r="AP462" i="2" s="1"/>
  <c r="AD461" i="2"/>
  <c r="AP461" i="2" s="1"/>
  <c r="AD460" i="2"/>
  <c r="AD459" i="2"/>
  <c r="AD458" i="2"/>
  <c r="AD457" i="2"/>
  <c r="AP457" i="2" s="1"/>
  <c r="AD456" i="2"/>
  <c r="AP456" i="2" s="1"/>
  <c r="AD455" i="2"/>
  <c r="AP455" i="2" s="1"/>
  <c r="AD454" i="2"/>
  <c r="AP454" i="2" s="1"/>
  <c r="AD453" i="2"/>
  <c r="AP453" i="2" s="1"/>
  <c r="AD452" i="2"/>
  <c r="AP452" i="2" s="1"/>
  <c r="AD451" i="2"/>
  <c r="AP451" i="2" s="1"/>
  <c r="AD450" i="2"/>
  <c r="AP450" i="2" s="1"/>
  <c r="AD449" i="2"/>
  <c r="AP449" i="2" s="1"/>
  <c r="AD448" i="2"/>
  <c r="AP448" i="2" s="1"/>
  <c r="AD447" i="2"/>
  <c r="AP447" i="2" s="1"/>
  <c r="AD446" i="2"/>
  <c r="AP446" i="2" s="1"/>
  <c r="AD445" i="2"/>
  <c r="AP445" i="2" s="1"/>
  <c r="AD444" i="2"/>
  <c r="AP444" i="2" s="1"/>
  <c r="AD443" i="2"/>
  <c r="AP443" i="2" s="1"/>
  <c r="AD442" i="2"/>
  <c r="AP442" i="2" s="1"/>
  <c r="AD441" i="2"/>
  <c r="AP441" i="2" s="1"/>
  <c r="AD440" i="2"/>
  <c r="AP440" i="2" s="1"/>
  <c r="AD439" i="2"/>
  <c r="AP439" i="2" s="1"/>
  <c r="AD438" i="2"/>
  <c r="AP438" i="2" s="1"/>
  <c r="AD437" i="2"/>
  <c r="AD436" i="2"/>
  <c r="AD435" i="2"/>
  <c r="AP435" i="2" s="1"/>
  <c r="AD434" i="2"/>
  <c r="AP434" i="2" s="1"/>
  <c r="AD433" i="2"/>
  <c r="AP433" i="2" s="1"/>
  <c r="AD432" i="2"/>
  <c r="AP432" i="2" s="1"/>
  <c r="AD431" i="2"/>
  <c r="AP431" i="2" s="1"/>
  <c r="AD430" i="2"/>
  <c r="AP430" i="2" s="1"/>
  <c r="AD429" i="2"/>
  <c r="AD428" i="2"/>
  <c r="AD427" i="2"/>
  <c r="AP427" i="2" s="1"/>
  <c r="AD426" i="2"/>
  <c r="AP426" i="2" s="1"/>
  <c r="AD425" i="2"/>
  <c r="AP425" i="2" s="1"/>
  <c r="AD424" i="2"/>
  <c r="AP424" i="2" s="1"/>
  <c r="AD423" i="2"/>
  <c r="AD422" i="2"/>
  <c r="AD421" i="2"/>
  <c r="AD420" i="2"/>
  <c r="AD419" i="2"/>
  <c r="AD418" i="2"/>
  <c r="AD417" i="2"/>
  <c r="AD416" i="2"/>
  <c r="AP416" i="2" s="1"/>
  <c r="AD415" i="2"/>
  <c r="AD414" i="2"/>
  <c r="AP414" i="2" s="1"/>
  <c r="AD413" i="2"/>
  <c r="AD412" i="2"/>
  <c r="AD411" i="2"/>
  <c r="AD410" i="2"/>
  <c r="AD409" i="2"/>
  <c r="AD408" i="2"/>
  <c r="AD407" i="2"/>
  <c r="AD406" i="2"/>
  <c r="AD405" i="2"/>
  <c r="AD404" i="2"/>
  <c r="AP404" i="2" s="1"/>
  <c r="AD403" i="2"/>
  <c r="AD402" i="2"/>
  <c r="AD401" i="2"/>
  <c r="AP401" i="2" s="1"/>
  <c r="AD400" i="2"/>
  <c r="AP400" i="2" s="1"/>
  <c r="AD399" i="2"/>
  <c r="AP399" i="2" s="1"/>
  <c r="AD398" i="2"/>
  <c r="AP398" i="2" s="1"/>
  <c r="AD397" i="2"/>
  <c r="AP397" i="2" s="1"/>
  <c r="AD396" i="2"/>
  <c r="AP396" i="2" s="1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P377" i="2" s="1"/>
  <c r="AD376" i="2"/>
  <c r="AP376" i="2" s="1"/>
  <c r="AD375" i="2"/>
  <c r="AD374" i="2"/>
  <c r="AD373" i="2"/>
  <c r="AD372" i="2"/>
  <c r="AD371" i="2"/>
  <c r="AP371" i="2" s="1"/>
  <c r="AD370" i="2"/>
  <c r="AD369" i="2"/>
  <c r="AP369" i="2" s="1"/>
  <c r="AD368" i="2"/>
  <c r="AP368" i="2" s="1"/>
  <c r="AD367" i="2"/>
  <c r="AD366" i="2"/>
  <c r="AD365" i="2"/>
  <c r="AD364" i="2"/>
  <c r="AD363" i="2"/>
  <c r="AP363" i="2" s="1"/>
  <c r="AD362" i="2"/>
  <c r="AD361" i="2"/>
  <c r="AD360" i="2"/>
  <c r="AP360" i="2" s="1"/>
  <c r="AD359" i="2"/>
  <c r="AP359" i="2" s="1"/>
  <c r="AD358" i="2"/>
  <c r="AD357" i="2"/>
  <c r="AD356" i="2"/>
  <c r="AD355" i="2"/>
  <c r="AP355" i="2" s="1"/>
  <c r="AD354" i="2"/>
  <c r="AP354" i="2" s="1"/>
  <c r="AD353" i="2"/>
  <c r="AP353" i="2" s="1"/>
  <c r="AD352" i="2"/>
  <c r="AP352" i="2" s="1"/>
  <c r="AD351" i="2"/>
  <c r="AD350" i="2"/>
  <c r="AP350" i="2" s="1"/>
  <c r="AD349" i="2"/>
  <c r="AD348" i="2"/>
  <c r="AP348" i="2" s="1"/>
  <c r="AD347" i="2"/>
  <c r="AP347" i="2" s="1"/>
  <c r="AD346" i="2"/>
  <c r="AD345" i="2"/>
  <c r="AD344" i="2"/>
  <c r="AD343" i="2"/>
  <c r="AP343" i="2" s="1"/>
  <c r="AD342" i="2"/>
  <c r="AD341" i="2"/>
  <c r="AP341" i="2" s="1"/>
  <c r="AD340" i="2"/>
  <c r="AD339" i="2"/>
  <c r="AD338" i="2"/>
  <c r="AD337" i="2"/>
  <c r="AP337" i="2" s="1"/>
  <c r="AD336" i="2"/>
  <c r="AP336" i="2" s="1"/>
  <c r="AD335" i="2"/>
  <c r="AP335" i="2" s="1"/>
  <c r="AD334" i="2"/>
  <c r="AD333" i="2"/>
  <c r="AD332" i="2"/>
  <c r="AP332" i="2" s="1"/>
  <c r="AD331" i="2"/>
  <c r="AP331" i="2" s="1"/>
  <c r="AD330" i="2"/>
  <c r="AD329" i="2"/>
  <c r="AP329" i="2" s="1"/>
  <c r="AD328" i="2"/>
  <c r="AD327" i="2"/>
  <c r="AP327" i="2" s="1"/>
  <c r="AD326" i="2"/>
  <c r="AD325" i="2"/>
  <c r="AP325" i="2" s="1"/>
  <c r="AD324" i="2"/>
  <c r="AP324" i="2" s="1"/>
  <c r="AD323" i="2"/>
  <c r="AP323" i="2" s="1"/>
  <c r="AD322" i="2"/>
  <c r="AP322" i="2" s="1"/>
  <c r="AD321" i="2"/>
  <c r="AD320" i="2"/>
  <c r="AD319" i="2"/>
  <c r="AD318" i="2"/>
  <c r="AP318" i="2" s="1"/>
  <c r="AD317" i="2"/>
  <c r="AP317" i="2" s="1"/>
  <c r="AD316" i="2"/>
  <c r="AP316" i="2" s="1"/>
  <c r="AD315" i="2"/>
  <c r="AP315" i="2" s="1"/>
  <c r="AD314" i="2"/>
  <c r="AP314" i="2" s="1"/>
  <c r="AD313" i="2"/>
  <c r="AP313" i="2" s="1"/>
  <c r="AD312" i="2"/>
  <c r="AD311" i="2"/>
  <c r="AP311" i="2" s="1"/>
  <c r="AD310" i="2"/>
  <c r="AP310" i="2" s="1"/>
  <c r="AD309" i="2"/>
  <c r="AD308" i="2"/>
  <c r="AP308" i="2" s="1"/>
  <c r="AD307" i="2"/>
  <c r="AD306" i="2"/>
  <c r="AD305" i="2"/>
  <c r="AD304" i="2"/>
  <c r="AD303" i="2"/>
  <c r="AP303" i="2" s="1"/>
  <c r="AD302" i="2"/>
  <c r="AP302" i="2" s="1"/>
  <c r="AD301" i="2"/>
  <c r="AD300" i="2"/>
  <c r="AD299" i="2"/>
  <c r="AD298" i="2"/>
  <c r="AP298" i="2" s="1"/>
  <c r="AD297" i="2"/>
  <c r="AD296" i="2"/>
  <c r="AP296" i="2" s="1"/>
  <c r="AD295" i="2"/>
  <c r="AP295" i="2" s="1"/>
  <c r="AD294" i="2"/>
  <c r="AP294" i="2" s="1"/>
  <c r="AD293" i="2"/>
  <c r="AP293" i="2" s="1"/>
  <c r="AD292" i="2"/>
  <c r="AD291" i="2"/>
  <c r="AD290" i="2"/>
  <c r="AP290" i="2" s="1"/>
  <c r="AD289" i="2"/>
  <c r="AP289" i="2" s="1"/>
  <c r="AD288" i="2"/>
  <c r="AP288" i="2" s="1"/>
  <c r="AD287" i="2"/>
  <c r="AP287" i="2" s="1"/>
  <c r="AD286" i="2"/>
  <c r="AP286" i="2" s="1"/>
  <c r="AD285" i="2"/>
  <c r="AP285" i="2" s="1"/>
  <c r="AD284" i="2"/>
  <c r="AD283" i="2"/>
  <c r="AP283" i="2" s="1"/>
  <c r="AD282" i="2"/>
  <c r="AD281" i="2"/>
  <c r="AD280" i="2"/>
  <c r="AP280" i="2" s="1"/>
  <c r="AD279" i="2"/>
  <c r="AP279" i="2" s="1"/>
  <c r="AD278" i="2"/>
  <c r="AD277" i="2"/>
  <c r="AP277" i="2" s="1"/>
  <c r="AD276" i="2"/>
  <c r="AP276" i="2" s="1"/>
  <c r="AD275" i="2"/>
  <c r="AP275" i="2" s="1"/>
  <c r="AD274" i="2"/>
  <c r="AP274" i="2" s="1"/>
  <c r="AD273" i="2"/>
  <c r="AP273" i="2" s="1"/>
  <c r="AD272" i="2"/>
  <c r="AP272" i="2" s="1"/>
  <c r="AD271" i="2"/>
  <c r="AP271" i="2" s="1"/>
  <c r="AD270" i="2"/>
  <c r="AP270" i="2" s="1"/>
  <c r="AD269" i="2"/>
  <c r="AP269" i="2" s="1"/>
  <c r="AD268" i="2"/>
  <c r="AD267" i="2"/>
  <c r="AM267" i="2" s="1"/>
  <c r="AD266" i="2"/>
  <c r="AD265" i="2"/>
  <c r="AP265" i="2" s="1"/>
  <c r="AD264" i="2"/>
  <c r="AD263" i="2"/>
  <c r="AD262" i="2"/>
  <c r="AD261" i="2"/>
  <c r="AD260" i="2"/>
  <c r="AP260" i="2" s="1"/>
  <c r="AD259" i="2"/>
  <c r="AP259" i="2" s="1"/>
  <c r="AD258" i="2"/>
  <c r="AP258" i="2" s="1"/>
  <c r="AD257" i="2"/>
  <c r="AD256" i="2"/>
  <c r="AD255" i="2"/>
  <c r="AP255" i="2" s="1"/>
  <c r="AD254" i="2"/>
  <c r="AP254" i="2" s="1"/>
  <c r="AD253" i="2"/>
  <c r="AD252" i="2"/>
  <c r="AP252" i="2" s="1"/>
  <c r="AD251" i="2"/>
  <c r="AP251" i="2" s="1"/>
  <c r="AD250" i="2"/>
  <c r="AP250" i="2" s="1"/>
  <c r="AD249" i="2"/>
  <c r="AP249" i="2" s="1"/>
  <c r="AD248" i="2"/>
  <c r="AP248" i="2" s="1"/>
  <c r="AD247" i="2"/>
  <c r="AP247" i="2" s="1"/>
  <c r="AD246" i="2"/>
  <c r="AP246" i="2" s="1"/>
  <c r="AD245" i="2"/>
  <c r="AP245" i="2" s="1"/>
  <c r="AD244" i="2"/>
  <c r="AD243" i="2"/>
  <c r="AP243" i="2" s="1"/>
  <c r="AD242" i="2"/>
  <c r="AP242" i="2" s="1"/>
  <c r="AD241" i="2"/>
  <c r="AP241" i="2" s="1"/>
  <c r="AD240" i="2"/>
  <c r="AD239" i="2"/>
  <c r="AD238" i="2"/>
  <c r="AD237" i="2"/>
  <c r="AP237" i="2" s="1"/>
  <c r="AD236" i="2"/>
  <c r="AD235" i="2"/>
  <c r="AP235" i="2" s="1"/>
  <c r="AD234" i="2"/>
  <c r="AP234" i="2" s="1"/>
  <c r="AD233" i="2"/>
  <c r="AP233" i="2" s="1"/>
  <c r="AD232" i="2"/>
  <c r="AD231" i="2"/>
  <c r="AD230" i="2"/>
  <c r="AP230" i="2" s="1"/>
  <c r="AD229" i="2"/>
  <c r="AD228" i="2"/>
  <c r="AD227" i="2"/>
  <c r="AP227" i="2" s="1"/>
  <c r="AD226" i="2"/>
  <c r="AP226" i="2" s="1"/>
  <c r="AD225" i="2"/>
  <c r="AD224" i="2"/>
  <c r="AP224" i="2" s="1"/>
  <c r="AD223" i="2"/>
  <c r="AP223" i="2" s="1"/>
  <c r="AD222" i="2"/>
  <c r="AD221" i="2"/>
  <c r="AD220" i="2"/>
  <c r="AD219" i="2"/>
  <c r="AP219" i="2" s="1"/>
  <c r="AD218" i="2"/>
  <c r="AP218" i="2" s="1"/>
  <c r="AD217" i="2"/>
  <c r="AP217" i="2" s="1"/>
  <c r="AD216" i="2"/>
  <c r="AP216" i="2" s="1"/>
  <c r="AD215" i="2"/>
  <c r="AP215" i="2" s="1"/>
  <c r="AD214" i="2"/>
  <c r="AD213" i="2"/>
  <c r="AD212" i="2"/>
  <c r="AP212" i="2" s="1"/>
  <c r="AD211" i="2"/>
  <c r="AD210" i="2"/>
  <c r="AP210" i="2" s="1"/>
  <c r="AD209" i="2"/>
  <c r="AP209" i="2" s="1"/>
  <c r="AD208" i="2"/>
  <c r="AP208" i="2" s="1"/>
  <c r="AD207" i="2"/>
  <c r="AP207" i="2" s="1"/>
  <c r="AD206" i="2"/>
  <c r="AP206" i="2" s="1"/>
  <c r="AD205" i="2"/>
  <c r="AP205" i="2" s="1"/>
  <c r="AD204" i="2"/>
  <c r="AP204" i="2" s="1"/>
  <c r="AD203" i="2"/>
  <c r="AP203" i="2" s="1"/>
  <c r="AD202" i="2"/>
  <c r="AP202" i="2" s="1"/>
  <c r="AD201" i="2"/>
  <c r="AP201" i="2" s="1"/>
  <c r="AD200" i="2"/>
  <c r="AD199" i="2"/>
  <c r="AD198" i="2"/>
  <c r="AD197" i="2"/>
  <c r="AP197" i="2" s="1"/>
  <c r="AD196" i="2"/>
  <c r="AP196" i="2" s="1"/>
  <c r="AD195" i="2"/>
  <c r="AP195" i="2" s="1"/>
  <c r="AD194" i="2"/>
  <c r="AP194" i="2" s="1"/>
  <c r="AD193" i="2"/>
  <c r="AP193" i="2" s="1"/>
  <c r="AD192" i="2"/>
  <c r="AD191" i="2"/>
  <c r="AD190" i="2"/>
  <c r="AP190" i="2" s="1"/>
  <c r="AD189" i="2"/>
  <c r="AN189" i="2" s="1"/>
  <c r="AJ189" i="2" s="1"/>
  <c r="AD188" i="2"/>
  <c r="AD187" i="2"/>
  <c r="AN187" i="2" s="1"/>
  <c r="AJ187" i="2" s="1"/>
  <c r="AD186" i="2"/>
  <c r="AD185" i="2"/>
  <c r="AD184" i="2"/>
  <c r="AP184" i="2" s="1"/>
  <c r="AD183" i="2"/>
  <c r="AD182" i="2"/>
  <c r="AP182" i="2" s="1"/>
  <c r="AD181" i="2"/>
  <c r="AP181" i="2" s="1"/>
  <c r="AD180" i="2"/>
  <c r="AP180" i="2" s="1"/>
  <c r="AD179" i="2"/>
  <c r="AP179" i="2" s="1"/>
  <c r="AD178" i="2"/>
  <c r="AP178" i="2" s="1"/>
  <c r="AD177" i="2"/>
  <c r="AP177" i="2" s="1"/>
  <c r="AD176" i="2"/>
  <c r="AD175" i="2"/>
  <c r="AP175" i="2" s="1"/>
  <c r="AD174" i="2"/>
  <c r="AP174" i="2" s="1"/>
  <c r="AD173" i="2"/>
  <c r="AP173" i="2" s="1"/>
  <c r="AD172" i="2"/>
  <c r="AP172" i="2" s="1"/>
  <c r="AD171" i="2"/>
  <c r="AP171" i="2" s="1"/>
  <c r="AD170" i="2"/>
  <c r="AP170" i="2" s="1"/>
  <c r="AD169" i="2"/>
  <c r="AP169" i="2" s="1"/>
  <c r="AD168" i="2"/>
  <c r="AP168" i="2" s="1"/>
  <c r="AD167" i="2"/>
  <c r="AP167" i="2" s="1"/>
  <c r="AD166" i="2"/>
  <c r="AP166" i="2" s="1"/>
  <c r="AD165" i="2"/>
  <c r="AP165" i="2" s="1"/>
  <c r="AD164" i="2"/>
  <c r="AP164" i="2" s="1"/>
  <c r="AD163" i="2"/>
  <c r="AP163" i="2" s="1"/>
  <c r="AD162" i="2"/>
  <c r="AP162" i="2" s="1"/>
  <c r="AD161" i="2"/>
  <c r="AP161" i="2" s="1"/>
  <c r="AD160" i="2"/>
  <c r="AP160" i="2" s="1"/>
  <c r="AD159" i="2"/>
  <c r="AP159" i="2" s="1"/>
  <c r="AD158" i="2"/>
  <c r="AD157" i="2"/>
  <c r="AP157" i="2" s="1"/>
  <c r="AD156" i="2"/>
  <c r="AP156" i="2" s="1"/>
  <c r="AD155" i="2"/>
  <c r="AP155" i="2" s="1"/>
  <c r="AD154" i="2"/>
  <c r="AD153" i="2"/>
  <c r="AD152" i="2"/>
  <c r="AD151" i="2"/>
  <c r="AD150" i="2"/>
  <c r="AD149" i="2"/>
  <c r="AD148" i="2"/>
  <c r="AD147" i="2"/>
  <c r="AP147" i="2" s="1"/>
  <c r="AD146" i="2"/>
  <c r="AD145" i="2"/>
  <c r="AD144" i="2"/>
  <c r="AD143" i="2"/>
  <c r="AD142" i="2"/>
  <c r="AD141" i="2"/>
  <c r="AP141" i="2" s="1"/>
  <c r="AD140" i="2"/>
  <c r="AP140" i="2" s="1"/>
  <c r="AD139" i="2"/>
  <c r="AP139" i="2" s="1"/>
  <c r="AD138" i="2"/>
  <c r="AP138" i="2" s="1"/>
  <c r="AD137" i="2"/>
  <c r="AP137" i="2" s="1"/>
  <c r="AD136" i="2"/>
  <c r="AP136" i="2" s="1"/>
  <c r="AD135" i="2"/>
  <c r="AP135" i="2" s="1"/>
  <c r="AD134" i="2"/>
  <c r="AD133" i="2"/>
  <c r="AP133" i="2" s="1"/>
  <c r="AD132" i="2"/>
  <c r="AP132" i="2" s="1"/>
  <c r="AD131" i="2"/>
  <c r="AP131" i="2" s="1"/>
  <c r="AD130" i="2"/>
  <c r="AP130" i="2" s="1"/>
  <c r="AD129" i="2"/>
  <c r="AP129" i="2" s="1"/>
  <c r="AD128" i="2"/>
  <c r="AP128" i="2" s="1"/>
  <c r="AD127" i="2"/>
  <c r="AP127" i="2" s="1"/>
  <c r="AD126" i="2"/>
  <c r="AP126" i="2" s="1"/>
  <c r="AD125" i="2"/>
  <c r="AP125" i="2" s="1"/>
  <c r="AD124" i="2"/>
  <c r="AP124" i="2" s="1"/>
  <c r="AD123" i="2"/>
  <c r="AP123" i="2" s="1"/>
  <c r="AD122" i="2"/>
  <c r="AP122" i="2" s="1"/>
  <c r="AD121" i="2"/>
  <c r="AD120" i="2"/>
  <c r="AP120" i="2" s="1"/>
  <c r="AD119" i="2"/>
  <c r="AP119" i="2" s="1"/>
  <c r="AD118" i="2"/>
  <c r="AP118" i="2" s="1"/>
  <c r="AD117" i="2"/>
  <c r="AP117" i="2" s="1"/>
  <c r="AD116" i="2"/>
  <c r="AP116" i="2" s="1"/>
  <c r="AD115" i="2"/>
  <c r="AD114" i="2"/>
  <c r="AD113" i="2"/>
  <c r="AP113" i="2" s="1"/>
  <c r="AD112" i="2"/>
  <c r="AD111" i="2"/>
  <c r="AP111" i="2" s="1"/>
  <c r="AD110" i="2"/>
  <c r="AP110" i="2" s="1"/>
  <c r="AD109" i="2"/>
  <c r="AD108" i="2"/>
  <c r="AD107" i="2"/>
  <c r="AD106" i="2"/>
  <c r="AD105" i="2"/>
  <c r="AD104" i="2"/>
  <c r="AP104" i="2" s="1"/>
  <c r="AD103" i="2"/>
  <c r="AN103" i="2" s="1"/>
  <c r="AJ103" i="2" s="1"/>
  <c r="AD102" i="2"/>
  <c r="AD101" i="2"/>
  <c r="AD100" i="2"/>
  <c r="AP100" i="2" s="1"/>
  <c r="AD99" i="2"/>
  <c r="AD98" i="2"/>
  <c r="AD97" i="2"/>
  <c r="AN97" i="2" s="1"/>
  <c r="AJ97" i="2" s="1"/>
  <c r="AD96" i="2"/>
  <c r="AP96" i="2" s="1"/>
  <c r="AD95" i="2"/>
  <c r="AP95" i="2" s="1"/>
  <c r="AD94" i="2"/>
  <c r="AP94" i="2" s="1"/>
  <c r="AD93" i="2"/>
  <c r="AD92" i="2"/>
  <c r="AD91" i="2"/>
  <c r="AD90" i="2"/>
  <c r="AP90" i="2" s="1"/>
  <c r="AD89" i="2"/>
  <c r="AP89" i="2" s="1"/>
  <c r="AD88" i="2"/>
  <c r="AP88" i="2" s="1"/>
  <c r="AD87" i="2"/>
  <c r="AD86" i="2"/>
  <c r="AD85" i="2"/>
  <c r="AP85" i="2" s="1"/>
  <c r="AD84" i="2"/>
  <c r="AD83" i="2"/>
  <c r="AD82" i="2"/>
  <c r="AD81" i="2"/>
  <c r="AP81" i="2" s="1"/>
  <c r="AD80" i="2"/>
  <c r="AP80" i="2" s="1"/>
  <c r="AD79" i="2"/>
  <c r="AP79" i="2" s="1"/>
  <c r="AD78" i="2"/>
  <c r="AP78" i="2" s="1"/>
  <c r="AD77" i="2"/>
  <c r="AP77" i="2" s="1"/>
  <c r="AD76" i="2"/>
  <c r="AD75" i="2"/>
  <c r="AD74" i="2"/>
  <c r="AP74" i="2" s="1"/>
  <c r="AD73" i="2"/>
  <c r="AP73" i="2" s="1"/>
  <c r="AD72" i="2"/>
  <c r="AP72" i="2" s="1"/>
  <c r="AD71" i="2"/>
  <c r="AP71" i="2" s="1"/>
  <c r="AD70" i="2"/>
  <c r="AP70" i="2" s="1"/>
  <c r="AD69" i="2"/>
  <c r="AP69" i="2" s="1"/>
  <c r="AD68" i="2"/>
  <c r="AP68" i="2" s="1"/>
  <c r="AD67" i="2"/>
  <c r="AD66" i="2"/>
  <c r="AP66" i="2" s="1"/>
  <c r="AD65" i="2"/>
  <c r="AD64" i="2"/>
  <c r="AP64" i="2" s="1"/>
  <c r="AD63" i="2"/>
  <c r="AD62" i="2"/>
  <c r="AD61" i="2"/>
  <c r="AD60" i="2"/>
  <c r="AP60" i="2" s="1"/>
  <c r="AD59" i="2"/>
  <c r="AP59" i="2" s="1"/>
  <c r="AD58" i="2"/>
  <c r="AP58" i="2" s="1"/>
  <c r="AD57" i="2"/>
  <c r="AP57" i="2" s="1"/>
  <c r="AD56" i="2"/>
  <c r="AP56" i="2" s="1"/>
  <c r="AD55" i="2"/>
  <c r="AP55" i="2" s="1"/>
  <c r="AD54" i="2"/>
  <c r="AD53" i="2"/>
  <c r="AD52" i="2"/>
  <c r="AP52" i="2" s="1"/>
  <c r="AD51" i="2"/>
  <c r="AD50" i="2"/>
  <c r="AD49" i="2"/>
  <c r="AD48" i="2"/>
  <c r="AN48" i="2" s="1"/>
  <c r="AJ48" i="2" s="1"/>
  <c r="AD47" i="2"/>
  <c r="AD46" i="2"/>
  <c r="AP46" i="2" s="1"/>
  <c r="AD45" i="2"/>
  <c r="AP45" i="2" s="1"/>
  <c r="AD44" i="2"/>
  <c r="AP44" i="2" s="1"/>
  <c r="AD43" i="2"/>
  <c r="AP43" i="2" s="1"/>
  <c r="AD42" i="2"/>
  <c r="AD41" i="2"/>
  <c r="AD40" i="2"/>
  <c r="AP40" i="2" s="1"/>
  <c r="AD39" i="2"/>
  <c r="AD38" i="2"/>
  <c r="AP38" i="2" s="1"/>
  <c r="AD37" i="2"/>
  <c r="AD36" i="2"/>
  <c r="AD35" i="2"/>
  <c r="AD34" i="2"/>
  <c r="AD33" i="2"/>
  <c r="AD32" i="2"/>
  <c r="AD30" i="2"/>
  <c r="AP30" i="2" s="1"/>
  <c r="AD29" i="2"/>
  <c r="AP29" i="2" s="1"/>
  <c r="AD28" i="2"/>
  <c r="AP28" i="2" s="1"/>
  <c r="AD27" i="2"/>
  <c r="AP27" i="2" s="1"/>
  <c r="AD26" i="2"/>
  <c r="AP26" i="2" s="1"/>
  <c r="AD25" i="2"/>
  <c r="AP25" i="2" s="1"/>
  <c r="AD24" i="2"/>
  <c r="AP24" i="2" s="1"/>
  <c r="AD23" i="2"/>
  <c r="AD22" i="2"/>
  <c r="AP22" i="2" s="1"/>
  <c r="AD21" i="2"/>
  <c r="AP21" i="2" s="1"/>
  <c r="AD20" i="2"/>
  <c r="AP20" i="2" s="1"/>
  <c r="AD19" i="2"/>
  <c r="AP19" i="2" s="1"/>
  <c r="AD18" i="2"/>
  <c r="AD17" i="2"/>
  <c r="AP17" i="2" s="1"/>
  <c r="AD16" i="2"/>
  <c r="AP16" i="2" s="1"/>
  <c r="AD15" i="2"/>
  <c r="AD14" i="2"/>
  <c r="AD13" i="2"/>
  <c r="AP13" i="2" s="1"/>
  <c r="AD12" i="2"/>
  <c r="AP12" i="2" s="1"/>
  <c r="AD11" i="2"/>
  <c r="AP11" i="2" s="1"/>
  <c r="AD10" i="2"/>
  <c r="AD9" i="2"/>
  <c r="AP9" i="2" s="1"/>
  <c r="AD8" i="2"/>
  <c r="AP8" i="2" s="1"/>
  <c r="AD7" i="2"/>
  <c r="AD6" i="2"/>
  <c r="AD5" i="2"/>
  <c r="AD4" i="2"/>
  <c r="AP4" i="2" s="1"/>
  <c r="AD3" i="2"/>
  <c r="AP3" i="2" s="1"/>
  <c r="AD2" i="2"/>
  <c r="AP2" i="2" s="1"/>
  <c r="AP281" i="2" l="1"/>
  <c r="AP562" i="2"/>
  <c r="AP61" i="2"/>
  <c r="AP23" i="2"/>
  <c r="AP306" i="2"/>
  <c r="AP626" i="2"/>
  <c r="AN641" i="2"/>
  <c r="AJ641" i="2" s="1"/>
  <c r="AN643" i="2"/>
  <c r="AJ643" i="2" s="1"/>
  <c r="AN642" i="2"/>
  <c r="AJ642" i="2" s="1"/>
  <c r="AP567" i="2"/>
  <c r="AP584" i="2"/>
  <c r="AP583" i="2"/>
  <c r="AP566" i="2"/>
  <c r="AP564" i="2"/>
  <c r="AP494" i="2"/>
  <c r="AP380" i="2"/>
  <c r="AP238" i="2"/>
  <c r="AP50" i="2"/>
  <c r="AP244" i="2"/>
  <c r="AP63" i="2"/>
  <c r="AP86" i="2"/>
  <c r="AP394" i="2"/>
  <c r="AP339" i="2"/>
  <c r="AP53" i="2"/>
  <c r="AP76" i="2"/>
  <c r="AP305" i="2"/>
  <c r="AP366" i="2"/>
  <c r="AP372" i="2"/>
  <c r="AP321" i="2"/>
  <c r="AP154" i="2"/>
  <c r="AP220" i="2"/>
  <c r="AP297" i="2"/>
  <c r="AP112" i="2"/>
  <c r="AP406" i="2"/>
  <c r="AP158" i="2"/>
  <c r="AP408" i="2"/>
  <c r="AP356" i="2"/>
  <c r="AP367" i="2"/>
  <c r="AP384" i="2"/>
  <c r="AP307" i="2"/>
  <c r="AP415" i="2"/>
  <c r="AP429" i="2"/>
  <c r="AP15" i="2"/>
  <c r="AP261" i="2"/>
  <c r="AP412" i="2"/>
  <c r="AP105" i="2"/>
  <c r="AP32" i="2"/>
  <c r="AP338" i="2"/>
  <c r="AP114" i="2"/>
  <c r="AP361" i="2"/>
  <c r="AP436" i="2"/>
  <c r="AP41" i="2"/>
  <c r="AP109" i="2"/>
  <c r="AP330" i="2"/>
  <c r="AP362" i="2"/>
  <c r="AP278" i="2"/>
  <c r="AP364" i="2"/>
  <c r="AN35" i="2"/>
  <c r="AJ35" i="2" s="1"/>
  <c r="AP35" i="2" s="1"/>
  <c r="AN115" i="2"/>
  <c r="AJ115" i="2" s="1"/>
  <c r="AP115" i="2" s="1"/>
  <c r="AN145" i="2"/>
  <c r="AJ145" i="2" s="1"/>
  <c r="AP145" i="2" s="1"/>
  <c r="AN198" i="2"/>
  <c r="AJ198" i="2" s="1"/>
  <c r="AP198" i="2" s="1"/>
  <c r="AN199" i="2"/>
  <c r="AJ199" i="2" s="1"/>
  <c r="AP199" i="2" s="1"/>
  <c r="AN36" i="2"/>
  <c r="AJ36" i="2" s="1"/>
  <c r="AP36" i="2" s="1"/>
  <c r="AN142" i="2"/>
  <c r="AJ142" i="2" s="1"/>
  <c r="AP142" i="2" s="1"/>
  <c r="AN188" i="2"/>
  <c r="AJ188" i="2" s="1"/>
  <c r="AP188" i="2" s="1"/>
  <c r="AN101" i="2"/>
  <c r="AJ101" i="2" s="1"/>
  <c r="AP101" i="2" s="1"/>
  <c r="AN107" i="2"/>
  <c r="AJ107" i="2" s="1"/>
  <c r="AP107" i="2" s="1"/>
  <c r="AN143" i="2"/>
  <c r="AJ143" i="2" s="1"/>
  <c r="AP143" i="2" s="1"/>
  <c r="AN33" i="2"/>
  <c r="AJ33" i="2" s="1"/>
  <c r="AP33" i="2" s="1"/>
  <c r="AN14" i="2"/>
  <c r="AJ14" i="2" s="1"/>
  <c r="AP14" i="2" s="1"/>
  <c r="AN92" i="2"/>
  <c r="AJ92" i="2" s="1"/>
  <c r="AP92" i="2" s="1"/>
  <c r="AN144" i="2"/>
  <c r="AJ144" i="2" s="1"/>
  <c r="AP144" i="2" s="1"/>
  <c r="AP97" i="2"/>
  <c r="AP106" i="2"/>
  <c r="AP378" i="2"/>
  <c r="AP422" i="2"/>
  <c r="AP402" i="2"/>
  <c r="AP187" i="2"/>
  <c r="AP225" i="2"/>
  <c r="AP309" i="2"/>
  <c r="AP37" i="2"/>
  <c r="AP214" i="2"/>
  <c r="AP410" i="2"/>
  <c r="AP418" i="2"/>
  <c r="AP382" i="2"/>
  <c r="AP239" i="2"/>
  <c r="AP340" i="2"/>
  <c r="AP236" i="2"/>
  <c r="AP82" i="2"/>
  <c r="AP257" i="2"/>
  <c r="AP99" i="2"/>
  <c r="AP405" i="2"/>
  <c r="AP213" i="2"/>
  <c r="AP387" i="2"/>
  <c r="AP189" i="2"/>
  <c r="AP284" i="2"/>
  <c r="AP304" i="2"/>
  <c r="AP388" i="2"/>
  <c r="AP48" i="2"/>
  <c r="AP148" i="2"/>
  <c r="AP299" i="2"/>
  <c r="AP333" i="2"/>
  <c r="AP344" i="2"/>
  <c r="AP349" i="2"/>
  <c r="AP411" i="2"/>
  <c r="AP268" i="2"/>
  <c r="AP320" i="2"/>
  <c r="AP383" i="2"/>
  <c r="AP428" i="2"/>
  <c r="AP409" i="2"/>
  <c r="AP108" i="2"/>
  <c r="AP292" i="2"/>
  <c r="AP149" i="2"/>
  <c r="AP231" i="2"/>
  <c r="AP528" i="2"/>
  <c r="AP357" i="2"/>
  <c r="AP134" i="2"/>
  <c r="AP176" i="2"/>
  <c r="AP191" i="2"/>
  <c r="AP200" i="2"/>
  <c r="AP381" i="2"/>
  <c r="AP395" i="2"/>
  <c r="AP65" i="2"/>
  <c r="AP319" i="2"/>
  <c r="AP365" i="2"/>
  <c r="AP419" i="2"/>
  <c r="AP34" i="2"/>
  <c r="AP49" i="2"/>
  <c r="AP390" i="2"/>
  <c r="AP51" i="2"/>
  <c r="AP91" i="2"/>
  <c r="AP326" i="2"/>
  <c r="AP39" i="2"/>
  <c r="AP103" i="2"/>
  <c r="AP473" i="2"/>
  <c r="AP98" i="2"/>
  <c r="AP185" i="2"/>
  <c r="AP392" i="2"/>
  <c r="AP6" i="2"/>
  <c r="AP379" i="2"/>
  <c r="AP403" i="2"/>
  <c r="AP351" i="2"/>
  <c r="AP87" i="2"/>
  <c r="AP221" i="2"/>
  <c r="AP370" i="2"/>
  <c r="AP417" i="2"/>
  <c r="AP47" i="2"/>
  <c r="AP183" i="2"/>
  <c r="AP222" i="2"/>
  <c r="AP291" i="2"/>
  <c r="AP389" i="2"/>
  <c r="AP459" i="2"/>
  <c r="AJ638" i="2"/>
  <c r="AP75" i="2"/>
  <c r="AP262" i="2"/>
  <c r="AP153" i="2"/>
  <c r="AP301" i="2"/>
  <c r="AP620" i="2"/>
  <c r="AP282" i="2"/>
  <c r="AP83" i="2"/>
  <c r="AP393" i="2"/>
  <c r="AP7" i="2"/>
  <c r="AP211" i="2"/>
  <c r="AP421" i="2"/>
  <c r="AP62" i="2"/>
  <c r="AP253" i="2"/>
  <c r="AJ639" i="2"/>
  <c r="AP146" i="2"/>
  <c r="AP358" i="2"/>
  <c r="AP625" i="2"/>
  <c r="AP407" i="2"/>
  <c r="AP540" i="2"/>
  <c r="AP240" i="2"/>
  <c r="AP121" i="2"/>
  <c r="AP413" i="2"/>
  <c r="AP423" i="2"/>
  <c r="AP42" i="2"/>
  <c r="AP18" i="2"/>
  <c r="AP312" i="2"/>
  <c r="AP334" i="2"/>
  <c r="AP460" i="2"/>
  <c r="AP529" i="2"/>
  <c r="AP84" i="2"/>
  <c r="AP386" i="2"/>
  <c r="AP328" i="2"/>
  <c r="AP375" i="2"/>
  <c r="AP391" i="2"/>
  <c r="AP151" i="2"/>
  <c r="AP623" i="2"/>
  <c r="AP458" i="2"/>
  <c r="AP186" i="2"/>
  <c r="AP385" i="2"/>
  <c r="AP152" i="2"/>
  <c r="AP374" i="2"/>
  <c r="AP10" i="2"/>
  <c r="AP420" i="2"/>
  <c r="AJ635" i="2"/>
  <c r="AJ634" i="2"/>
  <c r="AP342" i="2"/>
  <c r="AJ636" i="2"/>
  <c r="AP475" i="2"/>
  <c r="AJ633" i="2"/>
  <c r="AP300" i="2"/>
  <c r="AP345" i="2"/>
  <c r="AP437" i="2"/>
  <c r="AJ632" i="2"/>
  <c r="AJ637" i="2"/>
  <c r="AP67" i="2"/>
  <c r="AP624" i="2"/>
  <c r="AP373" i="2"/>
  <c r="AP93" i="2"/>
  <c r="AP232" i="2"/>
  <c r="AP150" i="2"/>
  <c r="AP476" i="2"/>
  <c r="AP229" i="2"/>
  <c r="AP228" i="2"/>
  <c r="AP346" i="2"/>
  <c r="AP5" i="2"/>
  <c r="AM263" i="2"/>
  <c r="AJ263" i="2" s="1"/>
  <c r="AP263" i="2" s="1"/>
  <c r="AM264" i="2"/>
  <c r="AJ264" i="2" s="1"/>
  <c r="AP264" i="2" s="1"/>
  <c r="AJ256" i="2"/>
  <c r="AP256" i="2" s="1"/>
  <c r="AJ102" i="2"/>
  <c r="AP102" i="2" s="1"/>
  <c r="AJ534" i="2"/>
  <c r="AP534" i="2" s="1"/>
  <c r="AJ266" i="2"/>
  <c r="AP266" i="2" s="1"/>
  <c r="AJ537" i="2"/>
  <c r="AP537" i="2" s="1"/>
  <c r="AJ267" i="2"/>
  <c r="AP267" i="2" s="1"/>
  <c r="AD632" i="2"/>
  <c r="AD648" i="2"/>
  <c r="AP648" i="2" s="1"/>
  <c r="AD635" i="2"/>
  <c r="AP635" i="2" s="1"/>
  <c r="AD650" i="2"/>
  <c r="AP650" i="2" s="1"/>
  <c r="AD631" i="2"/>
  <c r="AP631" i="2" s="1"/>
  <c r="AD643" i="2"/>
  <c r="AD639" i="2"/>
  <c r="AD647" i="2"/>
  <c r="AD636" i="2"/>
  <c r="AD644" i="2"/>
  <c r="AP644" i="2" s="1"/>
  <c r="AD641" i="2"/>
  <c r="AD633" i="2"/>
  <c r="AD645" i="2"/>
  <c r="AP645" i="2" s="1"/>
  <c r="AD638" i="2"/>
  <c r="AD634" i="2"/>
  <c r="AD646" i="2"/>
  <c r="AD637" i="2"/>
  <c r="AD640" i="2"/>
  <c r="AP640" i="2" s="1"/>
  <c r="AD649" i="2"/>
  <c r="AP649" i="2" s="1"/>
  <c r="AD642" i="2"/>
  <c r="AP643" i="2" l="1"/>
  <c r="AP642" i="2"/>
  <c r="AP641" i="2"/>
  <c r="AO647" i="2"/>
  <c r="AJ647" i="2" s="1"/>
  <c r="AP647" i="2" s="1"/>
  <c r="AO646" i="2"/>
  <c r="AJ646" i="2" s="1"/>
  <c r="AP646" i="2" s="1"/>
  <c r="AP638" i="2"/>
  <c r="AP637" i="2"/>
  <c r="AP636" i="2"/>
  <c r="AP639" i="2"/>
  <c r="AP632" i="2"/>
  <c r="AP634" i="2"/>
  <c r="AP633" i="2"/>
  <c r="U618" i="2"/>
  <c r="U617" i="2"/>
  <c r="S618" i="2"/>
  <c r="S617" i="2"/>
  <c r="F518" i="2" l="1"/>
  <c r="F517" i="2"/>
  <c r="F516" i="2"/>
  <c r="F515" i="2"/>
  <c r="F514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482" i="2"/>
  <c r="U371" i="2" l="1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AO31" i="2" l="1"/>
  <c r="AJ31" i="2" s="1"/>
  <c r="AD31" i="2"/>
  <c r="AP31" i="2" l="1"/>
</calcChain>
</file>

<file path=xl/sharedStrings.xml><?xml version="1.0" encoding="utf-8"?>
<sst xmlns="http://schemas.openxmlformats.org/spreadsheetml/2006/main" count="10983" uniqueCount="1423">
  <si>
    <t>Plant</t>
  </si>
  <si>
    <t>Product</t>
  </si>
  <si>
    <t>RM PCODE</t>
  </si>
  <si>
    <t>RM QCODE</t>
  </si>
  <si>
    <t>TSM RM GRADE</t>
  </si>
  <si>
    <t>RM THICK</t>
  </si>
  <si>
    <t>RM WIDTH</t>
  </si>
  <si>
    <t>Order Type</t>
  </si>
  <si>
    <t>Customer Code</t>
  </si>
  <si>
    <t>Customer</t>
  </si>
  <si>
    <t>Destination</t>
  </si>
  <si>
    <t>Sales Office</t>
  </si>
  <si>
    <t>SO No.</t>
  </si>
  <si>
    <t>SO Item</t>
  </si>
  <si>
    <t>Material</t>
  </si>
  <si>
    <t>Material Description</t>
  </si>
  <si>
    <t>Quality Code</t>
  </si>
  <si>
    <t>Width</t>
  </si>
  <si>
    <t>Length</t>
  </si>
  <si>
    <t>Order Quantity</t>
  </si>
  <si>
    <t>Mark Customer</t>
  </si>
  <si>
    <t>CRCA</t>
  </si>
  <si>
    <t>Steelium</t>
  </si>
  <si>
    <t/>
  </si>
  <si>
    <t>TATA STEEL DOWNSTREAM PRODUCTS LIMI</t>
  </si>
  <si>
    <t>FARIDABAD</t>
  </si>
  <si>
    <t>FBAD</t>
  </si>
  <si>
    <t>CR COIL-ICF  DQ TATXXD AU03 1.20 X 1250</t>
  </si>
  <si>
    <t>C01</t>
  </si>
  <si>
    <t>TATXXD</t>
  </si>
  <si>
    <t>AU03</t>
  </si>
  <si>
    <t xml:space="preserve"> </t>
  </si>
  <si>
    <t>BANG</t>
  </si>
  <si>
    <t>CR COIL-ICF  DQ TATXXD AU03 0.80 X 1250</t>
  </si>
  <si>
    <t>G.K.ISPAT PVT.LTD</t>
  </si>
  <si>
    <t>YESHWANTHPURA</t>
  </si>
  <si>
    <t xml:space="preserve">R.S. STEELS </t>
  </si>
  <si>
    <t>LONI</t>
  </si>
  <si>
    <t>GBAD</t>
  </si>
  <si>
    <t>T01320</t>
  </si>
  <si>
    <t>C16D</t>
  </si>
  <si>
    <t>SH08</t>
  </si>
  <si>
    <t>CRCA_STLM</t>
  </si>
  <si>
    <t>TATA CENTER</t>
  </si>
  <si>
    <t>KOLKATA</t>
  </si>
  <si>
    <t>TATA</t>
  </si>
  <si>
    <t>ZBTF</t>
  </si>
  <si>
    <t>THIRUVALLUR</t>
  </si>
  <si>
    <t>CR COIL-ICF  DQ TATXXD AU03 0.60 X 1250</t>
  </si>
  <si>
    <t>SWASTIK STEEL PROCESSOR LLP</t>
  </si>
  <si>
    <t>ZOSOLA</t>
  </si>
  <si>
    <t>G R GUPTA &amp; BROS</t>
  </si>
  <si>
    <t>ZBTC</t>
  </si>
  <si>
    <t>ANM ISPAT PRIVATE LIMITED</t>
  </si>
  <si>
    <t>BOMB</t>
  </si>
  <si>
    <t>CRCA COIL-TATXXD-AU03-2X1000</t>
  </si>
  <si>
    <t>GL</t>
  </si>
  <si>
    <t>Solar</t>
  </si>
  <si>
    <t>MADS</t>
  </si>
  <si>
    <t>GL COIL HARD  Y550GL HGL6 0.900X1220</t>
  </si>
  <si>
    <t>B04</t>
  </si>
  <si>
    <t>Y550GL</t>
  </si>
  <si>
    <t>HGL6</t>
  </si>
  <si>
    <t>GP</t>
  </si>
  <si>
    <t>ZBTO</t>
  </si>
  <si>
    <t>WRINKLE DISTRIBUTORS PVT LTD.</t>
  </si>
  <si>
    <t>AMED</t>
  </si>
  <si>
    <t>GP COIL TATGPH GP02 0.500X1350</t>
  </si>
  <si>
    <t>C05</t>
  </si>
  <si>
    <t>TATGPH</t>
  </si>
  <si>
    <t>GP02</t>
  </si>
  <si>
    <t>Steelium Super</t>
  </si>
  <si>
    <t>SITARAM IRON AND STEEL PVT LTD</t>
  </si>
  <si>
    <t>VISHAKHAPATNAM</t>
  </si>
  <si>
    <t>SBAD</t>
  </si>
  <si>
    <t>C06</t>
  </si>
  <si>
    <t>TSBCRC</t>
  </si>
  <si>
    <t>SR15</t>
  </si>
  <si>
    <t>SAGAR STEELS</t>
  </si>
  <si>
    <t>GUWAHATI</t>
  </si>
  <si>
    <t>GWAH</t>
  </si>
  <si>
    <t>PENNAR INDUSTRIES LIMITED</t>
  </si>
  <si>
    <t>VIKARABAD</t>
  </si>
  <si>
    <t>GL COIL HARD  Y550GL HGL6 0.900X1045</t>
  </si>
  <si>
    <t>G K ISPAT PRIVATE LIMITED</t>
  </si>
  <si>
    <t>PATTANCHERY</t>
  </si>
  <si>
    <t>PPGL</t>
  </si>
  <si>
    <t>TATA BLUESCOPE STEEL PRIVATE LIMITE</t>
  </si>
  <si>
    <t>B18</t>
  </si>
  <si>
    <t>Y550PL</t>
  </si>
  <si>
    <t>TATA BLUESCOPE STEEL PVT LTD</t>
  </si>
  <si>
    <t>BHARTIA  DISTRIBUTORS PVT. LTD.</t>
  </si>
  <si>
    <t>TANGI</t>
  </si>
  <si>
    <t>BHUB</t>
  </si>
  <si>
    <t>CRCA SHEET TSBCRC SR15 0.900X1000X2500</t>
  </si>
  <si>
    <t>AGARWAL STEEL TRADERS</t>
  </si>
  <si>
    <t>KANPUR</t>
  </si>
  <si>
    <t>KANP</t>
  </si>
  <si>
    <t>CRCA SHEET TSBCRC SR15 0.700X1250X1930</t>
  </si>
  <si>
    <t>Pilkhuwa Depot</t>
  </si>
  <si>
    <t>PILKHUWA</t>
  </si>
  <si>
    <t>BT02</t>
  </si>
  <si>
    <t>GL C YS550 H6GL 0.60BMT(0.65TCT)X1250</t>
  </si>
  <si>
    <t>H6GL</t>
  </si>
  <si>
    <t>Export</t>
  </si>
  <si>
    <t>GL COIL HARD  Y550GL HGL6 0.900X1242</t>
  </si>
  <si>
    <t>CRCA SHEET TSBCRC SR15 0.600X1250X2500</t>
  </si>
  <si>
    <t>TATA BLUESCOPE STEEL PVT LTD.</t>
  </si>
  <si>
    <t>GAMHARIA</t>
  </si>
  <si>
    <t>PPGL C Y550 ISC6 0.40BMT(0.45TPT)X1220</t>
  </si>
  <si>
    <t>ISC6</t>
  </si>
  <si>
    <t>PPGL C Y550 ISC6 0.43BMT(0.48TPT)X1220</t>
  </si>
  <si>
    <t>GL C YS550 H6GL 0.45BMT(0.50TCT)X1220</t>
  </si>
  <si>
    <t>GOVINDARAJA MUDALIAR SONS PVT LTD</t>
  </si>
  <si>
    <t>GUMMIDIPOONDI</t>
  </si>
  <si>
    <t>CRCA SHEET TATXXD AU03 0.750X1250X2500</t>
  </si>
  <si>
    <t>CRCA COIL TSBSTA EL06 0.500X1170</t>
  </si>
  <si>
    <t>TSBSTA</t>
  </si>
  <si>
    <t>EL06</t>
  </si>
  <si>
    <t>R. S. BOKARO METAL (P) LTD.</t>
  </si>
  <si>
    <t>JAMS</t>
  </si>
  <si>
    <t>CRCA SHEET TATCRC SR16 0.300X900X2500</t>
  </si>
  <si>
    <t>TATCRC</t>
  </si>
  <si>
    <t>SR16</t>
  </si>
  <si>
    <t>CHANDRA CONTAINER MANUFACTURERS</t>
  </si>
  <si>
    <t>CR COIL TATXXD BT04 0.500X1020</t>
  </si>
  <si>
    <t>BT04</t>
  </si>
  <si>
    <t>Metalkraft Forming Industries Pvt L</t>
  </si>
  <si>
    <t>ZAHIRABAD</t>
  </si>
  <si>
    <t>GL6H</t>
  </si>
  <si>
    <t>B06</t>
  </si>
  <si>
    <t>Y300GL</t>
  </si>
  <si>
    <t>SGL2</t>
  </si>
  <si>
    <t>CR COIL TSBSTA EL03 0.500X1217</t>
  </si>
  <si>
    <t>EL03</t>
  </si>
  <si>
    <t>G.R. GUPTA &amp; BROS.</t>
  </si>
  <si>
    <t>VADODARA</t>
  </si>
  <si>
    <t>CHENNAI</t>
  </si>
  <si>
    <t>GP COIL SOFT-TATXGP-GLK1-0.3X900</t>
  </si>
  <si>
    <t>C02</t>
  </si>
  <si>
    <t>TATXGP</t>
  </si>
  <si>
    <t>GLK1</t>
  </si>
  <si>
    <t>PPGL C HARD Y550PL D0C9 0.50(TPT)X1220</t>
  </si>
  <si>
    <t>D0C9</t>
  </si>
  <si>
    <t>GL COIL HARD  Y550GL GL6H 0.900X1220</t>
  </si>
  <si>
    <t>DELI</t>
  </si>
  <si>
    <t>CRCA COIL TSBSTA EL06 0.500X1160</t>
  </si>
  <si>
    <t>GL COIL HARD  Y550GL GL6H 0.900X1050</t>
  </si>
  <si>
    <t>Hitkar Enterprises</t>
  </si>
  <si>
    <t>GP COIL SOFT-TATXGP-GK09-0.4X1220</t>
  </si>
  <si>
    <t>GK09</t>
  </si>
  <si>
    <t>CALS</t>
  </si>
  <si>
    <t>TATXHS</t>
  </si>
  <si>
    <t>RL02</t>
  </si>
  <si>
    <t>B03</t>
  </si>
  <si>
    <t>BMW VENTURES LIMITED</t>
  </si>
  <si>
    <t>PATNA</t>
  </si>
  <si>
    <t>PATN</t>
  </si>
  <si>
    <t>CRCA SHEET TATCRC SR16 0.400X1250X2500</t>
  </si>
  <si>
    <t>PPGL C HARD Y550PL D0C9 0.60(TPT)X1220</t>
  </si>
  <si>
    <t>CRSHTCORTEN IRS:M-41/97 1.6X1250X2500</t>
  </si>
  <si>
    <t>SPC AS JOB WORKER</t>
  </si>
  <si>
    <t>NIPPON CRYO PRIVATE LIMITED</t>
  </si>
  <si>
    <t>COMD</t>
  </si>
  <si>
    <t>GP COIL TATGPH GP02 0.400X1015</t>
  </si>
  <si>
    <t>GL COIL HARD  Y550GL HGL6 0.900X1250</t>
  </si>
  <si>
    <t>SIYAGANJ</t>
  </si>
  <si>
    <t>INDR</t>
  </si>
  <si>
    <t>GP SHEET SOFT-TATXGP-GK09-0.35X900</t>
  </si>
  <si>
    <t>B11</t>
  </si>
  <si>
    <t>SILIGURI TOWN</t>
  </si>
  <si>
    <t>TEJRAM RAMNIWAS AGARWAL</t>
  </si>
  <si>
    <t>NAGPUR</t>
  </si>
  <si>
    <t>NPUR</t>
  </si>
  <si>
    <t>CRCA SHEET TATCRC SR16 0.450X1250X2500</t>
  </si>
  <si>
    <t>CRCA SHEET TSBCRC SR15 0.500X1000X2500</t>
  </si>
  <si>
    <t>GP COIL SOFT-TATXGP-GK09-0.5X900</t>
  </si>
  <si>
    <t>CRCA SHEET TATCRC SR16 0.350X900X2500</t>
  </si>
  <si>
    <t>PASA ASSOCIATES PRIVATE LIMITED</t>
  </si>
  <si>
    <t>URLA</t>
  </si>
  <si>
    <t>RPUR</t>
  </si>
  <si>
    <t>CRCA SHEET TSBCRC SR15 0.700X1250X2500</t>
  </si>
  <si>
    <t>B17</t>
  </si>
  <si>
    <t>Y300PL</t>
  </si>
  <si>
    <t>RAVINDRA IRON WORKS</t>
  </si>
  <si>
    <t>CRCA COIL-TATXXD-AU03-1X1250</t>
  </si>
  <si>
    <t>SUDISA ENTERPRISES (P) LTD.</t>
  </si>
  <si>
    <t>TATANAGAR</t>
  </si>
  <si>
    <t>CR COIL TSBHSQ CH03 1.200X1250</t>
  </si>
  <si>
    <t>TSBHSQ</t>
  </si>
  <si>
    <t>CH03</t>
  </si>
  <si>
    <t>CRCA COIL TATCRC TR15 0.5X1250</t>
  </si>
  <si>
    <t>TR15</t>
  </si>
  <si>
    <t>PRABHAT GLOBAL COLOURCOATED PRIVATE</t>
  </si>
  <si>
    <t>TAMBATI</t>
  </si>
  <si>
    <t>H7GL</t>
  </si>
  <si>
    <t>CRCA COIL-TATXXD-AU03-0.45X1250</t>
  </si>
  <si>
    <t>JINDAL INDIA LIMITED</t>
  </si>
  <si>
    <t>DANKUNI</t>
  </si>
  <si>
    <t>GL COIL HARD  Y550GL H7GL 0.440X1240</t>
  </si>
  <si>
    <t>GP COIL TATGPH GP02 0.400X1350</t>
  </si>
  <si>
    <t>GP COIL SOFT-TATXGP-GK09-0.35X1220</t>
  </si>
  <si>
    <t>GP COIL SOFT-TATXGP-GK09-0.4X900</t>
  </si>
  <si>
    <t>GP COIL SOFT-TATXGP-GK09-0.45X900</t>
  </si>
  <si>
    <t>GP COIL TATXGP GK09 0.500X900</t>
  </si>
  <si>
    <t>TAMILNADU</t>
  </si>
  <si>
    <t>GL COIL HARD Y550GL M308 0.47 (TCT)X1220</t>
  </si>
  <si>
    <t>M308</t>
  </si>
  <si>
    <t>GL COIL HARD Y550GL M308 0.60 (TCT)X1220</t>
  </si>
  <si>
    <t>CR COIL TATXXD BT04 0.400X1020</t>
  </si>
  <si>
    <t>CRCA SHEET TATCRC SR16 0.350X900X2440</t>
  </si>
  <si>
    <t>CRCA COIL-TATXXD-AU03-1.2X1250</t>
  </si>
  <si>
    <t>TSBXGP</t>
  </si>
  <si>
    <t>INDIA STEEL INDUSTRIES</t>
  </si>
  <si>
    <t>VARANASI</t>
  </si>
  <si>
    <t>CRCA SHEET TATCRC SR16 0.400X1250X2030</t>
  </si>
  <si>
    <t>PPGL C Y550 D0C7 0.43BMT(0.47TPT)X1220</t>
  </si>
  <si>
    <t>D0C7</t>
  </si>
  <si>
    <t>HPL6</t>
  </si>
  <si>
    <t>Shree Bajrang Steel Udyog</t>
  </si>
  <si>
    <t>WEST BOKARO</t>
  </si>
  <si>
    <t>BASEER AND CO</t>
  </si>
  <si>
    <t>CRCA COIL TATXXD AU03 0.8X1250</t>
  </si>
  <si>
    <t>CRCA SHEET TSBCRC SR15 0.500X1250X2030</t>
  </si>
  <si>
    <t>K D J P STEELS PVT LTD</t>
  </si>
  <si>
    <t>GP COIL SOFT-TATXGP-GK09-0.3X900</t>
  </si>
  <si>
    <t>Galaxy Stamping Pvt. Ltd.</t>
  </si>
  <si>
    <t>RAJKOT</t>
  </si>
  <si>
    <t>CRCA COIL-TATCRC-TR20-0.5X1250</t>
  </si>
  <si>
    <t>TR20</t>
  </si>
  <si>
    <t>RAJASTHAN</t>
  </si>
  <si>
    <t>PPGL C Y550 HPL6 0.30BMT(0.37TPT)X1220</t>
  </si>
  <si>
    <t>Angul Cold Rolling Mill</t>
  </si>
  <si>
    <t>GP COIL TATXGP GLK2 0.600X1220</t>
  </si>
  <si>
    <t>GLK2</t>
  </si>
  <si>
    <t>GP SH SOFT TATXGP GK09 0.400X900X2500</t>
  </si>
  <si>
    <t>GP COIL SOFT-TSBXGP-T1GP-0.3X1220</t>
  </si>
  <si>
    <t>T1GP</t>
  </si>
  <si>
    <t>B20</t>
  </si>
  <si>
    <t>HPL3</t>
  </si>
  <si>
    <t>O.V.S. ISPAT UDYOG</t>
  </si>
  <si>
    <t xml:space="preserve">PELIKAN DOSSIER (P) LTD </t>
  </si>
  <si>
    <t>JAIPUR</t>
  </si>
  <si>
    <t>JPUR</t>
  </si>
  <si>
    <t>CR COIL TATXXD BT04 0.450X1020</t>
  </si>
  <si>
    <t>CR COIL TATXXD BT04 0.500X1000</t>
  </si>
  <si>
    <t>SR25</t>
  </si>
  <si>
    <t>CR COIL TATXXD BT04 0.450X848</t>
  </si>
  <si>
    <t>GP COIL SOFT-TATXGP-GLK1-0.3X1220</t>
  </si>
  <si>
    <t>GP COIL SOFT-TATXGP-GK09-0.6X900</t>
  </si>
  <si>
    <t>BIHANI ENTERPRISES</t>
  </si>
  <si>
    <t>JAI LAXMI STEELS</t>
  </si>
  <si>
    <t>GP COIL SOFT-TATXGP-GLK1-0.22X900</t>
  </si>
  <si>
    <t>HGL7</t>
  </si>
  <si>
    <t>GP COIL SOFT-TATXGP-GK09-0.35X900</t>
  </si>
  <si>
    <t>Aug'25</t>
  </si>
  <si>
    <t>Colorshine Coated Pvt.Ltd.</t>
  </si>
  <si>
    <t>SANHEWAL</t>
  </si>
  <si>
    <t>LUDH</t>
  </si>
  <si>
    <t>GP COIL SOFT-TATXGP-GK09-0.4X1250</t>
  </si>
  <si>
    <t>GORAKHPUR</t>
  </si>
  <si>
    <t>CRCA SHEET TSBCRC SR15 1.200X1250X2500</t>
  </si>
  <si>
    <t>CRCA SHEET TATCRC SR16 0.450X1250X2030</t>
  </si>
  <si>
    <t>PURSHOTAM PROFILES PRIVATE LIMITED</t>
  </si>
  <si>
    <t>SANAND</t>
  </si>
  <si>
    <t>GL COIL HARD  Y550GL H0GL 0.900X1200</t>
  </si>
  <si>
    <t>H0GL</t>
  </si>
  <si>
    <t>GL COIL HARD  Y550GL HGL6 0.900X1200</t>
  </si>
  <si>
    <t>PLH1</t>
  </si>
  <si>
    <t>PPGL C HARD Y550PL PLH1 0.430X1020</t>
  </si>
  <si>
    <t>DURGA TRADERS</t>
  </si>
  <si>
    <t>CRCA COIL TATXXD AU03 0.4X1250</t>
  </si>
  <si>
    <t>CRCA COIL-TATXXD-AU03-0.5X1250</t>
  </si>
  <si>
    <t>CRCA COIL-TATXXD-AU03-0.6X1250</t>
  </si>
  <si>
    <t>GP COIL SOFT-TATXGP-GLK1-0.6X900</t>
  </si>
  <si>
    <t>GalvaRos</t>
  </si>
  <si>
    <t>GP COIL SOFT-TATXGP-GLK1-0.4X1250</t>
  </si>
  <si>
    <t>CRCA COIL-TATXXD-AU03-0.35X1250</t>
  </si>
  <si>
    <t>GP COIL SOFT-TATXGP-GK09-0.5X1220</t>
  </si>
  <si>
    <t>GP COIL SOFT-TATXGP-GLK1-0.2X900</t>
  </si>
  <si>
    <t>PPGL C HARD Y550PL D0C9 0.450(TPT)X1220</t>
  </si>
  <si>
    <t>PPGL C HARD Y550PL D0C9 0.470(TPT)X1220</t>
  </si>
  <si>
    <t>VIJAY VENKAT STEELS PRIVATE LIMITED</t>
  </si>
  <si>
    <t>CRCA COIL TATXXD AU03 1.500X1250</t>
  </si>
  <si>
    <t>TUBE INVESTMENTS OF INDIA LIMITED</t>
  </si>
  <si>
    <t>CDGH</t>
  </si>
  <si>
    <t>CRCA COIL TATXXD AU03 2.5X1250</t>
  </si>
  <si>
    <t>AH03</t>
  </si>
  <si>
    <t>GP COIL SOFT-TATXGP-GK09-0.6X1220</t>
  </si>
  <si>
    <t>TSH070</t>
  </si>
  <si>
    <t>R10A</t>
  </si>
  <si>
    <t>SH70</t>
  </si>
  <si>
    <t>CR COIL SA1010 TU97 1.500X1250</t>
  </si>
  <si>
    <t>SA1010</t>
  </si>
  <si>
    <t>TU97</t>
  </si>
  <si>
    <t>CR COIL TATXXD BT03 0.600X1120</t>
  </si>
  <si>
    <t>BT03</t>
  </si>
  <si>
    <t>CRCA SHEET TSBCRC SR15 1X1250X2500</t>
  </si>
  <si>
    <t>GP COIL SOFT-TATXGP-GK09-0.2X900</t>
  </si>
  <si>
    <t>BMW VYAPAR PRIVATE LIMITED</t>
  </si>
  <si>
    <t>JABALPUR</t>
  </si>
  <si>
    <t>GP COIL SOFT-TATXGP-GK09-0.6X1250</t>
  </si>
  <si>
    <t>GL COIL HARD  Y550GL H7GL 0.320X1235</t>
  </si>
  <si>
    <t>CRCA SHEET TSBCRC SR15 0.600X1000X2500</t>
  </si>
  <si>
    <t>CRCA SHEET TATCRC SR16 0.450X1000X2000</t>
  </si>
  <si>
    <t>CRCA SHEET TATCRC SR16 0.400X1000X2500</t>
  </si>
  <si>
    <t>CRCA SHEET TATCRC SR16 0.400X900X2500</t>
  </si>
  <si>
    <t>PSPL STEEL PROCESSORS PRIVATE LIMIT</t>
  </si>
  <si>
    <t>HOWRAH</t>
  </si>
  <si>
    <t>CRCA SHEET TSBCRC SR15 0.500X900X2500</t>
  </si>
  <si>
    <t>CRCA SHEET TSBCRC SR15 0.600X900X2500</t>
  </si>
  <si>
    <t>RAMESH COMPANY</t>
  </si>
  <si>
    <t>GL C YS550 M306 0.35BMT(0.37TCT)X900</t>
  </si>
  <si>
    <t>M306</t>
  </si>
  <si>
    <t>CRCA SHEET TATCRC SR16 0.400X1000X1980</t>
  </si>
  <si>
    <t>ANGUL GALVANIZING PLANT</t>
  </si>
  <si>
    <t>GP COIL TATGPH GP02 0.300X900</t>
  </si>
  <si>
    <t>GRG STEELS PVT. LTD.</t>
  </si>
  <si>
    <t>PURNIA</t>
  </si>
  <si>
    <t>PRESTIGE METALLICS PRIVATE LIMITED</t>
  </si>
  <si>
    <t>CRCA SHEET TATCRC SR16 0.400X1000X2000</t>
  </si>
  <si>
    <t>CRCA SHEET TSBCRC SR15 0.600X1000X2000</t>
  </si>
  <si>
    <t>GP COIL SOFT-TATXGP-GK09-0.25X900</t>
  </si>
  <si>
    <t>GP COIL TATXGP GP02 0.350X1350</t>
  </si>
  <si>
    <t>BALMER LAWRIE &amp; CO. LIMITED..</t>
  </si>
  <si>
    <t>CRCA COIL TATXXD BT02 0.970X913</t>
  </si>
  <si>
    <t>CRCA COIL TATXXD BT02 1.200X910</t>
  </si>
  <si>
    <t>Balmer Lawrie And Co. Ltd.</t>
  </si>
  <si>
    <t>VILLAGE DADRA</t>
  </si>
  <si>
    <t>CRCA COIL TATXXD BT02 0.900X913</t>
  </si>
  <si>
    <t>SHEYRUB AGENCIES</t>
  </si>
  <si>
    <t>SRINAGAR</t>
  </si>
  <si>
    <t>GP COIL TATGPH GP02 0.500X1015</t>
  </si>
  <si>
    <t>CRCA COIL TATXXD AH03 0.600X1250</t>
  </si>
  <si>
    <t>BUBNA COMMERCIAL COMPANY</t>
  </si>
  <si>
    <t>GL COIL HARD  Y550GL H0GL 0.900X1249</t>
  </si>
  <si>
    <t>CRCA COIL-TATXXD-AU03-2X1250</t>
  </si>
  <si>
    <t>GL C Y300GL T12L 0.55BMT(0.60TCT)X1220</t>
  </si>
  <si>
    <t>T12L</t>
  </si>
  <si>
    <t>CRCA SHEET TATCRC SR16 0.330X900X2500</t>
  </si>
  <si>
    <t>CRCA COIL TATXXD AU03 1.900X1250</t>
  </si>
  <si>
    <t>CR COIL TATXXD BT04 0.600X900</t>
  </si>
  <si>
    <t>TUBE</t>
  </si>
  <si>
    <t>CRCA COIL SA1008 TU98 1.200X1250</t>
  </si>
  <si>
    <t>SA1008</t>
  </si>
  <si>
    <t>TU98</t>
  </si>
  <si>
    <t>CRCA SHEET TSBCRC SR15 2X1250X2500</t>
  </si>
  <si>
    <t>CRCA SHEET TATCRC SR16 0.380X1250X2500</t>
  </si>
  <si>
    <t>CRCA SHEET TSBCRC SR15 0.500X1000X2000</t>
  </si>
  <si>
    <t>BT01</t>
  </si>
  <si>
    <t>GL C YS550 H6GL 0.42BMT(0.47TCT)X1220</t>
  </si>
  <si>
    <t>CRCA SHEET TATCRC SR16 0.380X900X2500</t>
  </si>
  <si>
    <t>CRCA SHEET TSBCRC SR15 0.550X1250X2500</t>
  </si>
  <si>
    <t>RAILAPUR</t>
  </si>
  <si>
    <t>CRCA COIL TATXXD AH03 1X1250</t>
  </si>
  <si>
    <t>CRCA SHEET TSBCRC SR15 0.700X1000X2500</t>
  </si>
  <si>
    <t>JSR</t>
  </si>
  <si>
    <t>FERRO STEEL SOLUTIONS</t>
  </si>
  <si>
    <t>CRCA COIL SA1008 TU98 1.900X1250</t>
  </si>
  <si>
    <t>CRCA COIL TATXXD BT01 0.970X1310</t>
  </si>
  <si>
    <t>GP2T</t>
  </si>
  <si>
    <t>PPGL C Y550 HPL6 0.40BMT(0.47TPT)X1220</t>
  </si>
  <si>
    <t>GL C YS550 M306 0.30BMT(0.32TCT)X900</t>
  </si>
  <si>
    <t>CRCA COIL TATXXD AH03 2X1250</t>
  </si>
  <si>
    <t>SRI BALAJI STEEL TRADERS</t>
  </si>
  <si>
    <t>VALPARAI</t>
  </si>
  <si>
    <t>Balmer Lawrie &amp; Co. Limited</t>
  </si>
  <si>
    <t>CR COIL TATXXD BT02 0.970X1005</t>
  </si>
  <si>
    <t>CR COIL TSBSTA EL06 0.500X1250</t>
  </si>
  <si>
    <t>CRCA COIL TATXXD AU03 0.750X1250</t>
  </si>
  <si>
    <t>AHMEDABAD</t>
  </si>
  <si>
    <t>CRCA SHEET TATCRC SR16 0.450X900X2500</t>
  </si>
  <si>
    <t>CR COIL TATXXD BT04 0.450X900</t>
  </si>
  <si>
    <t>CR COIL TATXXD BT04 0.400X1000</t>
  </si>
  <si>
    <t>CR COIL TATXXD BT04 0.400X848</t>
  </si>
  <si>
    <t>CRCA SHEET TATXXD AU03 2.5X1250X2500</t>
  </si>
  <si>
    <t>CRCA SHEET TSBCRC SR15 0.750X1250X2500</t>
  </si>
  <si>
    <t>CRCA COIL TATXXD BT02 1.200X914</t>
  </si>
  <si>
    <t>GL COIL HARD Y550GL M308 0.50 (TCT)X1220</t>
  </si>
  <si>
    <t>GP SH SOFT TATXGP GK09 0.300X900X2500</t>
  </si>
  <si>
    <t>GL COIL SOFT  Y300GL T12L 0.500X1221</t>
  </si>
  <si>
    <t>CRCA SHEET TSBCRC SR15 0.500X1250X2500</t>
  </si>
  <si>
    <t>Rakesh Steel Inds.(P) Ltd.</t>
  </si>
  <si>
    <t>GP COIL SOFT-TATXGP-GLK1-0.3X1250</t>
  </si>
  <si>
    <t>WEST BENGAL</t>
  </si>
  <si>
    <t>GP COIL SOFT-TATXGP-GLK1-0.4X1220</t>
  </si>
  <si>
    <t>Balmer Lawrie &amp; Co. Ltd.,</t>
  </si>
  <si>
    <t>CRCA SHEET TATCRC TR15 .5X1250X2500</t>
  </si>
  <si>
    <t>GL COIL HARD -Y550GL-H7GL-0.37X1220</t>
  </si>
  <si>
    <t>GP COIL SOFT-TATXGP-GLK1-0.45X900</t>
  </si>
  <si>
    <t>GP COIL SOFT TATXGP GLK1 0.35X1220</t>
  </si>
  <si>
    <t>CRCA SHEET TSBCRC SR15 0.600X1250X2030</t>
  </si>
  <si>
    <t>GL COIL HARD Y550GL H6GL 0.90 X 1250</t>
  </si>
  <si>
    <t>Sep'25</t>
  </si>
  <si>
    <t>BAJRANG STEEL (SALES) CORPORATION</t>
  </si>
  <si>
    <t>GAUHATI</t>
  </si>
  <si>
    <t>GP COIL SOFT TATXGP GK09 0.350X1250</t>
  </si>
  <si>
    <t>CRCA_TPI</t>
  </si>
  <si>
    <t>T &amp; D GALIAKOT CONTAINERS PVT LTD</t>
  </si>
  <si>
    <t>GP COIL SOFT-TATXGP-GK09-0.5X1250</t>
  </si>
  <si>
    <t>GL C YS550 H6GL 0.55BMT(0.60TCT)X1220</t>
  </si>
  <si>
    <t>GL C YS550 H6GL 0.50BMT(0.55TCT)X1220</t>
  </si>
  <si>
    <t>GP COIL TATGPH GP02 0.500X900</t>
  </si>
  <si>
    <t>JAISWAL IRON STORES</t>
  </si>
  <si>
    <t>CRCA COIL-TATXXD-AU03-0.4X900</t>
  </si>
  <si>
    <t>GP COIL XXXGPH GPH3 0.500X900</t>
  </si>
  <si>
    <t>XXXGPH</t>
  </si>
  <si>
    <t>GPH3</t>
  </si>
  <si>
    <t>CRCA COIL TATXXD AU03 1.800X1250</t>
  </si>
  <si>
    <t>CRCA SHEET TATCRC SR16 0.400X1250X2020</t>
  </si>
  <si>
    <t>SAGAR STEELS PROCESSING &amp; MANUFACTU</t>
  </si>
  <si>
    <t>GL COIL HARD  Y550GL M310 0.350X1220</t>
  </si>
  <si>
    <t>M310</t>
  </si>
  <si>
    <t>RAYDEAN ENTERPRISES PRIVATE LIMITED</t>
  </si>
  <si>
    <t>CRCA COIL TATXXD AH03 0.900X1320</t>
  </si>
  <si>
    <t>Balmer Lawrie And Company Limited</t>
  </si>
  <si>
    <t>CRCA SHEET TATCRC SR16 0.330X1250X2500</t>
  </si>
  <si>
    <t>PPGL C Y550 D0C7 0.40BMT(0.44TPT)X1220</t>
  </si>
  <si>
    <t>CRCA SHEET TSBCRC SR15 0.600X1000X1930</t>
  </si>
  <si>
    <t>CRCA SHEET TSBCRC SR15 0.700X1000X1925</t>
  </si>
  <si>
    <t>CRCA SHEET TSBCRC SR15 0.500X1250X2020</t>
  </si>
  <si>
    <t>CRCA SHEET TATCRC SR16 0.350X1250X2500</t>
  </si>
  <si>
    <t>CRCA SHEET TSBCRC SR15 0.700X1000X1930</t>
  </si>
  <si>
    <t>CRCA COIL TATXXD AH03 0.900X1250</t>
  </si>
  <si>
    <t>GP COIL SOFT-TATXGP-GK09-0.63X900</t>
  </si>
  <si>
    <t>CRCA SHEET TATCRC SR16 0.480X1250X2500</t>
  </si>
  <si>
    <t>CR COIL-ICF  DQ TATXXD AU03 0.35 X 1250</t>
  </si>
  <si>
    <t>GL COIL HARD  Y550GL GL6H 0.900X1250</t>
  </si>
  <si>
    <t>GL COIL HARD  Y550GL HGL6 0.900X1020</t>
  </si>
  <si>
    <t>PPGL C HARD Y550PL HPL9 0.750X1220</t>
  </si>
  <si>
    <t>HPL9</t>
  </si>
  <si>
    <t>JAMSHEDPUR</t>
  </si>
  <si>
    <t>PPGL C Y550 HPL3 0.50BMT(0.58TPT)X1220</t>
  </si>
  <si>
    <t>SALEM</t>
  </si>
  <si>
    <t>CRCA SHEET TSBCRC SR15 0.500X1000X2440</t>
  </si>
  <si>
    <t>CR COIL TSBCRC SR25 0.500X900</t>
  </si>
  <si>
    <t>RAKESH STEELS</t>
  </si>
  <si>
    <t>CRCA COIL TATXXD AH03 0.800X1250</t>
  </si>
  <si>
    <t>GL C YS550 M306 0.33BMT(0.35TCT)X1000</t>
  </si>
  <si>
    <t>GP COIL SOFT-TATXGP-GLK1-0.35X900</t>
  </si>
  <si>
    <t>CRCA COIL-TATXXD-AU03-0.7X1250</t>
  </si>
  <si>
    <t>CR COIL TATXXD AH03 1.100X1320</t>
  </si>
  <si>
    <t>CR COIL TATXXD BT01 1.200X1310</t>
  </si>
  <si>
    <t>CRCA COIL TATXXD BT01 0.970X1220</t>
  </si>
  <si>
    <t>GP COIL TATGPH GP02 0.600X1350</t>
  </si>
  <si>
    <t>GP COIL SOFT-TATXGP-GLK1-0.4X900</t>
  </si>
  <si>
    <t>CR COIL TSBCRC SR25 0.430X1250</t>
  </si>
  <si>
    <t>CR COIL TATXXD BT01 0.970X1215</t>
  </si>
  <si>
    <t>GL COIL HARD  Y550GL HGL7 0.800X1040</t>
  </si>
  <si>
    <t>CRCA COIL TATXXD AU03 0.600X1120</t>
  </si>
  <si>
    <t>CR COIL TSBSTA EL03 1X1250</t>
  </si>
  <si>
    <t>GP COIL SOFT TATXGP GK09 0.300X1250</t>
  </si>
  <si>
    <t>BABA CONTAINER MANUFACTURERS</t>
  </si>
  <si>
    <t>CRCA SHEET TSBCRC SR15 0.600X1000X2440</t>
  </si>
  <si>
    <t>CRCA COIL TATXXD AH03 0.500X1250</t>
  </si>
  <si>
    <t>CRCA COIL TATXXD AH03 1.900X1250</t>
  </si>
  <si>
    <t>CR COIL TATXXD AU03 1.150X1250</t>
  </si>
  <si>
    <t>JAIN STEEL DISTRIBUTORS</t>
  </si>
  <si>
    <t>CRCA COIL-TATXXD-AU03-0.9X1250</t>
  </si>
  <si>
    <t>CRCA SHEET TSBCRC SR15 1.500X1250X2500</t>
  </si>
  <si>
    <t>ZBTN</t>
  </si>
  <si>
    <t>Magni Steel Pvt Ltd</t>
  </si>
  <si>
    <t>EXPO</t>
  </si>
  <si>
    <t>CRCA SHEET TATCRC EX08 0.300X1219X2438</t>
  </si>
  <si>
    <t>EX08</t>
  </si>
  <si>
    <t>CRCA SHEET TATCRC EX08 0.350X1219X2438</t>
  </si>
  <si>
    <t>TUBES DIVISION</t>
  </si>
  <si>
    <t>CRCA COIL TSBHSQ TU99 1.400X1270</t>
  </si>
  <si>
    <t>TU99</t>
  </si>
  <si>
    <t>CRCA COIL TSBHSQ TU99 1.600X1270</t>
  </si>
  <si>
    <t>CRCA COIL SA1008 TU98 1.600X1250</t>
  </si>
  <si>
    <t>CR COIL TSBHSQ CH03 0.900X1250</t>
  </si>
  <si>
    <t>GP COIL SOFT TATXGP GK09 0.280X900</t>
  </si>
  <si>
    <t>GIRIRAJ EXIM PRIVATE LIMITED</t>
  </si>
  <si>
    <t>GL C YS550 M306 0.33BMT(0.35TCT)X900</t>
  </si>
  <si>
    <t>GL C YS550 M306 0.38BMT(0.40TCT)X900</t>
  </si>
  <si>
    <t>CRCA SHEET TATCRC SR16 0.400X1220X2440</t>
  </si>
  <si>
    <t>CRCA SHEET TATCRC SR16 0.430X1250X2500</t>
  </si>
  <si>
    <t>CR COIL-ICF TATXXD AU03 2.50X1250</t>
  </si>
  <si>
    <t>GP COIL XXXGPH GPH3 0.350X900</t>
  </si>
  <si>
    <t>GP COIL XXXGPH GPH3 0.400X900</t>
  </si>
  <si>
    <t>CRCA SHEET TSBCRC SR15 0.600X900X2440</t>
  </si>
  <si>
    <t>CR COIL TATXXD BT01 1.200X1215</t>
  </si>
  <si>
    <t>BANSAL BROTHERS</t>
  </si>
  <si>
    <t>CRCA COIL TATXXD AU03 0.600X1320</t>
  </si>
  <si>
    <t>GL C YS550 M306 0.43BMT(0.45TCT)X900</t>
  </si>
  <si>
    <t>CRSHEET C06 TATXXD AU03 1.6X1250X2500</t>
  </si>
  <si>
    <t>CRCA COIL TATXXD AH03 2.500X1250</t>
  </si>
  <si>
    <t>GL COIL SKINPASS Y300GL SGL2 0.420X1235</t>
  </si>
  <si>
    <t>SO-ITEM</t>
  </si>
  <si>
    <t>9518561462-1</t>
  </si>
  <si>
    <t>9518457019-4</t>
  </si>
  <si>
    <t>9518429066-8</t>
  </si>
  <si>
    <t>9518613067-2</t>
  </si>
  <si>
    <t>9518613349-1</t>
  </si>
  <si>
    <t>9518543214-6</t>
  </si>
  <si>
    <t>9518531619-1</t>
  </si>
  <si>
    <t>9518531619-3</t>
  </si>
  <si>
    <t>9518694924-6</t>
  </si>
  <si>
    <t>9518803391-6</t>
  </si>
  <si>
    <t>9518813207-2</t>
  </si>
  <si>
    <t>9518752759-3</t>
  </si>
  <si>
    <t>9518821283-2</t>
  </si>
  <si>
    <t>9518741571-2</t>
  </si>
  <si>
    <t>9518823199-2</t>
  </si>
  <si>
    <t>9518875799-3</t>
  </si>
  <si>
    <t>9518958986-1</t>
  </si>
  <si>
    <t>9518958986-4</t>
  </si>
  <si>
    <t>9518807155-1</t>
  </si>
  <si>
    <t>9518666887-4</t>
  </si>
  <si>
    <t>9518664809-1</t>
  </si>
  <si>
    <t>9518771117-4</t>
  </si>
  <si>
    <t>9518809011-1</t>
  </si>
  <si>
    <t>9518897984-3</t>
  </si>
  <si>
    <t>9518925800-1</t>
  </si>
  <si>
    <t>9518914458-1</t>
  </si>
  <si>
    <t>9518956349-1</t>
  </si>
  <si>
    <t>9518961702-1</t>
  </si>
  <si>
    <t>9518956389-3</t>
  </si>
  <si>
    <t>9518956389-5</t>
  </si>
  <si>
    <t>9519028704-1</t>
  </si>
  <si>
    <t>9518972366-7</t>
  </si>
  <si>
    <t>9518903517-1</t>
  </si>
  <si>
    <t>9518903517-2</t>
  </si>
  <si>
    <t>9518951741-7</t>
  </si>
  <si>
    <t>9518951741-9</t>
  </si>
  <si>
    <t>9518951741-10</t>
  </si>
  <si>
    <t>9518851597-1</t>
  </si>
  <si>
    <t>9518951602-1</t>
  </si>
  <si>
    <t>9518939680-10</t>
  </si>
  <si>
    <t>9518957720-1</t>
  </si>
  <si>
    <t>9518942225-13</t>
  </si>
  <si>
    <t>9518939680-9</t>
  </si>
  <si>
    <t>9518980071-3</t>
  </si>
  <si>
    <t>9518998049-5</t>
  </si>
  <si>
    <t>9519035728-2</t>
  </si>
  <si>
    <t>9518941704-1</t>
  </si>
  <si>
    <t>9518941704-2</t>
  </si>
  <si>
    <t>9518930025-1</t>
  </si>
  <si>
    <t>9518985721-1</t>
  </si>
  <si>
    <t>9518985721-4</t>
  </si>
  <si>
    <t>9518938766-7</t>
  </si>
  <si>
    <t>9518942225-16</t>
  </si>
  <si>
    <t>9519040245-1</t>
  </si>
  <si>
    <t>9519040469-3</t>
  </si>
  <si>
    <t>9519040469-7</t>
  </si>
  <si>
    <t>9518962848-1</t>
  </si>
  <si>
    <t>9518962589-2</t>
  </si>
  <si>
    <t>9518876027-8</t>
  </si>
  <si>
    <t>9518922956-2</t>
  </si>
  <si>
    <t>9518822216-7</t>
  </si>
  <si>
    <t>9518952949-1</t>
  </si>
  <si>
    <t>9518938766-1</t>
  </si>
  <si>
    <t>9518938044-1</t>
  </si>
  <si>
    <t>9518962589-3</t>
  </si>
  <si>
    <t>9518938766-3</t>
  </si>
  <si>
    <t>9518938766-4</t>
  </si>
  <si>
    <t>9518938766-6</t>
  </si>
  <si>
    <t>9518957825-1</t>
  </si>
  <si>
    <t>9518976975-6</t>
  </si>
  <si>
    <t>9518976975-13</t>
  </si>
  <si>
    <t>9518946015-3</t>
  </si>
  <si>
    <t>9518938765-3</t>
  </si>
  <si>
    <t>9518938765-4</t>
  </si>
  <si>
    <t>9518862156-2</t>
  </si>
  <si>
    <t>9518985918-2</t>
  </si>
  <si>
    <t>9518985918-3</t>
  </si>
  <si>
    <t>9518985918-4</t>
  </si>
  <si>
    <t>9518985918-5</t>
  </si>
  <si>
    <t>9518986930-1</t>
  </si>
  <si>
    <t>9519050497-1</t>
  </si>
  <si>
    <t>9519031476-11</t>
  </si>
  <si>
    <t>9519031476-9</t>
  </si>
  <si>
    <t>9518946015-7</t>
  </si>
  <si>
    <t>9518938044-3</t>
  </si>
  <si>
    <t>9519001255-1</t>
  </si>
  <si>
    <t>9518930025-7</t>
  </si>
  <si>
    <t>9518930025-8</t>
  </si>
  <si>
    <t>9518976975-1</t>
  </si>
  <si>
    <t>9518976975-3</t>
  </si>
  <si>
    <t>9518976975-7</t>
  </si>
  <si>
    <t>9518976975-10</t>
  </si>
  <si>
    <t>9518976975-14</t>
  </si>
  <si>
    <t>9518976975-19</t>
  </si>
  <si>
    <t>9518976975-20</t>
  </si>
  <si>
    <t>9518986930-4</t>
  </si>
  <si>
    <t>9518956633-1</t>
  </si>
  <si>
    <t>9518956389-17</t>
  </si>
  <si>
    <t>9519028293-2</t>
  </si>
  <si>
    <t>9519028293-4</t>
  </si>
  <si>
    <t>9519025273-4</t>
  </si>
  <si>
    <t>9518999629-1</t>
  </si>
  <si>
    <t>9518999629-2</t>
  </si>
  <si>
    <t>9518999629-3</t>
  </si>
  <si>
    <t>9518999629-5</t>
  </si>
  <si>
    <t>9518999629-6</t>
  </si>
  <si>
    <t>9518999629-7</t>
  </si>
  <si>
    <t>9518999629-8</t>
  </si>
  <si>
    <t>9519013975-1</t>
  </si>
  <si>
    <t>9518972719-13</t>
  </si>
  <si>
    <t>9519034052-1</t>
  </si>
  <si>
    <t>9519034241-1</t>
  </si>
  <si>
    <t>9519034241-3</t>
  </si>
  <si>
    <t>9519034241-4</t>
  </si>
  <si>
    <t>9519017657-1</t>
  </si>
  <si>
    <t>9519071445-1</t>
  </si>
  <si>
    <t>9519003169-1</t>
  </si>
  <si>
    <t>9518914709-3</t>
  </si>
  <si>
    <t>9518971601-1</t>
  </si>
  <si>
    <t>9519050823-1</t>
  </si>
  <si>
    <t>9519035790-1</t>
  </si>
  <si>
    <t>9519016553-1</t>
  </si>
  <si>
    <t>9519036674-1</t>
  </si>
  <si>
    <t>9519036674-3</t>
  </si>
  <si>
    <t>9519036674-4</t>
  </si>
  <si>
    <t>9519036674-8</t>
  </si>
  <si>
    <t>9518951741-6</t>
  </si>
  <si>
    <t>9518949530-2</t>
  </si>
  <si>
    <t>9518988369-1</t>
  </si>
  <si>
    <t>9518956389-14</t>
  </si>
  <si>
    <t>9519072501-2</t>
  </si>
  <si>
    <t>9518952581-1</t>
  </si>
  <si>
    <t>9518988288-3</t>
  </si>
  <si>
    <t>9519040469-5</t>
  </si>
  <si>
    <t>9519051431-1</t>
  </si>
  <si>
    <t>9519051431-2</t>
  </si>
  <si>
    <t>9519037676-1</t>
  </si>
  <si>
    <t>9518973099-1</t>
  </si>
  <si>
    <t>9519036674-6</t>
  </si>
  <si>
    <t>9518940039-3</t>
  </si>
  <si>
    <t>9518940039-4</t>
  </si>
  <si>
    <t>9518940039-5</t>
  </si>
  <si>
    <t>9519073218-3</t>
  </si>
  <si>
    <t>9519113382-1</t>
  </si>
  <si>
    <t>9519113382-2</t>
  </si>
  <si>
    <t>9518933421-2</t>
  </si>
  <si>
    <t>9518939680-19</t>
  </si>
  <si>
    <t>9518908638-1</t>
  </si>
  <si>
    <t>9519031945-1</t>
  </si>
  <si>
    <t>9519031945-2</t>
  </si>
  <si>
    <t>9518951771-2</t>
  </si>
  <si>
    <t>9518911415-8</t>
  </si>
  <si>
    <t>9519038135-3</t>
  </si>
  <si>
    <t>9519065058-1</t>
  </si>
  <si>
    <t>9519051518-1</t>
  </si>
  <si>
    <t>9518991615-2</t>
  </si>
  <si>
    <t>9519107089-5</t>
  </si>
  <si>
    <t>9519031476-4</t>
  </si>
  <si>
    <t>9518919381-1</t>
  </si>
  <si>
    <t>9518902661-1</t>
  </si>
  <si>
    <t>9518952391-1</t>
  </si>
  <si>
    <t>9518952391-2</t>
  </si>
  <si>
    <t>9518980071-2</t>
  </si>
  <si>
    <t>9519064390-1</t>
  </si>
  <si>
    <t>9519062631-2</t>
  </si>
  <si>
    <t>9519062631-3</t>
  </si>
  <si>
    <t>9519062631-4</t>
  </si>
  <si>
    <t>9519011538-3</t>
  </si>
  <si>
    <t>9519036272-7</t>
  </si>
  <si>
    <t>9519036272-8</t>
  </si>
  <si>
    <t>9519056703-3</t>
  </si>
  <si>
    <t>9519056703-4</t>
  </si>
  <si>
    <t>9519025593-3</t>
  </si>
  <si>
    <t>9519025593-4</t>
  </si>
  <si>
    <t>9519031476-3</t>
  </si>
  <si>
    <t>9519032783-1</t>
  </si>
  <si>
    <t>9519025273-2</t>
  </si>
  <si>
    <t>9519068944-1</t>
  </si>
  <si>
    <t>9519068944-3</t>
  </si>
  <si>
    <t>9519068944-4</t>
  </si>
  <si>
    <t>9519068944-5</t>
  </si>
  <si>
    <t>9519068944-6</t>
  </si>
  <si>
    <t>9519062631-1</t>
  </si>
  <si>
    <t>9519107089-2</t>
  </si>
  <si>
    <t>9519107089-4</t>
  </si>
  <si>
    <t>9519050617-4</t>
  </si>
  <si>
    <t>9519050617-5</t>
  </si>
  <si>
    <t>9519050617-6</t>
  </si>
  <si>
    <t>9519050617-7</t>
  </si>
  <si>
    <t>9519050617-8</t>
  </si>
  <si>
    <t>9519050617-9</t>
  </si>
  <si>
    <t>9519050617-13</t>
  </si>
  <si>
    <t>9519050617-14</t>
  </si>
  <si>
    <t>9519050617-15</t>
  </si>
  <si>
    <t>9519065717-1</t>
  </si>
  <si>
    <t>9519025593-1</t>
  </si>
  <si>
    <t>9519025593-5</t>
  </si>
  <si>
    <t>9518902718-3</t>
  </si>
  <si>
    <t>9519032766-3</t>
  </si>
  <si>
    <t>9518948558-2</t>
  </si>
  <si>
    <t>9518952963-1</t>
  </si>
  <si>
    <t>9518952963-2</t>
  </si>
  <si>
    <t>9518952963-3</t>
  </si>
  <si>
    <t>9519042679-2</t>
  </si>
  <si>
    <t>9519042679-4</t>
  </si>
  <si>
    <t>9519042679-5</t>
  </si>
  <si>
    <t>9519042679-6</t>
  </si>
  <si>
    <t>9519042679-7</t>
  </si>
  <si>
    <t>9519042679-8</t>
  </si>
  <si>
    <t>9519062631-10</t>
  </si>
  <si>
    <t>9519062631-11</t>
  </si>
  <si>
    <t>9519036388-4</t>
  </si>
  <si>
    <t>9519025593-2</t>
  </si>
  <si>
    <t>9519073326-1</t>
  </si>
  <si>
    <t>9519040022-1</t>
  </si>
  <si>
    <t>9519040022-2</t>
  </si>
  <si>
    <t>9518939375-2</t>
  </si>
  <si>
    <t>9519036272-3</t>
  </si>
  <si>
    <t>9518957749-1</t>
  </si>
  <si>
    <t>9518954637-1</t>
  </si>
  <si>
    <t>9518958168-1</t>
  </si>
  <si>
    <t>9518939324-1</t>
  </si>
  <si>
    <t>9518959342-1</t>
  </si>
  <si>
    <t>9519003169-3</t>
  </si>
  <si>
    <t>9519032306-1</t>
  </si>
  <si>
    <t>9519036122-1</t>
  </si>
  <si>
    <t>9519036122-2</t>
  </si>
  <si>
    <t>9519036122-3</t>
  </si>
  <si>
    <t>9519036122-4</t>
  </si>
  <si>
    <t>9519036122-5</t>
  </si>
  <si>
    <t>9519036122-6</t>
  </si>
  <si>
    <t>9519036122-8</t>
  </si>
  <si>
    <t>9518948157-1</t>
  </si>
  <si>
    <t>9518962673-7</t>
  </si>
  <si>
    <t>9519072913-4</t>
  </si>
  <si>
    <t>9519072913-6</t>
  </si>
  <si>
    <t>9519084425-1</t>
  </si>
  <si>
    <t>9519084425-2</t>
  </si>
  <si>
    <t>9519084425-3</t>
  </si>
  <si>
    <t>9519084425-4</t>
  </si>
  <si>
    <t>9519084425-5</t>
  </si>
  <si>
    <t>9519077019-2</t>
  </si>
  <si>
    <t>9518911415-6</t>
  </si>
  <si>
    <t>9519069645-1</t>
  </si>
  <si>
    <t>9518957825-2</t>
  </si>
  <si>
    <t>9519074568-1</t>
  </si>
  <si>
    <t>9519074568-2</t>
  </si>
  <si>
    <t>9519074568-3</t>
  </si>
  <si>
    <t>9519074568-4</t>
  </si>
  <si>
    <t>9519074568-5</t>
  </si>
  <si>
    <t>9519050617-2</t>
  </si>
  <si>
    <t>9519105231-2</t>
  </si>
  <si>
    <t>9518959342-2</t>
  </si>
  <si>
    <t>9519027787-4</t>
  </si>
  <si>
    <t>9518988805-1</t>
  </si>
  <si>
    <t>9518988805-2</t>
  </si>
  <si>
    <t>9519097824-1</t>
  </si>
  <si>
    <t>9519097824-2</t>
  </si>
  <si>
    <t>9519097824-3</t>
  </si>
  <si>
    <t>9519088655-9</t>
  </si>
  <si>
    <t>9519088655-13</t>
  </si>
  <si>
    <t>9518921586-5</t>
  </si>
  <si>
    <t>9518939324-3</t>
  </si>
  <si>
    <t>9519011538-5</t>
  </si>
  <si>
    <t>9519028293-1</t>
  </si>
  <si>
    <t>9518995069-1</t>
  </si>
  <si>
    <t>9519040245-4</t>
  </si>
  <si>
    <t>9518972501-1</t>
  </si>
  <si>
    <t>9518959342-3</t>
  </si>
  <si>
    <t>9519061304-1</t>
  </si>
  <si>
    <t>9519050808-1</t>
  </si>
  <si>
    <t>9519072913-2</t>
  </si>
  <si>
    <t>9519105231-1</t>
  </si>
  <si>
    <t>9519098404-3</t>
  </si>
  <si>
    <t>9519054625-4</t>
  </si>
  <si>
    <t>9519025430-8</t>
  </si>
  <si>
    <t>9519093436-1</t>
  </si>
  <si>
    <t>9519029782-7</t>
  </si>
  <si>
    <t>9518952680-2</t>
  </si>
  <si>
    <t>9519040469-1</t>
  </si>
  <si>
    <t>9519105662-2</t>
  </si>
  <si>
    <t>9519105662-3</t>
  </si>
  <si>
    <t>9519105662-4</t>
  </si>
  <si>
    <t>9519105662-5</t>
  </si>
  <si>
    <t>9519105662-6</t>
  </si>
  <si>
    <t>9519105662-11</t>
  </si>
  <si>
    <t>9519105662-7</t>
  </si>
  <si>
    <t>9519097662-3</t>
  </si>
  <si>
    <t>9519105231-3</t>
  </si>
  <si>
    <t>9519105231-5</t>
  </si>
  <si>
    <t>9519029800-7</t>
  </si>
  <si>
    <t>9518980071-6</t>
  </si>
  <si>
    <t>9519038273-4</t>
  </si>
  <si>
    <t>9519029782-6</t>
  </si>
  <si>
    <t>9518998049-1</t>
  </si>
  <si>
    <t>9518998049-2</t>
  </si>
  <si>
    <t>9518998049-3</t>
  </si>
  <si>
    <t>9518998049-4</t>
  </si>
  <si>
    <t>9519099563-15</t>
  </si>
  <si>
    <t>9519105231-4</t>
  </si>
  <si>
    <t>9519029782-5</t>
  </si>
  <si>
    <t>9519029800-5</t>
  </si>
  <si>
    <t>9519011585-1</t>
  </si>
  <si>
    <t>9519054316-2</t>
  </si>
  <si>
    <t>9518962673-5</t>
  </si>
  <si>
    <t>9519029800-6</t>
  </si>
  <si>
    <t>9518995071-4</t>
  </si>
  <si>
    <t>9519038643-2</t>
  </si>
  <si>
    <t>9519023959-1</t>
  </si>
  <si>
    <t>9519023959-2</t>
  </si>
  <si>
    <t>9519073218-2</t>
  </si>
  <si>
    <t>9518945284-1</t>
  </si>
  <si>
    <t>9518946840-1</t>
  </si>
  <si>
    <t>9518946840-2</t>
  </si>
  <si>
    <t>9519099563-2</t>
  </si>
  <si>
    <t>9519028240-1</t>
  </si>
  <si>
    <t>9518939588-4</t>
  </si>
  <si>
    <t>9519024305-3</t>
  </si>
  <si>
    <t>9519024914-7</t>
  </si>
  <si>
    <t>9519031476-2</t>
  </si>
  <si>
    <t>9519036272-5</t>
  </si>
  <si>
    <t>9518941556-1</t>
  </si>
  <si>
    <t>9518944236-1</t>
  </si>
  <si>
    <t>9518944236-5</t>
  </si>
  <si>
    <t>9519024914-3</t>
  </si>
  <si>
    <t>9518920175-1</t>
  </si>
  <si>
    <t>9519072526-2</t>
  </si>
  <si>
    <t>9519072526-3</t>
  </si>
  <si>
    <t>9519099563-5</t>
  </si>
  <si>
    <t>9519099563-10</t>
  </si>
  <si>
    <t>9519099563-11</t>
  </si>
  <si>
    <t>9519107996-1</t>
  </si>
  <si>
    <t>9518920185-1</t>
  </si>
  <si>
    <t>9519028090-3</t>
  </si>
  <si>
    <t>9518997362-3</t>
  </si>
  <si>
    <t>9519036122-9</t>
  </si>
  <si>
    <t>9519035728-1</t>
  </si>
  <si>
    <t>9519035613-1</t>
  </si>
  <si>
    <t>9519035613-4</t>
  </si>
  <si>
    <t>9519031476-5</t>
  </si>
  <si>
    <t>9519031476-6</t>
  </si>
  <si>
    <t>9519072913-3</t>
  </si>
  <si>
    <t>9519072913-5</t>
  </si>
  <si>
    <t>9519094552-6</t>
  </si>
  <si>
    <t>9519062631-12</t>
  </si>
  <si>
    <t>9519088402-1</t>
  </si>
  <si>
    <t>9519088402-2</t>
  </si>
  <si>
    <t>9519051309-1</t>
  </si>
  <si>
    <t>9519065717-3</t>
  </si>
  <si>
    <t>9519065717-4</t>
  </si>
  <si>
    <t>9519025273-8</t>
  </si>
  <si>
    <t>9519013589-1</t>
  </si>
  <si>
    <t>9519013589-2</t>
  </si>
  <si>
    <t>9519013589-3</t>
  </si>
  <si>
    <t>9519013589-5</t>
  </si>
  <si>
    <t>9519035790-4</t>
  </si>
  <si>
    <t>9519035790-5</t>
  </si>
  <si>
    <t>9519054316-1</t>
  </si>
  <si>
    <t>9519013396-1</t>
  </si>
  <si>
    <t>9519013396-2</t>
  </si>
  <si>
    <t>9519036272-1</t>
  </si>
  <si>
    <t>9519036143-5</t>
  </si>
  <si>
    <t>9519035613-6</t>
  </si>
  <si>
    <t>9518956389-15</t>
  </si>
  <si>
    <t>9519054690-1</t>
  </si>
  <si>
    <t>9519038643-3</t>
  </si>
  <si>
    <t>9519025273-9</t>
  </si>
  <si>
    <t>9519036143-7</t>
  </si>
  <si>
    <t>9519036143-8</t>
  </si>
  <si>
    <t>9519016025-1</t>
  </si>
  <si>
    <t>9519016025-2</t>
  </si>
  <si>
    <t>9519090170-1</t>
  </si>
  <si>
    <t>9519090170-2</t>
  </si>
  <si>
    <t>9518970422-1</t>
  </si>
  <si>
    <t>9519029782-9</t>
  </si>
  <si>
    <t>9519029782-11</t>
  </si>
  <si>
    <t>9519099563-6</t>
  </si>
  <si>
    <t>9519104694-3</t>
  </si>
  <si>
    <t>9519099563-12</t>
  </si>
  <si>
    <t>9519029800-8</t>
  </si>
  <si>
    <t>9519029800-9</t>
  </si>
  <si>
    <t>9519029800-11</t>
  </si>
  <si>
    <t>9519025430-6</t>
  </si>
  <si>
    <t>9519028231-3</t>
  </si>
  <si>
    <t>9519028231-5</t>
  </si>
  <si>
    <t>9519028231-6</t>
  </si>
  <si>
    <t>9519030952-1</t>
  </si>
  <si>
    <t>9519030952-2</t>
  </si>
  <si>
    <t>9518944233-7</t>
  </si>
  <si>
    <t>9518900193-14</t>
  </si>
  <si>
    <t>9518939588-11</t>
  </si>
  <si>
    <t>9519096071-1</t>
  </si>
  <si>
    <t>9519096071-3</t>
  </si>
  <si>
    <t>9519032653-1</t>
  </si>
  <si>
    <t>9519036272-9</t>
  </si>
  <si>
    <t>9519072913-1</t>
  </si>
  <si>
    <t>9519099563-7</t>
  </si>
  <si>
    <t>9519097437-6</t>
  </si>
  <si>
    <t>9519107089-3</t>
  </si>
  <si>
    <t>9519104694-4</t>
  </si>
  <si>
    <t>9519104694-5</t>
  </si>
  <si>
    <t>9519099563-13</t>
  </si>
  <si>
    <t>9519099563-14</t>
  </si>
  <si>
    <t>9519107089-1</t>
  </si>
  <si>
    <t>9518939680-29</t>
  </si>
  <si>
    <t>9518886012-3</t>
  </si>
  <si>
    <t>9519024914-5</t>
  </si>
  <si>
    <t>9519035613-2</t>
  </si>
  <si>
    <t>9519035613-3</t>
  </si>
  <si>
    <t>9519035613-5</t>
  </si>
  <si>
    <t>9519035613-7</t>
  </si>
  <si>
    <t>9519027787-5</t>
  </si>
  <si>
    <t>9519025430-1</t>
  </si>
  <si>
    <t>9519025430-2</t>
  </si>
  <si>
    <t>9519038135-1</t>
  </si>
  <si>
    <t>9519036272-4</t>
  </si>
  <si>
    <t>9519038643-4</t>
  </si>
  <si>
    <t>9519038643-5</t>
  </si>
  <si>
    <t>9519036388-3</t>
  </si>
  <si>
    <t>9519011540-1</t>
  </si>
  <si>
    <t>9519113387-2</t>
  </si>
  <si>
    <t>9519113387-3</t>
  </si>
  <si>
    <t>9519113387-4</t>
  </si>
  <si>
    <t>9519041216-1</t>
  </si>
  <si>
    <t>9519041216-2</t>
  </si>
  <si>
    <t>9519011538-1</t>
  </si>
  <si>
    <t>9519040469-2</t>
  </si>
  <si>
    <t>9519080347-1</t>
  </si>
  <si>
    <t>9519104694-6</t>
  </si>
  <si>
    <t>9518945221-3</t>
  </si>
  <si>
    <t>9519028231-2</t>
  </si>
  <si>
    <t>9519017114-1</t>
  </si>
  <si>
    <t>9519090170-3</t>
  </si>
  <si>
    <t>9519024849-1</t>
  </si>
  <si>
    <t>9519025763-1</t>
  </si>
  <si>
    <t>9519036143-9</t>
  </si>
  <si>
    <t>9519039752-1</t>
  </si>
  <si>
    <t>9519025273-1</t>
  </si>
  <si>
    <t>9519099563-8</t>
  </si>
  <si>
    <t>9519099563-9</t>
  </si>
  <si>
    <t>9519054625-5</t>
  </si>
  <si>
    <t>9519054625-6</t>
  </si>
  <si>
    <t>9519029800-1</t>
  </si>
  <si>
    <t>9519029800-2</t>
  </si>
  <si>
    <t>9518982165-1</t>
  </si>
  <si>
    <t>9519036143-3</t>
  </si>
  <si>
    <t>9519032510-2</t>
  </si>
  <si>
    <t>9519096071-5</t>
  </si>
  <si>
    <t>9519036388-1</t>
  </si>
  <si>
    <t>9519091866-3</t>
  </si>
  <si>
    <t>9519076414-4</t>
  </si>
  <si>
    <t>9519109856-4</t>
  </si>
  <si>
    <t>9519086006-1</t>
  </si>
  <si>
    <t>9518944236-9</t>
  </si>
  <si>
    <t>9519109833-1</t>
  </si>
  <si>
    <t>9519028090-4</t>
  </si>
  <si>
    <t>9519028090-5</t>
  </si>
  <si>
    <t>TEST</t>
  </si>
  <si>
    <t>OK</t>
  </si>
  <si>
    <t>Brand</t>
  </si>
  <si>
    <t>ZONE</t>
  </si>
  <si>
    <t>RM STR no</t>
  </si>
  <si>
    <t>RM tracking</t>
  </si>
  <si>
    <t>RM TDC</t>
  </si>
  <si>
    <t>RM matl code1</t>
  </si>
  <si>
    <t>Total planned GR</t>
  </si>
  <si>
    <t>FG 202540</t>
  </si>
  <si>
    <t>Total planned Dispatch</t>
  </si>
  <si>
    <t>Disp 202540</t>
  </si>
  <si>
    <t>CF stock Oct'25</t>
  </si>
  <si>
    <t>FG 202541</t>
  </si>
  <si>
    <t>FG 202542</t>
  </si>
  <si>
    <t>FG 202543</t>
  </si>
  <si>
    <t>FG 202544</t>
  </si>
  <si>
    <t>Disp 202541</t>
  </si>
  <si>
    <t>Disp 202542</t>
  </si>
  <si>
    <t>Disp 202543</t>
  </si>
  <si>
    <t>Disp 202544</t>
  </si>
  <si>
    <t>Bluescope</t>
  </si>
  <si>
    <t>IPP</t>
  </si>
  <si>
    <t>BPRS</t>
  </si>
  <si>
    <t>Tubes</t>
  </si>
  <si>
    <t>Kosh Narrow</t>
  </si>
  <si>
    <t>Kosh Wider</t>
  </si>
  <si>
    <t>IPP Stamping</t>
  </si>
  <si>
    <t>Steelium Milledge</t>
  </si>
  <si>
    <t>BPRS Stamping</t>
  </si>
  <si>
    <t>9518953204-1</t>
  </si>
  <si>
    <t>9518535497-1</t>
  </si>
  <si>
    <t>9518519364-1</t>
  </si>
  <si>
    <t>9518710315-1</t>
  </si>
  <si>
    <t>60917918-9</t>
  </si>
  <si>
    <t>9518620199-1</t>
  </si>
  <si>
    <t>9518807248-1</t>
  </si>
  <si>
    <t>60907771-14</t>
  </si>
  <si>
    <t>9518830129-1</t>
  </si>
  <si>
    <t>9518522829-1</t>
  </si>
  <si>
    <t>9518525587-1</t>
  </si>
  <si>
    <t>9518780835-1</t>
  </si>
  <si>
    <t>9518729536-1</t>
  </si>
  <si>
    <t>9518958914-2</t>
  </si>
  <si>
    <t>9518935944-2</t>
  </si>
  <si>
    <t>9518986468-1</t>
  </si>
  <si>
    <t>9518949719-1</t>
  </si>
  <si>
    <t>9518950115-11</t>
  </si>
  <si>
    <t>9519035254-1</t>
  </si>
  <si>
    <t>9519051785-1</t>
  </si>
  <si>
    <t>60938878-1</t>
  </si>
  <si>
    <t>9519050947-2</t>
  </si>
  <si>
    <t>9518988824-1</t>
  </si>
  <si>
    <t>9519108485-5</t>
  </si>
  <si>
    <t>9519108485-6</t>
  </si>
  <si>
    <t>9519098192-4</t>
  </si>
  <si>
    <t>60939640-11</t>
  </si>
  <si>
    <t>60929536-9</t>
  </si>
  <si>
    <t>9519069463-1</t>
  </si>
  <si>
    <t>9519114466-3</t>
  </si>
  <si>
    <t>9519092714-2</t>
  </si>
  <si>
    <t>9519092832-4</t>
  </si>
  <si>
    <t>9519092720-2</t>
  </si>
  <si>
    <t>9519096418-1</t>
  </si>
  <si>
    <t>9519112820-2</t>
  </si>
  <si>
    <t>60942015-4</t>
  </si>
  <si>
    <t>60942127-8</t>
  </si>
  <si>
    <t>FERRUS MART PRIVATE LIMITED</t>
  </si>
  <si>
    <t>SHREE BAJRANG STEEL UDYOG</t>
  </si>
  <si>
    <t>SOUTH</t>
  </si>
  <si>
    <t>NORTH</t>
  </si>
  <si>
    <t>EAST</t>
  </si>
  <si>
    <t>WEST</t>
  </si>
  <si>
    <t>9519072526-1</t>
  </si>
  <si>
    <t>9518994601-2</t>
  </si>
  <si>
    <t>9519028231-7</t>
  </si>
  <si>
    <t>9519107868-6</t>
  </si>
  <si>
    <t>9518995071-5</t>
  </si>
  <si>
    <t>9519116020-5</t>
  </si>
  <si>
    <t>9519116020-4</t>
  </si>
  <si>
    <t>9519110359-4</t>
  </si>
  <si>
    <t>9519114756-3</t>
  </si>
  <si>
    <t>9519114756-2</t>
  </si>
  <si>
    <t>9519077538-8</t>
  </si>
  <si>
    <t>9519077538-4</t>
  </si>
  <si>
    <t>9519077538-3</t>
  </si>
  <si>
    <t>9519077538-1</t>
  </si>
  <si>
    <t>9519038135-6</t>
  </si>
  <si>
    <t>9519038135-5</t>
  </si>
  <si>
    <t>9519038135-4</t>
  </si>
  <si>
    <t>9519031476-8</t>
  </si>
  <si>
    <t>9519024914-2</t>
  </si>
  <si>
    <t>9519024914-1</t>
  </si>
  <si>
    <t>9518959858-3</t>
  </si>
  <si>
    <t>9519096071-2</t>
  </si>
  <si>
    <t>9519097437-12</t>
  </si>
  <si>
    <t>9519097437-10</t>
  </si>
  <si>
    <t>9519097437-5</t>
  </si>
  <si>
    <t>9519099563-3</t>
  </si>
  <si>
    <t>9519104694-10</t>
  </si>
  <si>
    <t>9519104694-9</t>
  </si>
  <si>
    <t>9519104694-8</t>
  </si>
  <si>
    <t>9519104694-2</t>
  </si>
  <si>
    <t>9519104694-1</t>
  </si>
  <si>
    <t>9519109787-16</t>
  </si>
  <si>
    <t>9519109787-12</t>
  </si>
  <si>
    <t>9519109787-11</t>
  </si>
  <si>
    <t>9519105467-16</t>
  </si>
  <si>
    <t>9519105467-12</t>
  </si>
  <si>
    <t>9519105467-11</t>
  </si>
  <si>
    <t>9519105467-10</t>
  </si>
  <si>
    <t>9519105467-7</t>
  </si>
  <si>
    <t>9519088655-15</t>
  </si>
  <si>
    <t>9519088655-14</t>
  </si>
  <si>
    <t>9519088655-11</t>
  </si>
  <si>
    <t>9519088655-10</t>
  </si>
  <si>
    <t>9519088655-8</t>
  </si>
  <si>
    <t>9519088655-7</t>
  </si>
  <si>
    <t>9519088655-6</t>
  </si>
  <si>
    <t>9519088655-5</t>
  </si>
  <si>
    <t>9519088655-1</t>
  </si>
  <si>
    <t>9519098913-3</t>
  </si>
  <si>
    <t>9519098913-2</t>
  </si>
  <si>
    <t>9519112644-1</t>
  </si>
  <si>
    <t>9519109856-3</t>
  </si>
  <si>
    <t>9519109856-2</t>
  </si>
  <si>
    <t>9519109856-1</t>
  </si>
  <si>
    <t>9519101481-3</t>
  </si>
  <si>
    <t>9519101481-2</t>
  </si>
  <si>
    <t>9519101481-1</t>
  </si>
  <si>
    <t>9519094552-5</t>
  </si>
  <si>
    <t>9519094552-1</t>
  </si>
  <si>
    <t>9519090038-4</t>
  </si>
  <si>
    <t>9519090038-3</t>
  </si>
  <si>
    <t>9519090038-2</t>
  </si>
  <si>
    <t>9519086148-2</t>
  </si>
  <si>
    <t>9519086148-1</t>
  </si>
  <si>
    <t>9519075806-1</t>
  </si>
  <si>
    <t>9519057594-1</t>
  </si>
  <si>
    <t>9519028902-1</t>
  </si>
  <si>
    <t>9519038607-4</t>
  </si>
  <si>
    <t>9519038607-2</t>
  </si>
  <si>
    <t>9519038607-1</t>
  </si>
  <si>
    <t>OSP Oct'25</t>
  </si>
  <si>
    <t>Order Date</t>
  </si>
  <si>
    <t>Priority</t>
  </si>
  <si>
    <t>9519123100-2</t>
  </si>
  <si>
    <t>9519123118-1</t>
  </si>
  <si>
    <t>9519123118-2</t>
  </si>
  <si>
    <t>9519123118-3</t>
  </si>
  <si>
    <t>9519123183-1</t>
  </si>
  <si>
    <t>9519123183-2</t>
  </si>
  <si>
    <t>9519123183-3</t>
  </si>
  <si>
    <t>9519123053-1</t>
  </si>
  <si>
    <t>9519123053-2</t>
  </si>
  <si>
    <t>9519123053-3</t>
  </si>
  <si>
    <t>9519123053-4</t>
  </si>
  <si>
    <t>9519123053-5</t>
  </si>
  <si>
    <t>9519123053-6</t>
  </si>
  <si>
    <t>9519123075-1</t>
  </si>
  <si>
    <t>9519119802-1</t>
  </si>
  <si>
    <t>9519117547-8</t>
  </si>
  <si>
    <t>9519113387-1</t>
  </si>
  <si>
    <t>9519120008-3</t>
  </si>
  <si>
    <t>9519120008-4</t>
  </si>
  <si>
    <t>9519120008-5</t>
  </si>
  <si>
    <t>Andhra Pradesh</t>
  </si>
  <si>
    <t>Tamil Nadu</t>
  </si>
  <si>
    <t>Haryana</t>
  </si>
  <si>
    <t>Dadra, Nagarhaveli</t>
  </si>
  <si>
    <t>Uttar Pradesh</t>
  </si>
  <si>
    <t>Maharashtra</t>
  </si>
  <si>
    <t>Chhattisgarh</t>
  </si>
  <si>
    <t>Jammu &amp; Kashmir</t>
  </si>
  <si>
    <t>West Bengal</t>
  </si>
  <si>
    <t>Karnataka</t>
  </si>
  <si>
    <t>JAUSHNA STEELS (INDIA) PVT. LT</t>
  </si>
  <si>
    <t>PASA ASSOCIATES PRIVATE LIMITE</t>
  </si>
  <si>
    <t>TATA CENTRE</t>
  </si>
  <si>
    <t>TATA STEEL DOWNSTREAM PRODUCTS</t>
  </si>
  <si>
    <t>CRCA COIL TATXXD BT02 0.800X925</t>
  </si>
  <si>
    <t>CRCA SHEET TSBCRC SR15 0.950X1250X2500</t>
  </si>
  <si>
    <t>GP COIL XXXGPH GPH3 0.300X900</t>
  </si>
  <si>
    <t>Thk</t>
  </si>
  <si>
    <t>Bihar</t>
  </si>
  <si>
    <t>Telangana</t>
  </si>
  <si>
    <t>Rajasthan</t>
  </si>
  <si>
    <t>Orissa</t>
  </si>
  <si>
    <t>Jharkhand</t>
  </si>
  <si>
    <t>Assam</t>
  </si>
  <si>
    <t>9519121602-1</t>
  </si>
  <si>
    <t>9519123053-8</t>
  </si>
  <si>
    <t>9519123053-9</t>
  </si>
  <si>
    <t>9519123118-5</t>
  </si>
  <si>
    <t>9519123167-1</t>
  </si>
  <si>
    <t>9519123167-2</t>
  </si>
  <si>
    <t>9519123167-3</t>
  </si>
  <si>
    <t>9519123053-7</t>
  </si>
  <si>
    <t>9519123125-1</t>
  </si>
  <si>
    <t>9519123118-4</t>
  </si>
  <si>
    <t>9519121345-1</t>
  </si>
  <si>
    <t>CR COIL TATXXD BT01 0.900X1215</t>
  </si>
  <si>
    <t>CRCA COIL TATXXD BT01 1.200X1315</t>
  </si>
  <si>
    <t>CRCA COIL TATXXD BT01 0.900X1220</t>
  </si>
  <si>
    <t>CRCA COIL TATXXD BT01 1.200X1220</t>
  </si>
  <si>
    <t>PPGL C HARD Y550PL D0C7 0.310X1220</t>
  </si>
  <si>
    <t>TDC</t>
  </si>
  <si>
    <t>P Code</t>
  </si>
  <si>
    <t>Oct'25</t>
  </si>
  <si>
    <t>Grand Total</t>
  </si>
  <si>
    <t>CRCA Total</t>
  </si>
  <si>
    <t>GL Total</t>
  </si>
  <si>
    <t>GP Total</t>
  </si>
  <si>
    <t>PPGL Total</t>
  </si>
  <si>
    <t>Values</t>
  </si>
  <si>
    <t xml:space="preserve"> OSP Oct'25</t>
  </si>
  <si>
    <t xml:space="preserve"> Exp. BTF as on 01-10-25</t>
  </si>
  <si>
    <t>9519105662-10</t>
  </si>
  <si>
    <t>9519113281-1</t>
  </si>
  <si>
    <t>9519107794-1</t>
  </si>
  <si>
    <t>9519120008-1</t>
  </si>
  <si>
    <t>9519120008-2</t>
  </si>
  <si>
    <t>9519132309-1</t>
  </si>
  <si>
    <t>9519132309-2</t>
  </si>
  <si>
    <t>9519132309-4</t>
  </si>
  <si>
    <t>9519130976-1</t>
  </si>
  <si>
    <t>9519130976-2</t>
  </si>
  <si>
    <t>TATA BLUESCOPE STEEL PRIVATE L</t>
  </si>
  <si>
    <t>TUBE INVESTMENTS OF INDIA LIMI</t>
  </si>
  <si>
    <t>CR COIL SA1010 TU97 1.150X1250</t>
  </si>
  <si>
    <t>CRCA COIL SA1010 TU97 1.380X1250</t>
  </si>
  <si>
    <t>To log</t>
  </si>
  <si>
    <t>Sum of Exp. BTF as on 01-10-25</t>
  </si>
  <si>
    <t>Total</t>
  </si>
  <si>
    <t>9519138217-1</t>
  </si>
  <si>
    <t>9519138217-2</t>
  </si>
  <si>
    <t>9519138217-3</t>
  </si>
  <si>
    <t>9519138217-5</t>
  </si>
  <si>
    <t>9519138217-6</t>
  </si>
  <si>
    <t>9519138346-1</t>
  </si>
  <si>
    <t>9519138346-2</t>
  </si>
  <si>
    <t>9519138346-3</t>
  </si>
  <si>
    <t>9519138060-3</t>
  </si>
  <si>
    <t>9519114845-3</t>
  </si>
  <si>
    <t>9519114845-4</t>
  </si>
  <si>
    <t>9519138217-4</t>
  </si>
  <si>
    <t>9519138060-4</t>
  </si>
  <si>
    <t>9519135248-1</t>
  </si>
  <si>
    <t>9519135248-2</t>
  </si>
  <si>
    <t>9519138060-1</t>
  </si>
  <si>
    <t>9519138060-2</t>
  </si>
  <si>
    <t>9519138217-9</t>
  </si>
  <si>
    <t>9519138060-5</t>
  </si>
  <si>
    <t>9519138426-1</t>
  </si>
  <si>
    <t>9519138426-5</t>
  </si>
  <si>
    <t>9519099083-2</t>
  </si>
  <si>
    <t>9519138426-2</t>
  </si>
  <si>
    <t>9519138426-3</t>
  </si>
  <si>
    <t>9519138426-4</t>
  </si>
  <si>
    <t>9519138426-6</t>
  </si>
  <si>
    <t>PPGL C Y550 D0C7 0.33BMT(0.37TPT)X1220</t>
  </si>
  <si>
    <t>9519137724-2</t>
  </si>
  <si>
    <t>9519136994-3</t>
  </si>
  <si>
    <t>9519136994-2</t>
  </si>
  <si>
    <t>9519136994-1</t>
  </si>
  <si>
    <t>9519141094-1</t>
  </si>
  <si>
    <t>9519141143-1</t>
  </si>
  <si>
    <t>9519141143-2</t>
  </si>
  <si>
    <t>9519141143-3</t>
  </si>
  <si>
    <t>9519141143-4</t>
  </si>
  <si>
    <t>9519137706-1</t>
  </si>
  <si>
    <t>9519137706-2</t>
  </si>
  <si>
    <t>9519137706-3</t>
  </si>
  <si>
    <t>9519137706-6</t>
  </si>
  <si>
    <t>9519137706-7</t>
  </si>
  <si>
    <t>9519137706-8</t>
  </si>
  <si>
    <t>9519137724-1</t>
  </si>
  <si>
    <t>9519137724-5</t>
  </si>
  <si>
    <t>SAGAR STEELS PROCESSING &amp; MANU</t>
  </si>
  <si>
    <t>GP COIL SOFT-TATXGP-GLK1-0.55X900</t>
  </si>
  <si>
    <t>GP COIL TATXGP GLK2 0.450X1220</t>
  </si>
  <si>
    <t>West</t>
  </si>
  <si>
    <t>South</t>
  </si>
  <si>
    <t>East</t>
  </si>
  <si>
    <t>North</t>
  </si>
  <si>
    <t>TBSPL</t>
  </si>
  <si>
    <t>9519115421-1</t>
  </si>
  <si>
    <t>9519115421-3</t>
  </si>
  <si>
    <t>9519115421-4</t>
  </si>
  <si>
    <t>9519115421-5</t>
  </si>
  <si>
    <t>9519115421-7</t>
  </si>
  <si>
    <t>9519115421-8</t>
  </si>
  <si>
    <t>9519145140-1</t>
  </si>
  <si>
    <t>9519145140-2</t>
  </si>
  <si>
    <t>9519145140-3</t>
  </si>
  <si>
    <t>9519145140-4</t>
  </si>
  <si>
    <t>Angul Galvanizing Plant</t>
  </si>
  <si>
    <t>CRCA COIL SA1008 TU98 1X1250</t>
  </si>
  <si>
    <t>9519144746-1</t>
  </si>
  <si>
    <t>9519144746-2</t>
  </si>
  <si>
    <t>9519146199-1</t>
  </si>
  <si>
    <t>9519146199-2</t>
  </si>
  <si>
    <t>9519146199-3</t>
  </si>
  <si>
    <t>9519144746-3</t>
  </si>
  <si>
    <t>9519144746-4</t>
  </si>
  <si>
    <t>9519144746-5</t>
  </si>
  <si>
    <t>9519144746-6</t>
  </si>
  <si>
    <t>9519144746-7</t>
  </si>
  <si>
    <t>9519146271-1</t>
  </si>
  <si>
    <t>9519146271-6</t>
  </si>
  <si>
    <t>9519148419-1</t>
  </si>
  <si>
    <t>9519146271-2</t>
  </si>
  <si>
    <t>9519058218-3</t>
  </si>
  <si>
    <t>9519136821-3</t>
  </si>
  <si>
    <t>9519146271-3</t>
  </si>
  <si>
    <t>9519146271-4</t>
  </si>
  <si>
    <t>9519146271-5</t>
  </si>
  <si>
    <t>9519143205-1</t>
  </si>
  <si>
    <t>9519149928-4</t>
  </si>
  <si>
    <t>9519142346-1</t>
  </si>
  <si>
    <t>9519142346-2</t>
  </si>
  <si>
    <t>9519146150-2</t>
  </si>
  <si>
    <t>9519142746-1</t>
  </si>
  <si>
    <t>9519142346-3</t>
  </si>
  <si>
    <t>9519142346-4</t>
  </si>
  <si>
    <t>9519146150-1</t>
  </si>
  <si>
    <t>SOHNA</t>
  </si>
  <si>
    <t>PPGL C Y550 D0C7 0.30BMT(0.34TPT)X1220</t>
  </si>
  <si>
    <t>PPGL C HARD Y550PL D0C9 0.63(TPT)X1220</t>
  </si>
  <si>
    <t>9519144936-4</t>
  </si>
  <si>
    <t>9519148419-3</t>
  </si>
  <si>
    <t>9519148419-4</t>
  </si>
  <si>
    <t>9519146150-3</t>
  </si>
  <si>
    <t>9519146199-5</t>
  </si>
  <si>
    <t>Metalkraft Limited</t>
  </si>
  <si>
    <t>9519144936-1</t>
  </si>
  <si>
    <t>9519144936-2</t>
  </si>
  <si>
    <t>9519144936-3</t>
  </si>
  <si>
    <t>9519144746-8</t>
  </si>
  <si>
    <t>9519144746-9</t>
  </si>
  <si>
    <t>Jindal India</t>
  </si>
  <si>
    <t>9519142211-1</t>
  </si>
  <si>
    <t>9519148419-2</t>
  </si>
  <si>
    <t>9519148534-1</t>
  </si>
  <si>
    <t>GP hard wider</t>
  </si>
  <si>
    <t>GP hard narrow</t>
  </si>
  <si>
    <t>9519138217-7</t>
  </si>
  <si>
    <t>9519138217-8</t>
  </si>
  <si>
    <t>9519146199-4</t>
  </si>
  <si>
    <t>GL COIL HARD  Y550GL M308 0.630X1220</t>
  </si>
  <si>
    <t>9518921586-8</t>
  </si>
  <si>
    <t>9519114672-1</t>
  </si>
  <si>
    <t>9519054625-10</t>
  </si>
  <si>
    <t>9518975095-3</t>
  </si>
  <si>
    <t>9519155004-1</t>
  </si>
  <si>
    <t>9519155004-2</t>
  </si>
  <si>
    <t>9519157788-1</t>
  </si>
  <si>
    <t>9519157788-2</t>
  </si>
  <si>
    <t>9519157788-3</t>
  </si>
  <si>
    <t>9519157788-4</t>
  </si>
  <si>
    <t>GP COIL SOFT TATXGP ROS1 0.60X1220</t>
  </si>
  <si>
    <t>CRCA COIL TATXXD AH03 1.200X1250</t>
  </si>
  <si>
    <t>ROS1</t>
  </si>
  <si>
    <t>BTF 01.10.25</t>
  </si>
  <si>
    <t>FG Stock 01.10.25</t>
  </si>
  <si>
    <t>60893680-1</t>
  </si>
  <si>
    <t>60895201-22</t>
  </si>
  <si>
    <t>60943003-1</t>
  </si>
  <si>
    <t>60943798-1</t>
  </si>
  <si>
    <t>9517079217-15</t>
  </si>
  <si>
    <t>9517427639-3</t>
  </si>
  <si>
    <t>9517771144-8</t>
  </si>
  <si>
    <t>9517928529-1</t>
  </si>
  <si>
    <t>9518188607-1</t>
  </si>
  <si>
    <t>9518197222-2</t>
  </si>
  <si>
    <t>9518294311-1</t>
  </si>
  <si>
    <t>9518295812-2</t>
  </si>
  <si>
    <t>9518341433-2</t>
  </si>
  <si>
    <t>9518400614-9</t>
  </si>
  <si>
    <t>9518493528-7</t>
  </si>
  <si>
    <t>9518519620-1</t>
  </si>
  <si>
    <t>9518647736-1</t>
  </si>
  <si>
    <t>9518700211-1</t>
  </si>
  <si>
    <t>9518847268-13</t>
  </si>
  <si>
    <t>9518914097-1</t>
  </si>
  <si>
    <t>9518914097-2</t>
  </si>
  <si>
    <t>9519136720-2</t>
  </si>
  <si>
    <t>9519138592-1</t>
  </si>
  <si>
    <t>9519138677-7</t>
  </si>
  <si>
    <t>9519138677-8</t>
  </si>
  <si>
    <t>9519141861-1</t>
  </si>
  <si>
    <t>9519141861-2</t>
  </si>
  <si>
    <t>9519155895-1</t>
  </si>
  <si>
    <t>9519156223-1</t>
  </si>
  <si>
    <t>SPL2</t>
  </si>
  <si>
    <t>GANNAVARAM STOCKYARD</t>
  </si>
  <si>
    <t>HYDERABAD STOCKYARD</t>
  </si>
  <si>
    <t>PSPL STEEL PROCESSORS PRIVATE</t>
  </si>
  <si>
    <t>ROHIT &amp; COMPANY</t>
  </si>
  <si>
    <t>S K M STEELS LIMITED</t>
  </si>
  <si>
    <t>PURSHOTAM PROFILES PRIVATE LIM</t>
  </si>
  <si>
    <t>BESTEEL KUMMENCHERY,</t>
  </si>
  <si>
    <t>BHARTIA  DISTRIBUTORS PVT. LTD</t>
  </si>
  <si>
    <t>R.K .Metal Roofings Private Li</t>
  </si>
  <si>
    <t>GOVINDARAJA MUDALIAR SONS PVT</t>
  </si>
  <si>
    <t>S C SHETTAR &amp; SONS PRIVATE LIM</t>
  </si>
  <si>
    <t>CHANDRA CONTAINER MANUFACTURER</t>
  </si>
  <si>
    <t>Baba Container Manufacturers</t>
  </si>
  <si>
    <t>PRABH DAYAL OM PARKASH INFRA.</t>
  </si>
  <si>
    <t>MAHARASHTRA METAL INDUSTRIES P</t>
  </si>
  <si>
    <t>Balmer Lawrie And Company Limi</t>
  </si>
  <si>
    <t>Kumar Precision Stampings Pvt.</t>
  </si>
  <si>
    <t>GP SHEET SOFT-TATXGP-GK09-0.5X1220</t>
  </si>
  <si>
    <t>PPGL PROF Y550PL PLH1 0.430X1010X6100</t>
  </si>
  <si>
    <t>CRCA SHEET TATCRC SR16 0.400X1250X1980</t>
  </si>
  <si>
    <t>PPGL C Y550 HPL3 0.42BMT(0.50TPT)X1220</t>
  </si>
  <si>
    <t>CRCA SHEET TATCRC SR16 0.350X1000X1910</t>
  </si>
  <si>
    <t>GP COIL TATXGP GK09 0.630X1000</t>
  </si>
  <si>
    <t>PPGL C Y300 SPL2 0.430BMT(0.48TPT)X1100</t>
  </si>
  <si>
    <t>CR COIL-ICF TATXXD AU03 1.60X1250</t>
  </si>
  <si>
    <t>Stocks</t>
  </si>
  <si>
    <t>GP soft wider</t>
  </si>
  <si>
    <t xml:space="preserve"> BTF 01.10.25</t>
  </si>
  <si>
    <t>9519126750-1</t>
  </si>
  <si>
    <t>9519126750-2</t>
  </si>
  <si>
    <t>9519126750-3</t>
  </si>
  <si>
    <t>9519126750-4</t>
  </si>
  <si>
    <t>Gujarat</t>
  </si>
  <si>
    <t>CRCA SHEET TATXXD BT02 0.900X913X1800</t>
  </si>
  <si>
    <t>CRCA SHEET TATXXD BT02 0.970X913X1800</t>
  </si>
  <si>
    <t>CRCA SHEET TATXXD BT02 1.200X910X1800</t>
  </si>
  <si>
    <t>CRCA SHEET TATXXD BT02 1.200X914X1800</t>
  </si>
  <si>
    <t>9518914422-1</t>
  </si>
  <si>
    <t>9518886012-2</t>
  </si>
  <si>
    <t>9518946840-4</t>
  </si>
  <si>
    <t>9518988388-3</t>
  </si>
  <si>
    <t>9518988388-4</t>
  </si>
  <si>
    <t>9518988388-5</t>
  </si>
  <si>
    <t>9518858355-1</t>
  </si>
  <si>
    <t>9518938765-1</t>
  </si>
  <si>
    <t>9519114756-1</t>
  </si>
  <si>
    <t>9519161623-1</t>
  </si>
  <si>
    <t>9519163513-1</t>
  </si>
  <si>
    <t>9519163520-1</t>
  </si>
  <si>
    <t>9519163521-1</t>
  </si>
  <si>
    <t>9519164284-1</t>
  </si>
  <si>
    <t>9519164290-1</t>
  </si>
  <si>
    <t>9519164291-1</t>
  </si>
  <si>
    <t>9519164293-1</t>
  </si>
  <si>
    <t>9519164295-1</t>
  </si>
  <si>
    <t>9519164375-1</t>
  </si>
  <si>
    <t>9519054625-11</t>
  </si>
  <si>
    <t>01.10.2025</t>
  </si>
  <si>
    <t>03.10.2025</t>
  </si>
  <si>
    <t>CR COIL-ICF  DQ TATXXD AU03 1.00 X 1250</t>
  </si>
  <si>
    <t>GP COIL SOFT-TATXGP-GLK1-0.28X900</t>
  </si>
  <si>
    <t xml:space="preserve">FG </t>
  </si>
  <si>
    <t>GP Soft narrow</t>
  </si>
  <si>
    <t xml:space="preserve"> Total planned GR</t>
  </si>
  <si>
    <t xml:space="preserve"> FG 202540</t>
  </si>
  <si>
    <t xml:space="preserve"> FG 202541</t>
  </si>
  <si>
    <t xml:space="preserve"> FG 202542</t>
  </si>
  <si>
    <t xml:space="preserve"> FG 202543</t>
  </si>
  <si>
    <t xml:space="preserve"> FG 202544</t>
  </si>
  <si>
    <t xml:space="preserve"> FG Stock 01.10.25</t>
  </si>
  <si>
    <t xml:space="preserve"> Total planned Dispatch</t>
  </si>
  <si>
    <t xml:space="preserve"> Disp 202540</t>
  </si>
  <si>
    <t xml:space="preserve"> Disp 202541</t>
  </si>
  <si>
    <t xml:space="preserve"> Disp 202542</t>
  </si>
  <si>
    <t xml:space="preserve"> Disp 202543</t>
  </si>
  <si>
    <t xml:space="preserve"> Disp 202544</t>
  </si>
  <si>
    <t xml:space="preserve"> CF stock Oct'25</t>
  </si>
  <si>
    <t>Sale Org1</t>
  </si>
  <si>
    <t>Sale Org2</t>
  </si>
  <si>
    <t>Yard/Transfers</t>
  </si>
  <si>
    <t>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</si>
</sst>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1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Aptos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57">
    <xf numFmtId="0" fontId="0" fillId="0" borderId="0" xfId="0" applyNumberFormat="1"/>
    <xf numFmtId="0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8" fillId="0" borderId="0" xfId="0" applyNumberFormat="1" applyFont="1" applyFill="1" applyAlignment="1">
      <alignment horizontal="left"/>
    </xf>
    <xf numFmtId="164" fontId="8" fillId="0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 wrapText="1"/>
    </xf>
    <xf numFmtId="0" fontId="2" fillId="3" borderId="0" xfId="0" applyNumberFormat="1" applyFont="1" applyFill="1" applyAlignment="1">
      <alignment horizontal="center" vertical="top" wrapText="1"/>
    </xf>
    <xf numFmtId="0" fontId="4" fillId="4" borderId="0" xfId="0" applyNumberFormat="1" applyFont="1" applyFill="1" applyAlignment="1">
      <alignment horizontal="center" vertical="top" wrapText="1"/>
    </xf>
    <xf numFmtId="1" fontId="2" fillId="3" borderId="0" xfId="0" applyNumberFormat="1" applyFont="1" applyFill="1" applyAlignment="1">
      <alignment horizontal="center" vertical="top" wrapText="1"/>
    </xf>
    <xf numFmtId="1" fontId="4" fillId="6" borderId="0" xfId="0" applyNumberFormat="1" applyFont="1" applyFill="1" applyAlignment="1">
      <alignment horizontal="center" vertical="top" wrapText="1"/>
    </xf>
    <xf numFmtId="1" fontId="7" fillId="9" borderId="1" xfId="0" applyNumberFormat="1" applyFont="1" applyFill="1" applyBorder="1" applyAlignment="1">
      <alignment horizontal="center" vertical="top" wrapText="1"/>
    </xf>
    <xf numFmtId="1" fontId="5" fillId="7" borderId="1" xfId="0" applyNumberFormat="1" applyFont="1" applyFill="1" applyBorder="1" applyAlignment="1">
      <alignment horizontal="center" vertical="top" wrapText="1"/>
    </xf>
    <xf numFmtId="1" fontId="7" fillId="10" borderId="1" xfId="0" applyNumberFormat="1" applyFont="1" applyFill="1" applyBorder="1" applyAlignment="1">
      <alignment horizontal="center" vertical="top" wrapText="1"/>
    </xf>
    <xf numFmtId="1" fontId="5" fillId="2" borderId="1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Alignment="1">
      <alignment horizontal="center" vertical="top" wrapText="1"/>
    </xf>
    <xf numFmtId="0" fontId="3" fillId="0" borderId="0" xfId="0" applyNumberFormat="1" applyFont="1" applyAlignment="1">
      <alignment horizontal="center" vertical="top" wrapText="1"/>
    </xf>
    <xf numFmtId="1" fontId="2" fillId="2" borderId="0" xfId="0" applyNumberFormat="1" applyFont="1" applyFill="1" applyAlignment="1">
      <alignment horizontal="center" vertical="top" wrapText="1"/>
    </xf>
    <xf numFmtId="1" fontId="2" fillId="11" borderId="0" xfId="0" applyNumberFormat="1" applyFont="1" applyFill="1" applyAlignment="1">
      <alignment horizontal="center" vertical="top" wrapText="1"/>
    </xf>
    <xf numFmtId="1" fontId="0" fillId="0" borderId="0" xfId="0" applyNumberFormat="1" applyAlignment="1">
      <alignment horizontal="left"/>
    </xf>
    <xf numFmtId="0" fontId="0" fillId="0" borderId="0" xfId="0" pivotButton="1" applyNumberFormat="1"/>
    <xf numFmtId="0" fontId="0" fillId="0" borderId="0" xfId="0" applyNumberFormat="1" applyAlignment="1">
      <alignment wrapText="1"/>
    </xf>
    <xf numFmtId="0" fontId="0" fillId="0" borderId="0" xfId="0" pivotButton="1" applyNumberFormat="1" applyAlignment="1">
      <alignment wrapText="1"/>
    </xf>
    <xf numFmtId="0" fontId="0" fillId="0" borderId="0" xfId="0" applyNumberFormat="1" applyAlignment="1">
      <alignment horizontal="center" vertical="top"/>
    </xf>
    <xf numFmtId="0" fontId="0" fillId="0" borderId="1" xfId="0" pivotButton="1" applyNumberFormat="1" applyBorder="1" applyAlignment="1">
      <alignment horizontal="center" vertical="top"/>
    </xf>
    <xf numFmtId="0" fontId="0" fillId="0" borderId="1" xfId="0" applyNumberFormat="1" applyBorder="1" applyAlignment="1">
      <alignment horizontal="center" vertical="top" wrapText="1"/>
    </xf>
    <xf numFmtId="0" fontId="0" fillId="0" borderId="1" xfId="0" applyNumberFormat="1" applyBorder="1"/>
    <xf numFmtId="0" fontId="0" fillId="0" borderId="1" xfId="0" applyNumberFormat="1" applyBorder="1" applyAlignment="1">
      <alignment horizontal="left" wrapText="1"/>
    </xf>
    <xf numFmtId="1" fontId="0" fillId="0" borderId="1" xfId="0" applyNumberFormat="1" applyBorder="1" applyAlignment="1">
      <alignment horizontal="left" wrapText="1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left" wrapText="1"/>
    </xf>
    <xf numFmtId="1" fontId="0" fillId="2" borderId="1" xfId="0" applyNumberFormat="1" applyFill="1" applyBorder="1" applyAlignment="1">
      <alignment horizontal="left" wrapText="1"/>
    </xf>
    <xf numFmtId="0" fontId="1" fillId="5" borderId="0" xfId="0" applyNumberFormat="1" applyFont="1" applyFill="1" applyAlignment="1">
      <alignment horizontal="left"/>
    </xf>
    <xf numFmtId="0" fontId="0" fillId="0" borderId="0" xfId="0" applyNumberFormat="1" applyAlignment="1">
      <alignment horizontal="center" vertical="top" wrapText="1"/>
    </xf>
    <xf numFmtId="0" fontId="2" fillId="8" borderId="0" xfId="0" applyNumberFormat="1" applyFont="1" applyFill="1" applyAlignment="1">
      <alignment horizontal="center" vertical="top" wrapText="1"/>
    </xf>
    <xf numFmtId="0" fontId="2" fillId="12" borderId="0" xfId="0" applyNumberFormat="1" applyFont="1" applyFill="1" applyAlignment="1">
      <alignment horizontal="center" vertical="top" wrapText="1"/>
    </xf>
    <xf numFmtId="1" fontId="9" fillId="0" borderId="2" xfId="0" applyNumberFormat="1" applyFont="1" applyBorder="1" applyAlignment="1">
      <alignment horizontal="left"/>
    </xf>
    <xf numFmtId="1" fontId="0" fillId="0" borderId="0" xfId="0" applyNumberFormat="1" applyAlignment="1">
      <alignment horizontal="center" vertical="top" wrapText="1"/>
    </xf>
    <xf numFmtId="1" fontId="0" fillId="0" borderId="0" xfId="0" pivotButton="1" applyNumberFormat="1" applyAlignment="1">
      <alignment horizontal="center" vertical="top" wrapText="1"/>
    </xf>
    <xf numFmtId="1" fontId="11" fillId="2" borderId="1" xfId="0" applyNumberFormat="1" applyFont="1" applyFill="1" applyBorder="1" applyAlignment="1">
      <alignment horizontal="center" vertical="top" wrapText="1"/>
    </xf>
    <xf numFmtId="1" fontId="11" fillId="12" borderId="1" xfId="0" applyNumberFormat="1" applyFont="1" applyFill="1" applyBorder="1" applyAlignment="1">
      <alignment horizontal="center" vertical="top" wrapText="1"/>
    </xf>
    <xf numFmtId="1" fontId="11" fillId="7" borderId="1" xfId="0" applyNumberFormat="1" applyFont="1" applyFill="1" applyBorder="1" applyAlignment="1">
      <alignment horizontal="center" vertical="top" wrapText="1"/>
    </xf>
    <xf numFmtId="1" fontId="11" fillId="14" borderId="1" xfId="0" applyNumberFormat="1" applyFont="1" applyFill="1" applyBorder="1" applyAlignment="1">
      <alignment horizontal="center" vertical="top" wrapText="1"/>
    </xf>
    <xf numFmtId="1" fontId="11" fillId="15" borderId="1" xfId="0" applyNumberFormat="1" applyFont="1" applyFill="1" applyBorder="1" applyAlignment="1">
      <alignment horizontal="center" vertical="top" wrapText="1"/>
    </xf>
    <xf numFmtId="1" fontId="10" fillId="13" borderId="1" xfId="0" applyNumberFormat="1" applyFont="1" applyFill="1" applyBorder="1" applyAlignment="1">
      <alignment horizontal="center" vertical="top" wrapText="1"/>
    </xf>
    <xf numFmtId="1" fontId="10" fillId="2" borderId="1" xfId="0" applyNumberFormat="1" applyFont="1" applyFill="1" applyBorder="1" applyAlignment="1">
      <alignment horizontal="center" vertical="top" wrapText="1"/>
    </xf>
    <xf numFmtId="1" fontId="10" fillId="12" borderId="1" xfId="0" applyNumberFormat="1" applyFont="1" applyFill="1" applyBorder="1" applyAlignment="1">
      <alignment horizontal="center" vertical="top" wrapText="1"/>
    </xf>
    <xf numFmtId="1" fontId="10" fillId="7" borderId="1" xfId="0" applyNumberFormat="1" applyFont="1" applyFill="1" applyBorder="1" applyAlignment="1">
      <alignment horizontal="center" vertical="top" wrapText="1"/>
    </xf>
    <xf numFmtId="1" fontId="10" fillId="14" borderId="1" xfId="0" applyNumberFormat="1" applyFont="1" applyFill="1" applyBorder="1" applyAlignment="1">
      <alignment horizontal="center" vertical="top" wrapText="1"/>
    </xf>
    <xf numFmtId="1" fontId="10" fillId="15" borderId="1" xfId="0" applyNumberFormat="1" applyFont="1" applyFill="1" applyBorder="1" applyAlignment="1">
      <alignment horizontal="center" vertical="top" wrapText="1"/>
    </xf>
    <xf numFmtId="0" fontId="0" fillId="0" borderId="0" xfId="0" applyNumberFormat="1" applyAlignment="1">
      <alignment horizontal="left" vertical="top" wrapText="1"/>
    </xf>
    <xf numFmtId="0" fontId="11" fillId="2" borderId="1" xfId="0" applyNumberFormat="1" applyFont="1" applyFill="1" applyBorder="1" applyAlignment="1">
      <alignment horizontal="left" vertical="top" wrapText="1"/>
    </xf>
    <xf numFmtId="0" fontId="10" fillId="13" borderId="1" xfId="0" applyNumberFormat="1" applyFont="1" applyFill="1" applyBorder="1" applyAlignment="1">
      <alignment horizontal="left" vertical="top" wrapText="1"/>
    </xf>
    <xf numFmtId="0" fontId="10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1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top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alignment horizontal="left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20647\Downloads\zvsostatus%2019.XLSX" TargetMode="External"/><Relationship Id="rId1" Type="http://schemas.openxmlformats.org/officeDocument/2006/relationships/externalLinkPath" Target="Order%20load%20working/zvsostatus%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20647\Downloads\sghh.XLSX" TargetMode="External"/><Relationship Id="rId1" Type="http://schemas.openxmlformats.org/officeDocument/2006/relationships/externalLinkPath" Target="file:///C:\Users\920647\Downloads\sgh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12403\Downloads\Oct'25%20SignOff%20V1.xlsb" TargetMode="External"/><Relationship Id="rId1" Type="http://schemas.openxmlformats.org/officeDocument/2006/relationships/externalLinkPath" Target="file:///C:\Users\912403\Downloads\Oct'25%20SignOff%20V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1">
          <cell r="G1" t="str">
            <v>SO-ITEM</v>
          </cell>
          <cell r="H1" t="str">
            <v>ORDER DATE</v>
          </cell>
          <cell r="I1" t="str">
            <v>SOLD. CUST. NAME</v>
          </cell>
          <cell r="J1" t="str">
            <v>SALES ORG.</v>
          </cell>
          <cell r="K1" t="str">
            <v>EDGE</v>
          </cell>
          <cell r="L1" t="str">
            <v>MIN_COIL_WT</v>
          </cell>
          <cell r="M1" t="str">
            <v>MAX_COIL_WT</v>
          </cell>
          <cell r="N1" t="str">
            <v>GRADE</v>
          </cell>
          <cell r="O1" t="str">
            <v>Material</v>
          </cell>
          <cell r="P1" t="str">
            <v>MATERIAL DESC.</v>
          </cell>
          <cell r="Q1" t="str">
            <v>THICKNESS</v>
          </cell>
          <cell r="R1" t="str">
            <v>WIDTH/OD</v>
          </cell>
          <cell r="S1" t="str">
            <v>Order Qty in MT</v>
          </cell>
          <cell r="T1" t="str">
            <v>DESPATCH(MT)</v>
          </cell>
          <cell r="U1" t="str">
            <v>BAL FOR PROD/ROLL(MT)</v>
          </cell>
          <cell r="V1" t="str">
            <v>PCODE</v>
          </cell>
          <cell r="W1" t="str">
            <v>Q CODE</v>
          </cell>
          <cell r="X1" t="str">
            <v>TDC NO</v>
          </cell>
          <cell r="Y1" t="str">
            <v>FINISH PROD</v>
          </cell>
          <cell r="Z1" t="str">
            <v>TOP COLOUR</v>
          </cell>
          <cell r="AA1" t="str">
            <v>TOP COL.TYPE</v>
          </cell>
          <cell r="AB1" t="str">
            <v>BOTTOM COLOUR</v>
          </cell>
          <cell r="AC1" t="str">
            <v>BOTTOM COL.TYPE</v>
          </cell>
          <cell r="AD1" t="str">
            <v>PLANT</v>
          </cell>
          <cell r="AE1" t="str">
            <v>SALES DOC TYPE</v>
          </cell>
        </row>
        <row r="2">
          <cell r="G2" t="str">
            <v>9518822216-1</v>
          </cell>
          <cell r="H2">
            <v>45811</v>
          </cell>
          <cell r="I2" t="str">
            <v>G R GUPTA &amp; BROS</v>
          </cell>
          <cell r="J2">
            <v>2000</v>
          </cell>
          <cell r="K2" t="str">
            <v>Trimming at PLTCM</v>
          </cell>
          <cell r="L2">
            <v>10</v>
          </cell>
          <cell r="M2">
            <v>30</v>
          </cell>
          <cell r="N2" t="str">
            <v>AU03</v>
          </cell>
          <cell r="O2">
            <v>185675</v>
          </cell>
          <cell r="P2" t="str">
            <v>CRCA COIL-TATXXD-AU03-0.5X1250</v>
          </cell>
          <cell r="Q2">
            <v>0.5</v>
          </cell>
          <cell r="R2">
            <v>1250</v>
          </cell>
          <cell r="S2">
            <v>1E-3</v>
          </cell>
          <cell r="T2">
            <v>0</v>
          </cell>
          <cell r="U2">
            <v>1E-3</v>
          </cell>
          <cell r="V2" t="str">
            <v>C01</v>
          </cell>
          <cell r="W2" t="str">
            <v>TATXXD</v>
          </cell>
          <cell r="X2" t="str">
            <v>AU03</v>
          </cell>
          <cell r="Y2">
            <v>0</v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>
            <v>742</v>
          </cell>
          <cell r="AE2" t="str">
            <v>ZBTO</v>
          </cell>
        </row>
        <row r="3">
          <cell r="G3" t="str">
            <v>9518822216-2</v>
          </cell>
          <cell r="H3">
            <v>45811</v>
          </cell>
          <cell r="I3" t="str">
            <v>G R GUPTA &amp; BROS</v>
          </cell>
          <cell r="J3">
            <v>2000</v>
          </cell>
          <cell r="K3" t="str">
            <v>Untrimmed edge</v>
          </cell>
          <cell r="L3">
            <v>10</v>
          </cell>
          <cell r="M3">
            <v>30</v>
          </cell>
          <cell r="N3" t="str">
            <v>AU03</v>
          </cell>
          <cell r="O3">
            <v>1801290</v>
          </cell>
          <cell r="P3" t="str">
            <v>CRCA COIL-TATXXD-AU03-0.6X1250</v>
          </cell>
          <cell r="Q3">
            <v>0.6</v>
          </cell>
          <cell r="R3">
            <v>1250</v>
          </cell>
          <cell r="S3">
            <v>115.99</v>
          </cell>
          <cell r="T3">
            <v>0</v>
          </cell>
          <cell r="U3">
            <v>115.99</v>
          </cell>
          <cell r="V3" t="str">
            <v>C01</v>
          </cell>
          <cell r="W3" t="str">
            <v>TATXXD</v>
          </cell>
          <cell r="X3" t="str">
            <v>AU03</v>
          </cell>
          <cell r="Y3">
            <v>0</v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>
            <v>742</v>
          </cell>
          <cell r="AE3" t="str">
            <v>ZBTO</v>
          </cell>
        </row>
        <row r="4">
          <cell r="G4" t="str">
            <v>9518822216-3</v>
          </cell>
          <cell r="H4">
            <v>45811</v>
          </cell>
          <cell r="I4" t="str">
            <v>G R GUPTA &amp; BROS</v>
          </cell>
          <cell r="J4">
            <v>2000</v>
          </cell>
          <cell r="K4" t="str">
            <v>Untrimmed edge</v>
          </cell>
          <cell r="L4">
            <v>10</v>
          </cell>
          <cell r="M4">
            <v>30</v>
          </cell>
          <cell r="N4" t="str">
            <v>AU03</v>
          </cell>
          <cell r="O4">
            <v>1804814</v>
          </cell>
          <cell r="P4" t="str">
            <v>CRCA COIL TATXXD AU03 0.8X1250</v>
          </cell>
          <cell r="Q4">
            <v>0.8</v>
          </cell>
          <cell r="R4">
            <v>1250</v>
          </cell>
          <cell r="S4">
            <v>1E-3</v>
          </cell>
          <cell r="T4">
            <v>110.27</v>
          </cell>
          <cell r="U4">
            <v>-110.26900000000001</v>
          </cell>
          <cell r="V4" t="str">
            <v>C01</v>
          </cell>
          <cell r="W4" t="str">
            <v>TATXXD</v>
          </cell>
          <cell r="X4" t="str">
            <v>AU03</v>
          </cell>
          <cell r="Y4">
            <v>110.27</v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>
            <v>742</v>
          </cell>
          <cell r="AE4" t="str">
            <v>ZBTO</v>
          </cell>
        </row>
        <row r="5">
          <cell r="G5" t="str">
            <v>9518822216-4</v>
          </cell>
          <cell r="H5">
            <v>45811</v>
          </cell>
          <cell r="I5" t="str">
            <v>G R GUPTA &amp; BROS</v>
          </cell>
          <cell r="J5">
            <v>2000</v>
          </cell>
          <cell r="K5" t="str">
            <v>Untrimmed edge</v>
          </cell>
          <cell r="L5">
            <v>10</v>
          </cell>
          <cell r="M5">
            <v>30</v>
          </cell>
          <cell r="N5" t="str">
            <v>STEELIUM</v>
          </cell>
          <cell r="O5">
            <v>1801804</v>
          </cell>
          <cell r="P5" t="str">
            <v>CRCA COIL-TATXXD-AU03-1X1250</v>
          </cell>
          <cell r="Q5">
            <v>1</v>
          </cell>
          <cell r="R5">
            <v>1250</v>
          </cell>
          <cell r="S5">
            <v>1E-3</v>
          </cell>
          <cell r="T5">
            <v>68.53</v>
          </cell>
          <cell r="U5">
            <v>-68.528999999999996</v>
          </cell>
          <cell r="V5" t="str">
            <v>C01</v>
          </cell>
          <cell r="W5" t="str">
            <v>TATXXD</v>
          </cell>
          <cell r="X5" t="str">
            <v>AU03</v>
          </cell>
          <cell r="Y5">
            <v>68.53</v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>
            <v>742</v>
          </cell>
          <cell r="AE5" t="str">
            <v>ZBTO</v>
          </cell>
        </row>
        <row r="6">
          <cell r="G6" t="str">
            <v>9518822216-5</v>
          </cell>
          <cell r="H6">
            <v>45811</v>
          </cell>
          <cell r="I6" t="str">
            <v>G R GUPTA &amp; BROS</v>
          </cell>
          <cell r="J6">
            <v>2000</v>
          </cell>
          <cell r="K6" t="str">
            <v>Untrimmed edge</v>
          </cell>
          <cell r="L6">
            <v>10</v>
          </cell>
          <cell r="M6">
            <v>30</v>
          </cell>
          <cell r="N6" t="str">
            <v>STEELIUM</v>
          </cell>
          <cell r="O6">
            <v>1804854</v>
          </cell>
          <cell r="P6" t="str">
            <v>CRCA COIL-TATXXD-AU03-1.2X1250</v>
          </cell>
          <cell r="Q6">
            <v>1.2</v>
          </cell>
          <cell r="R6">
            <v>1250</v>
          </cell>
          <cell r="S6">
            <v>1E-3</v>
          </cell>
          <cell r="T6">
            <v>50.38</v>
          </cell>
          <cell r="U6">
            <v>-50.378999999999998</v>
          </cell>
          <cell r="V6" t="str">
            <v>C01</v>
          </cell>
          <cell r="W6" t="str">
            <v>TATXXD</v>
          </cell>
          <cell r="X6" t="str">
            <v>AU03</v>
          </cell>
          <cell r="Y6">
            <v>50.38</v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>
            <v>742</v>
          </cell>
          <cell r="AE6" t="str">
            <v>ZBTO</v>
          </cell>
        </row>
        <row r="7">
          <cell r="G7" t="str">
            <v>9518822216-6</v>
          </cell>
          <cell r="H7">
            <v>45811</v>
          </cell>
          <cell r="I7" t="str">
            <v>G R GUPTA &amp; BROS</v>
          </cell>
          <cell r="J7">
            <v>2000</v>
          </cell>
          <cell r="K7" t="str">
            <v>Untrimmed edge</v>
          </cell>
          <cell r="L7">
            <v>10</v>
          </cell>
          <cell r="M7">
            <v>30</v>
          </cell>
          <cell r="N7" t="str">
            <v>STEELIUM</v>
          </cell>
          <cell r="O7">
            <v>2334995</v>
          </cell>
          <cell r="P7" t="str">
            <v>CRCA COIL TATXXD AU03 1.500X1250</v>
          </cell>
          <cell r="Q7">
            <v>1.5</v>
          </cell>
          <cell r="R7">
            <v>1250</v>
          </cell>
          <cell r="S7">
            <v>1E-3</v>
          </cell>
          <cell r="T7">
            <v>71.855000000000004</v>
          </cell>
          <cell r="U7">
            <v>-71.853999999999999</v>
          </cell>
          <cell r="V7" t="str">
            <v>C01</v>
          </cell>
          <cell r="W7" t="str">
            <v>TATXXD</v>
          </cell>
          <cell r="X7" t="str">
            <v>AU03</v>
          </cell>
          <cell r="Y7">
            <v>71.855000000000004</v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>
            <v>742</v>
          </cell>
          <cell r="AE7" t="str">
            <v>ZBTO</v>
          </cell>
        </row>
        <row r="8">
          <cell r="G8" t="str">
            <v>9518822216-7</v>
          </cell>
          <cell r="H8">
            <v>45811</v>
          </cell>
          <cell r="I8" t="str">
            <v>G R GUPTA &amp; BROS</v>
          </cell>
          <cell r="J8">
            <v>2000</v>
          </cell>
          <cell r="K8" t="str">
            <v>Untrimmed edge</v>
          </cell>
          <cell r="L8">
            <v>10</v>
          </cell>
          <cell r="M8">
            <v>30</v>
          </cell>
          <cell r="N8" t="str">
            <v>STEELIUM</v>
          </cell>
          <cell r="O8">
            <v>2193598</v>
          </cell>
          <cell r="P8" t="str">
            <v>CRCA COIL TATXXD AU03 1.900X1250</v>
          </cell>
          <cell r="Q8">
            <v>1.9</v>
          </cell>
          <cell r="R8">
            <v>1250</v>
          </cell>
          <cell r="S8">
            <v>116</v>
          </cell>
          <cell r="T8">
            <v>92.765000000000001</v>
          </cell>
          <cell r="U8">
            <v>23.234999999999999</v>
          </cell>
          <cell r="V8" t="str">
            <v>C01</v>
          </cell>
          <cell r="W8" t="str">
            <v>TATXXD</v>
          </cell>
          <cell r="X8" t="str">
            <v>AU03</v>
          </cell>
          <cell r="Y8">
            <v>92.765000000000001</v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>
            <v>742</v>
          </cell>
          <cell r="AE8" t="str">
            <v>ZBTO</v>
          </cell>
        </row>
        <row r="9">
          <cell r="G9" t="str">
            <v>9518822216-8</v>
          </cell>
          <cell r="H9">
            <v>45811</v>
          </cell>
          <cell r="I9" t="str">
            <v>G R GUPTA &amp; BROS</v>
          </cell>
          <cell r="J9">
            <v>2000</v>
          </cell>
          <cell r="K9" t="str">
            <v>Untrimmed edge</v>
          </cell>
          <cell r="L9">
            <v>10</v>
          </cell>
          <cell r="M9">
            <v>30</v>
          </cell>
          <cell r="N9" t="str">
            <v>AU03</v>
          </cell>
          <cell r="O9">
            <v>1884117</v>
          </cell>
          <cell r="P9" t="str">
            <v>CRCA COIL-TATXXD-AU03-2X1250</v>
          </cell>
          <cell r="Q9">
            <v>2</v>
          </cell>
          <cell r="R9">
            <v>1250</v>
          </cell>
          <cell r="S9">
            <v>1E-3</v>
          </cell>
          <cell r="T9">
            <v>100.53</v>
          </cell>
          <cell r="U9">
            <v>-100.529</v>
          </cell>
          <cell r="V9" t="str">
            <v>C01</v>
          </cell>
          <cell r="W9" t="str">
            <v>TATXXD</v>
          </cell>
          <cell r="X9" t="str">
            <v>AU03</v>
          </cell>
          <cell r="Y9">
            <v>100.53</v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>
            <v>742</v>
          </cell>
          <cell r="AE9" t="str">
            <v>ZBTO</v>
          </cell>
        </row>
        <row r="10">
          <cell r="G10" t="str">
            <v>9518822216-9</v>
          </cell>
          <cell r="H10">
            <v>45811</v>
          </cell>
          <cell r="I10" t="str">
            <v>G R GUPTA &amp; BROS</v>
          </cell>
          <cell r="J10">
            <v>2000</v>
          </cell>
          <cell r="K10" t="str">
            <v>Untrimmed edge</v>
          </cell>
          <cell r="L10">
            <v>10</v>
          </cell>
          <cell r="M10">
            <v>30</v>
          </cell>
          <cell r="N10" t="str">
            <v>STEELIUM</v>
          </cell>
          <cell r="O10">
            <v>2155233</v>
          </cell>
          <cell r="P10" t="str">
            <v>CRCA COIL TATXXD AU03 2.5X1250</v>
          </cell>
          <cell r="Q10">
            <v>2.5</v>
          </cell>
          <cell r="R10">
            <v>1250</v>
          </cell>
          <cell r="S10">
            <v>1E-3</v>
          </cell>
          <cell r="T10">
            <v>25.234999999999999</v>
          </cell>
          <cell r="U10">
            <v>-25.234000000000002</v>
          </cell>
          <cell r="V10" t="str">
            <v>C01</v>
          </cell>
          <cell r="W10" t="str">
            <v>TATXXD</v>
          </cell>
          <cell r="X10" t="str">
            <v>AU03</v>
          </cell>
          <cell r="Y10">
            <v>25.234999999999999</v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>
            <v>742</v>
          </cell>
          <cell r="AE10" t="str">
            <v>ZBTO</v>
          </cell>
        </row>
        <row r="11">
          <cell r="G11" t="str">
            <v>9518822216-10</v>
          </cell>
          <cell r="H11">
            <v>45811</v>
          </cell>
          <cell r="I11" t="str">
            <v>G R GUPTA &amp; BROS</v>
          </cell>
          <cell r="J11">
            <v>2000</v>
          </cell>
          <cell r="K11" t="str">
            <v>Untrimmed edge</v>
          </cell>
          <cell r="L11">
            <v>10</v>
          </cell>
          <cell r="M11">
            <v>30</v>
          </cell>
          <cell r="N11" t="str">
            <v>STEELIUM</v>
          </cell>
          <cell r="O11">
            <v>2155233</v>
          </cell>
          <cell r="P11" t="str">
            <v>CRCA COIL TATXXD AU03 2.5X1250</v>
          </cell>
          <cell r="Q11">
            <v>2.5</v>
          </cell>
          <cell r="R11">
            <v>1250</v>
          </cell>
          <cell r="S11">
            <v>1E-3</v>
          </cell>
          <cell r="T11">
            <v>25.6</v>
          </cell>
          <cell r="U11">
            <v>-25.599</v>
          </cell>
          <cell r="V11" t="str">
            <v>C01</v>
          </cell>
          <cell r="W11" t="str">
            <v>TATXXD</v>
          </cell>
          <cell r="X11" t="str">
            <v>AU03</v>
          </cell>
          <cell r="Y11">
            <v>25.6</v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>
            <v>742</v>
          </cell>
          <cell r="AE11" t="str">
            <v>ZBTO</v>
          </cell>
        </row>
        <row r="12">
          <cell r="G12" t="str">
            <v>9518822216-11</v>
          </cell>
          <cell r="H12">
            <v>45811</v>
          </cell>
          <cell r="I12" t="str">
            <v>G R GUPTA &amp; BROS</v>
          </cell>
          <cell r="J12">
            <v>2000</v>
          </cell>
          <cell r="K12" t="str">
            <v>Untrimmed edge</v>
          </cell>
          <cell r="L12">
            <v>10</v>
          </cell>
          <cell r="M12">
            <v>30</v>
          </cell>
          <cell r="N12" t="str">
            <v>STEELIUM</v>
          </cell>
          <cell r="O12">
            <v>2155233</v>
          </cell>
          <cell r="P12" t="str">
            <v>CRCA COIL TATXXD AU03 2.5X1250</v>
          </cell>
          <cell r="Q12">
            <v>2.5</v>
          </cell>
          <cell r="R12">
            <v>1250</v>
          </cell>
          <cell r="S12">
            <v>1E-3</v>
          </cell>
          <cell r="T12">
            <v>25.414999999999999</v>
          </cell>
          <cell r="U12">
            <v>-25.414000000000001</v>
          </cell>
          <cell r="V12" t="str">
            <v>C01</v>
          </cell>
          <cell r="W12" t="str">
            <v>TATXXD</v>
          </cell>
          <cell r="X12" t="str">
            <v>AU03</v>
          </cell>
          <cell r="Y12">
            <v>25.414999999999999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>
            <v>742</v>
          </cell>
          <cell r="AE12" t="str">
            <v>ZBTO</v>
          </cell>
        </row>
        <row r="13">
          <cell r="G13" t="str">
            <v>9518842263-1</v>
          </cell>
          <cell r="H13">
            <v>45819</v>
          </cell>
          <cell r="I13" t="str">
            <v>SITARAM IRON AND STEEL PVT LTD</v>
          </cell>
          <cell r="J13">
            <v>2000</v>
          </cell>
          <cell r="K13" t="str">
            <v>Trimming at PLTCM</v>
          </cell>
          <cell r="L13">
            <v>2</v>
          </cell>
          <cell r="M13">
            <v>3</v>
          </cell>
          <cell r="N13" t="str">
            <v>O/D GRADES</v>
          </cell>
          <cell r="O13">
            <v>3239535</v>
          </cell>
          <cell r="P13" t="str">
            <v>CRCA SHEET TATCRC SR16 0.350X900X2440</v>
          </cell>
          <cell r="Q13">
            <v>0.35</v>
          </cell>
          <cell r="R13">
            <v>900</v>
          </cell>
          <cell r="S13">
            <v>41.999000000000002</v>
          </cell>
          <cell r="T13">
            <v>30.59</v>
          </cell>
          <cell r="U13">
            <v>6.0039999999999996</v>
          </cell>
          <cell r="V13" t="str">
            <v>C06</v>
          </cell>
          <cell r="W13" t="str">
            <v>TATCRC</v>
          </cell>
          <cell r="X13" t="str">
            <v>SR16</v>
          </cell>
          <cell r="Y13">
            <v>35.994999999999997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>
            <v>742</v>
          </cell>
          <cell r="AE13" t="str">
            <v>ZBTO</v>
          </cell>
        </row>
        <row r="14">
          <cell r="G14" t="str">
            <v>9518842263-2</v>
          </cell>
          <cell r="H14">
            <v>45819</v>
          </cell>
          <cell r="I14" t="str">
            <v>SITARAM IRON AND STEEL PVT LTD</v>
          </cell>
          <cell r="J14">
            <v>2000</v>
          </cell>
          <cell r="K14" t="str">
            <v>Trimming at PLTCM</v>
          </cell>
          <cell r="L14">
            <v>2</v>
          </cell>
          <cell r="M14">
            <v>3</v>
          </cell>
          <cell r="N14" t="str">
            <v>O/D GRADES</v>
          </cell>
          <cell r="O14">
            <v>3239540</v>
          </cell>
          <cell r="P14" t="str">
            <v>CRCA SHEET TATCRC SR16 0.350X1000X2440</v>
          </cell>
          <cell r="Q14">
            <v>0.35</v>
          </cell>
          <cell r="R14">
            <v>1000</v>
          </cell>
          <cell r="S14">
            <v>69</v>
          </cell>
          <cell r="T14">
            <v>0</v>
          </cell>
          <cell r="U14">
            <v>16.504999999999999</v>
          </cell>
          <cell r="V14" t="str">
            <v>C06</v>
          </cell>
          <cell r="W14" t="str">
            <v>TATCRC</v>
          </cell>
          <cell r="X14" t="str">
            <v>SR16</v>
          </cell>
          <cell r="Y14">
            <v>52.494999999999997</v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>
            <v>742</v>
          </cell>
          <cell r="AE14" t="str">
            <v>ZBTO</v>
          </cell>
        </row>
        <row r="15">
          <cell r="G15" t="str">
            <v>9518842263-3</v>
          </cell>
          <cell r="H15">
            <v>45819</v>
          </cell>
          <cell r="I15" t="str">
            <v>SITARAM IRON AND STEEL PVT LTD</v>
          </cell>
          <cell r="J15">
            <v>2000</v>
          </cell>
          <cell r="K15" t="str">
            <v>Trimming at PLTCM</v>
          </cell>
          <cell r="L15">
            <v>2</v>
          </cell>
          <cell r="M15">
            <v>3</v>
          </cell>
          <cell r="N15" t="str">
            <v>O/D GRADES</v>
          </cell>
          <cell r="O15">
            <v>3239555</v>
          </cell>
          <cell r="P15" t="str">
            <v>CRCA SHEET TATCRC SR16 0.400X1000X2440</v>
          </cell>
          <cell r="Q15">
            <v>0.4</v>
          </cell>
          <cell r="R15">
            <v>1000</v>
          </cell>
          <cell r="S15">
            <v>1E-3</v>
          </cell>
          <cell r="T15">
            <v>0</v>
          </cell>
          <cell r="U15">
            <v>-59.603999999999999</v>
          </cell>
          <cell r="V15" t="str">
            <v>C06</v>
          </cell>
          <cell r="W15" t="str">
            <v>TATCRC</v>
          </cell>
          <cell r="X15" t="str">
            <v>SR16</v>
          </cell>
          <cell r="Y15">
            <v>59.604999999999997</v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>
            <v>742</v>
          </cell>
          <cell r="AE15" t="str">
            <v>ZBTO</v>
          </cell>
        </row>
        <row r="16">
          <cell r="G16" t="str">
            <v>9518842263-4</v>
          </cell>
          <cell r="H16">
            <v>45819</v>
          </cell>
          <cell r="I16" t="str">
            <v>SITARAM IRON AND STEEL PVT LTD</v>
          </cell>
          <cell r="J16">
            <v>2000</v>
          </cell>
          <cell r="K16" t="str">
            <v>Trimming at PLTCM</v>
          </cell>
          <cell r="L16">
            <v>2</v>
          </cell>
          <cell r="M16">
            <v>3</v>
          </cell>
          <cell r="N16" t="str">
            <v>SR16</v>
          </cell>
          <cell r="O16">
            <v>3239557</v>
          </cell>
          <cell r="P16" t="str">
            <v>CRCA SHEET TATCRC SR16 0.400X1250X2500</v>
          </cell>
          <cell r="Q16">
            <v>0.4</v>
          </cell>
          <cell r="R16">
            <v>1250</v>
          </cell>
          <cell r="S16">
            <v>1E-3</v>
          </cell>
          <cell r="T16">
            <v>8.8049999999999997</v>
          </cell>
          <cell r="U16">
            <v>-28.513999999999999</v>
          </cell>
          <cell r="V16" t="str">
            <v>C06</v>
          </cell>
          <cell r="W16" t="str">
            <v>TATCRC</v>
          </cell>
          <cell r="X16" t="str">
            <v>SR16</v>
          </cell>
          <cell r="Y16">
            <v>28.515000000000001</v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>
            <v>742</v>
          </cell>
          <cell r="AE16" t="str">
            <v>ZBTO</v>
          </cell>
        </row>
        <row r="17">
          <cell r="G17" t="str">
            <v>9518842263-5</v>
          </cell>
          <cell r="H17">
            <v>45819</v>
          </cell>
          <cell r="I17" t="str">
            <v>SITARAM IRON AND STEEL PVT LTD</v>
          </cell>
          <cell r="J17">
            <v>2000</v>
          </cell>
          <cell r="K17" t="str">
            <v>Trimming at PLTCM</v>
          </cell>
          <cell r="L17">
            <v>2</v>
          </cell>
          <cell r="M17">
            <v>3</v>
          </cell>
          <cell r="N17" t="str">
            <v>O/D GRADES</v>
          </cell>
          <cell r="O17">
            <v>3239566</v>
          </cell>
          <cell r="P17" t="str">
            <v>CRCA SHEET TATCRC SR16 0.450X1000X2440</v>
          </cell>
          <cell r="Q17">
            <v>0.45</v>
          </cell>
          <cell r="R17">
            <v>1000</v>
          </cell>
          <cell r="S17">
            <v>1E-3</v>
          </cell>
          <cell r="T17">
            <v>0</v>
          </cell>
          <cell r="U17">
            <v>-66.668999999999997</v>
          </cell>
          <cell r="V17" t="str">
            <v>C06</v>
          </cell>
          <cell r="W17" t="str">
            <v>TATCRC</v>
          </cell>
          <cell r="X17" t="str">
            <v>SR16</v>
          </cell>
          <cell r="Y17">
            <v>66.67</v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>
            <v>742</v>
          </cell>
          <cell r="AE17" t="str">
            <v>ZBTO</v>
          </cell>
        </row>
        <row r="18">
          <cell r="G18" t="str">
            <v>9518842263-6</v>
          </cell>
          <cell r="H18">
            <v>45819</v>
          </cell>
          <cell r="I18" t="str">
            <v>SITARAM IRON AND STEEL PVT LTD</v>
          </cell>
          <cell r="J18">
            <v>2000</v>
          </cell>
          <cell r="K18" t="str">
            <v>Trimming at PLTCM</v>
          </cell>
          <cell r="L18">
            <v>2</v>
          </cell>
          <cell r="M18">
            <v>3</v>
          </cell>
          <cell r="N18" t="str">
            <v>O/D GRADES</v>
          </cell>
          <cell r="O18">
            <v>3411571</v>
          </cell>
          <cell r="P18" t="str">
            <v>CRCA SHEET TSBCRC SR15 0.500X900X2440</v>
          </cell>
          <cell r="Q18">
            <v>0.5</v>
          </cell>
          <cell r="R18">
            <v>900</v>
          </cell>
          <cell r="S18">
            <v>21</v>
          </cell>
          <cell r="T18">
            <v>11.185</v>
          </cell>
          <cell r="U18">
            <v>1.51</v>
          </cell>
          <cell r="V18" t="str">
            <v>C06</v>
          </cell>
          <cell r="W18" t="str">
            <v>TSBCRC</v>
          </cell>
          <cell r="X18" t="str">
            <v>SR15</v>
          </cell>
          <cell r="Y18">
            <v>19.489999999999998</v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>
            <v>742</v>
          </cell>
          <cell r="AE18" t="str">
            <v>ZBTO</v>
          </cell>
        </row>
        <row r="19">
          <cell r="G19" t="str">
            <v>9518842263-7</v>
          </cell>
          <cell r="H19">
            <v>45819</v>
          </cell>
          <cell r="I19" t="str">
            <v>SITARAM IRON AND STEEL PVT LTD</v>
          </cell>
          <cell r="J19">
            <v>2000</v>
          </cell>
          <cell r="K19" t="str">
            <v>Trimming at PLTCM</v>
          </cell>
          <cell r="L19">
            <v>2</v>
          </cell>
          <cell r="M19">
            <v>3</v>
          </cell>
          <cell r="N19" t="str">
            <v>O/D GRADES</v>
          </cell>
          <cell r="O19">
            <v>3240759</v>
          </cell>
          <cell r="P19" t="str">
            <v>CRCA SHEET TSBCRC SR15 0.500X1000X2440</v>
          </cell>
          <cell r="Q19">
            <v>0.5</v>
          </cell>
          <cell r="R19">
            <v>1000</v>
          </cell>
          <cell r="S19">
            <v>1E-3</v>
          </cell>
          <cell r="T19">
            <v>53.82</v>
          </cell>
          <cell r="U19">
            <v>-59.149000000000001</v>
          </cell>
          <cell r="V19" t="str">
            <v>C06</v>
          </cell>
          <cell r="W19" t="str">
            <v>TSBCRC</v>
          </cell>
          <cell r="X19" t="str">
            <v>SR15</v>
          </cell>
          <cell r="Y19">
            <v>59.15</v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>
            <v>742</v>
          </cell>
          <cell r="AE19" t="str">
            <v>ZBTO</v>
          </cell>
        </row>
        <row r="20">
          <cell r="G20" t="str">
            <v>9518842263-9</v>
          </cell>
          <cell r="H20">
            <v>45819</v>
          </cell>
          <cell r="I20" t="str">
            <v>SITARAM IRON AND STEEL PVT LTD</v>
          </cell>
          <cell r="J20">
            <v>2000</v>
          </cell>
          <cell r="K20" t="str">
            <v>Trimming at PLTCM</v>
          </cell>
          <cell r="L20">
            <v>2</v>
          </cell>
          <cell r="M20">
            <v>3</v>
          </cell>
          <cell r="N20" t="str">
            <v>O/D GRADES</v>
          </cell>
          <cell r="O20">
            <v>3240776</v>
          </cell>
          <cell r="P20" t="str">
            <v>CRCA SHEET TSBCRC SR15 0.600X1000X2440</v>
          </cell>
          <cell r="Q20">
            <v>0.6</v>
          </cell>
          <cell r="R20">
            <v>1000</v>
          </cell>
          <cell r="S20">
            <v>1E-3</v>
          </cell>
          <cell r="T20">
            <v>20.065000000000001</v>
          </cell>
          <cell r="U20">
            <v>-28.779</v>
          </cell>
          <cell r="V20" t="str">
            <v>C06</v>
          </cell>
          <cell r="W20" t="str">
            <v>TSBCRC</v>
          </cell>
          <cell r="X20" t="str">
            <v>SR15</v>
          </cell>
          <cell r="Y20">
            <v>28.78</v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>
            <v>742</v>
          </cell>
          <cell r="AE20" t="str">
            <v>ZBTO</v>
          </cell>
        </row>
        <row r="21">
          <cell r="G21" t="str">
            <v>9518842263-10</v>
          </cell>
          <cell r="H21">
            <v>45819</v>
          </cell>
          <cell r="I21" t="str">
            <v>SITARAM IRON AND STEEL PVT LTD</v>
          </cell>
          <cell r="J21">
            <v>2000</v>
          </cell>
          <cell r="K21" t="str">
            <v>Trimming at PLTCM</v>
          </cell>
          <cell r="L21">
            <v>2</v>
          </cell>
          <cell r="M21">
            <v>3</v>
          </cell>
          <cell r="N21" t="str">
            <v>O/D GRADES</v>
          </cell>
          <cell r="O21">
            <v>3410101</v>
          </cell>
          <cell r="P21" t="str">
            <v>CRCA SHEET TSBCRC SR15 0.750X1000X2500</v>
          </cell>
          <cell r="Q21">
            <v>0.75</v>
          </cell>
          <cell r="R21">
            <v>1000</v>
          </cell>
          <cell r="S21">
            <v>1E-3</v>
          </cell>
          <cell r="T21">
            <v>0</v>
          </cell>
          <cell r="U21">
            <v>-19.814</v>
          </cell>
          <cell r="V21" t="str">
            <v>C06</v>
          </cell>
          <cell r="W21" t="str">
            <v>TSBCRC</v>
          </cell>
          <cell r="X21" t="str">
            <v>SR15</v>
          </cell>
          <cell r="Y21">
            <v>19.815000000000001</v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>
            <v>742</v>
          </cell>
          <cell r="AE21" t="str">
            <v>ZBTO</v>
          </cell>
        </row>
        <row r="22">
          <cell r="G22" t="str">
            <v>9518842263-11</v>
          </cell>
          <cell r="H22">
            <v>45819</v>
          </cell>
          <cell r="I22" t="str">
            <v>SITARAM IRON AND STEEL PVT LTD</v>
          </cell>
          <cell r="J22">
            <v>2000</v>
          </cell>
          <cell r="K22" t="str">
            <v>Trimming at PLTCM</v>
          </cell>
          <cell r="L22">
            <v>2</v>
          </cell>
          <cell r="M22">
            <v>3</v>
          </cell>
          <cell r="N22" t="str">
            <v>D FOR CRCA</v>
          </cell>
          <cell r="O22">
            <v>1206324</v>
          </cell>
          <cell r="P22" t="str">
            <v>CRCA SHEET TATXXD AU03 0.750X1250X2500</v>
          </cell>
          <cell r="Q22">
            <v>0.75</v>
          </cell>
          <cell r="R22">
            <v>1250</v>
          </cell>
          <cell r="S22">
            <v>29</v>
          </cell>
          <cell r="T22">
            <v>0</v>
          </cell>
          <cell r="U22">
            <v>29</v>
          </cell>
          <cell r="V22" t="str">
            <v>C06</v>
          </cell>
          <cell r="W22" t="str">
            <v>TATXXD</v>
          </cell>
          <cell r="X22" t="str">
            <v>AU03</v>
          </cell>
          <cell r="Y22">
            <v>0</v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>
            <v>742</v>
          </cell>
          <cell r="AE22" t="str">
            <v>ZBTO</v>
          </cell>
        </row>
        <row r="23">
          <cell r="G23" t="str">
            <v>9518842263-12</v>
          </cell>
          <cell r="H23">
            <v>45819</v>
          </cell>
          <cell r="I23" t="str">
            <v>SITARAM IRON AND STEEL PVT LTD</v>
          </cell>
          <cell r="J23">
            <v>2000</v>
          </cell>
          <cell r="K23" t="str">
            <v>Trimming at PLTCM</v>
          </cell>
          <cell r="L23">
            <v>2</v>
          </cell>
          <cell r="M23">
            <v>3</v>
          </cell>
          <cell r="N23" t="str">
            <v>O/D GRADES</v>
          </cell>
          <cell r="O23">
            <v>3240812</v>
          </cell>
          <cell r="P23" t="str">
            <v>CRCA SHEET TSBCRC SR15 0.800X1000X2500</v>
          </cell>
          <cell r="Q23">
            <v>0.8</v>
          </cell>
          <cell r="R23">
            <v>1000</v>
          </cell>
          <cell r="S23">
            <v>1E-3</v>
          </cell>
          <cell r="T23">
            <v>21.67</v>
          </cell>
          <cell r="U23">
            <v>-21.669</v>
          </cell>
          <cell r="V23" t="str">
            <v>C06</v>
          </cell>
          <cell r="W23" t="str">
            <v>TSBCRC</v>
          </cell>
          <cell r="X23" t="str">
            <v>SR15</v>
          </cell>
          <cell r="Y23">
            <v>21.67</v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>
            <v>742</v>
          </cell>
          <cell r="AE23" t="str">
            <v>ZBTO</v>
          </cell>
        </row>
        <row r="24">
          <cell r="G24" t="str">
            <v>9518842263-13</v>
          </cell>
          <cell r="H24">
            <v>45819</v>
          </cell>
          <cell r="I24" t="str">
            <v>SITARAM IRON AND STEEL PVT LTD</v>
          </cell>
          <cell r="J24">
            <v>2000</v>
          </cell>
          <cell r="K24" t="str">
            <v>Trimming at PLTCM</v>
          </cell>
          <cell r="L24">
            <v>2</v>
          </cell>
          <cell r="M24">
            <v>3</v>
          </cell>
          <cell r="N24" t="str">
            <v>D FOR CRCA</v>
          </cell>
          <cell r="O24">
            <v>353957</v>
          </cell>
          <cell r="P24" t="str">
            <v>CRCA SHEET TATXXD AU03 0.80X1250X2500</v>
          </cell>
          <cell r="Q24">
            <v>0.8</v>
          </cell>
          <cell r="R24">
            <v>1250</v>
          </cell>
          <cell r="S24">
            <v>1E-3</v>
          </cell>
          <cell r="T24">
            <v>0</v>
          </cell>
          <cell r="U24">
            <v>1E-3</v>
          </cell>
          <cell r="V24" t="str">
            <v>C06</v>
          </cell>
          <cell r="W24" t="str">
            <v>TATXXD</v>
          </cell>
          <cell r="X24" t="str">
            <v>AU03</v>
          </cell>
          <cell r="Y24">
            <v>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>
            <v>742</v>
          </cell>
          <cell r="AE24" t="str">
            <v>ZBTO</v>
          </cell>
        </row>
        <row r="25">
          <cell r="G25" t="str">
            <v>9518842263-14</v>
          </cell>
          <cell r="H25">
            <v>45819</v>
          </cell>
          <cell r="I25" t="str">
            <v>SITARAM IRON AND STEEL PVT LTD</v>
          </cell>
          <cell r="J25">
            <v>2000</v>
          </cell>
          <cell r="K25" t="str">
            <v>Trimming at PLTCM</v>
          </cell>
          <cell r="L25">
            <v>2</v>
          </cell>
          <cell r="M25">
            <v>3</v>
          </cell>
          <cell r="N25" t="str">
            <v>O/D GRADES</v>
          </cell>
          <cell r="O25">
            <v>3410102</v>
          </cell>
          <cell r="P25" t="str">
            <v>CRCA SHEET TSBCRC SR15 0.950X1000X2500</v>
          </cell>
          <cell r="Q25">
            <v>0.95</v>
          </cell>
          <cell r="R25">
            <v>1000</v>
          </cell>
          <cell r="S25">
            <v>1E-3</v>
          </cell>
          <cell r="T25">
            <v>20.21</v>
          </cell>
          <cell r="U25">
            <v>-20.209</v>
          </cell>
          <cell r="V25" t="str">
            <v>C06</v>
          </cell>
          <cell r="W25" t="str">
            <v>TSBCRC</v>
          </cell>
          <cell r="X25" t="str">
            <v>SR15</v>
          </cell>
          <cell r="Y25">
            <v>20.21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>
            <v>742</v>
          </cell>
          <cell r="AE25" t="str">
            <v>ZBTO</v>
          </cell>
        </row>
        <row r="26">
          <cell r="G26" t="str">
            <v>9518842263-15</v>
          </cell>
          <cell r="H26">
            <v>45819</v>
          </cell>
          <cell r="I26" t="str">
            <v>SITARAM IRON AND STEEL PVT LTD</v>
          </cell>
          <cell r="J26">
            <v>2000</v>
          </cell>
          <cell r="K26" t="str">
            <v>Trimming at PLTCM</v>
          </cell>
          <cell r="L26">
            <v>2</v>
          </cell>
          <cell r="M26">
            <v>3</v>
          </cell>
          <cell r="N26" t="str">
            <v>D FOR CRCA</v>
          </cell>
          <cell r="O26">
            <v>1406015</v>
          </cell>
          <cell r="P26" t="str">
            <v>CRCA SHEET TATXXD AU03 0.950X1250X2500</v>
          </cell>
          <cell r="Q26">
            <v>0.95</v>
          </cell>
          <cell r="R26">
            <v>1250</v>
          </cell>
          <cell r="S26">
            <v>29</v>
          </cell>
          <cell r="T26">
            <v>0</v>
          </cell>
          <cell r="U26">
            <v>29</v>
          </cell>
          <cell r="V26" t="str">
            <v>C06</v>
          </cell>
          <cell r="W26" t="str">
            <v>TATXXD</v>
          </cell>
          <cell r="X26" t="str">
            <v>AU03</v>
          </cell>
          <cell r="Y26">
            <v>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>
            <v>742</v>
          </cell>
          <cell r="AE26" t="str">
            <v>ZBTO</v>
          </cell>
        </row>
        <row r="27">
          <cell r="G27" t="str">
            <v>9518842263-16</v>
          </cell>
          <cell r="H27">
            <v>45819</v>
          </cell>
          <cell r="I27" t="str">
            <v>SITARAM IRON AND STEEL PVT LTD</v>
          </cell>
          <cell r="J27">
            <v>2000</v>
          </cell>
          <cell r="K27" t="str">
            <v>Trimming at PLTCM</v>
          </cell>
          <cell r="L27">
            <v>2</v>
          </cell>
          <cell r="M27">
            <v>3</v>
          </cell>
          <cell r="N27" t="str">
            <v>O/D GRADES</v>
          </cell>
          <cell r="O27">
            <v>3240836</v>
          </cell>
          <cell r="P27" t="str">
            <v>CRCA SHEET TSBCRC SR15 1X1000X2500</v>
          </cell>
          <cell r="Q27">
            <v>1</v>
          </cell>
          <cell r="R27">
            <v>1000</v>
          </cell>
          <cell r="S27">
            <v>1E-3</v>
          </cell>
          <cell r="T27">
            <v>22.065000000000001</v>
          </cell>
          <cell r="U27">
            <v>-22.064</v>
          </cell>
          <cell r="V27" t="str">
            <v>C06</v>
          </cell>
          <cell r="W27" t="str">
            <v>TSBCRC</v>
          </cell>
          <cell r="X27" t="str">
            <v>SR15</v>
          </cell>
          <cell r="Y27">
            <v>22.065000000000001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>
            <v>742</v>
          </cell>
          <cell r="AE27" t="str">
            <v>ZBTO</v>
          </cell>
        </row>
        <row r="28">
          <cell r="G28" t="str">
            <v>9518842263-17</v>
          </cell>
          <cell r="H28">
            <v>45819</v>
          </cell>
          <cell r="I28" t="str">
            <v>SITARAM IRON AND STEEL PVT LTD</v>
          </cell>
          <cell r="J28">
            <v>2000</v>
          </cell>
          <cell r="K28" t="str">
            <v>Trimming at PLTCM</v>
          </cell>
          <cell r="L28">
            <v>2</v>
          </cell>
          <cell r="M28">
            <v>3</v>
          </cell>
          <cell r="N28" t="str">
            <v>AU03</v>
          </cell>
          <cell r="O28">
            <v>189866</v>
          </cell>
          <cell r="P28" t="str">
            <v>CRSHEET TATXXD AU03 1.20X1250X2500</v>
          </cell>
          <cell r="Q28">
            <v>1.2</v>
          </cell>
          <cell r="R28">
            <v>1250</v>
          </cell>
          <cell r="S28">
            <v>1E-3</v>
          </cell>
          <cell r="T28">
            <v>0</v>
          </cell>
          <cell r="U28">
            <v>1E-3</v>
          </cell>
          <cell r="V28" t="str">
            <v>C06</v>
          </cell>
          <cell r="W28" t="str">
            <v>TATXXD</v>
          </cell>
          <cell r="X28" t="str">
            <v>AU03</v>
          </cell>
          <cell r="Y28">
            <v>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>
            <v>742</v>
          </cell>
          <cell r="AE28" t="str">
            <v>ZBTO</v>
          </cell>
        </row>
        <row r="29">
          <cell r="G29" t="str">
            <v>9518842263-18</v>
          </cell>
          <cell r="H29">
            <v>45819</v>
          </cell>
          <cell r="I29" t="str">
            <v>SITARAM IRON AND STEEL PVT LTD</v>
          </cell>
          <cell r="J29">
            <v>2000</v>
          </cell>
          <cell r="K29" t="str">
            <v>Trimming at PLTCM</v>
          </cell>
          <cell r="L29">
            <v>2</v>
          </cell>
          <cell r="M29">
            <v>3</v>
          </cell>
          <cell r="N29" t="str">
            <v>D FOR CRCA</v>
          </cell>
          <cell r="O29">
            <v>194544</v>
          </cell>
          <cell r="P29" t="str">
            <v>CRSHEET TATXXD AU03 1.50X1250X2500</v>
          </cell>
          <cell r="Q29">
            <v>1.5</v>
          </cell>
          <cell r="R29">
            <v>1250</v>
          </cell>
          <cell r="S29">
            <v>29</v>
          </cell>
          <cell r="T29">
            <v>0</v>
          </cell>
          <cell r="U29">
            <v>29</v>
          </cell>
          <cell r="V29" t="str">
            <v>C06</v>
          </cell>
          <cell r="W29" t="str">
            <v>TATXXD</v>
          </cell>
          <cell r="X29" t="str">
            <v>AU03</v>
          </cell>
          <cell r="Y29">
            <v>0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>
            <v>742</v>
          </cell>
          <cell r="AE29" t="str">
            <v>ZBTO</v>
          </cell>
        </row>
        <row r="30">
          <cell r="G30" t="str">
            <v>9518842263-19</v>
          </cell>
          <cell r="H30">
            <v>45819</v>
          </cell>
          <cell r="I30" t="str">
            <v>SITARAM IRON AND STEEL PVT LTD</v>
          </cell>
          <cell r="J30">
            <v>2000</v>
          </cell>
          <cell r="K30" t="str">
            <v>Trimming at PLTCM</v>
          </cell>
          <cell r="L30">
            <v>2</v>
          </cell>
          <cell r="M30">
            <v>3</v>
          </cell>
          <cell r="N30" t="str">
            <v>D FOR CRCA</v>
          </cell>
          <cell r="O30">
            <v>281630</v>
          </cell>
          <cell r="P30" t="str">
            <v>CRSHEET C06 TATXXD AU03 1.6X1250X2500</v>
          </cell>
          <cell r="Q30">
            <v>1.6</v>
          </cell>
          <cell r="R30">
            <v>1250</v>
          </cell>
          <cell r="S30">
            <v>1E-3</v>
          </cell>
          <cell r="T30">
            <v>0</v>
          </cell>
          <cell r="U30">
            <v>1E-3</v>
          </cell>
          <cell r="V30" t="str">
            <v>C06</v>
          </cell>
          <cell r="W30" t="str">
            <v>TATXXD</v>
          </cell>
          <cell r="X30" t="str">
            <v>AU03</v>
          </cell>
          <cell r="Y30">
            <v>0</v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>
            <v>742</v>
          </cell>
          <cell r="AE30" t="str">
            <v>ZBTO</v>
          </cell>
        </row>
        <row r="31">
          <cell r="G31" t="str">
            <v>9518842263-20</v>
          </cell>
          <cell r="H31">
            <v>45819</v>
          </cell>
          <cell r="I31" t="str">
            <v>SITARAM IRON AND STEEL PVT LTD</v>
          </cell>
          <cell r="J31">
            <v>2000</v>
          </cell>
          <cell r="K31" t="str">
            <v>Trimming at PLTCM</v>
          </cell>
          <cell r="L31">
            <v>2</v>
          </cell>
          <cell r="M31">
            <v>3</v>
          </cell>
          <cell r="N31" t="str">
            <v>D FOR CRCA</v>
          </cell>
          <cell r="O31">
            <v>274376</v>
          </cell>
          <cell r="P31" t="str">
            <v>CRSHEET C06TATXXD AU03 2.0X1250X2500</v>
          </cell>
          <cell r="Q31">
            <v>2</v>
          </cell>
          <cell r="R31">
            <v>1250</v>
          </cell>
          <cell r="S31">
            <v>58</v>
          </cell>
          <cell r="T31">
            <v>0</v>
          </cell>
          <cell r="U31">
            <v>58</v>
          </cell>
          <cell r="V31" t="str">
            <v>C06</v>
          </cell>
          <cell r="W31" t="str">
            <v>TATXXD</v>
          </cell>
          <cell r="X31" t="str">
            <v>AU03</v>
          </cell>
          <cell r="Y31">
            <v>0</v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>
            <v>742</v>
          </cell>
          <cell r="AE31" t="str">
            <v>ZBTO</v>
          </cell>
        </row>
        <row r="32">
          <cell r="G32" t="str">
            <v>9518842263-21</v>
          </cell>
          <cell r="H32">
            <v>45819</v>
          </cell>
          <cell r="I32" t="str">
            <v>SITARAM IRON AND STEEL PVT LTD</v>
          </cell>
          <cell r="J32">
            <v>2000</v>
          </cell>
          <cell r="K32" t="str">
            <v>Trimming at PLTCM</v>
          </cell>
          <cell r="L32">
            <v>2</v>
          </cell>
          <cell r="M32">
            <v>3</v>
          </cell>
          <cell r="N32" t="str">
            <v>SR15</v>
          </cell>
          <cell r="O32">
            <v>3240785</v>
          </cell>
          <cell r="P32" t="str">
            <v>CRCA SHEET TSBCRC SR15 0.600X1250X2500</v>
          </cell>
          <cell r="Q32">
            <v>0.6</v>
          </cell>
          <cell r="R32">
            <v>1250</v>
          </cell>
          <cell r="S32">
            <v>1E-3</v>
          </cell>
          <cell r="T32">
            <v>0</v>
          </cell>
          <cell r="U32">
            <v>-26.334</v>
          </cell>
          <cell r="V32" t="str">
            <v>C06</v>
          </cell>
          <cell r="W32" t="str">
            <v>TSBCRC</v>
          </cell>
          <cell r="X32" t="str">
            <v>SR15</v>
          </cell>
          <cell r="Y32">
            <v>26.335000000000001</v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>
            <v>742</v>
          </cell>
          <cell r="AE32" t="str">
            <v>ZBTO</v>
          </cell>
        </row>
        <row r="33">
          <cell r="G33" t="str">
            <v>9518842271-1</v>
          </cell>
          <cell r="H33">
            <v>45819</v>
          </cell>
          <cell r="I33" t="str">
            <v>SITARAM IRON AND STEEL PVT LTD</v>
          </cell>
          <cell r="J33">
            <v>2000</v>
          </cell>
          <cell r="K33" t="str">
            <v>C</v>
          </cell>
          <cell r="L33">
            <v>8</v>
          </cell>
          <cell r="M33">
            <v>29</v>
          </cell>
          <cell r="N33" t="str">
            <v>O/D GRADES</v>
          </cell>
          <cell r="O33">
            <v>1804902</v>
          </cell>
          <cell r="P33" t="str">
            <v>CRCA COIL-TATCRC-TR15-0.5X900</v>
          </cell>
          <cell r="Q33">
            <v>0.5</v>
          </cell>
          <cell r="R33">
            <v>900</v>
          </cell>
          <cell r="S33">
            <v>21</v>
          </cell>
          <cell r="T33">
            <v>0</v>
          </cell>
          <cell r="U33">
            <v>21</v>
          </cell>
          <cell r="V33" t="str">
            <v>C01</v>
          </cell>
          <cell r="W33" t="str">
            <v>TATCRC</v>
          </cell>
          <cell r="X33" t="str">
            <v>TR15</v>
          </cell>
          <cell r="Y33">
            <v>0</v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>
            <v>742</v>
          </cell>
          <cell r="AE33" t="str">
            <v>ZBTO</v>
          </cell>
        </row>
        <row r="34">
          <cell r="G34" t="str">
            <v>9518842271-2</v>
          </cell>
          <cell r="H34">
            <v>45819</v>
          </cell>
          <cell r="I34" t="str">
            <v>SITARAM IRON AND STEEL PVT LTD</v>
          </cell>
          <cell r="J34">
            <v>2000</v>
          </cell>
          <cell r="K34" t="str">
            <v>C</v>
          </cell>
          <cell r="L34">
            <v>8</v>
          </cell>
          <cell r="M34">
            <v>12</v>
          </cell>
          <cell r="N34" t="str">
            <v>D FOR CRCA</v>
          </cell>
          <cell r="O34">
            <v>1801562</v>
          </cell>
          <cell r="P34" t="str">
            <v>CRCA COIL-TATXXD-AU03-0.8X1000</v>
          </cell>
          <cell r="Q34">
            <v>0.8</v>
          </cell>
          <cell r="R34">
            <v>1000</v>
          </cell>
          <cell r="S34">
            <v>1E-3</v>
          </cell>
          <cell r="T34">
            <v>0</v>
          </cell>
          <cell r="U34">
            <v>1E-3</v>
          </cell>
          <cell r="V34" t="str">
            <v>C01</v>
          </cell>
          <cell r="W34" t="str">
            <v>TATXXD</v>
          </cell>
          <cell r="X34" t="str">
            <v>AU03</v>
          </cell>
          <cell r="Y34">
            <v>0</v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>
            <v>742</v>
          </cell>
          <cell r="AE34" t="str">
            <v>ZBTO</v>
          </cell>
        </row>
        <row r="35">
          <cell r="G35" t="str">
            <v>9518842271-3</v>
          </cell>
          <cell r="H35">
            <v>45819</v>
          </cell>
          <cell r="I35" t="str">
            <v>SITARAM IRON AND STEEL PVT LTD</v>
          </cell>
          <cell r="J35">
            <v>2000</v>
          </cell>
          <cell r="K35" t="str">
            <v>C</v>
          </cell>
          <cell r="L35">
            <v>8</v>
          </cell>
          <cell r="M35">
            <v>12</v>
          </cell>
          <cell r="N35" t="str">
            <v>D FOR CRCA</v>
          </cell>
          <cell r="O35">
            <v>2378012</v>
          </cell>
          <cell r="P35" t="str">
            <v>CRCA COIL TATXXD AU03 0.800X1120</v>
          </cell>
          <cell r="Q35">
            <v>0.8</v>
          </cell>
          <cell r="R35">
            <v>1120</v>
          </cell>
          <cell r="S35">
            <v>1E-3</v>
          </cell>
          <cell r="T35">
            <v>0</v>
          </cell>
          <cell r="U35">
            <v>1E-3</v>
          </cell>
          <cell r="V35" t="str">
            <v>C01</v>
          </cell>
          <cell r="W35" t="str">
            <v>TATXXD</v>
          </cell>
          <cell r="X35" t="str">
            <v>AU03</v>
          </cell>
          <cell r="Y35">
            <v>0</v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742</v>
          </cell>
          <cell r="AE35" t="str">
            <v>ZBTO</v>
          </cell>
        </row>
        <row r="36">
          <cell r="G36" t="str">
            <v>9518842271-4</v>
          </cell>
          <cell r="H36">
            <v>45819</v>
          </cell>
          <cell r="I36" t="str">
            <v>SITARAM IRON AND STEEL PVT LTD</v>
          </cell>
          <cell r="J36">
            <v>2000</v>
          </cell>
          <cell r="K36" t="str">
            <v>C</v>
          </cell>
          <cell r="L36">
            <v>8</v>
          </cell>
          <cell r="M36">
            <v>29</v>
          </cell>
          <cell r="N36" t="str">
            <v>AU03</v>
          </cell>
          <cell r="O36">
            <v>1804814</v>
          </cell>
          <cell r="P36" t="str">
            <v>CRCA COIL TATXXD AU03 0.8X1250</v>
          </cell>
          <cell r="Q36">
            <v>0.8</v>
          </cell>
          <cell r="R36">
            <v>1250</v>
          </cell>
          <cell r="S36">
            <v>1E-3</v>
          </cell>
          <cell r="T36">
            <v>0</v>
          </cell>
          <cell r="U36">
            <v>1E-3</v>
          </cell>
          <cell r="V36" t="str">
            <v>C01</v>
          </cell>
          <cell r="W36" t="str">
            <v>TATXXD</v>
          </cell>
          <cell r="X36" t="str">
            <v>AU03</v>
          </cell>
          <cell r="Y36">
            <v>0</v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>
            <v>742</v>
          </cell>
          <cell r="AE36" t="str">
            <v>ZBTO</v>
          </cell>
        </row>
        <row r="37">
          <cell r="G37" t="str">
            <v>9518842271-5</v>
          </cell>
          <cell r="H37">
            <v>45819</v>
          </cell>
          <cell r="I37" t="str">
            <v>SITARAM IRON AND STEEL PVT LTD</v>
          </cell>
          <cell r="J37">
            <v>2000</v>
          </cell>
          <cell r="K37" t="str">
            <v>C</v>
          </cell>
          <cell r="L37">
            <v>8</v>
          </cell>
          <cell r="M37">
            <v>12</v>
          </cell>
          <cell r="N37" t="str">
            <v>D FOR CRCA</v>
          </cell>
          <cell r="O37">
            <v>1801798</v>
          </cell>
          <cell r="P37" t="str">
            <v>CRCA COIL-TATXXD-AU03-1X900</v>
          </cell>
          <cell r="Q37">
            <v>1</v>
          </cell>
          <cell r="R37">
            <v>900</v>
          </cell>
          <cell r="S37">
            <v>23</v>
          </cell>
          <cell r="T37">
            <v>0</v>
          </cell>
          <cell r="U37">
            <v>23</v>
          </cell>
          <cell r="V37" t="str">
            <v>C01</v>
          </cell>
          <cell r="W37" t="str">
            <v>TATXXD</v>
          </cell>
          <cell r="X37" t="str">
            <v>AU03</v>
          </cell>
          <cell r="Y37">
            <v>0</v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>
            <v>742</v>
          </cell>
          <cell r="AE37" t="str">
            <v>ZBTO</v>
          </cell>
        </row>
        <row r="38">
          <cell r="G38" t="str">
            <v>9518842271-6</v>
          </cell>
          <cell r="H38">
            <v>45819</v>
          </cell>
          <cell r="I38" t="str">
            <v>SITARAM IRON AND STEEL PVT LTD</v>
          </cell>
          <cell r="J38">
            <v>2000</v>
          </cell>
          <cell r="K38" t="str">
            <v>C</v>
          </cell>
          <cell r="L38">
            <v>8</v>
          </cell>
          <cell r="M38">
            <v>12</v>
          </cell>
          <cell r="N38" t="str">
            <v>AU03</v>
          </cell>
          <cell r="O38">
            <v>1804842</v>
          </cell>
          <cell r="P38" t="str">
            <v>CRCA COIL-TATXXD-AU03-1X1000</v>
          </cell>
          <cell r="Q38">
            <v>1</v>
          </cell>
          <cell r="R38">
            <v>1000</v>
          </cell>
          <cell r="S38">
            <v>1E-3</v>
          </cell>
          <cell r="T38">
            <v>0</v>
          </cell>
          <cell r="U38">
            <v>1E-3</v>
          </cell>
          <cell r="V38" t="str">
            <v>C01</v>
          </cell>
          <cell r="W38" t="str">
            <v>TATXXD</v>
          </cell>
          <cell r="X38" t="str">
            <v>AU03</v>
          </cell>
          <cell r="Y38">
            <v>0</v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>
            <v>742</v>
          </cell>
          <cell r="AE38" t="str">
            <v>ZBTO</v>
          </cell>
        </row>
        <row r="39">
          <cell r="G39" t="str">
            <v>9518842271-7</v>
          </cell>
          <cell r="H39">
            <v>45819</v>
          </cell>
          <cell r="I39" t="str">
            <v>SITARAM IRON AND STEEL PVT LTD</v>
          </cell>
          <cell r="J39">
            <v>2000</v>
          </cell>
          <cell r="K39" t="str">
            <v>C</v>
          </cell>
          <cell r="L39">
            <v>8</v>
          </cell>
          <cell r="M39">
            <v>29</v>
          </cell>
          <cell r="N39" t="str">
            <v>O/D GRADES</v>
          </cell>
          <cell r="O39">
            <v>1804854</v>
          </cell>
          <cell r="P39" t="str">
            <v>CRCA COIL-TATXXD-AU03-1.2X1250</v>
          </cell>
          <cell r="Q39">
            <v>1.2</v>
          </cell>
          <cell r="R39">
            <v>1250</v>
          </cell>
          <cell r="S39">
            <v>1E-3</v>
          </cell>
          <cell r="T39">
            <v>0</v>
          </cell>
          <cell r="U39">
            <v>1E-3</v>
          </cell>
          <cell r="V39" t="str">
            <v>C01</v>
          </cell>
          <cell r="W39" t="str">
            <v>TATXXD</v>
          </cell>
          <cell r="X39" t="str">
            <v>AU03</v>
          </cell>
          <cell r="Y39">
            <v>0</v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>
            <v>742</v>
          </cell>
          <cell r="AE39" t="str">
            <v>ZBTO</v>
          </cell>
        </row>
        <row r="40">
          <cell r="G40" t="str">
            <v>9518842271-8</v>
          </cell>
          <cell r="H40">
            <v>45819</v>
          </cell>
          <cell r="I40" t="str">
            <v>SITARAM IRON AND STEEL PVT LTD</v>
          </cell>
          <cell r="J40">
            <v>2000</v>
          </cell>
          <cell r="K40" t="str">
            <v>C</v>
          </cell>
          <cell r="L40">
            <v>8</v>
          </cell>
          <cell r="M40">
            <v>29</v>
          </cell>
          <cell r="N40" t="str">
            <v>O/D GRADES</v>
          </cell>
          <cell r="O40">
            <v>2334995</v>
          </cell>
          <cell r="P40" t="str">
            <v>CRCA COIL TATXXD AU03 1.500X1250</v>
          </cell>
          <cell r="Q40">
            <v>1.5</v>
          </cell>
          <cell r="R40">
            <v>1250</v>
          </cell>
          <cell r="S40">
            <v>1E-3</v>
          </cell>
          <cell r="T40">
            <v>0</v>
          </cell>
          <cell r="U40">
            <v>1E-3</v>
          </cell>
          <cell r="V40" t="str">
            <v>C01</v>
          </cell>
          <cell r="W40" t="str">
            <v>TATXXD</v>
          </cell>
          <cell r="X40" t="str">
            <v>AU03</v>
          </cell>
          <cell r="Y40">
            <v>0</v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>
            <v>742</v>
          </cell>
          <cell r="AE40" t="str">
            <v>ZBTO</v>
          </cell>
        </row>
        <row r="41">
          <cell r="G41" t="str">
            <v>9518842271-9</v>
          </cell>
          <cell r="H41">
            <v>45819</v>
          </cell>
          <cell r="I41" t="str">
            <v>SITARAM IRON AND STEEL PVT LTD</v>
          </cell>
          <cell r="J41">
            <v>2000</v>
          </cell>
          <cell r="K41" t="str">
            <v>C</v>
          </cell>
          <cell r="L41">
            <v>8</v>
          </cell>
          <cell r="M41">
            <v>29</v>
          </cell>
          <cell r="N41" t="str">
            <v>O/D GRADES</v>
          </cell>
          <cell r="O41">
            <v>1804867</v>
          </cell>
          <cell r="P41" t="str">
            <v>CRCA COIL-TATXXD-AU03-1.6X1250</v>
          </cell>
          <cell r="Q41">
            <v>1.6</v>
          </cell>
          <cell r="R41">
            <v>1250</v>
          </cell>
          <cell r="S41">
            <v>1E-3</v>
          </cell>
          <cell r="T41">
            <v>0</v>
          </cell>
          <cell r="U41">
            <v>1E-3</v>
          </cell>
          <cell r="V41" t="str">
            <v>C01</v>
          </cell>
          <cell r="W41" t="str">
            <v>TATXXD</v>
          </cell>
          <cell r="X41" t="str">
            <v>AU03</v>
          </cell>
          <cell r="Y41">
            <v>0</v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>
            <v>742</v>
          </cell>
          <cell r="AE41" t="str">
            <v>ZBTO</v>
          </cell>
        </row>
        <row r="42">
          <cell r="G42" t="str">
            <v>9518842271-10</v>
          </cell>
          <cell r="H42">
            <v>45819</v>
          </cell>
          <cell r="I42" t="str">
            <v>SITARAM IRON AND STEEL PVT LTD</v>
          </cell>
          <cell r="J42">
            <v>2000</v>
          </cell>
          <cell r="K42" t="str">
            <v>C</v>
          </cell>
          <cell r="L42">
            <v>8</v>
          </cell>
          <cell r="M42">
            <v>14</v>
          </cell>
          <cell r="N42" t="str">
            <v>AU03</v>
          </cell>
          <cell r="O42">
            <v>1884117</v>
          </cell>
          <cell r="P42" t="str">
            <v>CRCA COIL-TATXXD-AU03-2X1250</v>
          </cell>
          <cell r="Q42">
            <v>2</v>
          </cell>
          <cell r="R42">
            <v>1250</v>
          </cell>
          <cell r="S42">
            <v>1E-3</v>
          </cell>
          <cell r="T42">
            <v>12.87</v>
          </cell>
          <cell r="U42">
            <v>-25.709</v>
          </cell>
          <cell r="V42" t="str">
            <v>C01</v>
          </cell>
          <cell r="W42" t="str">
            <v>TATXXD</v>
          </cell>
          <cell r="X42" t="str">
            <v>AU03</v>
          </cell>
          <cell r="Y42">
            <v>25.71</v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>
            <v>742</v>
          </cell>
          <cell r="AE42" t="str">
            <v>ZBTO</v>
          </cell>
        </row>
        <row r="43">
          <cell r="G43" t="str">
            <v>9518842271-11</v>
          </cell>
          <cell r="H43">
            <v>45819</v>
          </cell>
          <cell r="I43" t="str">
            <v>SITARAM IRON AND STEEL PVT LTD</v>
          </cell>
          <cell r="J43">
            <v>2000</v>
          </cell>
          <cell r="K43" t="str">
            <v>C</v>
          </cell>
          <cell r="L43">
            <v>8</v>
          </cell>
          <cell r="M43">
            <v>14</v>
          </cell>
          <cell r="N43" t="str">
            <v>D FOR CRCA</v>
          </cell>
          <cell r="O43">
            <v>2155233</v>
          </cell>
          <cell r="P43" t="str">
            <v>CRCA COIL TATXXD AU03 2.5X1250</v>
          </cell>
          <cell r="Q43">
            <v>2.5</v>
          </cell>
          <cell r="R43">
            <v>1250</v>
          </cell>
          <cell r="S43">
            <v>26.670999999999999</v>
          </cell>
          <cell r="T43">
            <v>0</v>
          </cell>
          <cell r="U43">
            <v>1.861</v>
          </cell>
          <cell r="V43" t="str">
            <v>C01</v>
          </cell>
          <cell r="W43" t="str">
            <v>TATXXD</v>
          </cell>
          <cell r="X43" t="str">
            <v>AU03</v>
          </cell>
          <cell r="Y43">
            <v>24.81</v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>
            <v>742</v>
          </cell>
          <cell r="AE43" t="str">
            <v>ZBTO</v>
          </cell>
        </row>
        <row r="44">
          <cell r="G44" t="str">
            <v>9518842271-12</v>
          </cell>
          <cell r="H44">
            <v>45819</v>
          </cell>
          <cell r="I44" t="str">
            <v>SITARAM IRON AND STEEL PVT LTD</v>
          </cell>
          <cell r="J44">
            <v>2000</v>
          </cell>
          <cell r="K44" t="str">
            <v>C</v>
          </cell>
          <cell r="L44">
            <v>8</v>
          </cell>
          <cell r="M44">
            <v>29</v>
          </cell>
          <cell r="N44" t="str">
            <v>O/D GRADES</v>
          </cell>
          <cell r="O44">
            <v>1804925</v>
          </cell>
          <cell r="P44" t="str">
            <v>CRCA COIL-TATCRC-TR15-0.8X900</v>
          </cell>
          <cell r="Q44">
            <v>0.8</v>
          </cell>
          <cell r="R44">
            <v>900</v>
          </cell>
          <cell r="S44">
            <v>21</v>
          </cell>
          <cell r="T44">
            <v>0</v>
          </cell>
          <cell r="U44">
            <v>21</v>
          </cell>
          <cell r="V44" t="str">
            <v>C01</v>
          </cell>
          <cell r="W44" t="str">
            <v>TATCRC</v>
          </cell>
          <cell r="X44" t="str">
            <v>TR15</v>
          </cell>
          <cell r="Y44">
            <v>0</v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>
            <v>742</v>
          </cell>
          <cell r="AE44" t="str">
            <v>ZBTO</v>
          </cell>
        </row>
        <row r="45">
          <cell r="G45" t="str">
            <v>9518871495-1</v>
          </cell>
          <cell r="H45">
            <v>45831</v>
          </cell>
          <cell r="I45" t="str">
            <v>INDIA STEEL INDUSTRIES</v>
          </cell>
          <cell r="J45">
            <v>2000</v>
          </cell>
          <cell r="K45" t="str">
            <v>Trimming at PLTCM</v>
          </cell>
          <cell r="L45">
            <v>10</v>
          </cell>
          <cell r="M45">
            <v>25</v>
          </cell>
          <cell r="N45" t="str">
            <v>CQ</v>
          </cell>
          <cell r="O45">
            <v>37862</v>
          </cell>
          <cell r="P45" t="str">
            <v>CRCA COIL TATCRC TR15 0.4X1250</v>
          </cell>
          <cell r="Q45">
            <v>0.4</v>
          </cell>
          <cell r="R45">
            <v>1250</v>
          </cell>
          <cell r="S45">
            <v>58</v>
          </cell>
          <cell r="T45">
            <v>0</v>
          </cell>
          <cell r="U45">
            <v>58</v>
          </cell>
          <cell r="V45" t="str">
            <v>C01</v>
          </cell>
          <cell r="W45" t="str">
            <v>TATCRC</v>
          </cell>
          <cell r="X45" t="str">
            <v>TR15</v>
          </cell>
          <cell r="Y45">
            <v>0</v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>
            <v>742</v>
          </cell>
          <cell r="AE45" t="str">
            <v>ZBTO</v>
          </cell>
        </row>
        <row r="46">
          <cell r="G46" t="str">
            <v>9518871495-2</v>
          </cell>
          <cell r="H46">
            <v>45831</v>
          </cell>
          <cell r="I46" t="str">
            <v>INDIA STEEL INDUSTRIES</v>
          </cell>
          <cell r="J46">
            <v>2000</v>
          </cell>
          <cell r="K46" t="str">
            <v>Trimming at PLTCM</v>
          </cell>
          <cell r="L46">
            <v>10</v>
          </cell>
          <cell r="M46">
            <v>25</v>
          </cell>
          <cell r="N46" t="str">
            <v>CQ</v>
          </cell>
          <cell r="O46">
            <v>2155235</v>
          </cell>
          <cell r="P46" t="str">
            <v>CRCA COIL TATCRC TR15 0.45X1250</v>
          </cell>
          <cell r="Q46">
            <v>0.45</v>
          </cell>
          <cell r="R46">
            <v>1250</v>
          </cell>
          <cell r="S46">
            <v>58</v>
          </cell>
          <cell r="T46">
            <v>0</v>
          </cell>
          <cell r="U46">
            <v>58</v>
          </cell>
          <cell r="V46" t="str">
            <v>C01</v>
          </cell>
          <cell r="W46" t="str">
            <v>TATCRC</v>
          </cell>
          <cell r="X46" t="str">
            <v>TR15</v>
          </cell>
          <cell r="Y46">
            <v>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>
            <v>742</v>
          </cell>
          <cell r="AE46" t="str">
            <v>ZBTO</v>
          </cell>
        </row>
        <row r="47">
          <cell r="G47" t="str">
            <v>9518871495-3</v>
          </cell>
          <cell r="H47">
            <v>45831</v>
          </cell>
          <cell r="I47" t="str">
            <v>INDIA STEEL INDUSTRIES</v>
          </cell>
          <cell r="J47">
            <v>2000</v>
          </cell>
          <cell r="K47" t="str">
            <v>Trimming at PLTCM</v>
          </cell>
          <cell r="L47">
            <v>10</v>
          </cell>
          <cell r="M47">
            <v>25</v>
          </cell>
          <cell r="N47" t="str">
            <v>CQ</v>
          </cell>
          <cell r="O47">
            <v>1804905</v>
          </cell>
          <cell r="P47" t="str">
            <v>CRCA COIL-TATCRC-TR15-0.5X1000</v>
          </cell>
          <cell r="Q47">
            <v>0.5</v>
          </cell>
          <cell r="R47">
            <v>1000</v>
          </cell>
          <cell r="S47">
            <v>23</v>
          </cell>
          <cell r="T47">
            <v>0</v>
          </cell>
          <cell r="U47">
            <v>23</v>
          </cell>
          <cell r="V47" t="str">
            <v>C01</v>
          </cell>
          <cell r="W47" t="str">
            <v>TATCRC</v>
          </cell>
          <cell r="X47" t="str">
            <v>TR15</v>
          </cell>
          <cell r="Y47">
            <v>0</v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>
            <v>742</v>
          </cell>
          <cell r="AE47" t="str">
            <v>ZBTO</v>
          </cell>
        </row>
        <row r="48">
          <cell r="G48" t="str">
            <v>9518871495-4</v>
          </cell>
          <cell r="H48">
            <v>45831</v>
          </cell>
          <cell r="I48" t="str">
            <v>INDIA STEEL INDUSTRIES</v>
          </cell>
          <cell r="J48">
            <v>2000</v>
          </cell>
          <cell r="K48" t="str">
            <v>Trimming at PLTCM</v>
          </cell>
          <cell r="L48">
            <v>10</v>
          </cell>
          <cell r="M48">
            <v>25</v>
          </cell>
          <cell r="N48" t="str">
            <v>CQ</v>
          </cell>
          <cell r="O48">
            <v>1804917</v>
          </cell>
          <cell r="P48" t="str">
            <v>CRCA COIL TATCRC TR15 0.6X1250</v>
          </cell>
          <cell r="Q48">
            <v>0.6</v>
          </cell>
          <cell r="R48">
            <v>1250</v>
          </cell>
          <cell r="S48">
            <v>1E-3</v>
          </cell>
          <cell r="T48">
            <v>0</v>
          </cell>
          <cell r="U48">
            <v>1E-3</v>
          </cell>
          <cell r="V48" t="str">
            <v>C01</v>
          </cell>
          <cell r="W48" t="str">
            <v>TATCRC</v>
          </cell>
          <cell r="X48" t="str">
            <v>TR15</v>
          </cell>
          <cell r="Y48">
            <v>0</v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>
            <v>742</v>
          </cell>
          <cell r="AE48" t="str">
            <v>ZBTO</v>
          </cell>
        </row>
        <row r="49">
          <cell r="G49" t="str">
            <v>9518871495-5</v>
          </cell>
          <cell r="H49">
            <v>45831</v>
          </cell>
          <cell r="I49" t="str">
            <v>INDIA STEEL INDUSTRIES</v>
          </cell>
          <cell r="J49">
            <v>2000</v>
          </cell>
          <cell r="K49" t="str">
            <v>Trimming at PLTCM</v>
          </cell>
          <cell r="L49">
            <v>10</v>
          </cell>
          <cell r="M49">
            <v>25</v>
          </cell>
          <cell r="N49" t="str">
            <v>CQ</v>
          </cell>
          <cell r="O49">
            <v>1804914</v>
          </cell>
          <cell r="P49" t="str">
            <v>CRCA COIL TATCRC TR15 0.6X1000</v>
          </cell>
          <cell r="Q49">
            <v>0.6</v>
          </cell>
          <cell r="R49">
            <v>1000</v>
          </cell>
          <cell r="S49">
            <v>23</v>
          </cell>
          <cell r="T49">
            <v>0</v>
          </cell>
          <cell r="U49">
            <v>23</v>
          </cell>
          <cell r="V49" t="str">
            <v>C01</v>
          </cell>
          <cell r="W49" t="str">
            <v>TATCRC</v>
          </cell>
          <cell r="X49" t="str">
            <v>TR15</v>
          </cell>
          <cell r="Y49">
            <v>0</v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>
            <v>742</v>
          </cell>
          <cell r="AE49" t="str">
            <v>ZBTO</v>
          </cell>
        </row>
        <row r="50">
          <cell r="G50" t="str">
            <v>9518871495-6</v>
          </cell>
          <cell r="H50">
            <v>45831</v>
          </cell>
          <cell r="I50" t="str">
            <v>INDIA STEEL INDUSTRIES</v>
          </cell>
          <cell r="J50">
            <v>2000</v>
          </cell>
          <cell r="K50" t="str">
            <v>Trimming at PLTCM</v>
          </cell>
          <cell r="L50">
            <v>10</v>
          </cell>
          <cell r="M50">
            <v>25</v>
          </cell>
          <cell r="N50" t="str">
            <v>CQ</v>
          </cell>
          <cell r="O50">
            <v>2165172</v>
          </cell>
          <cell r="P50" t="str">
            <v>CRCA COIL TATCRC TR15 0.700X1000</v>
          </cell>
          <cell r="Q50">
            <v>0.7</v>
          </cell>
          <cell r="R50">
            <v>1000</v>
          </cell>
          <cell r="S50">
            <v>23</v>
          </cell>
          <cell r="T50">
            <v>0</v>
          </cell>
          <cell r="U50">
            <v>23</v>
          </cell>
          <cell r="V50" t="str">
            <v>C01</v>
          </cell>
          <cell r="W50" t="str">
            <v>TATCRC</v>
          </cell>
          <cell r="X50" t="str">
            <v>TR15</v>
          </cell>
          <cell r="Y50">
            <v>0</v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>
            <v>742</v>
          </cell>
          <cell r="AE50" t="str">
            <v>ZBTO</v>
          </cell>
        </row>
        <row r="51">
          <cell r="G51" t="str">
            <v>9518899739-1</v>
          </cell>
          <cell r="H51">
            <v>45839</v>
          </cell>
          <cell r="I51" t="str">
            <v>ANM ISPAT PVT LTD</v>
          </cell>
          <cell r="J51">
            <v>2000</v>
          </cell>
          <cell r="K51" t="str">
            <v>Trimming only at RCL</v>
          </cell>
          <cell r="L51">
            <v>2.5</v>
          </cell>
          <cell r="M51">
            <v>3.5</v>
          </cell>
          <cell r="N51" t="str">
            <v>SR16</v>
          </cell>
          <cell r="O51">
            <v>3239543</v>
          </cell>
          <cell r="P51" t="str">
            <v>CRCA SHEET TATCRC SR16 0.350X1250X2500</v>
          </cell>
          <cell r="Q51">
            <v>0.35</v>
          </cell>
          <cell r="R51">
            <v>1250</v>
          </cell>
          <cell r="S51">
            <v>21</v>
          </cell>
          <cell r="T51">
            <v>0</v>
          </cell>
          <cell r="U51">
            <v>21</v>
          </cell>
          <cell r="V51" t="str">
            <v>C06</v>
          </cell>
          <cell r="W51" t="str">
            <v>TATCRC</v>
          </cell>
          <cell r="X51" t="str">
            <v>SR16</v>
          </cell>
          <cell r="Y51">
            <v>0</v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>
            <v>742</v>
          </cell>
          <cell r="AE51" t="str">
            <v>ZBTO</v>
          </cell>
        </row>
        <row r="52">
          <cell r="G52" t="str">
            <v>9518899739-2</v>
          </cell>
          <cell r="H52">
            <v>45839</v>
          </cell>
          <cell r="I52" t="str">
            <v>ANM ISPAT PVT LTD</v>
          </cell>
          <cell r="J52">
            <v>2000</v>
          </cell>
          <cell r="K52" t="str">
            <v>Trimming only at RCL</v>
          </cell>
          <cell r="L52">
            <v>2.5</v>
          </cell>
          <cell r="M52">
            <v>3.5</v>
          </cell>
          <cell r="N52" t="str">
            <v>SR15</v>
          </cell>
          <cell r="O52">
            <v>3240765</v>
          </cell>
          <cell r="P52" t="str">
            <v>CRCA SHEET TSBCRC SR15 0.500X1250X2500</v>
          </cell>
          <cell r="Q52">
            <v>0.5</v>
          </cell>
          <cell r="R52">
            <v>1250</v>
          </cell>
          <cell r="S52">
            <v>40.93</v>
          </cell>
          <cell r="T52">
            <v>40.93</v>
          </cell>
          <cell r="U52">
            <v>0</v>
          </cell>
          <cell r="V52" t="str">
            <v>C06</v>
          </cell>
          <cell r="W52" t="str">
            <v>TSBCRC</v>
          </cell>
          <cell r="X52" t="str">
            <v>SR15</v>
          </cell>
          <cell r="Y52">
            <v>40.93</v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>
            <v>742</v>
          </cell>
          <cell r="AE52" t="str">
            <v>ZBTO</v>
          </cell>
        </row>
        <row r="53">
          <cell r="G53" t="str">
            <v>9518902718-1</v>
          </cell>
          <cell r="H53">
            <v>45840</v>
          </cell>
          <cell r="I53" t="str">
            <v>BMW VENTURES LIMITED</v>
          </cell>
          <cell r="J53">
            <v>2000</v>
          </cell>
          <cell r="K53" t="str">
            <v>Trimming at PLTCM</v>
          </cell>
          <cell r="L53">
            <v>1</v>
          </cell>
          <cell r="M53">
            <v>6.2</v>
          </cell>
          <cell r="N53" t="str">
            <v>O/D GRADES</v>
          </cell>
          <cell r="O53">
            <v>3768542</v>
          </cell>
          <cell r="P53" t="str">
            <v>GP COIL TATGPH GP02 0.350X900</v>
          </cell>
          <cell r="Q53">
            <v>0.35</v>
          </cell>
          <cell r="R53">
            <v>900</v>
          </cell>
          <cell r="S53">
            <v>1E-3</v>
          </cell>
          <cell r="T53">
            <v>39.56</v>
          </cell>
          <cell r="U53">
            <v>-39.558999999999997</v>
          </cell>
          <cell r="V53" t="str">
            <v>C05</v>
          </cell>
          <cell r="W53" t="str">
            <v>TATGPH</v>
          </cell>
          <cell r="X53" t="str">
            <v>GP02</v>
          </cell>
          <cell r="Y53">
            <v>39.56</v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>
            <v>743</v>
          </cell>
          <cell r="AE53" t="str">
            <v>ZBTO</v>
          </cell>
        </row>
        <row r="54">
          <cell r="G54" t="str">
            <v>9518902718-2</v>
          </cell>
          <cell r="H54">
            <v>45840</v>
          </cell>
          <cell r="I54" t="str">
            <v>BMW VENTURES LIMITED</v>
          </cell>
          <cell r="J54">
            <v>2000</v>
          </cell>
          <cell r="K54" t="str">
            <v>Trimming at PLTCM</v>
          </cell>
          <cell r="L54">
            <v>1</v>
          </cell>
          <cell r="M54">
            <v>5</v>
          </cell>
          <cell r="N54" t="str">
            <v>O/D GRADES</v>
          </cell>
          <cell r="O54">
            <v>3777535</v>
          </cell>
          <cell r="P54" t="str">
            <v>GP COIL TATGPH GP02 0.400X900</v>
          </cell>
          <cell r="Q54">
            <v>0.4</v>
          </cell>
          <cell r="R54">
            <v>900</v>
          </cell>
          <cell r="S54">
            <v>1E-3</v>
          </cell>
          <cell r="T54">
            <v>93.765000000000001</v>
          </cell>
          <cell r="U54">
            <v>-93.763999999999996</v>
          </cell>
          <cell r="V54" t="str">
            <v>C05</v>
          </cell>
          <cell r="W54" t="str">
            <v>TATGPH</v>
          </cell>
          <cell r="X54" t="str">
            <v>GP02</v>
          </cell>
          <cell r="Y54">
            <v>93.765000000000001</v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>
            <v>743</v>
          </cell>
          <cell r="AE54" t="str">
            <v>ZBTO</v>
          </cell>
        </row>
        <row r="55">
          <cell r="G55" t="str">
            <v>9518902718-3</v>
          </cell>
          <cell r="H55">
            <v>45840</v>
          </cell>
          <cell r="I55" t="str">
            <v>BMW VENTURES LIMITED</v>
          </cell>
          <cell r="J55">
            <v>2000</v>
          </cell>
          <cell r="K55" t="str">
            <v>Trimming at PLTCM</v>
          </cell>
          <cell r="L55">
            <v>1</v>
          </cell>
          <cell r="M55">
            <v>5</v>
          </cell>
          <cell r="N55" t="str">
            <v>O/D GRADES</v>
          </cell>
          <cell r="O55">
            <v>3708869</v>
          </cell>
          <cell r="P55" t="str">
            <v>GP COIL TATGPH GP02 0.500X900</v>
          </cell>
          <cell r="Q55">
            <v>0.5</v>
          </cell>
          <cell r="R55">
            <v>900</v>
          </cell>
          <cell r="S55">
            <v>33.685000000000002</v>
          </cell>
          <cell r="T55">
            <v>33.685000000000002</v>
          </cell>
          <cell r="U55">
            <v>-4.875</v>
          </cell>
          <cell r="V55" t="str">
            <v>C05</v>
          </cell>
          <cell r="W55" t="str">
            <v>TATGPH</v>
          </cell>
          <cell r="X55" t="str">
            <v>GP02</v>
          </cell>
          <cell r="Y55">
            <v>38.56</v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>
            <v>743</v>
          </cell>
          <cell r="AE55" t="str">
            <v>ZBTO</v>
          </cell>
        </row>
        <row r="56">
          <cell r="G56" t="str">
            <v>9518902718-4</v>
          </cell>
          <cell r="H56">
            <v>45840</v>
          </cell>
          <cell r="I56" t="str">
            <v>BMW VENTURES LIMITED</v>
          </cell>
          <cell r="J56">
            <v>2000</v>
          </cell>
          <cell r="K56" t="str">
            <v>Trimming at PLTCM</v>
          </cell>
          <cell r="L56">
            <v>1</v>
          </cell>
          <cell r="M56">
            <v>5</v>
          </cell>
          <cell r="N56" t="str">
            <v>O/D GRADES</v>
          </cell>
          <cell r="O56">
            <v>3907468</v>
          </cell>
          <cell r="P56" t="str">
            <v>GP COIL TATXGP GP02 0.350X1350</v>
          </cell>
          <cell r="Q56">
            <v>0.35</v>
          </cell>
          <cell r="R56">
            <v>1350</v>
          </cell>
          <cell r="S56">
            <v>100</v>
          </cell>
          <cell r="T56">
            <v>0</v>
          </cell>
          <cell r="U56">
            <v>100</v>
          </cell>
          <cell r="V56" t="str">
            <v>C05</v>
          </cell>
          <cell r="W56" t="str">
            <v>TATXGP</v>
          </cell>
          <cell r="X56" t="str">
            <v>GP02</v>
          </cell>
          <cell r="Y56">
            <v>0</v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>
            <v>743</v>
          </cell>
          <cell r="AE56" t="str">
            <v>ZBTO</v>
          </cell>
        </row>
        <row r="57">
          <cell r="G57" t="str">
            <v>9518902718-5</v>
          </cell>
          <cell r="H57">
            <v>45840</v>
          </cell>
          <cell r="I57" t="str">
            <v>BMW VENTURES LIMITED</v>
          </cell>
          <cell r="J57">
            <v>2000</v>
          </cell>
          <cell r="K57" t="str">
            <v>Trimming at PLTCM</v>
          </cell>
          <cell r="L57">
            <v>1</v>
          </cell>
          <cell r="M57">
            <v>5.59</v>
          </cell>
          <cell r="N57" t="str">
            <v>O/D GRADES</v>
          </cell>
          <cell r="O57">
            <v>3708868</v>
          </cell>
          <cell r="P57" t="str">
            <v>GP COIL TATGPH GP02 0.500X1350</v>
          </cell>
          <cell r="Q57">
            <v>0.5</v>
          </cell>
          <cell r="R57">
            <v>1350</v>
          </cell>
          <cell r="S57">
            <v>50</v>
          </cell>
          <cell r="T57">
            <v>0</v>
          </cell>
          <cell r="U57">
            <v>50</v>
          </cell>
          <cell r="V57" t="str">
            <v>C05</v>
          </cell>
          <cell r="W57" t="str">
            <v>TATGPH</v>
          </cell>
          <cell r="X57" t="str">
            <v>GP02</v>
          </cell>
          <cell r="Y57">
            <v>0</v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>
            <v>743</v>
          </cell>
          <cell r="AE57" t="str">
            <v>ZBTO</v>
          </cell>
        </row>
        <row r="58">
          <cell r="G58" t="str">
            <v>9518902718-6</v>
          </cell>
          <cell r="H58">
            <v>45840</v>
          </cell>
          <cell r="I58" t="str">
            <v>BMW VENTURES LIMITED</v>
          </cell>
          <cell r="J58">
            <v>2000</v>
          </cell>
          <cell r="K58" t="str">
            <v>Untrimmed edge</v>
          </cell>
          <cell r="L58">
            <v>1</v>
          </cell>
          <cell r="M58">
            <v>5</v>
          </cell>
          <cell r="N58" t="str">
            <v>O/D GRADES</v>
          </cell>
          <cell r="O58">
            <v>3953694</v>
          </cell>
          <cell r="P58" t="str">
            <v>GP COIL TATXGP GP2T 0.250X1350</v>
          </cell>
          <cell r="Q58">
            <v>0.25</v>
          </cell>
          <cell r="R58">
            <v>1350</v>
          </cell>
          <cell r="S58">
            <v>62</v>
          </cell>
          <cell r="T58">
            <v>0</v>
          </cell>
          <cell r="U58">
            <v>62</v>
          </cell>
          <cell r="V58" t="str">
            <v>C05</v>
          </cell>
          <cell r="W58" t="str">
            <v>TATXGP</v>
          </cell>
          <cell r="X58" t="str">
            <v>GP2T</v>
          </cell>
          <cell r="Y58">
            <v>0</v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>
            <v>743</v>
          </cell>
          <cell r="AE58" t="str">
            <v>ZBTO</v>
          </cell>
        </row>
        <row r="59">
          <cell r="G59" t="str">
            <v>9518911416-1</v>
          </cell>
          <cell r="H59">
            <v>45845</v>
          </cell>
          <cell r="I59" t="str">
            <v>INDIA STEEL INDUSTRIES</v>
          </cell>
          <cell r="J59">
            <v>2000</v>
          </cell>
          <cell r="K59" t="str">
            <v>Trimming at PLTCM</v>
          </cell>
          <cell r="L59">
            <v>10</v>
          </cell>
          <cell r="M59">
            <v>25</v>
          </cell>
          <cell r="N59" t="str">
            <v>CQ</v>
          </cell>
          <cell r="O59">
            <v>1804905</v>
          </cell>
          <cell r="P59" t="str">
            <v>CRCA COIL-TATCRC-TR15-0.5X1000</v>
          </cell>
          <cell r="Q59">
            <v>0.5</v>
          </cell>
          <cell r="R59">
            <v>1000</v>
          </cell>
          <cell r="S59">
            <v>23</v>
          </cell>
          <cell r="T59">
            <v>0</v>
          </cell>
          <cell r="U59">
            <v>23</v>
          </cell>
          <cell r="V59" t="str">
            <v>C01</v>
          </cell>
          <cell r="W59" t="str">
            <v>TATCRC</v>
          </cell>
          <cell r="X59" t="str">
            <v>TR15</v>
          </cell>
          <cell r="Y59">
            <v>0</v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>
            <v>742</v>
          </cell>
          <cell r="AE59" t="str">
            <v>ZBTO</v>
          </cell>
        </row>
        <row r="60">
          <cell r="G60" t="str">
            <v>9518911416-2</v>
          </cell>
          <cell r="H60">
            <v>45845</v>
          </cell>
          <cell r="I60" t="str">
            <v>INDIA STEEL INDUSTRIES</v>
          </cell>
          <cell r="J60">
            <v>2000</v>
          </cell>
          <cell r="K60" t="str">
            <v>Trimming at PLTCM</v>
          </cell>
          <cell r="L60">
            <v>10</v>
          </cell>
          <cell r="M60">
            <v>25</v>
          </cell>
          <cell r="N60" t="str">
            <v>CQ</v>
          </cell>
          <cell r="O60">
            <v>1804914</v>
          </cell>
          <cell r="P60" t="str">
            <v>CRCA COIL TATCRC TR15 0.6X1000</v>
          </cell>
          <cell r="Q60">
            <v>0.6</v>
          </cell>
          <cell r="R60">
            <v>1000</v>
          </cell>
          <cell r="S60">
            <v>23</v>
          </cell>
          <cell r="T60">
            <v>0</v>
          </cell>
          <cell r="U60">
            <v>23</v>
          </cell>
          <cell r="V60" t="str">
            <v>C01</v>
          </cell>
          <cell r="W60" t="str">
            <v>TATCRC</v>
          </cell>
          <cell r="X60" t="str">
            <v>TR15</v>
          </cell>
          <cell r="Y60">
            <v>0</v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>
            <v>742</v>
          </cell>
          <cell r="AE60" t="str">
            <v>ZBTO</v>
          </cell>
        </row>
        <row r="61">
          <cell r="G61" t="str">
            <v>9518911416-3</v>
          </cell>
          <cell r="H61">
            <v>45845</v>
          </cell>
          <cell r="I61" t="str">
            <v>INDIA STEEL INDUSTRIES</v>
          </cell>
          <cell r="J61">
            <v>2000</v>
          </cell>
          <cell r="K61" t="str">
            <v>Trimming at PLTCM</v>
          </cell>
          <cell r="L61">
            <v>10</v>
          </cell>
          <cell r="M61">
            <v>25</v>
          </cell>
          <cell r="N61" t="str">
            <v>CQ</v>
          </cell>
          <cell r="O61">
            <v>2165172</v>
          </cell>
          <cell r="P61" t="str">
            <v>CRCA COIL TATCRC TR15 0.700X1000</v>
          </cell>
          <cell r="Q61">
            <v>0.7</v>
          </cell>
          <cell r="R61">
            <v>1000</v>
          </cell>
          <cell r="S61">
            <v>23</v>
          </cell>
          <cell r="T61">
            <v>0</v>
          </cell>
          <cell r="U61">
            <v>23</v>
          </cell>
          <cell r="V61" t="str">
            <v>C01</v>
          </cell>
          <cell r="W61" t="str">
            <v>TATCRC</v>
          </cell>
          <cell r="X61" t="str">
            <v>TR15</v>
          </cell>
          <cell r="Y61">
            <v>0</v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>
            <v>742</v>
          </cell>
          <cell r="AE61" t="str">
            <v>ZBTO</v>
          </cell>
        </row>
        <row r="62">
          <cell r="G62" t="str">
            <v>9518921586-1</v>
          </cell>
          <cell r="H62">
            <v>45849</v>
          </cell>
          <cell r="I62" t="str">
            <v>VIJAY VENKAT STEELS PRIVATE LI</v>
          </cell>
          <cell r="J62">
            <v>2000</v>
          </cell>
          <cell r="K62" t="str">
            <v>Untrimmed edge</v>
          </cell>
          <cell r="L62">
            <v>10</v>
          </cell>
          <cell r="M62">
            <v>30</v>
          </cell>
          <cell r="N62" t="str">
            <v>AU03</v>
          </cell>
          <cell r="O62">
            <v>185675</v>
          </cell>
          <cell r="P62" t="str">
            <v>CRCA COIL-TATXXD-AU03-0.5X1250</v>
          </cell>
          <cell r="Q62">
            <v>0.5</v>
          </cell>
          <cell r="R62">
            <v>1250</v>
          </cell>
          <cell r="S62">
            <v>29</v>
          </cell>
          <cell r="T62">
            <v>23.645</v>
          </cell>
          <cell r="U62">
            <v>5.3550000000000004</v>
          </cell>
          <cell r="V62" t="str">
            <v>C01</v>
          </cell>
          <cell r="W62" t="str">
            <v>TATXXD</v>
          </cell>
          <cell r="X62" t="str">
            <v>AU03</v>
          </cell>
          <cell r="Y62">
            <v>23.645</v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>
            <v>742</v>
          </cell>
          <cell r="AE62" t="str">
            <v>ZBTO</v>
          </cell>
        </row>
        <row r="63">
          <cell r="G63" t="str">
            <v>9518921586-2</v>
          </cell>
          <cell r="H63">
            <v>45849</v>
          </cell>
          <cell r="I63" t="str">
            <v>VIJAY VENKAT STEELS PRIVATE LI</v>
          </cell>
          <cell r="J63">
            <v>2000</v>
          </cell>
          <cell r="K63" t="str">
            <v>C</v>
          </cell>
          <cell r="L63">
            <v>10</v>
          </cell>
          <cell r="M63">
            <v>30</v>
          </cell>
          <cell r="N63" t="str">
            <v>O/D GRADES</v>
          </cell>
          <cell r="O63">
            <v>1804914</v>
          </cell>
          <cell r="P63" t="str">
            <v>CRCA COIL TATCRC TR15 0.6X1000</v>
          </cell>
          <cell r="Q63">
            <v>0.6</v>
          </cell>
          <cell r="R63">
            <v>1000</v>
          </cell>
          <cell r="S63">
            <v>46</v>
          </cell>
          <cell r="T63">
            <v>0</v>
          </cell>
          <cell r="U63">
            <v>46</v>
          </cell>
          <cell r="V63" t="str">
            <v>C01</v>
          </cell>
          <cell r="W63" t="str">
            <v>TATCRC</v>
          </cell>
          <cell r="X63" t="str">
            <v>TR15</v>
          </cell>
          <cell r="Y63">
            <v>0</v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>
            <v>742</v>
          </cell>
          <cell r="AE63" t="str">
            <v>ZBTO</v>
          </cell>
        </row>
        <row r="64">
          <cell r="G64" t="str">
            <v>9518921586-3</v>
          </cell>
          <cell r="H64">
            <v>45849</v>
          </cell>
          <cell r="I64" t="str">
            <v>VIJAY VENKAT STEELS PRIVATE LI</v>
          </cell>
          <cell r="J64">
            <v>2000</v>
          </cell>
          <cell r="K64" t="str">
            <v>Trimming at PLTCM</v>
          </cell>
          <cell r="L64">
            <v>10</v>
          </cell>
          <cell r="M64">
            <v>30</v>
          </cell>
          <cell r="N64" t="str">
            <v>O/D GRADES</v>
          </cell>
          <cell r="O64">
            <v>227643</v>
          </cell>
          <cell r="P64" t="str">
            <v>CR COIL-ICF C01 TATCRC TR15 0.6 X 1320</v>
          </cell>
          <cell r="Q64">
            <v>0.6</v>
          </cell>
          <cell r="R64">
            <v>1320</v>
          </cell>
          <cell r="S64">
            <v>30</v>
          </cell>
          <cell r="T64">
            <v>0</v>
          </cell>
          <cell r="U64">
            <v>30</v>
          </cell>
          <cell r="V64" t="str">
            <v>C01</v>
          </cell>
          <cell r="W64" t="str">
            <v>TATCRC</v>
          </cell>
          <cell r="X64" t="str">
            <v>TR15</v>
          </cell>
          <cell r="Y64">
            <v>0</v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>
            <v>742</v>
          </cell>
          <cell r="AE64" t="str">
            <v>ZBTO</v>
          </cell>
        </row>
        <row r="65">
          <cell r="G65" t="str">
            <v>9518921586-5</v>
          </cell>
          <cell r="H65">
            <v>45849</v>
          </cell>
          <cell r="I65" t="str">
            <v>VIJAY VENKAT STEELS PRIVATE LI</v>
          </cell>
          <cell r="J65">
            <v>2000</v>
          </cell>
          <cell r="K65" t="str">
            <v>Untrimmed edge</v>
          </cell>
          <cell r="L65">
            <v>10</v>
          </cell>
          <cell r="M65">
            <v>30</v>
          </cell>
          <cell r="N65" t="str">
            <v>D FOR CRCA</v>
          </cell>
          <cell r="O65">
            <v>1801456</v>
          </cell>
          <cell r="P65" t="str">
            <v>CRCA COIL-TATXXD-AU03-0.7X1250</v>
          </cell>
          <cell r="Q65">
            <v>0.7</v>
          </cell>
          <cell r="R65">
            <v>1250</v>
          </cell>
          <cell r="S65">
            <v>29</v>
          </cell>
          <cell r="T65">
            <v>0</v>
          </cell>
          <cell r="U65">
            <v>29</v>
          </cell>
          <cell r="V65" t="str">
            <v>C01</v>
          </cell>
          <cell r="W65" t="str">
            <v>TATXXD</v>
          </cell>
          <cell r="X65" t="str">
            <v>AU03</v>
          </cell>
          <cell r="Y65">
            <v>0</v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>
            <v>742</v>
          </cell>
          <cell r="AE65" t="str">
            <v>ZBTO</v>
          </cell>
        </row>
        <row r="66">
          <cell r="G66" t="str">
            <v>9518921586-6</v>
          </cell>
          <cell r="H66">
            <v>45849</v>
          </cell>
          <cell r="I66" t="str">
            <v>VIJAY VENKAT STEELS PRIVATE LI</v>
          </cell>
          <cell r="J66">
            <v>2000</v>
          </cell>
          <cell r="K66" t="str">
            <v>C</v>
          </cell>
          <cell r="L66">
            <v>10</v>
          </cell>
          <cell r="M66">
            <v>30</v>
          </cell>
          <cell r="N66" t="str">
            <v>O/D GRADES</v>
          </cell>
          <cell r="O66">
            <v>2396820</v>
          </cell>
          <cell r="P66" t="str">
            <v>CRCA COIL TATCRC TR15 0.700X1120</v>
          </cell>
          <cell r="Q66">
            <v>0.7</v>
          </cell>
          <cell r="R66">
            <v>1120</v>
          </cell>
          <cell r="S66">
            <v>26</v>
          </cell>
          <cell r="T66">
            <v>0</v>
          </cell>
          <cell r="U66">
            <v>26</v>
          </cell>
          <cell r="V66" t="str">
            <v>C01</v>
          </cell>
          <cell r="W66" t="str">
            <v>TATCRC</v>
          </cell>
          <cell r="X66" t="str">
            <v>TR15</v>
          </cell>
          <cell r="Y66">
            <v>0</v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>
            <v>742</v>
          </cell>
          <cell r="AE66" t="str">
            <v>ZBTO</v>
          </cell>
        </row>
        <row r="67">
          <cell r="G67" t="str">
            <v>9518921586-7</v>
          </cell>
          <cell r="H67">
            <v>45849</v>
          </cell>
          <cell r="I67" t="str">
            <v>VIJAY VENKAT STEELS PRIVATE LI</v>
          </cell>
          <cell r="J67">
            <v>2000</v>
          </cell>
          <cell r="K67" t="str">
            <v>Untrimmed edge</v>
          </cell>
          <cell r="L67">
            <v>10</v>
          </cell>
          <cell r="M67">
            <v>30</v>
          </cell>
          <cell r="N67" t="str">
            <v>AH03</v>
          </cell>
          <cell r="O67">
            <v>2420514</v>
          </cell>
          <cell r="P67" t="str">
            <v>CRCA COIL TATXXD AH03 0.800X1250</v>
          </cell>
          <cell r="Q67">
            <v>0.8</v>
          </cell>
          <cell r="R67">
            <v>1250</v>
          </cell>
          <cell r="S67">
            <v>29</v>
          </cell>
          <cell r="T67">
            <v>27.28</v>
          </cell>
          <cell r="U67">
            <v>1.72</v>
          </cell>
          <cell r="V67" t="str">
            <v>C01</v>
          </cell>
          <cell r="W67" t="str">
            <v>TATXXD</v>
          </cell>
          <cell r="X67" t="str">
            <v>AH03</v>
          </cell>
          <cell r="Y67">
            <v>27.28</v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>
            <v>742</v>
          </cell>
          <cell r="AE67" t="str">
            <v>ZBTO</v>
          </cell>
        </row>
        <row r="68">
          <cell r="G68" t="str">
            <v>9518921586-8</v>
          </cell>
          <cell r="H68">
            <v>45849</v>
          </cell>
          <cell r="I68" t="str">
            <v>VIJAY VENKAT STEELS PRIVATE LI</v>
          </cell>
          <cell r="J68">
            <v>2000</v>
          </cell>
          <cell r="K68" t="str">
            <v>Untrimmed edge</v>
          </cell>
          <cell r="L68">
            <v>10</v>
          </cell>
          <cell r="M68">
            <v>30</v>
          </cell>
          <cell r="N68" t="str">
            <v>D FOR CRCA</v>
          </cell>
          <cell r="O68">
            <v>1804826</v>
          </cell>
          <cell r="P68" t="str">
            <v>CRCA COIL-TATXXD-AU03-0.9X1250</v>
          </cell>
          <cell r="Q68">
            <v>0.9</v>
          </cell>
          <cell r="R68">
            <v>1250</v>
          </cell>
          <cell r="S68">
            <v>29</v>
          </cell>
          <cell r="T68">
            <v>0</v>
          </cell>
          <cell r="U68">
            <v>29</v>
          </cell>
          <cell r="V68" t="str">
            <v>C01</v>
          </cell>
          <cell r="W68" t="str">
            <v>TATXXD</v>
          </cell>
          <cell r="X68" t="str">
            <v>AU03</v>
          </cell>
          <cell r="Y68">
            <v>0</v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>
            <v>742</v>
          </cell>
          <cell r="AE68" t="str">
            <v>ZBTO</v>
          </cell>
        </row>
        <row r="69">
          <cell r="G69" t="str">
            <v>9518921586-9</v>
          </cell>
          <cell r="H69">
            <v>45849</v>
          </cell>
          <cell r="I69" t="str">
            <v>VIJAY VENKAT STEELS PRIVATE LI</v>
          </cell>
          <cell r="J69">
            <v>2000</v>
          </cell>
          <cell r="K69" t="str">
            <v>Untrimmed edge</v>
          </cell>
          <cell r="L69">
            <v>10</v>
          </cell>
          <cell r="M69">
            <v>30</v>
          </cell>
          <cell r="N69" t="str">
            <v>D FOR CRCA</v>
          </cell>
          <cell r="O69">
            <v>2334995</v>
          </cell>
          <cell r="P69" t="str">
            <v>CRCA COIL TATXXD AU03 1.500X1250</v>
          </cell>
          <cell r="Q69">
            <v>1.5</v>
          </cell>
          <cell r="R69">
            <v>1250</v>
          </cell>
          <cell r="S69">
            <v>1E-3</v>
          </cell>
          <cell r="T69">
            <v>0</v>
          </cell>
          <cell r="U69">
            <v>-24.568999999999999</v>
          </cell>
          <cell r="V69" t="str">
            <v>C01</v>
          </cell>
          <cell r="W69" t="str">
            <v>TATXXD</v>
          </cell>
          <cell r="X69" t="str">
            <v>AU03</v>
          </cell>
          <cell r="Y69">
            <v>24.57</v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>
            <v>742</v>
          </cell>
          <cell r="AE69" t="str">
            <v>ZBTO</v>
          </cell>
        </row>
        <row r="70">
          <cell r="G70" t="str">
            <v>9518921586-10</v>
          </cell>
          <cell r="H70">
            <v>45849</v>
          </cell>
          <cell r="I70" t="str">
            <v>VIJAY VENKAT STEELS PRIVATE LI</v>
          </cell>
          <cell r="J70">
            <v>2000</v>
          </cell>
          <cell r="K70" t="str">
            <v>Untrimmed edge</v>
          </cell>
          <cell r="L70">
            <v>10</v>
          </cell>
          <cell r="M70">
            <v>30</v>
          </cell>
          <cell r="N70" t="str">
            <v>O/D GRADES</v>
          </cell>
          <cell r="O70">
            <v>1804917</v>
          </cell>
          <cell r="P70" t="str">
            <v>CRCA COIL TATCRC TR15 0.6X1250</v>
          </cell>
          <cell r="Q70">
            <v>0.6</v>
          </cell>
          <cell r="R70">
            <v>1250</v>
          </cell>
          <cell r="S70">
            <v>29</v>
          </cell>
          <cell r="T70">
            <v>0</v>
          </cell>
          <cell r="U70">
            <v>29</v>
          </cell>
          <cell r="V70" t="str">
            <v>C01</v>
          </cell>
          <cell r="W70" t="str">
            <v>TATCRC</v>
          </cell>
          <cell r="X70" t="str">
            <v>TR15</v>
          </cell>
          <cell r="Y70">
            <v>0</v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>
            <v>742</v>
          </cell>
          <cell r="AE70" t="str">
            <v>ZBTO</v>
          </cell>
        </row>
        <row r="71">
          <cell r="G71" t="str">
            <v>9518927444-1</v>
          </cell>
          <cell r="H71">
            <v>45852</v>
          </cell>
          <cell r="I71" t="str">
            <v>PRESTIGE METALLICS PRIVATE LIM</v>
          </cell>
          <cell r="J71">
            <v>2000</v>
          </cell>
          <cell r="K71" t="str">
            <v>Trimming only at RCL</v>
          </cell>
          <cell r="L71">
            <v>2</v>
          </cell>
          <cell r="M71">
            <v>3</v>
          </cell>
          <cell r="N71" t="str">
            <v>O/D GRADES</v>
          </cell>
          <cell r="O71">
            <v>3239548</v>
          </cell>
          <cell r="P71" t="str">
            <v>CRCA SHEET TATCRC SR16 0.400X900X2500</v>
          </cell>
          <cell r="Q71">
            <v>0.4</v>
          </cell>
          <cell r="R71">
            <v>900</v>
          </cell>
          <cell r="S71">
            <v>21</v>
          </cell>
          <cell r="T71">
            <v>18.86</v>
          </cell>
          <cell r="U71">
            <v>2.14</v>
          </cell>
          <cell r="V71" t="str">
            <v>C06</v>
          </cell>
          <cell r="W71" t="str">
            <v>TATCRC</v>
          </cell>
          <cell r="X71" t="str">
            <v>SR16</v>
          </cell>
          <cell r="Y71">
            <v>18.86</v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>
            <v>742</v>
          </cell>
          <cell r="AE71" t="str">
            <v>ZBTO</v>
          </cell>
        </row>
        <row r="72">
          <cell r="G72" t="str">
            <v>9518927444-2</v>
          </cell>
          <cell r="H72">
            <v>45852</v>
          </cell>
          <cell r="I72" t="str">
            <v>PRESTIGE METALLICS PRIVATE LIM</v>
          </cell>
          <cell r="J72">
            <v>2000</v>
          </cell>
          <cell r="K72" t="str">
            <v>Trimming only at RCL</v>
          </cell>
          <cell r="L72">
            <v>2</v>
          </cell>
          <cell r="M72">
            <v>3</v>
          </cell>
          <cell r="N72" t="str">
            <v>O/D GRADES</v>
          </cell>
          <cell r="O72">
            <v>3240799</v>
          </cell>
          <cell r="P72" t="str">
            <v>CRCA SHEET TSBCRC SR15 0.750X1250X2500</v>
          </cell>
          <cell r="Q72">
            <v>0.75</v>
          </cell>
          <cell r="R72">
            <v>1250</v>
          </cell>
          <cell r="S72">
            <v>1E-3</v>
          </cell>
          <cell r="T72">
            <v>28.645</v>
          </cell>
          <cell r="U72">
            <v>-28.643999999999998</v>
          </cell>
          <cell r="V72" t="str">
            <v>C06</v>
          </cell>
          <cell r="W72" t="str">
            <v>TSBCRC</v>
          </cell>
          <cell r="X72" t="str">
            <v>SR15</v>
          </cell>
          <cell r="Y72">
            <v>28.645</v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>
            <v>742</v>
          </cell>
          <cell r="AE72" t="str">
            <v>ZBTO</v>
          </cell>
        </row>
        <row r="73">
          <cell r="G73" t="str">
            <v>9518927444-3</v>
          </cell>
          <cell r="H73">
            <v>45852</v>
          </cell>
          <cell r="I73" t="str">
            <v>PRESTIGE METALLICS PRIVATE LIM</v>
          </cell>
          <cell r="J73">
            <v>2000</v>
          </cell>
          <cell r="K73" t="str">
            <v>Trimming only at RCL</v>
          </cell>
          <cell r="L73">
            <v>2</v>
          </cell>
          <cell r="M73">
            <v>3</v>
          </cell>
          <cell r="N73" t="str">
            <v>O/D GRADES</v>
          </cell>
          <cell r="O73">
            <v>322577</v>
          </cell>
          <cell r="P73" t="str">
            <v>CRCA SHEET TATCRC TR15 1.6X1250X2500</v>
          </cell>
          <cell r="Q73">
            <v>1.6</v>
          </cell>
          <cell r="R73">
            <v>1250</v>
          </cell>
          <cell r="S73">
            <v>29</v>
          </cell>
          <cell r="T73">
            <v>0</v>
          </cell>
          <cell r="U73">
            <v>29</v>
          </cell>
          <cell r="V73" t="str">
            <v>C06</v>
          </cell>
          <cell r="W73" t="str">
            <v>TATCRC</v>
          </cell>
          <cell r="X73" t="str">
            <v>TR15</v>
          </cell>
          <cell r="Y73">
            <v>0</v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>
            <v>742</v>
          </cell>
          <cell r="AE73" t="str">
            <v>ZBTO</v>
          </cell>
        </row>
        <row r="74">
          <cell r="G74" t="str">
            <v>9518939680-1</v>
          </cell>
          <cell r="H74">
            <v>45856</v>
          </cell>
          <cell r="I74" t="str">
            <v>BASEER AND CO</v>
          </cell>
          <cell r="J74">
            <v>2000</v>
          </cell>
          <cell r="K74" t="str">
            <v>Trimming at PLTCM</v>
          </cell>
          <cell r="L74">
            <v>2</v>
          </cell>
          <cell r="M74">
            <v>3</v>
          </cell>
          <cell r="N74" t="str">
            <v>AU03</v>
          </cell>
          <cell r="O74">
            <v>279229</v>
          </cell>
          <cell r="P74" t="str">
            <v>CRSHEET TATXXD AU03 0.50X1250X2500</v>
          </cell>
          <cell r="Q74">
            <v>0.5</v>
          </cell>
          <cell r="R74">
            <v>1250</v>
          </cell>
          <cell r="S74">
            <v>58</v>
          </cell>
          <cell r="T74">
            <v>0</v>
          </cell>
          <cell r="U74">
            <v>58</v>
          </cell>
          <cell r="V74" t="str">
            <v>C06</v>
          </cell>
          <cell r="W74" t="str">
            <v>TATXXD</v>
          </cell>
          <cell r="X74" t="str">
            <v>AU03</v>
          </cell>
          <cell r="Y74">
            <v>0</v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>
            <v>742</v>
          </cell>
          <cell r="AE74" t="str">
            <v>ZBTO</v>
          </cell>
        </row>
        <row r="75">
          <cell r="G75" t="str">
            <v>9518939680-2</v>
          </cell>
          <cell r="H75">
            <v>45856</v>
          </cell>
          <cell r="I75" t="str">
            <v>BASEER AND CO</v>
          </cell>
          <cell r="J75">
            <v>2000</v>
          </cell>
          <cell r="K75" t="str">
            <v>Trimming at PLTCM</v>
          </cell>
          <cell r="L75">
            <v>2</v>
          </cell>
          <cell r="M75">
            <v>3</v>
          </cell>
          <cell r="N75" t="str">
            <v>D FOR CRCA</v>
          </cell>
          <cell r="O75">
            <v>189865</v>
          </cell>
          <cell r="P75" t="str">
            <v>CRSHEET TATXXD AU03 1.0X1250X2500</v>
          </cell>
          <cell r="Q75">
            <v>1</v>
          </cell>
          <cell r="R75">
            <v>1250</v>
          </cell>
          <cell r="S75">
            <v>29</v>
          </cell>
          <cell r="T75">
            <v>0</v>
          </cell>
          <cell r="U75">
            <v>29</v>
          </cell>
          <cell r="V75" t="str">
            <v>C06</v>
          </cell>
          <cell r="W75" t="str">
            <v>TATXXD</v>
          </cell>
          <cell r="X75" t="str">
            <v>AU03</v>
          </cell>
          <cell r="Y75">
            <v>0</v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>
            <v>742</v>
          </cell>
          <cell r="AE75" t="str">
            <v>ZBTO</v>
          </cell>
        </row>
        <row r="76">
          <cell r="G76" t="str">
            <v>9518939680-3</v>
          </cell>
          <cell r="H76">
            <v>45856</v>
          </cell>
          <cell r="I76" t="str">
            <v>BASEER AND CO</v>
          </cell>
          <cell r="J76">
            <v>2000</v>
          </cell>
          <cell r="K76" t="str">
            <v>Trimming at PLTCM</v>
          </cell>
          <cell r="L76">
            <v>2</v>
          </cell>
          <cell r="M76">
            <v>3</v>
          </cell>
          <cell r="N76" t="str">
            <v>AU03</v>
          </cell>
          <cell r="O76">
            <v>189866</v>
          </cell>
          <cell r="P76" t="str">
            <v>CRSHEET TATXXD AU03 1.20X1250X2500</v>
          </cell>
          <cell r="Q76">
            <v>1.2</v>
          </cell>
          <cell r="R76">
            <v>1250</v>
          </cell>
          <cell r="S76">
            <v>28.998999999999999</v>
          </cell>
          <cell r="T76">
            <v>14.83</v>
          </cell>
          <cell r="U76">
            <v>8.5039999999999996</v>
          </cell>
          <cell r="V76" t="str">
            <v>C06</v>
          </cell>
          <cell r="W76" t="str">
            <v>TATXXD</v>
          </cell>
          <cell r="X76" t="str">
            <v>AU03</v>
          </cell>
          <cell r="Y76">
            <v>20.495000000000001</v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>
            <v>742</v>
          </cell>
          <cell r="AE76" t="str">
            <v>ZBTO</v>
          </cell>
        </row>
        <row r="77">
          <cell r="G77" t="str">
            <v>9518939680-4</v>
          </cell>
          <cell r="H77">
            <v>45856</v>
          </cell>
          <cell r="I77" t="str">
            <v>BASEER AND CO</v>
          </cell>
          <cell r="J77">
            <v>2000</v>
          </cell>
          <cell r="K77" t="str">
            <v>Trimming at PLTCM</v>
          </cell>
          <cell r="L77">
            <v>2</v>
          </cell>
          <cell r="M77">
            <v>3</v>
          </cell>
          <cell r="N77" t="str">
            <v>D FOR CRCA</v>
          </cell>
          <cell r="O77">
            <v>194544</v>
          </cell>
          <cell r="P77" t="str">
            <v>CRSHEET TATXXD AU03 1.50X1250X2500</v>
          </cell>
          <cell r="Q77">
            <v>1.5</v>
          </cell>
          <cell r="R77">
            <v>1250</v>
          </cell>
          <cell r="S77">
            <v>58</v>
          </cell>
          <cell r="T77">
            <v>0</v>
          </cell>
          <cell r="U77">
            <v>58</v>
          </cell>
          <cell r="V77" t="str">
            <v>C06</v>
          </cell>
          <cell r="W77" t="str">
            <v>TATXXD</v>
          </cell>
          <cell r="X77" t="str">
            <v>AU03</v>
          </cell>
          <cell r="Y77">
            <v>0</v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>
            <v>742</v>
          </cell>
          <cell r="AE77" t="str">
            <v>ZBTO</v>
          </cell>
        </row>
        <row r="78">
          <cell r="G78" t="str">
            <v>9518939680-5</v>
          </cell>
          <cell r="H78">
            <v>45856</v>
          </cell>
          <cell r="I78" t="str">
            <v>BASEER AND CO</v>
          </cell>
          <cell r="J78">
            <v>2000</v>
          </cell>
          <cell r="K78" t="str">
            <v>Trimming at PLTCM</v>
          </cell>
          <cell r="L78">
            <v>2</v>
          </cell>
          <cell r="M78">
            <v>3</v>
          </cell>
          <cell r="N78" t="str">
            <v>D FOR CRCA</v>
          </cell>
          <cell r="O78">
            <v>3533096</v>
          </cell>
          <cell r="P78" t="str">
            <v>CRSHEET C06 TATXXD AU03 1.6X1250X2500</v>
          </cell>
          <cell r="Q78">
            <v>1.6</v>
          </cell>
          <cell r="R78">
            <v>1250</v>
          </cell>
          <cell r="S78">
            <v>29</v>
          </cell>
          <cell r="T78">
            <v>0</v>
          </cell>
          <cell r="U78">
            <v>29</v>
          </cell>
          <cell r="V78" t="str">
            <v>C06</v>
          </cell>
          <cell r="W78" t="str">
            <v>TATXXD</v>
          </cell>
          <cell r="X78" t="str">
            <v>AU03</v>
          </cell>
          <cell r="Y78">
            <v>0</v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>
            <v>742</v>
          </cell>
          <cell r="AE78" t="str">
            <v>ZBTO</v>
          </cell>
        </row>
        <row r="79">
          <cell r="G79" t="str">
            <v>9518939680-6</v>
          </cell>
          <cell r="H79">
            <v>45856</v>
          </cell>
          <cell r="I79" t="str">
            <v>BASEER AND CO</v>
          </cell>
          <cell r="J79">
            <v>2000</v>
          </cell>
          <cell r="K79" t="str">
            <v>Trimming at PLTCM</v>
          </cell>
          <cell r="L79">
            <v>2</v>
          </cell>
          <cell r="M79">
            <v>3</v>
          </cell>
          <cell r="N79" t="str">
            <v>D FOR CRCA</v>
          </cell>
          <cell r="O79">
            <v>274376</v>
          </cell>
          <cell r="P79" t="str">
            <v>CRSHEET C06TATXXD AU03 2.0X1250X2500</v>
          </cell>
          <cell r="Q79">
            <v>2</v>
          </cell>
          <cell r="R79">
            <v>1250</v>
          </cell>
          <cell r="S79">
            <v>58</v>
          </cell>
          <cell r="T79">
            <v>0</v>
          </cell>
          <cell r="U79">
            <v>58</v>
          </cell>
          <cell r="V79" t="str">
            <v>C06</v>
          </cell>
          <cell r="W79" t="str">
            <v>TATXXD</v>
          </cell>
          <cell r="X79" t="str">
            <v>AU03</v>
          </cell>
          <cell r="Y79">
            <v>0</v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>
            <v>742</v>
          </cell>
          <cell r="AE79" t="str">
            <v>ZBTO</v>
          </cell>
        </row>
        <row r="80">
          <cell r="G80" t="str">
            <v>9518939680-7</v>
          </cell>
          <cell r="H80">
            <v>45856</v>
          </cell>
          <cell r="I80" t="str">
            <v>BASEER AND CO</v>
          </cell>
          <cell r="J80">
            <v>2000</v>
          </cell>
          <cell r="K80" t="str">
            <v>Trimming at PLTCM</v>
          </cell>
          <cell r="L80">
            <v>2</v>
          </cell>
          <cell r="M80">
            <v>3</v>
          </cell>
          <cell r="N80" t="str">
            <v>O/D GRADES</v>
          </cell>
          <cell r="O80">
            <v>3239552</v>
          </cell>
          <cell r="P80" t="str">
            <v>CRCA SHEET TATCRC SR16 0.400X1000X1980</v>
          </cell>
          <cell r="Q80">
            <v>0.4</v>
          </cell>
          <cell r="R80">
            <v>1000</v>
          </cell>
          <cell r="S80">
            <v>69</v>
          </cell>
          <cell r="T80">
            <v>60.36</v>
          </cell>
          <cell r="U80">
            <v>8.64</v>
          </cell>
          <cell r="V80" t="str">
            <v>C06</v>
          </cell>
          <cell r="W80" t="str">
            <v>TATCRC</v>
          </cell>
          <cell r="X80" t="str">
            <v>SR16</v>
          </cell>
          <cell r="Y80">
            <v>60.36</v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>
            <v>742</v>
          </cell>
          <cell r="AE80" t="str">
            <v>ZBTO</v>
          </cell>
        </row>
        <row r="81">
          <cell r="G81" t="str">
            <v>9518939680-8</v>
          </cell>
          <cell r="H81">
            <v>45856</v>
          </cell>
          <cell r="I81" t="str">
            <v>BASEER AND CO</v>
          </cell>
          <cell r="J81">
            <v>2000</v>
          </cell>
          <cell r="K81" t="str">
            <v>Trimming at PLTCM</v>
          </cell>
          <cell r="L81">
            <v>2</v>
          </cell>
          <cell r="M81">
            <v>3</v>
          </cell>
          <cell r="N81" t="str">
            <v>O/D GRADES</v>
          </cell>
          <cell r="O81">
            <v>3239564</v>
          </cell>
          <cell r="P81" t="str">
            <v>CRCA SHEET TATCRC SR16 0.450X1000X1980</v>
          </cell>
          <cell r="Q81">
            <v>0.45</v>
          </cell>
          <cell r="R81">
            <v>1000</v>
          </cell>
          <cell r="S81">
            <v>44.999000000000002</v>
          </cell>
          <cell r="T81">
            <v>30.074999999999999</v>
          </cell>
          <cell r="U81">
            <v>12.263999999999999</v>
          </cell>
          <cell r="V81" t="str">
            <v>C06</v>
          </cell>
          <cell r="W81" t="str">
            <v>TATCRC</v>
          </cell>
          <cell r="X81" t="str">
            <v>SR16</v>
          </cell>
          <cell r="Y81">
            <v>32.734999999999999</v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>
            <v>742</v>
          </cell>
          <cell r="AE81" t="str">
            <v>ZBTO</v>
          </cell>
        </row>
        <row r="82">
          <cell r="G82" t="str">
            <v>9518939680-9</v>
          </cell>
          <cell r="H82">
            <v>45856</v>
          </cell>
          <cell r="I82" t="str">
            <v>BASEER AND CO</v>
          </cell>
          <cell r="J82">
            <v>2000</v>
          </cell>
          <cell r="K82" t="str">
            <v>Trimming at PLTCM</v>
          </cell>
          <cell r="L82">
            <v>2</v>
          </cell>
          <cell r="M82">
            <v>3</v>
          </cell>
          <cell r="N82" t="str">
            <v>O/D GRADES</v>
          </cell>
          <cell r="O82">
            <v>3533339</v>
          </cell>
          <cell r="P82" t="str">
            <v>CRCA SHEET TATCRC SR16 0.450X1000X2000</v>
          </cell>
          <cell r="Q82">
            <v>0.45</v>
          </cell>
          <cell r="R82">
            <v>1000</v>
          </cell>
          <cell r="S82">
            <v>24</v>
          </cell>
          <cell r="T82">
            <v>0</v>
          </cell>
          <cell r="U82">
            <v>24</v>
          </cell>
          <cell r="V82" t="str">
            <v>C06</v>
          </cell>
          <cell r="W82" t="str">
            <v>TATCRC</v>
          </cell>
          <cell r="X82" t="str">
            <v>SR16</v>
          </cell>
          <cell r="Y82">
            <v>0</v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>
            <v>742</v>
          </cell>
          <cell r="AE82" t="str">
            <v>ZBTO</v>
          </cell>
        </row>
        <row r="83">
          <cell r="G83" t="str">
            <v>9518939680-10</v>
          </cell>
          <cell r="H83">
            <v>45856</v>
          </cell>
          <cell r="I83" t="str">
            <v>BASEER AND CO</v>
          </cell>
          <cell r="J83">
            <v>2000</v>
          </cell>
          <cell r="K83" t="str">
            <v>Trimming at PLTCM</v>
          </cell>
          <cell r="L83">
            <v>2</v>
          </cell>
          <cell r="M83">
            <v>3</v>
          </cell>
          <cell r="N83" t="str">
            <v>O/D GRADES</v>
          </cell>
          <cell r="O83">
            <v>3239536</v>
          </cell>
          <cell r="P83" t="str">
            <v>CRCA SHEET TATCRC SR16 0.350X900X2500</v>
          </cell>
          <cell r="Q83">
            <v>0.35</v>
          </cell>
          <cell r="R83">
            <v>900</v>
          </cell>
          <cell r="S83">
            <v>41.999000000000002</v>
          </cell>
          <cell r="T83">
            <v>0</v>
          </cell>
          <cell r="U83">
            <v>22.963999999999999</v>
          </cell>
          <cell r="V83" t="str">
            <v>C06</v>
          </cell>
          <cell r="W83" t="str">
            <v>TATCRC</v>
          </cell>
          <cell r="X83" t="str">
            <v>SR16</v>
          </cell>
          <cell r="Y83">
            <v>19.035</v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>
            <v>742</v>
          </cell>
          <cell r="AE83" t="str">
            <v>ZBTO</v>
          </cell>
        </row>
        <row r="84">
          <cell r="G84" t="str">
            <v>9518939680-11</v>
          </cell>
          <cell r="H84">
            <v>45856</v>
          </cell>
          <cell r="I84" t="str">
            <v>BASEER AND CO</v>
          </cell>
          <cell r="J84">
            <v>2000</v>
          </cell>
          <cell r="K84" t="str">
            <v>Trimming at PLTCM</v>
          </cell>
          <cell r="L84">
            <v>2</v>
          </cell>
          <cell r="M84">
            <v>3</v>
          </cell>
          <cell r="N84" t="str">
            <v>O/D GRADES</v>
          </cell>
          <cell r="O84">
            <v>3239548</v>
          </cell>
          <cell r="P84" t="str">
            <v>CRCA SHEET TATCRC SR16 0.400X900X2500</v>
          </cell>
          <cell r="Q84">
            <v>0.4</v>
          </cell>
          <cell r="R84">
            <v>900</v>
          </cell>
          <cell r="S84">
            <v>1E-3</v>
          </cell>
          <cell r="T84">
            <v>38.305</v>
          </cell>
          <cell r="U84">
            <v>-38.259</v>
          </cell>
          <cell r="V84" t="str">
            <v>C06</v>
          </cell>
          <cell r="W84" t="str">
            <v>TATCRC</v>
          </cell>
          <cell r="X84" t="str">
            <v>SR16</v>
          </cell>
          <cell r="Y84">
            <v>38.26</v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>
            <v>742</v>
          </cell>
          <cell r="AE84" t="str">
            <v>ZBTO</v>
          </cell>
        </row>
        <row r="85">
          <cell r="G85" t="str">
            <v>9518939680-12</v>
          </cell>
          <cell r="H85">
            <v>45856</v>
          </cell>
          <cell r="I85" t="str">
            <v>BASEER AND CO</v>
          </cell>
          <cell r="J85">
            <v>2000</v>
          </cell>
          <cell r="K85" t="str">
            <v>Trimming at PLTCM</v>
          </cell>
          <cell r="L85">
            <v>2</v>
          </cell>
          <cell r="M85">
            <v>3</v>
          </cell>
          <cell r="N85" t="str">
            <v>O/D GRADES</v>
          </cell>
          <cell r="O85">
            <v>3239548</v>
          </cell>
          <cell r="P85" t="str">
            <v>CRCA SHEET TATCRC SR16 0.400X900X2500</v>
          </cell>
          <cell r="Q85">
            <v>0.4</v>
          </cell>
          <cell r="R85">
            <v>900</v>
          </cell>
          <cell r="S85">
            <v>42</v>
          </cell>
          <cell r="T85">
            <v>37.85</v>
          </cell>
          <cell r="U85">
            <v>4.1500000000000004</v>
          </cell>
          <cell r="V85" t="str">
            <v>C06</v>
          </cell>
          <cell r="W85" t="str">
            <v>TATCRC</v>
          </cell>
          <cell r="X85" t="str">
            <v>SR16</v>
          </cell>
          <cell r="Y85">
            <v>37.85</v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>
            <v>742</v>
          </cell>
          <cell r="AE85" t="str">
            <v>ZBTO</v>
          </cell>
        </row>
        <row r="86">
          <cell r="G86" t="str">
            <v>9518939680-13</v>
          </cell>
          <cell r="H86">
            <v>45856</v>
          </cell>
          <cell r="I86" t="str">
            <v>BASEER AND CO</v>
          </cell>
          <cell r="J86">
            <v>2000</v>
          </cell>
          <cell r="K86" t="str">
            <v>Trimming at PLTCM</v>
          </cell>
          <cell r="L86">
            <v>2</v>
          </cell>
          <cell r="M86">
            <v>3</v>
          </cell>
          <cell r="N86" t="str">
            <v>TR15</v>
          </cell>
          <cell r="O86">
            <v>322578</v>
          </cell>
          <cell r="P86" t="str">
            <v>CRCA SHEET TATCRC TR15 .5X1250X2500</v>
          </cell>
          <cell r="Q86">
            <v>0.5</v>
          </cell>
          <cell r="R86">
            <v>1250</v>
          </cell>
          <cell r="S86">
            <v>57.999000000000002</v>
          </cell>
          <cell r="T86">
            <v>49.875</v>
          </cell>
          <cell r="U86">
            <v>8.1240000000000006</v>
          </cell>
          <cell r="V86" t="str">
            <v>C06</v>
          </cell>
          <cell r="W86" t="str">
            <v>TATCRC</v>
          </cell>
          <cell r="X86" t="str">
            <v>TR15</v>
          </cell>
          <cell r="Y86">
            <v>49.875</v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>
            <v>742</v>
          </cell>
          <cell r="AE86" t="str">
            <v>ZBTO</v>
          </cell>
        </row>
        <row r="87">
          <cell r="G87" t="str">
            <v>9518939680-14</v>
          </cell>
          <cell r="H87">
            <v>45856</v>
          </cell>
          <cell r="I87" t="str">
            <v>BASEER AND CO</v>
          </cell>
          <cell r="J87">
            <v>2000</v>
          </cell>
          <cell r="K87" t="str">
            <v>Trimming at PLTCM</v>
          </cell>
          <cell r="L87">
            <v>2</v>
          </cell>
          <cell r="M87">
            <v>3</v>
          </cell>
          <cell r="N87" t="str">
            <v>O/D GRADES</v>
          </cell>
          <cell r="O87">
            <v>1404376</v>
          </cell>
          <cell r="P87" t="str">
            <v>CRCA SHEET TATCRC TR15 0.450X900X2500</v>
          </cell>
          <cell r="Q87">
            <v>0.45</v>
          </cell>
          <cell r="R87">
            <v>900</v>
          </cell>
          <cell r="S87">
            <v>21</v>
          </cell>
          <cell r="T87">
            <v>0</v>
          </cell>
          <cell r="U87">
            <v>21</v>
          </cell>
          <cell r="V87" t="str">
            <v>C06</v>
          </cell>
          <cell r="W87" t="str">
            <v>TATCRC</v>
          </cell>
          <cell r="X87" t="str">
            <v>TR15</v>
          </cell>
          <cell r="Y87">
            <v>0</v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>
            <v>742</v>
          </cell>
          <cell r="AE87" t="str">
            <v>ZBTO</v>
          </cell>
        </row>
        <row r="88">
          <cell r="G88" t="str">
            <v>9518939680-15</v>
          </cell>
          <cell r="H88">
            <v>45856</v>
          </cell>
          <cell r="I88" t="str">
            <v>BASEER AND CO</v>
          </cell>
          <cell r="J88">
            <v>2000</v>
          </cell>
          <cell r="K88" t="str">
            <v>Trimming at PLTCM</v>
          </cell>
          <cell r="L88">
            <v>2</v>
          </cell>
          <cell r="M88">
            <v>3</v>
          </cell>
          <cell r="N88" t="str">
            <v>O/D GRADES</v>
          </cell>
          <cell r="O88">
            <v>1155508</v>
          </cell>
          <cell r="P88" t="str">
            <v>CRCA SHEET TATCRC TR15 0.450X1250X2500</v>
          </cell>
          <cell r="Q88">
            <v>0.45</v>
          </cell>
          <cell r="R88">
            <v>1250</v>
          </cell>
          <cell r="S88">
            <v>29</v>
          </cell>
          <cell r="T88">
            <v>0</v>
          </cell>
          <cell r="U88">
            <v>29</v>
          </cell>
          <cell r="V88" t="str">
            <v>C06</v>
          </cell>
          <cell r="W88" t="str">
            <v>TATCRC</v>
          </cell>
          <cell r="X88" t="str">
            <v>TR15</v>
          </cell>
          <cell r="Y88">
            <v>0</v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>
            <v>742</v>
          </cell>
          <cell r="AE88" t="str">
            <v>ZBTO</v>
          </cell>
        </row>
        <row r="89">
          <cell r="G89" t="str">
            <v>9518939680-16</v>
          </cell>
          <cell r="H89">
            <v>45856</v>
          </cell>
          <cell r="I89" t="str">
            <v>BASEER AND CO</v>
          </cell>
          <cell r="J89">
            <v>2000</v>
          </cell>
          <cell r="K89" t="str">
            <v>Trimming at PLTCM</v>
          </cell>
          <cell r="L89">
            <v>2</v>
          </cell>
          <cell r="M89">
            <v>3</v>
          </cell>
          <cell r="N89" t="str">
            <v>TR15</v>
          </cell>
          <cell r="O89">
            <v>322578</v>
          </cell>
          <cell r="P89" t="str">
            <v>CRCA SHEET TATCRC TR15 .5X1250X2500</v>
          </cell>
          <cell r="Q89">
            <v>0.5</v>
          </cell>
          <cell r="R89">
            <v>1250</v>
          </cell>
          <cell r="S89">
            <v>29</v>
          </cell>
          <cell r="T89">
            <v>0</v>
          </cell>
          <cell r="U89">
            <v>29</v>
          </cell>
          <cell r="V89" t="str">
            <v>C06</v>
          </cell>
          <cell r="W89" t="str">
            <v>TATCRC</v>
          </cell>
          <cell r="X89" t="str">
            <v>TR15</v>
          </cell>
          <cell r="Y89">
            <v>0</v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>
            <v>742</v>
          </cell>
          <cell r="AE89" t="str">
            <v>ZBTO</v>
          </cell>
        </row>
        <row r="90">
          <cell r="G90" t="str">
            <v>9518939680-17</v>
          </cell>
          <cell r="H90">
            <v>45856</v>
          </cell>
          <cell r="I90" t="str">
            <v>BASEER AND CO</v>
          </cell>
          <cell r="J90">
            <v>2000</v>
          </cell>
          <cell r="K90" t="str">
            <v>Trimming at PLTCM</v>
          </cell>
          <cell r="L90">
            <v>2</v>
          </cell>
          <cell r="M90">
            <v>3</v>
          </cell>
          <cell r="N90" t="str">
            <v>TR15</v>
          </cell>
          <cell r="O90">
            <v>322581</v>
          </cell>
          <cell r="P90" t="str">
            <v>CRCA SHEET TATCRC TR15 0.60X1250X2500</v>
          </cell>
          <cell r="Q90">
            <v>0.6</v>
          </cell>
          <cell r="R90">
            <v>1250</v>
          </cell>
          <cell r="S90">
            <v>28.998999999999999</v>
          </cell>
          <cell r="T90">
            <v>26.48</v>
          </cell>
          <cell r="U90">
            <v>2.5190000000000001</v>
          </cell>
          <cell r="V90" t="str">
            <v>C06</v>
          </cell>
          <cell r="W90" t="str">
            <v>TATCRC</v>
          </cell>
          <cell r="X90" t="str">
            <v>TR15</v>
          </cell>
          <cell r="Y90">
            <v>26.48</v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>
            <v>742</v>
          </cell>
          <cell r="AE90" t="str">
            <v>ZBTO</v>
          </cell>
        </row>
        <row r="91">
          <cell r="G91" t="str">
            <v>9518939680-18</v>
          </cell>
          <cell r="H91">
            <v>45856</v>
          </cell>
          <cell r="I91" t="str">
            <v>BASEER AND CO</v>
          </cell>
          <cell r="J91">
            <v>2000</v>
          </cell>
          <cell r="K91" t="str">
            <v>Trimming at PLTCM</v>
          </cell>
          <cell r="L91">
            <v>2</v>
          </cell>
          <cell r="M91">
            <v>3</v>
          </cell>
          <cell r="N91" t="str">
            <v>O/D GRADES</v>
          </cell>
          <cell r="O91">
            <v>322579</v>
          </cell>
          <cell r="P91" t="str">
            <v>CRCA SHEET TATCRC TR15 .8X1250X2500</v>
          </cell>
          <cell r="Q91">
            <v>0.8</v>
          </cell>
          <cell r="R91">
            <v>1250</v>
          </cell>
          <cell r="S91">
            <v>28.998999999999999</v>
          </cell>
          <cell r="T91">
            <v>26.17</v>
          </cell>
          <cell r="U91">
            <v>2.8290000000000002</v>
          </cell>
          <cell r="V91" t="str">
            <v>C06</v>
          </cell>
          <cell r="W91" t="str">
            <v>TATCRC</v>
          </cell>
          <cell r="X91" t="str">
            <v>TR15</v>
          </cell>
          <cell r="Y91">
            <v>26.17</v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>
            <v>742</v>
          </cell>
          <cell r="AE91" t="str">
            <v>ZBTO</v>
          </cell>
        </row>
        <row r="92">
          <cell r="G92" t="str">
            <v>9518939680-19</v>
          </cell>
          <cell r="H92">
            <v>45856</v>
          </cell>
          <cell r="I92" t="str">
            <v>BASEER AND CO</v>
          </cell>
          <cell r="J92">
            <v>2000</v>
          </cell>
          <cell r="K92" t="str">
            <v>Trimming only at RCL</v>
          </cell>
          <cell r="L92">
            <v>6</v>
          </cell>
          <cell r="M92">
            <v>18</v>
          </cell>
          <cell r="N92" t="str">
            <v>AU03</v>
          </cell>
          <cell r="O92">
            <v>1804770</v>
          </cell>
          <cell r="P92" t="str">
            <v>CRCA COIL-TATXXD-AU03-0.4X900</v>
          </cell>
          <cell r="Q92">
            <v>0.4</v>
          </cell>
          <cell r="R92">
            <v>900</v>
          </cell>
          <cell r="S92">
            <v>42</v>
          </cell>
          <cell r="T92">
            <v>0</v>
          </cell>
          <cell r="U92">
            <v>42</v>
          </cell>
          <cell r="V92" t="str">
            <v>C01</v>
          </cell>
          <cell r="W92" t="str">
            <v>TATXXD</v>
          </cell>
          <cell r="X92" t="str">
            <v>AU03</v>
          </cell>
          <cell r="Y92">
            <v>0</v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>
            <v>742</v>
          </cell>
          <cell r="AE92" t="str">
            <v>ZBTO</v>
          </cell>
        </row>
        <row r="93">
          <cell r="G93" t="str">
            <v>9518939680-20</v>
          </cell>
          <cell r="H93">
            <v>45856</v>
          </cell>
          <cell r="I93" t="str">
            <v>BASEER AND CO</v>
          </cell>
          <cell r="J93">
            <v>2000</v>
          </cell>
          <cell r="K93" t="str">
            <v>Trimming only at RCL</v>
          </cell>
          <cell r="L93">
            <v>6</v>
          </cell>
          <cell r="M93">
            <v>18</v>
          </cell>
          <cell r="N93" t="str">
            <v>AU03</v>
          </cell>
          <cell r="O93">
            <v>1804771</v>
          </cell>
          <cell r="P93" t="str">
            <v>CRCA COIL-TATXXD-AU03-0.4X1000</v>
          </cell>
          <cell r="Q93">
            <v>0.4</v>
          </cell>
          <cell r="R93">
            <v>1000</v>
          </cell>
          <cell r="S93">
            <v>46</v>
          </cell>
          <cell r="T93">
            <v>0</v>
          </cell>
          <cell r="U93">
            <v>46</v>
          </cell>
          <cell r="V93" t="str">
            <v>C01</v>
          </cell>
          <cell r="W93" t="str">
            <v>TATXXD</v>
          </cell>
          <cell r="X93" t="str">
            <v>AU03</v>
          </cell>
          <cell r="Y93">
            <v>0</v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>
            <v>742</v>
          </cell>
          <cell r="AE93" t="str">
            <v>ZBTO</v>
          </cell>
        </row>
        <row r="94">
          <cell r="G94" t="str">
            <v>9518939680-21</v>
          </cell>
          <cell r="H94">
            <v>45856</v>
          </cell>
          <cell r="I94" t="str">
            <v>BASEER AND CO</v>
          </cell>
          <cell r="J94">
            <v>2000</v>
          </cell>
          <cell r="K94" t="str">
            <v>Trimming only at RCL</v>
          </cell>
          <cell r="L94">
            <v>6</v>
          </cell>
          <cell r="M94">
            <v>18</v>
          </cell>
          <cell r="N94" t="str">
            <v>DQ</v>
          </cell>
          <cell r="O94">
            <v>1149855</v>
          </cell>
          <cell r="P94" t="str">
            <v>CRCA COIL-TATXXD-AU03-0.45X900</v>
          </cell>
          <cell r="Q94">
            <v>0.45</v>
          </cell>
          <cell r="R94">
            <v>900</v>
          </cell>
          <cell r="S94">
            <v>42</v>
          </cell>
          <cell r="T94">
            <v>0</v>
          </cell>
          <cell r="U94">
            <v>42</v>
          </cell>
          <cell r="V94" t="str">
            <v>C01</v>
          </cell>
          <cell r="W94" t="str">
            <v>TATXXD</v>
          </cell>
          <cell r="X94" t="str">
            <v>AU03</v>
          </cell>
          <cell r="Y94">
            <v>0</v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>
            <v>742</v>
          </cell>
          <cell r="AE94" t="str">
            <v>ZBTO</v>
          </cell>
        </row>
        <row r="95">
          <cell r="G95" t="str">
            <v>9518939680-22</v>
          </cell>
          <cell r="H95">
            <v>45856</v>
          </cell>
          <cell r="I95" t="str">
            <v>BASEER AND CO</v>
          </cell>
          <cell r="J95">
            <v>2000</v>
          </cell>
          <cell r="K95" t="str">
            <v>Trimming only at RCL</v>
          </cell>
          <cell r="L95">
            <v>6</v>
          </cell>
          <cell r="M95">
            <v>18</v>
          </cell>
          <cell r="N95" t="str">
            <v>AU03</v>
          </cell>
          <cell r="O95">
            <v>2397585</v>
          </cell>
          <cell r="P95" t="str">
            <v>CRCA COIL TATXXD AU03 0.450X1000</v>
          </cell>
          <cell r="Q95">
            <v>0.45</v>
          </cell>
          <cell r="R95">
            <v>1000</v>
          </cell>
          <cell r="S95">
            <v>46</v>
          </cell>
          <cell r="T95">
            <v>0</v>
          </cell>
          <cell r="U95">
            <v>46</v>
          </cell>
          <cell r="V95" t="str">
            <v>C01</v>
          </cell>
          <cell r="W95" t="str">
            <v>TATXXD</v>
          </cell>
          <cell r="X95" t="str">
            <v>AU03</v>
          </cell>
          <cell r="Y95">
            <v>0</v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>
            <v>742</v>
          </cell>
          <cell r="AE95" t="str">
            <v>ZBTO</v>
          </cell>
        </row>
        <row r="96">
          <cell r="G96" t="str">
            <v>9518939680-23</v>
          </cell>
          <cell r="H96">
            <v>45856</v>
          </cell>
          <cell r="I96" t="str">
            <v>BASEER AND CO</v>
          </cell>
          <cell r="J96">
            <v>2000</v>
          </cell>
          <cell r="K96" t="str">
            <v>Trimming only at RCL</v>
          </cell>
          <cell r="L96">
            <v>6</v>
          </cell>
          <cell r="M96">
            <v>18</v>
          </cell>
          <cell r="N96" t="str">
            <v>AU03</v>
          </cell>
          <cell r="O96">
            <v>1801159</v>
          </cell>
          <cell r="P96" t="str">
            <v>CRCA COIL-TATXXD-AU03-0.5X1000</v>
          </cell>
          <cell r="Q96">
            <v>0.5</v>
          </cell>
          <cell r="R96">
            <v>1000</v>
          </cell>
          <cell r="S96">
            <v>46</v>
          </cell>
          <cell r="T96">
            <v>0</v>
          </cell>
          <cell r="U96">
            <v>46</v>
          </cell>
          <cell r="V96" t="str">
            <v>C01</v>
          </cell>
          <cell r="W96" t="str">
            <v>TATXXD</v>
          </cell>
          <cell r="X96" t="str">
            <v>AU03</v>
          </cell>
          <cell r="Y96">
            <v>0</v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>
            <v>742</v>
          </cell>
          <cell r="AE96" t="str">
            <v>ZBTO</v>
          </cell>
        </row>
        <row r="97">
          <cell r="G97" t="str">
            <v>9518939680-24</v>
          </cell>
          <cell r="H97">
            <v>45856</v>
          </cell>
          <cell r="I97" t="str">
            <v>BASEER AND CO</v>
          </cell>
          <cell r="J97">
            <v>2000</v>
          </cell>
          <cell r="K97" t="str">
            <v>Trimming only at RCL</v>
          </cell>
          <cell r="L97">
            <v>6</v>
          </cell>
          <cell r="M97">
            <v>18</v>
          </cell>
          <cell r="N97" t="str">
            <v>AU03</v>
          </cell>
          <cell r="O97">
            <v>185675</v>
          </cell>
          <cell r="P97" t="str">
            <v>CRCA COIL-TATXXD-AU03-0.5X1250</v>
          </cell>
          <cell r="Q97">
            <v>0.5</v>
          </cell>
          <cell r="R97">
            <v>1250</v>
          </cell>
          <cell r="S97">
            <v>58</v>
          </cell>
          <cell r="T97">
            <v>46.765000000000001</v>
          </cell>
          <cell r="U97">
            <v>11.234999999999999</v>
          </cell>
          <cell r="V97" t="str">
            <v>C01</v>
          </cell>
          <cell r="W97" t="str">
            <v>TATXXD</v>
          </cell>
          <cell r="X97" t="str">
            <v>AU03</v>
          </cell>
          <cell r="Y97">
            <v>46.765000000000001</v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>
            <v>742</v>
          </cell>
          <cell r="AE97" t="str">
            <v>ZBTO</v>
          </cell>
        </row>
        <row r="98">
          <cell r="G98" t="str">
            <v>9518939680-25</v>
          </cell>
          <cell r="H98">
            <v>45856</v>
          </cell>
          <cell r="I98" t="str">
            <v>BASEER AND CO</v>
          </cell>
          <cell r="J98">
            <v>2000</v>
          </cell>
          <cell r="K98" t="str">
            <v>Trimming only at RCL</v>
          </cell>
          <cell r="L98">
            <v>6</v>
          </cell>
          <cell r="M98">
            <v>18</v>
          </cell>
          <cell r="N98" t="str">
            <v>DQ</v>
          </cell>
          <cell r="O98">
            <v>1801562</v>
          </cell>
          <cell r="P98" t="str">
            <v>CRCA COIL-TATXXD-AU03-0.8X1000</v>
          </cell>
          <cell r="Q98">
            <v>0.8</v>
          </cell>
          <cell r="R98">
            <v>1000</v>
          </cell>
          <cell r="S98">
            <v>23</v>
          </cell>
          <cell r="T98">
            <v>0</v>
          </cell>
          <cell r="U98">
            <v>23</v>
          </cell>
          <cell r="V98" t="str">
            <v>C01</v>
          </cell>
          <cell r="W98" t="str">
            <v>TATXXD</v>
          </cell>
          <cell r="X98" t="str">
            <v>AU03</v>
          </cell>
          <cell r="Y98">
            <v>0</v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>
            <v>742</v>
          </cell>
          <cell r="AE98" t="str">
            <v>ZBTO</v>
          </cell>
        </row>
        <row r="99">
          <cell r="G99" t="str">
            <v>9518939680-26</v>
          </cell>
          <cell r="H99">
            <v>45856</v>
          </cell>
          <cell r="I99" t="str">
            <v>BASEER AND CO</v>
          </cell>
          <cell r="J99">
            <v>2000</v>
          </cell>
          <cell r="K99" t="str">
            <v>Trimming only at RCL</v>
          </cell>
          <cell r="L99">
            <v>6</v>
          </cell>
          <cell r="M99">
            <v>18</v>
          </cell>
          <cell r="N99" t="str">
            <v>DQ</v>
          </cell>
          <cell r="O99">
            <v>2146777</v>
          </cell>
          <cell r="P99" t="str">
            <v>CRCA COIL TATXXD AU03 1X914</v>
          </cell>
          <cell r="Q99">
            <v>1</v>
          </cell>
          <cell r="R99">
            <v>914</v>
          </cell>
          <cell r="S99">
            <v>42</v>
          </cell>
          <cell r="T99">
            <v>0</v>
          </cell>
          <cell r="U99">
            <v>42</v>
          </cell>
          <cell r="V99" t="str">
            <v>C01</v>
          </cell>
          <cell r="W99" t="str">
            <v>TATXXD</v>
          </cell>
          <cell r="X99" t="str">
            <v>AU03</v>
          </cell>
          <cell r="Y99">
            <v>0</v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>
            <v>742</v>
          </cell>
          <cell r="AE99" t="str">
            <v>ZBTO</v>
          </cell>
        </row>
        <row r="100">
          <cell r="G100" t="str">
            <v>9518939680-27</v>
          </cell>
          <cell r="H100">
            <v>45856</v>
          </cell>
          <cell r="I100" t="str">
            <v>BASEER AND CO</v>
          </cell>
          <cell r="J100">
            <v>2000</v>
          </cell>
          <cell r="K100" t="str">
            <v>Trimming only at RCL</v>
          </cell>
          <cell r="L100">
            <v>6</v>
          </cell>
          <cell r="M100">
            <v>18</v>
          </cell>
          <cell r="N100" t="str">
            <v>DQ</v>
          </cell>
          <cell r="O100">
            <v>2334995</v>
          </cell>
          <cell r="P100" t="str">
            <v>CRCA COIL TATXXD AU03 1.500X1250</v>
          </cell>
          <cell r="Q100">
            <v>1.5</v>
          </cell>
          <cell r="R100">
            <v>1250</v>
          </cell>
          <cell r="S100">
            <v>1E-3</v>
          </cell>
          <cell r="T100">
            <v>48.375</v>
          </cell>
          <cell r="U100">
            <v>-48.374000000000002</v>
          </cell>
          <cell r="V100" t="str">
            <v>C01</v>
          </cell>
          <cell r="W100" t="str">
            <v>TATXXD</v>
          </cell>
          <cell r="X100" t="str">
            <v>AU03</v>
          </cell>
          <cell r="Y100">
            <v>48.375</v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>
            <v>742</v>
          </cell>
          <cell r="AE100" t="str">
            <v>ZBTO</v>
          </cell>
        </row>
        <row r="101">
          <cell r="G101" t="str">
            <v>9518939680-28</v>
          </cell>
          <cell r="H101">
            <v>45856</v>
          </cell>
          <cell r="I101" t="str">
            <v>BASEER AND CO</v>
          </cell>
          <cell r="J101">
            <v>2000</v>
          </cell>
          <cell r="K101" t="str">
            <v>Trimming only at RCL</v>
          </cell>
          <cell r="L101">
            <v>6</v>
          </cell>
          <cell r="M101">
            <v>18</v>
          </cell>
          <cell r="N101" t="str">
            <v>DQ</v>
          </cell>
          <cell r="O101">
            <v>1804867</v>
          </cell>
          <cell r="P101" t="str">
            <v>CRCA COIL-TATXXD-AU03-1.6X1250</v>
          </cell>
          <cell r="Q101">
            <v>1.6</v>
          </cell>
          <cell r="R101">
            <v>1250</v>
          </cell>
          <cell r="S101">
            <v>58</v>
          </cell>
          <cell r="T101">
            <v>0</v>
          </cell>
          <cell r="U101">
            <v>58</v>
          </cell>
          <cell r="V101" t="str">
            <v>C01</v>
          </cell>
          <cell r="W101" t="str">
            <v>TATXXD</v>
          </cell>
          <cell r="X101" t="str">
            <v>AU03</v>
          </cell>
          <cell r="Y101">
            <v>0</v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>
            <v>742</v>
          </cell>
          <cell r="AE101" t="str">
            <v>ZBTO</v>
          </cell>
        </row>
        <row r="102">
          <cell r="G102" t="str">
            <v>9518939680-29</v>
          </cell>
          <cell r="H102">
            <v>45856</v>
          </cell>
          <cell r="I102" t="str">
            <v>BASEER AND CO</v>
          </cell>
          <cell r="J102">
            <v>2000</v>
          </cell>
          <cell r="K102" t="str">
            <v>Trimming only at RCL</v>
          </cell>
          <cell r="L102">
            <v>6</v>
          </cell>
          <cell r="M102">
            <v>18</v>
          </cell>
          <cell r="N102" t="str">
            <v>AU03</v>
          </cell>
          <cell r="O102">
            <v>1884117</v>
          </cell>
          <cell r="P102" t="str">
            <v>CRCA COIL-TATXXD-AU03-2X1250</v>
          </cell>
          <cell r="Q102">
            <v>2</v>
          </cell>
          <cell r="R102">
            <v>1250</v>
          </cell>
          <cell r="S102">
            <v>58</v>
          </cell>
          <cell r="T102">
            <v>0</v>
          </cell>
          <cell r="U102">
            <v>58</v>
          </cell>
          <cell r="V102" t="str">
            <v>C01</v>
          </cell>
          <cell r="W102" t="str">
            <v>TATXXD</v>
          </cell>
          <cell r="X102" t="str">
            <v>AU03</v>
          </cell>
          <cell r="Y102">
            <v>0</v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>
            <v>742</v>
          </cell>
          <cell r="AE102" t="str">
            <v>ZBTO</v>
          </cell>
        </row>
        <row r="103">
          <cell r="G103" t="str">
            <v>9518939680-30</v>
          </cell>
          <cell r="H103">
            <v>45856</v>
          </cell>
          <cell r="I103" t="str">
            <v>BASEER AND CO</v>
          </cell>
          <cell r="J103">
            <v>2000</v>
          </cell>
          <cell r="K103" t="str">
            <v>Trimming only at RCL</v>
          </cell>
          <cell r="L103">
            <v>6</v>
          </cell>
          <cell r="M103">
            <v>18</v>
          </cell>
          <cell r="N103" t="str">
            <v>DQ</v>
          </cell>
          <cell r="O103">
            <v>185672</v>
          </cell>
          <cell r="P103" t="str">
            <v>CR COIL-ICF  DQ TATXXD AU03 0.50X1000</v>
          </cell>
          <cell r="Q103">
            <v>0.5</v>
          </cell>
          <cell r="R103">
            <v>1000</v>
          </cell>
          <cell r="S103">
            <v>46</v>
          </cell>
          <cell r="T103">
            <v>0</v>
          </cell>
          <cell r="U103">
            <v>46</v>
          </cell>
          <cell r="V103" t="str">
            <v>C01</v>
          </cell>
          <cell r="W103" t="str">
            <v>TATXXD</v>
          </cell>
          <cell r="X103" t="str">
            <v>AU03</v>
          </cell>
          <cell r="Y103">
            <v>0</v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>
            <v>742</v>
          </cell>
          <cell r="AE103" t="str">
            <v>ZBTO</v>
          </cell>
        </row>
        <row r="104">
          <cell r="G104" t="str">
            <v>9518939680-31</v>
          </cell>
          <cell r="H104">
            <v>45856</v>
          </cell>
          <cell r="I104" t="str">
            <v>BASEER AND CO</v>
          </cell>
          <cell r="J104">
            <v>2000</v>
          </cell>
          <cell r="K104" t="str">
            <v>Trimming only at RCL</v>
          </cell>
          <cell r="L104">
            <v>6</v>
          </cell>
          <cell r="M104">
            <v>18</v>
          </cell>
          <cell r="N104" t="str">
            <v>DQ</v>
          </cell>
          <cell r="O104">
            <v>3931386</v>
          </cell>
          <cell r="P104" t="str">
            <v>CR COIL TATXXD AU03 0.700X925</v>
          </cell>
          <cell r="Q104">
            <v>0.7</v>
          </cell>
          <cell r="R104">
            <v>925</v>
          </cell>
          <cell r="S104">
            <v>42</v>
          </cell>
          <cell r="T104">
            <v>0</v>
          </cell>
          <cell r="U104">
            <v>42</v>
          </cell>
          <cell r="V104" t="str">
            <v>C01</v>
          </cell>
          <cell r="W104" t="str">
            <v>TATXXD</v>
          </cell>
          <cell r="X104" t="str">
            <v>AU03</v>
          </cell>
          <cell r="Y104">
            <v>0</v>
          </cell>
          <cell r="Z104" t="str">
            <v/>
          </cell>
          <cell r="AA104" t="str">
            <v/>
          </cell>
          <cell r="AB104" t="str">
            <v/>
          </cell>
          <cell r="AC104" t="str">
            <v/>
          </cell>
          <cell r="AD104">
            <v>742</v>
          </cell>
          <cell r="AE104" t="str">
            <v>ZBTO</v>
          </cell>
        </row>
        <row r="105">
          <cell r="G105" t="str">
            <v>9518939680-32</v>
          </cell>
          <cell r="H105">
            <v>45856</v>
          </cell>
          <cell r="I105" t="str">
            <v>BASEER AND CO</v>
          </cell>
          <cell r="J105">
            <v>2000</v>
          </cell>
          <cell r="K105" t="str">
            <v>Trimming only at RCL</v>
          </cell>
          <cell r="L105">
            <v>6</v>
          </cell>
          <cell r="M105">
            <v>18</v>
          </cell>
          <cell r="N105" t="str">
            <v>TR15</v>
          </cell>
          <cell r="O105">
            <v>38095</v>
          </cell>
          <cell r="P105" t="str">
            <v>CR COIL-ICF C01 TATCRC TR15 0.50 X 1000</v>
          </cell>
          <cell r="Q105">
            <v>0.5</v>
          </cell>
          <cell r="R105">
            <v>1000</v>
          </cell>
          <cell r="S105">
            <v>46</v>
          </cell>
          <cell r="T105">
            <v>0</v>
          </cell>
          <cell r="U105">
            <v>46</v>
          </cell>
          <cell r="V105" t="str">
            <v>C01</v>
          </cell>
          <cell r="W105" t="str">
            <v>TATCRC</v>
          </cell>
          <cell r="X105" t="str">
            <v>TR15</v>
          </cell>
          <cell r="Y105">
            <v>0</v>
          </cell>
          <cell r="Z105" t="str">
            <v/>
          </cell>
          <cell r="AA105" t="str">
            <v/>
          </cell>
          <cell r="AB105" t="str">
            <v/>
          </cell>
          <cell r="AC105" t="str">
            <v/>
          </cell>
          <cell r="AD105">
            <v>742</v>
          </cell>
          <cell r="AE105" t="str">
            <v>ZBTO</v>
          </cell>
        </row>
        <row r="106">
          <cell r="G106" t="str">
            <v>9518939680-33</v>
          </cell>
          <cell r="H106">
            <v>45856</v>
          </cell>
          <cell r="I106" t="str">
            <v>BASEER AND CO</v>
          </cell>
          <cell r="J106">
            <v>2000</v>
          </cell>
          <cell r="K106" t="str">
            <v>Trimming only at RCL</v>
          </cell>
          <cell r="L106">
            <v>6</v>
          </cell>
          <cell r="M106">
            <v>18</v>
          </cell>
          <cell r="N106" t="str">
            <v>CQ</v>
          </cell>
          <cell r="O106">
            <v>1804917</v>
          </cell>
          <cell r="P106" t="str">
            <v>CRCA COIL TATCRC TR15 0.6X1250</v>
          </cell>
          <cell r="Q106">
            <v>0.6</v>
          </cell>
          <cell r="R106">
            <v>1250</v>
          </cell>
          <cell r="S106">
            <v>87</v>
          </cell>
          <cell r="T106">
            <v>0</v>
          </cell>
          <cell r="U106">
            <v>87</v>
          </cell>
          <cell r="V106" t="str">
            <v>C01</v>
          </cell>
          <cell r="W106" t="str">
            <v>TATCRC</v>
          </cell>
          <cell r="X106" t="str">
            <v>TR15</v>
          </cell>
          <cell r="Y106">
            <v>0</v>
          </cell>
          <cell r="Z106" t="str">
            <v/>
          </cell>
          <cell r="AA106" t="str">
            <v/>
          </cell>
          <cell r="AB106" t="str">
            <v/>
          </cell>
          <cell r="AC106" t="str">
            <v/>
          </cell>
          <cell r="AD106">
            <v>742</v>
          </cell>
          <cell r="AE106" t="str">
            <v>ZBTO</v>
          </cell>
        </row>
        <row r="107">
          <cell r="G107" t="str">
            <v>9518939680-34</v>
          </cell>
          <cell r="H107">
            <v>45856</v>
          </cell>
          <cell r="I107" t="str">
            <v>BASEER AND CO</v>
          </cell>
          <cell r="J107">
            <v>2000</v>
          </cell>
          <cell r="K107" t="str">
            <v>Trimming only at RCL</v>
          </cell>
          <cell r="L107">
            <v>6</v>
          </cell>
          <cell r="M107">
            <v>18</v>
          </cell>
          <cell r="N107" t="str">
            <v>CQ</v>
          </cell>
          <cell r="O107">
            <v>2165170</v>
          </cell>
          <cell r="P107" t="str">
            <v>CRCA COIL TATCRC TR15 0.400X900</v>
          </cell>
          <cell r="Q107">
            <v>0.4</v>
          </cell>
          <cell r="R107">
            <v>900</v>
          </cell>
          <cell r="S107">
            <v>84</v>
          </cell>
          <cell r="T107">
            <v>0</v>
          </cell>
          <cell r="U107">
            <v>84</v>
          </cell>
          <cell r="V107" t="str">
            <v>C01</v>
          </cell>
          <cell r="W107" t="str">
            <v>TATCRC</v>
          </cell>
          <cell r="X107" t="str">
            <v>TR15</v>
          </cell>
          <cell r="Y107">
            <v>0</v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  <cell r="AD107">
            <v>742</v>
          </cell>
          <cell r="AE107" t="str">
            <v>ZBTO</v>
          </cell>
        </row>
        <row r="108">
          <cell r="G108" t="str">
            <v>9518939680-35</v>
          </cell>
          <cell r="H108">
            <v>45856</v>
          </cell>
          <cell r="I108" t="str">
            <v>BASEER AND CO</v>
          </cell>
          <cell r="J108">
            <v>2000</v>
          </cell>
          <cell r="K108" t="str">
            <v>Trimming only at RCL</v>
          </cell>
          <cell r="L108">
            <v>6</v>
          </cell>
          <cell r="M108">
            <v>18</v>
          </cell>
          <cell r="N108" t="str">
            <v>CQ</v>
          </cell>
          <cell r="O108">
            <v>1804893</v>
          </cell>
          <cell r="P108" t="str">
            <v>CRCA COIL-TATCRC-TR15-0.45X900</v>
          </cell>
          <cell r="Q108">
            <v>0.45</v>
          </cell>
          <cell r="R108">
            <v>900</v>
          </cell>
          <cell r="S108">
            <v>63</v>
          </cell>
          <cell r="T108">
            <v>0</v>
          </cell>
          <cell r="U108">
            <v>63</v>
          </cell>
          <cell r="V108" t="str">
            <v>C01</v>
          </cell>
          <cell r="W108" t="str">
            <v>TATCRC</v>
          </cell>
          <cell r="X108" t="str">
            <v>TR15</v>
          </cell>
          <cell r="Y108">
            <v>0</v>
          </cell>
          <cell r="Z108" t="str">
            <v/>
          </cell>
          <cell r="AA108" t="str">
            <v/>
          </cell>
          <cell r="AB108" t="str">
            <v/>
          </cell>
          <cell r="AC108" t="str">
            <v/>
          </cell>
          <cell r="AD108">
            <v>742</v>
          </cell>
          <cell r="AE108" t="str">
            <v>ZBTO</v>
          </cell>
        </row>
        <row r="109">
          <cell r="G109" t="str">
            <v>9518939680-36</v>
          </cell>
          <cell r="H109">
            <v>45856</v>
          </cell>
          <cell r="I109" t="str">
            <v>BASEER AND CO</v>
          </cell>
          <cell r="J109">
            <v>2000</v>
          </cell>
          <cell r="K109" t="str">
            <v>Trimming only at RCL</v>
          </cell>
          <cell r="L109">
            <v>6</v>
          </cell>
          <cell r="M109">
            <v>18</v>
          </cell>
          <cell r="N109" t="str">
            <v>CQ</v>
          </cell>
          <cell r="O109">
            <v>1804896</v>
          </cell>
          <cell r="P109" t="str">
            <v>CRCA COIL-TATCRC-TR15-0.45X1000</v>
          </cell>
          <cell r="Q109">
            <v>0.45</v>
          </cell>
          <cell r="R109">
            <v>1000</v>
          </cell>
          <cell r="S109">
            <v>46</v>
          </cell>
          <cell r="T109">
            <v>0</v>
          </cell>
          <cell r="U109">
            <v>46</v>
          </cell>
          <cell r="V109" t="str">
            <v>C01</v>
          </cell>
          <cell r="W109" t="str">
            <v>TATCRC</v>
          </cell>
          <cell r="X109" t="str">
            <v>TR15</v>
          </cell>
          <cell r="Y109">
            <v>0</v>
          </cell>
          <cell r="Z109" t="str">
            <v/>
          </cell>
          <cell r="AA109" t="str">
            <v/>
          </cell>
          <cell r="AB109" t="str">
            <v/>
          </cell>
          <cell r="AC109" t="str">
            <v/>
          </cell>
          <cell r="AD109">
            <v>742</v>
          </cell>
          <cell r="AE109" t="str">
            <v>ZBTO</v>
          </cell>
        </row>
        <row r="110">
          <cell r="G110" t="str">
            <v>9518944236-1</v>
          </cell>
          <cell r="H110">
            <v>45858</v>
          </cell>
          <cell r="I110" t="str">
            <v>SITARAM IRON AND STEEL PVT LTD</v>
          </cell>
          <cell r="J110">
            <v>2000</v>
          </cell>
          <cell r="K110" t="str">
            <v>Trimming at PLTCM</v>
          </cell>
          <cell r="L110">
            <v>2</v>
          </cell>
          <cell r="M110">
            <v>3</v>
          </cell>
          <cell r="N110" t="str">
            <v>O/D GRADES</v>
          </cell>
          <cell r="O110">
            <v>3239535</v>
          </cell>
          <cell r="P110" t="str">
            <v>CRCA SHEET TATCRC SR16 0.350X900X2440</v>
          </cell>
          <cell r="Q110">
            <v>0.35</v>
          </cell>
          <cell r="R110">
            <v>900</v>
          </cell>
          <cell r="S110">
            <v>41.999000000000002</v>
          </cell>
          <cell r="T110">
            <v>0</v>
          </cell>
          <cell r="U110">
            <v>41.999000000000002</v>
          </cell>
          <cell r="V110" t="str">
            <v>C06</v>
          </cell>
          <cell r="W110" t="str">
            <v>TATCRC</v>
          </cell>
          <cell r="X110" t="str">
            <v>SR16</v>
          </cell>
          <cell r="Y110">
            <v>0</v>
          </cell>
          <cell r="Z110" t="str">
            <v/>
          </cell>
          <cell r="AA110" t="str">
            <v/>
          </cell>
          <cell r="AB110" t="str">
            <v/>
          </cell>
          <cell r="AC110" t="str">
            <v/>
          </cell>
          <cell r="AD110">
            <v>742</v>
          </cell>
          <cell r="AE110" t="str">
            <v>ZBTO</v>
          </cell>
        </row>
        <row r="111">
          <cell r="G111" t="str">
            <v>9518944236-2</v>
          </cell>
          <cell r="H111">
            <v>45858</v>
          </cell>
          <cell r="I111" t="str">
            <v>SITARAM IRON AND STEEL PVT LTD</v>
          </cell>
          <cell r="J111">
            <v>2000</v>
          </cell>
          <cell r="K111" t="str">
            <v>Trimming at PLTCM</v>
          </cell>
          <cell r="L111">
            <v>2</v>
          </cell>
          <cell r="M111">
            <v>3</v>
          </cell>
          <cell r="N111" t="str">
            <v>O/D GRADES</v>
          </cell>
          <cell r="O111">
            <v>3239540</v>
          </cell>
          <cell r="P111" t="str">
            <v>CRCA SHEET TATCRC SR16 0.350X1000X2440</v>
          </cell>
          <cell r="Q111">
            <v>0.35</v>
          </cell>
          <cell r="R111">
            <v>1000</v>
          </cell>
          <cell r="S111">
            <v>1E-3</v>
          </cell>
          <cell r="T111">
            <v>20.085000000000001</v>
          </cell>
          <cell r="U111">
            <v>-23.004000000000001</v>
          </cell>
          <cell r="V111" t="str">
            <v>C06</v>
          </cell>
          <cell r="W111" t="str">
            <v>TATCRC</v>
          </cell>
          <cell r="X111" t="str">
            <v>SR16</v>
          </cell>
          <cell r="Y111">
            <v>23.004999999999999</v>
          </cell>
          <cell r="Z111" t="str">
            <v/>
          </cell>
          <cell r="AA111" t="str">
            <v/>
          </cell>
          <cell r="AB111" t="str">
            <v/>
          </cell>
          <cell r="AC111" t="str">
            <v/>
          </cell>
          <cell r="AD111">
            <v>742</v>
          </cell>
          <cell r="AE111" t="str">
            <v>ZBTO</v>
          </cell>
        </row>
        <row r="112">
          <cell r="G112" t="str">
            <v>9518944236-3</v>
          </cell>
          <cell r="H112">
            <v>45858</v>
          </cell>
          <cell r="I112" t="str">
            <v>SITARAM IRON AND STEEL PVT LTD</v>
          </cell>
          <cell r="J112">
            <v>2000</v>
          </cell>
          <cell r="K112" t="str">
            <v>Trimming at PLTCM</v>
          </cell>
          <cell r="L112">
            <v>2</v>
          </cell>
          <cell r="M112">
            <v>3</v>
          </cell>
          <cell r="N112" t="str">
            <v>O/D GRADES</v>
          </cell>
          <cell r="O112">
            <v>3239555</v>
          </cell>
          <cell r="P112" t="str">
            <v>CRCA SHEET TATCRC SR16 0.400X1000X2440</v>
          </cell>
          <cell r="Q112">
            <v>0.4</v>
          </cell>
          <cell r="R112">
            <v>1000</v>
          </cell>
          <cell r="S112">
            <v>1E-3</v>
          </cell>
          <cell r="T112">
            <v>44.87</v>
          </cell>
          <cell r="U112">
            <v>-44.869</v>
          </cell>
          <cell r="V112" t="str">
            <v>C06</v>
          </cell>
          <cell r="W112" t="str">
            <v>TATCRC</v>
          </cell>
          <cell r="X112" t="str">
            <v>SR16</v>
          </cell>
          <cell r="Y112">
            <v>44.87</v>
          </cell>
          <cell r="Z112" t="str">
            <v/>
          </cell>
          <cell r="AA112" t="str">
            <v/>
          </cell>
          <cell r="AB112" t="str">
            <v/>
          </cell>
          <cell r="AC112" t="str">
            <v/>
          </cell>
          <cell r="AD112">
            <v>742</v>
          </cell>
          <cell r="AE112" t="str">
            <v>ZBTO</v>
          </cell>
        </row>
        <row r="113">
          <cell r="G113" t="str">
            <v>9518944236-4</v>
          </cell>
          <cell r="H113">
            <v>45858</v>
          </cell>
          <cell r="I113" t="str">
            <v>SITARAM IRON AND STEEL PVT LTD</v>
          </cell>
          <cell r="J113">
            <v>2000</v>
          </cell>
          <cell r="K113" t="str">
            <v>Trimming at PLTCM</v>
          </cell>
          <cell r="L113">
            <v>2</v>
          </cell>
          <cell r="M113">
            <v>3</v>
          </cell>
          <cell r="N113" t="str">
            <v>O/D GRADES</v>
          </cell>
          <cell r="O113">
            <v>3239566</v>
          </cell>
          <cell r="P113" t="str">
            <v>CRCA SHEET TATCRC SR16 0.450X1000X2440</v>
          </cell>
          <cell r="Q113">
            <v>0.45</v>
          </cell>
          <cell r="R113">
            <v>1000</v>
          </cell>
          <cell r="S113">
            <v>44.99</v>
          </cell>
          <cell r="T113">
            <v>38.134999999999998</v>
          </cell>
          <cell r="U113">
            <v>4.4649999999999999</v>
          </cell>
          <cell r="V113" t="str">
            <v>C06</v>
          </cell>
          <cell r="W113" t="str">
            <v>TATCRC</v>
          </cell>
          <cell r="X113" t="str">
            <v>SR16</v>
          </cell>
          <cell r="Y113">
            <v>40.524999999999999</v>
          </cell>
          <cell r="Z113" t="str">
            <v/>
          </cell>
          <cell r="AA113" t="str">
            <v/>
          </cell>
          <cell r="AB113" t="str">
            <v/>
          </cell>
          <cell r="AC113" t="str">
            <v/>
          </cell>
          <cell r="AD113">
            <v>742</v>
          </cell>
          <cell r="AE113" t="str">
            <v>ZBTO</v>
          </cell>
        </row>
        <row r="114">
          <cell r="G114" t="str">
            <v>9518944236-5</v>
          </cell>
          <cell r="H114">
            <v>45858</v>
          </cell>
          <cell r="I114" t="str">
            <v>SITARAM IRON AND STEEL PVT LTD</v>
          </cell>
          <cell r="J114">
            <v>2000</v>
          </cell>
          <cell r="K114" t="str">
            <v>Trimming at PLTCM</v>
          </cell>
          <cell r="L114">
            <v>2</v>
          </cell>
          <cell r="M114">
            <v>3</v>
          </cell>
          <cell r="N114" t="str">
            <v>O/D GRADES</v>
          </cell>
          <cell r="O114">
            <v>3240759</v>
          </cell>
          <cell r="P114" t="str">
            <v>CRCA SHEET TSBCRC SR15 0.500X1000X2440</v>
          </cell>
          <cell r="Q114">
            <v>0.5</v>
          </cell>
          <cell r="R114">
            <v>1000</v>
          </cell>
          <cell r="S114">
            <v>23.998999999999999</v>
          </cell>
          <cell r="T114">
            <v>21.15</v>
          </cell>
          <cell r="U114">
            <v>2.8490000000000002</v>
          </cell>
          <cell r="V114" t="str">
            <v>C06</v>
          </cell>
          <cell r="W114" t="str">
            <v>TSBCRC</v>
          </cell>
          <cell r="X114" t="str">
            <v>SR15</v>
          </cell>
          <cell r="Y114">
            <v>21.15</v>
          </cell>
          <cell r="Z114" t="str">
            <v/>
          </cell>
          <cell r="AA114" t="str">
            <v/>
          </cell>
          <cell r="AB114" t="str">
            <v/>
          </cell>
          <cell r="AC114" t="str">
            <v/>
          </cell>
          <cell r="AD114">
            <v>742</v>
          </cell>
          <cell r="AE114" t="str">
            <v>ZBTO</v>
          </cell>
        </row>
        <row r="115">
          <cell r="G115" t="str">
            <v>9518944236-7</v>
          </cell>
          <cell r="H115">
            <v>45858</v>
          </cell>
          <cell r="I115" t="str">
            <v>SITARAM IRON AND STEEL PVT LTD</v>
          </cell>
          <cell r="J115">
            <v>2000</v>
          </cell>
          <cell r="K115" t="str">
            <v>Trimming at PLTCM</v>
          </cell>
          <cell r="L115">
            <v>2</v>
          </cell>
          <cell r="M115">
            <v>3</v>
          </cell>
          <cell r="N115" t="str">
            <v>D FOR CRCA</v>
          </cell>
          <cell r="O115">
            <v>353957</v>
          </cell>
          <cell r="P115" t="str">
            <v>CRCA SHEET TATXXD AU03 0.80X1250X2500</v>
          </cell>
          <cell r="Q115">
            <v>0.8</v>
          </cell>
          <cell r="R115">
            <v>1250</v>
          </cell>
          <cell r="S115">
            <v>29</v>
          </cell>
          <cell r="T115">
            <v>0</v>
          </cell>
          <cell r="U115">
            <v>29</v>
          </cell>
          <cell r="V115" t="str">
            <v>C06</v>
          </cell>
          <cell r="W115" t="str">
            <v>TATXXD</v>
          </cell>
          <cell r="X115" t="str">
            <v>AU03</v>
          </cell>
          <cell r="Y115">
            <v>0</v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D115">
            <v>742</v>
          </cell>
          <cell r="AE115" t="str">
            <v>ZBTO</v>
          </cell>
        </row>
        <row r="116">
          <cell r="G116" t="str">
            <v>9518944236-8</v>
          </cell>
          <cell r="H116">
            <v>45858</v>
          </cell>
          <cell r="I116" t="str">
            <v>SITARAM IRON AND STEEL PVT LTD</v>
          </cell>
          <cell r="J116">
            <v>2000</v>
          </cell>
          <cell r="K116" t="str">
            <v>Trimming at PLTCM</v>
          </cell>
          <cell r="L116">
            <v>2</v>
          </cell>
          <cell r="M116">
            <v>3</v>
          </cell>
          <cell r="N116" t="str">
            <v>AU03</v>
          </cell>
          <cell r="O116">
            <v>189866</v>
          </cell>
          <cell r="P116" t="str">
            <v>CRSHEET TATXXD AU03 1.20X1250X2500</v>
          </cell>
          <cell r="Q116">
            <v>1.2</v>
          </cell>
          <cell r="R116">
            <v>1250</v>
          </cell>
          <cell r="S116">
            <v>57.999000000000002</v>
          </cell>
          <cell r="T116">
            <v>0</v>
          </cell>
          <cell r="U116">
            <v>5.3890000000000002</v>
          </cell>
          <cell r="V116" t="str">
            <v>C06</v>
          </cell>
          <cell r="W116" t="str">
            <v>TATXXD</v>
          </cell>
          <cell r="X116" t="str">
            <v>AU03</v>
          </cell>
          <cell r="Y116">
            <v>52.61</v>
          </cell>
          <cell r="Z116" t="str">
            <v/>
          </cell>
          <cell r="AA116" t="str">
            <v/>
          </cell>
          <cell r="AB116" t="str">
            <v/>
          </cell>
          <cell r="AC116" t="str">
            <v/>
          </cell>
          <cell r="AD116">
            <v>742</v>
          </cell>
          <cell r="AE116" t="str">
            <v>ZBTO</v>
          </cell>
        </row>
        <row r="117">
          <cell r="G117" t="str">
            <v>9518944236-9</v>
          </cell>
          <cell r="H117">
            <v>45858</v>
          </cell>
          <cell r="I117" t="str">
            <v>SITARAM IRON AND STEEL PVT LTD</v>
          </cell>
          <cell r="J117">
            <v>2000</v>
          </cell>
          <cell r="K117" t="str">
            <v>Trimming at PLTCM</v>
          </cell>
          <cell r="L117">
            <v>2</v>
          </cell>
          <cell r="M117">
            <v>3</v>
          </cell>
          <cell r="N117" t="str">
            <v>D FOR CRCA</v>
          </cell>
          <cell r="O117">
            <v>281630</v>
          </cell>
          <cell r="P117" t="str">
            <v>CRSHEET C06 TATXXD AU03 1.6X1250X2500</v>
          </cell>
          <cell r="Q117">
            <v>1.6</v>
          </cell>
          <cell r="R117">
            <v>1250</v>
          </cell>
          <cell r="S117">
            <v>58</v>
          </cell>
          <cell r="T117">
            <v>0</v>
          </cell>
          <cell r="U117">
            <v>58</v>
          </cell>
          <cell r="V117" t="str">
            <v>C06</v>
          </cell>
          <cell r="W117" t="str">
            <v>TATXXD</v>
          </cell>
          <cell r="X117" t="str">
            <v>AU03</v>
          </cell>
          <cell r="Y117">
            <v>0</v>
          </cell>
          <cell r="Z117" t="str">
            <v/>
          </cell>
          <cell r="AA117" t="str">
            <v/>
          </cell>
          <cell r="AB117" t="str">
            <v/>
          </cell>
          <cell r="AC117" t="str">
            <v/>
          </cell>
          <cell r="AD117">
            <v>742</v>
          </cell>
          <cell r="AE117" t="str">
            <v>ZBTO</v>
          </cell>
        </row>
        <row r="118">
          <cell r="G118" t="str">
            <v>9518944236-10</v>
          </cell>
          <cell r="H118">
            <v>45858</v>
          </cell>
          <cell r="I118" t="str">
            <v>SITARAM IRON AND STEEL PVT LTD</v>
          </cell>
          <cell r="J118">
            <v>2000</v>
          </cell>
          <cell r="K118" t="str">
            <v>Trimming at PLTCM</v>
          </cell>
          <cell r="L118">
            <v>2</v>
          </cell>
          <cell r="M118">
            <v>3</v>
          </cell>
          <cell r="N118" t="str">
            <v>D FOR CRCA</v>
          </cell>
          <cell r="O118">
            <v>274376</v>
          </cell>
          <cell r="P118" t="str">
            <v>CRSHEET C06TATXXD AU03 2.0X1250X2500</v>
          </cell>
          <cell r="Q118">
            <v>2</v>
          </cell>
          <cell r="R118">
            <v>1250</v>
          </cell>
          <cell r="S118">
            <v>58</v>
          </cell>
          <cell r="T118">
            <v>0</v>
          </cell>
          <cell r="U118">
            <v>58</v>
          </cell>
          <cell r="V118" t="str">
            <v>C06</v>
          </cell>
          <cell r="W118" t="str">
            <v>TATXXD</v>
          </cell>
          <cell r="X118" t="str">
            <v>AU03</v>
          </cell>
          <cell r="Y118">
            <v>0</v>
          </cell>
          <cell r="Z118" t="str">
            <v/>
          </cell>
          <cell r="AA118" t="str">
            <v/>
          </cell>
          <cell r="AB118" t="str">
            <v/>
          </cell>
          <cell r="AC118" t="str">
            <v/>
          </cell>
          <cell r="AD118">
            <v>742</v>
          </cell>
          <cell r="AE118" t="str">
            <v>ZBTO</v>
          </cell>
        </row>
        <row r="119">
          <cell r="G119" t="str">
            <v>9518944236-11</v>
          </cell>
          <cell r="H119">
            <v>45858</v>
          </cell>
          <cell r="I119" t="str">
            <v>SITARAM IRON AND STEEL PVT LTD</v>
          </cell>
          <cell r="J119">
            <v>2000</v>
          </cell>
          <cell r="K119" t="str">
            <v>Trimming at PLTCM</v>
          </cell>
          <cell r="L119">
            <v>2</v>
          </cell>
          <cell r="M119">
            <v>3</v>
          </cell>
          <cell r="N119" t="str">
            <v>O/D GRADES</v>
          </cell>
          <cell r="O119">
            <v>3240776</v>
          </cell>
          <cell r="P119" t="str">
            <v>CRCA SHEET TSBCRC SR15 0.600X1000X2440</v>
          </cell>
          <cell r="Q119">
            <v>0.6</v>
          </cell>
          <cell r="R119">
            <v>1000</v>
          </cell>
          <cell r="S119">
            <v>68.998999999999995</v>
          </cell>
          <cell r="T119">
            <v>67.64</v>
          </cell>
          <cell r="U119">
            <v>1.359</v>
          </cell>
          <cell r="V119" t="str">
            <v>C06</v>
          </cell>
          <cell r="W119" t="str">
            <v>TSBCRC</v>
          </cell>
          <cell r="X119" t="str">
            <v>SR15</v>
          </cell>
          <cell r="Y119">
            <v>67.64</v>
          </cell>
          <cell r="Z119" t="str">
            <v/>
          </cell>
          <cell r="AA119" t="str">
            <v/>
          </cell>
          <cell r="AB119" t="str">
            <v/>
          </cell>
          <cell r="AC119" t="str">
            <v/>
          </cell>
          <cell r="AD119">
            <v>742</v>
          </cell>
          <cell r="AE119" t="str">
            <v>ZBTO</v>
          </cell>
        </row>
        <row r="120">
          <cell r="G120" t="str">
            <v>9518945240-1</v>
          </cell>
          <cell r="H120">
            <v>45859</v>
          </cell>
          <cell r="I120" t="str">
            <v>G.R. GUPTA &amp; BROS.</v>
          </cell>
          <cell r="J120">
            <v>2000</v>
          </cell>
          <cell r="K120" t="str">
            <v>Untrimmed edge</v>
          </cell>
          <cell r="L120">
            <v>18</v>
          </cell>
          <cell r="M120">
            <v>25</v>
          </cell>
          <cell r="N120" t="str">
            <v>STEELIUM</v>
          </cell>
          <cell r="O120">
            <v>37862</v>
          </cell>
          <cell r="P120" t="str">
            <v>CRCA COIL TATCRC TR15 0.4X1250</v>
          </cell>
          <cell r="Q120">
            <v>0.4</v>
          </cell>
          <cell r="R120">
            <v>1250</v>
          </cell>
          <cell r="S120">
            <v>29</v>
          </cell>
          <cell r="T120">
            <v>0</v>
          </cell>
          <cell r="U120">
            <v>29</v>
          </cell>
          <cell r="V120" t="str">
            <v>C01</v>
          </cell>
          <cell r="W120" t="str">
            <v>TATCRC</v>
          </cell>
          <cell r="X120" t="str">
            <v>TR15</v>
          </cell>
          <cell r="Y120">
            <v>0</v>
          </cell>
          <cell r="Z120" t="str">
            <v/>
          </cell>
          <cell r="AA120" t="str">
            <v/>
          </cell>
          <cell r="AB120" t="str">
            <v/>
          </cell>
          <cell r="AC120" t="str">
            <v/>
          </cell>
          <cell r="AD120">
            <v>742</v>
          </cell>
          <cell r="AE120" t="str">
            <v>ZBTO</v>
          </cell>
        </row>
        <row r="121">
          <cell r="G121" t="str">
            <v>9518945240-2</v>
          </cell>
          <cell r="H121">
            <v>45859</v>
          </cell>
          <cell r="I121" t="str">
            <v>G.R. GUPTA &amp; BROS.</v>
          </cell>
          <cell r="J121">
            <v>2000</v>
          </cell>
          <cell r="K121" t="str">
            <v>Untrimmed edge</v>
          </cell>
          <cell r="L121">
            <v>10</v>
          </cell>
          <cell r="M121">
            <v>30</v>
          </cell>
          <cell r="N121" t="str">
            <v>STEELIUM</v>
          </cell>
          <cell r="O121">
            <v>1801022</v>
          </cell>
          <cell r="P121" t="str">
            <v>CRCA COIL-TATXXD-AU03-0.45X1250</v>
          </cell>
          <cell r="Q121">
            <v>0.45</v>
          </cell>
          <cell r="R121">
            <v>1250</v>
          </cell>
          <cell r="S121">
            <v>29</v>
          </cell>
          <cell r="T121">
            <v>0</v>
          </cell>
          <cell r="U121">
            <v>29</v>
          </cell>
          <cell r="V121" t="str">
            <v>C01</v>
          </cell>
          <cell r="W121" t="str">
            <v>TATXXD</v>
          </cell>
          <cell r="X121" t="str">
            <v>AU03</v>
          </cell>
          <cell r="Y121">
            <v>0</v>
          </cell>
          <cell r="Z121" t="str">
            <v/>
          </cell>
          <cell r="AA121" t="str">
            <v/>
          </cell>
          <cell r="AB121" t="str">
            <v/>
          </cell>
          <cell r="AC121" t="str">
            <v/>
          </cell>
          <cell r="AD121">
            <v>742</v>
          </cell>
          <cell r="AE121" t="str">
            <v>ZBTO</v>
          </cell>
        </row>
        <row r="122">
          <cell r="G122" t="str">
            <v>9518945240-3</v>
          </cell>
          <cell r="H122">
            <v>45859</v>
          </cell>
          <cell r="I122" t="str">
            <v>G.R. GUPTA &amp; BROS.</v>
          </cell>
          <cell r="J122">
            <v>2000</v>
          </cell>
          <cell r="K122" t="str">
            <v>Untrimmed edge</v>
          </cell>
          <cell r="L122">
            <v>10</v>
          </cell>
          <cell r="M122">
            <v>30</v>
          </cell>
          <cell r="N122" t="str">
            <v>AU03</v>
          </cell>
          <cell r="O122">
            <v>185675</v>
          </cell>
          <cell r="P122" t="str">
            <v>CRCA COIL-TATXXD-AU03-0.5X1250</v>
          </cell>
          <cell r="Q122">
            <v>0.5</v>
          </cell>
          <cell r="R122">
            <v>1250</v>
          </cell>
          <cell r="S122">
            <v>58</v>
          </cell>
          <cell r="T122">
            <v>0</v>
          </cell>
          <cell r="U122">
            <v>58</v>
          </cell>
          <cell r="V122" t="str">
            <v>C01</v>
          </cell>
          <cell r="W122" t="str">
            <v>TATXXD</v>
          </cell>
          <cell r="X122" t="str">
            <v>AU03</v>
          </cell>
          <cell r="Y122">
            <v>0</v>
          </cell>
          <cell r="Z122" t="str">
            <v/>
          </cell>
          <cell r="AA122" t="str">
            <v/>
          </cell>
          <cell r="AB122" t="str">
            <v/>
          </cell>
          <cell r="AC122" t="str">
            <v/>
          </cell>
          <cell r="AD122">
            <v>742</v>
          </cell>
          <cell r="AE122" t="str">
            <v>ZBTO</v>
          </cell>
        </row>
        <row r="123">
          <cell r="G123" t="str">
            <v>9518949617-1</v>
          </cell>
          <cell r="H123">
            <v>45860</v>
          </cell>
          <cell r="I123" t="str">
            <v>PRESTIGE METALLICS PRIVATE LIM</v>
          </cell>
          <cell r="J123">
            <v>2000</v>
          </cell>
          <cell r="K123" t="str">
            <v>Trimming ( for CRC</v>
          </cell>
          <cell r="L123">
            <v>2</v>
          </cell>
          <cell r="M123">
            <v>3</v>
          </cell>
          <cell r="N123" t="str">
            <v>O/D GRADES</v>
          </cell>
          <cell r="O123">
            <v>3239536</v>
          </cell>
          <cell r="P123" t="str">
            <v>CRCA SHEET TATCRC SR16 0.350X900X2500</v>
          </cell>
          <cell r="Q123">
            <v>0.35</v>
          </cell>
          <cell r="R123">
            <v>900</v>
          </cell>
          <cell r="S123">
            <v>21</v>
          </cell>
          <cell r="T123">
            <v>5.3</v>
          </cell>
          <cell r="U123">
            <v>2.5299999999999998</v>
          </cell>
          <cell r="V123" t="str">
            <v>C06</v>
          </cell>
          <cell r="W123" t="str">
            <v>TATCRC</v>
          </cell>
          <cell r="X123" t="str">
            <v>SR16</v>
          </cell>
          <cell r="Y123">
            <v>18.47</v>
          </cell>
          <cell r="Z123" t="str">
            <v/>
          </cell>
          <cell r="AA123" t="str">
            <v/>
          </cell>
          <cell r="AB123" t="str">
            <v/>
          </cell>
          <cell r="AC123" t="str">
            <v/>
          </cell>
          <cell r="AD123">
            <v>742</v>
          </cell>
          <cell r="AE123" t="str">
            <v>ZBTO</v>
          </cell>
        </row>
        <row r="124">
          <cell r="G124" t="str">
            <v>9518949617-2</v>
          </cell>
          <cell r="H124">
            <v>45860</v>
          </cell>
          <cell r="I124" t="str">
            <v>PRESTIGE METALLICS PRIVATE LIM</v>
          </cell>
          <cell r="J124">
            <v>2000</v>
          </cell>
          <cell r="K124" t="str">
            <v>Trimming ( for CRC</v>
          </cell>
          <cell r="L124">
            <v>2</v>
          </cell>
          <cell r="M124">
            <v>3</v>
          </cell>
          <cell r="N124" t="str">
            <v>O/D GRADES</v>
          </cell>
          <cell r="O124">
            <v>3239554</v>
          </cell>
          <cell r="P124" t="str">
            <v>CRCA SHEET TATCRC SR16 0.400X1000X2500</v>
          </cell>
          <cell r="Q124">
            <v>0.4</v>
          </cell>
          <cell r="R124">
            <v>1000</v>
          </cell>
          <cell r="S124">
            <v>1E-3</v>
          </cell>
          <cell r="T124">
            <v>11.69</v>
          </cell>
          <cell r="U124">
            <v>-11.689</v>
          </cell>
          <cell r="V124" t="str">
            <v>C06</v>
          </cell>
          <cell r="W124" t="str">
            <v>TATCRC</v>
          </cell>
          <cell r="X124" t="str">
            <v>SR16</v>
          </cell>
          <cell r="Y124">
            <v>11.69</v>
          </cell>
          <cell r="Z124" t="str">
            <v/>
          </cell>
          <cell r="AA124" t="str">
            <v/>
          </cell>
          <cell r="AB124" t="str">
            <v/>
          </cell>
          <cell r="AC124" t="str">
            <v/>
          </cell>
          <cell r="AD124">
            <v>742</v>
          </cell>
          <cell r="AE124" t="str">
            <v>ZBTO</v>
          </cell>
        </row>
        <row r="125">
          <cell r="G125" t="str">
            <v>9518949617-3</v>
          </cell>
          <cell r="H125">
            <v>45860</v>
          </cell>
          <cell r="I125" t="str">
            <v>PRESTIGE METALLICS PRIVATE LIM</v>
          </cell>
          <cell r="J125">
            <v>2000</v>
          </cell>
          <cell r="K125" t="str">
            <v>Trimming ( for CRC</v>
          </cell>
          <cell r="L125">
            <v>2</v>
          </cell>
          <cell r="M125">
            <v>3</v>
          </cell>
          <cell r="N125" t="str">
            <v>O/D GRADES</v>
          </cell>
          <cell r="O125">
            <v>3240778</v>
          </cell>
          <cell r="P125" t="str">
            <v>CRCA SHEET TSBCRC SR15 0.600X1000X2500</v>
          </cell>
          <cell r="Q125">
            <v>0.6</v>
          </cell>
          <cell r="R125">
            <v>1000</v>
          </cell>
          <cell r="S125">
            <v>23</v>
          </cell>
          <cell r="T125">
            <v>21.704999999999998</v>
          </cell>
          <cell r="U125">
            <v>1.2949999999999999</v>
          </cell>
          <cell r="V125" t="str">
            <v>C06</v>
          </cell>
          <cell r="W125" t="str">
            <v>TSBCRC</v>
          </cell>
          <cell r="X125" t="str">
            <v>SR15</v>
          </cell>
          <cell r="Y125">
            <v>21.704999999999998</v>
          </cell>
          <cell r="Z125" t="str">
            <v/>
          </cell>
          <cell r="AA125" t="str">
            <v/>
          </cell>
          <cell r="AB125" t="str">
            <v/>
          </cell>
          <cell r="AC125" t="str">
            <v/>
          </cell>
          <cell r="AD125">
            <v>742</v>
          </cell>
          <cell r="AE125" t="str">
            <v>ZBTO</v>
          </cell>
        </row>
        <row r="126">
          <cell r="G126" t="str">
            <v>9518949617-4</v>
          </cell>
          <cell r="H126">
            <v>45860</v>
          </cell>
          <cell r="I126" t="str">
            <v>PRESTIGE METALLICS PRIVATE LIM</v>
          </cell>
          <cell r="J126">
            <v>2000</v>
          </cell>
          <cell r="K126" t="str">
            <v>Trimming ( for CRC</v>
          </cell>
          <cell r="L126">
            <v>2</v>
          </cell>
          <cell r="M126">
            <v>3</v>
          </cell>
          <cell r="N126" t="str">
            <v>O/D GRADES</v>
          </cell>
          <cell r="O126">
            <v>3240792</v>
          </cell>
          <cell r="P126" t="str">
            <v>CRCA SHEET TSBCRC SR15 0.600X1250X2500</v>
          </cell>
          <cell r="Q126">
            <v>0.6</v>
          </cell>
          <cell r="R126">
            <v>1250</v>
          </cell>
          <cell r="S126">
            <v>1E-3</v>
          </cell>
          <cell r="T126">
            <v>28.625</v>
          </cell>
          <cell r="U126">
            <v>-28.623999999999999</v>
          </cell>
          <cell r="V126" t="str">
            <v>C06</v>
          </cell>
          <cell r="W126" t="str">
            <v>TSBCRC</v>
          </cell>
          <cell r="X126" t="str">
            <v>SR15</v>
          </cell>
          <cell r="Y126">
            <v>28.625</v>
          </cell>
          <cell r="Z126" t="str">
            <v/>
          </cell>
          <cell r="AA126" t="str">
            <v/>
          </cell>
          <cell r="AB126" t="str">
            <v/>
          </cell>
          <cell r="AC126" t="str">
            <v/>
          </cell>
          <cell r="AD126">
            <v>742</v>
          </cell>
          <cell r="AE126" t="str">
            <v>ZBTO</v>
          </cell>
        </row>
        <row r="127">
          <cell r="G127" t="str">
            <v>9518949617-5</v>
          </cell>
          <cell r="H127">
            <v>45860</v>
          </cell>
          <cell r="I127" t="str">
            <v>PRESTIGE METALLICS PRIVATE LIM</v>
          </cell>
          <cell r="J127">
            <v>2000</v>
          </cell>
          <cell r="K127" t="str">
            <v>Trimming ( for CRC</v>
          </cell>
          <cell r="L127">
            <v>2</v>
          </cell>
          <cell r="M127">
            <v>3</v>
          </cell>
          <cell r="N127" t="str">
            <v>O/D GRADES</v>
          </cell>
          <cell r="O127">
            <v>463611</v>
          </cell>
          <cell r="P127" t="str">
            <v>CRCA SHEET TATCRC TR15 .95X1250X2500</v>
          </cell>
          <cell r="Q127">
            <v>0.95</v>
          </cell>
          <cell r="R127">
            <v>1250</v>
          </cell>
          <cell r="S127">
            <v>29</v>
          </cell>
          <cell r="T127">
            <v>0</v>
          </cell>
          <cell r="U127">
            <v>29</v>
          </cell>
          <cell r="V127" t="str">
            <v>C06</v>
          </cell>
          <cell r="W127" t="str">
            <v>TATCRC</v>
          </cell>
          <cell r="X127" t="str">
            <v>TR15</v>
          </cell>
          <cell r="Y127">
            <v>0</v>
          </cell>
          <cell r="Z127" t="str">
            <v/>
          </cell>
          <cell r="AA127" t="str">
            <v/>
          </cell>
          <cell r="AB127" t="str">
            <v/>
          </cell>
          <cell r="AC127" t="str">
            <v/>
          </cell>
          <cell r="AD127">
            <v>742</v>
          </cell>
          <cell r="AE127" t="str">
            <v>ZBTO</v>
          </cell>
        </row>
        <row r="128">
          <cell r="G128" t="str">
            <v>9518949617-6</v>
          </cell>
          <cell r="H128">
            <v>45860</v>
          </cell>
          <cell r="I128" t="str">
            <v>PRESTIGE METALLICS PRIVATE LIM</v>
          </cell>
          <cell r="J128">
            <v>2000</v>
          </cell>
          <cell r="K128" t="str">
            <v>Trimming ( for CRC</v>
          </cell>
          <cell r="L128">
            <v>2</v>
          </cell>
          <cell r="M128">
            <v>3</v>
          </cell>
          <cell r="N128" t="str">
            <v>O/D GRADES</v>
          </cell>
          <cell r="O128">
            <v>322580</v>
          </cell>
          <cell r="P128" t="str">
            <v>CRCA SHEET TATCRC TR15 1.2X1250X2500</v>
          </cell>
          <cell r="Q128">
            <v>1.2</v>
          </cell>
          <cell r="R128">
            <v>1250</v>
          </cell>
          <cell r="S128">
            <v>29</v>
          </cell>
          <cell r="T128">
            <v>0</v>
          </cell>
          <cell r="U128">
            <v>29</v>
          </cell>
          <cell r="V128" t="str">
            <v>C06</v>
          </cell>
          <cell r="W128" t="str">
            <v>TATCRC</v>
          </cell>
          <cell r="X128" t="str">
            <v>TR15</v>
          </cell>
          <cell r="Y128">
            <v>0</v>
          </cell>
          <cell r="Z128" t="str">
            <v/>
          </cell>
          <cell r="AA128" t="str">
            <v/>
          </cell>
          <cell r="AB128" t="str">
            <v/>
          </cell>
          <cell r="AC128" t="str">
            <v/>
          </cell>
          <cell r="AD128">
            <v>742</v>
          </cell>
          <cell r="AE128" t="str">
            <v>ZBTO</v>
          </cell>
        </row>
        <row r="129">
          <cell r="G129" t="str">
            <v>9518949617-7</v>
          </cell>
          <cell r="H129">
            <v>45860</v>
          </cell>
          <cell r="I129" t="str">
            <v>PRESTIGE METALLICS PRIVATE LIM</v>
          </cell>
          <cell r="J129">
            <v>2000</v>
          </cell>
          <cell r="K129" t="str">
            <v>Trimming ( for CRC</v>
          </cell>
          <cell r="L129">
            <v>2</v>
          </cell>
          <cell r="M129">
            <v>3</v>
          </cell>
          <cell r="N129" t="str">
            <v>O/D GRADES</v>
          </cell>
          <cell r="O129">
            <v>3241713</v>
          </cell>
          <cell r="P129" t="str">
            <v>CRCA SHEET TATCRC TR15 1.200X900X2500</v>
          </cell>
          <cell r="Q129">
            <v>1.2</v>
          </cell>
          <cell r="R129">
            <v>900</v>
          </cell>
          <cell r="S129">
            <v>21</v>
          </cell>
          <cell r="T129">
            <v>0</v>
          </cell>
          <cell r="U129">
            <v>21</v>
          </cell>
          <cell r="V129" t="str">
            <v>C06</v>
          </cell>
          <cell r="W129" t="str">
            <v>TATCRC</v>
          </cell>
          <cell r="X129" t="str">
            <v>TR15</v>
          </cell>
          <cell r="Y129">
            <v>0</v>
          </cell>
          <cell r="Z129" t="str">
            <v/>
          </cell>
          <cell r="AA129" t="str">
            <v/>
          </cell>
          <cell r="AB129" t="str">
            <v/>
          </cell>
          <cell r="AC129" t="str">
            <v/>
          </cell>
          <cell r="AD129">
            <v>742</v>
          </cell>
          <cell r="AE129" t="str">
            <v>ZBTO</v>
          </cell>
        </row>
        <row r="130">
          <cell r="G130" t="str">
            <v>9518949617-8</v>
          </cell>
          <cell r="H130">
            <v>45860</v>
          </cell>
          <cell r="I130" t="str">
            <v>PRESTIGE METALLICS PRIVATE LIM</v>
          </cell>
          <cell r="J130">
            <v>2000</v>
          </cell>
          <cell r="K130" t="str">
            <v>Trimming ( for CRC</v>
          </cell>
          <cell r="L130">
            <v>2</v>
          </cell>
          <cell r="M130">
            <v>3</v>
          </cell>
          <cell r="N130" t="str">
            <v>O/D GRADES</v>
          </cell>
          <cell r="O130">
            <v>1107210</v>
          </cell>
          <cell r="P130" t="str">
            <v>CRCA SHEET TATCRC TR15 1.200X1000X2500</v>
          </cell>
          <cell r="Q130">
            <v>1.2</v>
          </cell>
          <cell r="R130">
            <v>1000</v>
          </cell>
          <cell r="S130">
            <v>23</v>
          </cell>
          <cell r="T130">
            <v>0</v>
          </cell>
          <cell r="U130">
            <v>23</v>
          </cell>
          <cell r="V130" t="str">
            <v>C06</v>
          </cell>
          <cell r="W130" t="str">
            <v>TATCRC</v>
          </cell>
          <cell r="X130" t="str">
            <v>TR15</v>
          </cell>
          <cell r="Y130">
            <v>0</v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  <cell r="AD130">
            <v>742</v>
          </cell>
          <cell r="AE130" t="str">
            <v>ZBTO</v>
          </cell>
        </row>
        <row r="131">
          <cell r="G131" t="str">
            <v>9518949617-9</v>
          </cell>
          <cell r="H131">
            <v>45860</v>
          </cell>
          <cell r="I131" t="str">
            <v>PRESTIGE METALLICS PRIVATE LIM</v>
          </cell>
          <cell r="J131">
            <v>2000</v>
          </cell>
          <cell r="K131" t="str">
            <v>Trimming ( for CRC</v>
          </cell>
          <cell r="L131">
            <v>2</v>
          </cell>
          <cell r="M131">
            <v>3</v>
          </cell>
          <cell r="N131" t="str">
            <v>O/D GRADES</v>
          </cell>
          <cell r="O131">
            <v>291034</v>
          </cell>
          <cell r="P131" t="str">
            <v>CRSHEET C06 TATCRC TR15 2X1250X2500</v>
          </cell>
          <cell r="Q131">
            <v>2</v>
          </cell>
          <cell r="R131">
            <v>1250</v>
          </cell>
          <cell r="S131">
            <v>29</v>
          </cell>
          <cell r="T131">
            <v>0</v>
          </cell>
          <cell r="U131">
            <v>29</v>
          </cell>
          <cell r="V131" t="str">
            <v>C06</v>
          </cell>
          <cell r="W131" t="str">
            <v>TATCRC</v>
          </cell>
          <cell r="X131" t="str">
            <v>TR15</v>
          </cell>
          <cell r="Y131">
            <v>0</v>
          </cell>
          <cell r="Z131" t="str">
            <v/>
          </cell>
          <cell r="AA131" t="str">
            <v/>
          </cell>
          <cell r="AB131" t="str">
            <v/>
          </cell>
          <cell r="AC131" t="str">
            <v/>
          </cell>
          <cell r="AD131">
            <v>742</v>
          </cell>
          <cell r="AE131" t="str">
            <v>ZBTO</v>
          </cell>
        </row>
        <row r="132">
          <cell r="G132" t="str">
            <v>9518957902-1</v>
          </cell>
          <cell r="H132">
            <v>45863</v>
          </cell>
          <cell r="I132" t="str">
            <v>FERRO STEEL SOLUTIONS</v>
          </cell>
          <cell r="J132">
            <v>2000</v>
          </cell>
          <cell r="K132" t="str">
            <v>Untrimmed edge</v>
          </cell>
          <cell r="L132">
            <v>10</v>
          </cell>
          <cell r="M132">
            <v>27</v>
          </cell>
          <cell r="N132" t="str">
            <v>STEELIUM</v>
          </cell>
          <cell r="O132">
            <v>1804908</v>
          </cell>
          <cell r="P132" t="str">
            <v>CRCA COIL TATCRC TR15 0.5X1250</v>
          </cell>
          <cell r="Q132">
            <v>0.5</v>
          </cell>
          <cell r="R132">
            <v>1250</v>
          </cell>
          <cell r="S132">
            <v>232</v>
          </cell>
          <cell r="T132">
            <v>0</v>
          </cell>
          <cell r="U132">
            <v>232</v>
          </cell>
          <cell r="V132" t="str">
            <v>C01</v>
          </cell>
          <cell r="W132" t="str">
            <v>TATCRC</v>
          </cell>
          <cell r="X132" t="str">
            <v>TR15</v>
          </cell>
          <cell r="Y132">
            <v>0</v>
          </cell>
          <cell r="Z132" t="str">
            <v/>
          </cell>
          <cell r="AA132" t="str">
            <v/>
          </cell>
          <cell r="AB132" t="str">
            <v/>
          </cell>
          <cell r="AC132" t="str">
            <v/>
          </cell>
          <cell r="AD132">
            <v>742</v>
          </cell>
          <cell r="AE132" t="str">
            <v>ZBTO</v>
          </cell>
        </row>
        <row r="133">
          <cell r="G133" t="str">
            <v>9518957902-2</v>
          </cell>
          <cell r="H133">
            <v>45863</v>
          </cell>
          <cell r="I133" t="str">
            <v>FERRO STEEL SOLUTIONS</v>
          </cell>
          <cell r="J133">
            <v>2000</v>
          </cell>
          <cell r="K133" t="str">
            <v>Untrimmed edge</v>
          </cell>
          <cell r="L133">
            <v>10</v>
          </cell>
          <cell r="M133">
            <v>27</v>
          </cell>
          <cell r="N133" t="str">
            <v>STEELIUM</v>
          </cell>
          <cell r="O133">
            <v>1804908</v>
          </cell>
          <cell r="P133" t="str">
            <v>CRCA COIL TATCRC TR15 0.5X1250</v>
          </cell>
          <cell r="Q133">
            <v>0.5</v>
          </cell>
          <cell r="R133">
            <v>1250</v>
          </cell>
          <cell r="S133">
            <v>261</v>
          </cell>
          <cell r="T133">
            <v>0</v>
          </cell>
          <cell r="U133">
            <v>261</v>
          </cell>
          <cell r="V133" t="str">
            <v>C01</v>
          </cell>
          <cell r="W133" t="str">
            <v>TATCRC</v>
          </cell>
          <cell r="X133" t="str">
            <v>TR15</v>
          </cell>
          <cell r="Y133">
            <v>0</v>
          </cell>
          <cell r="Z133" t="str">
            <v/>
          </cell>
          <cell r="AA133" t="str">
            <v/>
          </cell>
          <cell r="AB133" t="str">
            <v/>
          </cell>
          <cell r="AC133" t="str">
            <v/>
          </cell>
          <cell r="AD133">
            <v>742</v>
          </cell>
          <cell r="AE133" t="str">
            <v>ZBTO</v>
          </cell>
        </row>
        <row r="134">
          <cell r="G134" t="str">
            <v>9518959858-1</v>
          </cell>
          <cell r="H134">
            <v>45863</v>
          </cell>
          <cell r="I134" t="str">
            <v>FERRUS MART PRIVATE LIMITED</v>
          </cell>
          <cell r="J134">
            <v>2000</v>
          </cell>
          <cell r="K134" t="str">
            <v>Untrimmed edge</v>
          </cell>
          <cell r="L134">
            <v>8</v>
          </cell>
          <cell r="M134">
            <v>14</v>
          </cell>
          <cell r="N134" t="str">
            <v>STEELIUM</v>
          </cell>
          <cell r="O134">
            <v>1804772</v>
          </cell>
          <cell r="P134" t="str">
            <v>CRCA COIL TATXXD AU03 0.4X1250</v>
          </cell>
          <cell r="Q134">
            <v>0.4</v>
          </cell>
          <cell r="R134">
            <v>1250</v>
          </cell>
          <cell r="S134">
            <v>86.99</v>
          </cell>
          <cell r="T134">
            <v>0</v>
          </cell>
          <cell r="U134">
            <v>86.99</v>
          </cell>
          <cell r="V134" t="str">
            <v>C01</v>
          </cell>
          <cell r="W134" t="str">
            <v>TATXXD</v>
          </cell>
          <cell r="X134" t="str">
            <v>AU03</v>
          </cell>
          <cell r="Y134">
            <v>0</v>
          </cell>
          <cell r="Z134" t="str">
            <v/>
          </cell>
          <cell r="AA134" t="str">
            <v/>
          </cell>
          <cell r="AB134" t="str">
            <v/>
          </cell>
          <cell r="AC134" t="str">
            <v/>
          </cell>
          <cell r="AD134">
            <v>742</v>
          </cell>
          <cell r="AE134" t="str">
            <v>ZBTO</v>
          </cell>
        </row>
        <row r="135">
          <cell r="G135" t="str">
            <v>9518959858-2</v>
          </cell>
          <cell r="H135">
            <v>45863</v>
          </cell>
          <cell r="I135" t="str">
            <v>FERRUS MART PRIVATE LIMITED</v>
          </cell>
          <cell r="J135">
            <v>2000</v>
          </cell>
          <cell r="K135" t="str">
            <v>Untrimmed edge</v>
          </cell>
          <cell r="L135">
            <v>8</v>
          </cell>
          <cell r="M135">
            <v>14</v>
          </cell>
          <cell r="N135" t="str">
            <v>STEELIUM</v>
          </cell>
          <cell r="O135">
            <v>1801022</v>
          </cell>
          <cell r="P135" t="str">
            <v>CRCA COIL-TATXXD-AU03-0.45X1250</v>
          </cell>
          <cell r="Q135">
            <v>0.45</v>
          </cell>
          <cell r="R135">
            <v>1250</v>
          </cell>
          <cell r="S135">
            <v>28.99</v>
          </cell>
          <cell r="T135">
            <v>0</v>
          </cell>
          <cell r="U135">
            <v>28.99</v>
          </cell>
          <cell r="V135" t="str">
            <v>C01</v>
          </cell>
          <cell r="W135" t="str">
            <v>TATXXD</v>
          </cell>
          <cell r="X135" t="str">
            <v>AU03</v>
          </cell>
          <cell r="Y135">
            <v>0</v>
          </cell>
          <cell r="Z135" t="str">
            <v/>
          </cell>
          <cell r="AA135" t="str">
            <v/>
          </cell>
          <cell r="AB135" t="str">
            <v/>
          </cell>
          <cell r="AC135" t="str">
            <v/>
          </cell>
          <cell r="AD135">
            <v>742</v>
          </cell>
          <cell r="AE135" t="str">
            <v>ZBTO</v>
          </cell>
        </row>
        <row r="136">
          <cell r="G136" t="str">
            <v>9518959858-3</v>
          </cell>
          <cell r="H136">
            <v>45863</v>
          </cell>
          <cell r="I136" t="str">
            <v>FERRUS MART PRIVATE LIMITED</v>
          </cell>
          <cell r="J136">
            <v>2000</v>
          </cell>
          <cell r="K136" t="str">
            <v>Untrimmed edge</v>
          </cell>
          <cell r="L136">
            <v>8</v>
          </cell>
          <cell r="M136">
            <v>14</v>
          </cell>
          <cell r="N136" t="str">
            <v>AU03</v>
          </cell>
          <cell r="O136">
            <v>185675</v>
          </cell>
          <cell r="P136" t="str">
            <v>CRCA COIL-TATXXD-AU03-0.5X1250</v>
          </cell>
          <cell r="Q136">
            <v>0.5</v>
          </cell>
          <cell r="R136">
            <v>1250</v>
          </cell>
          <cell r="S136">
            <v>57.99</v>
          </cell>
          <cell r="T136">
            <v>0</v>
          </cell>
          <cell r="U136">
            <v>57.99</v>
          </cell>
          <cell r="V136" t="str">
            <v>C01</v>
          </cell>
          <cell r="W136" t="str">
            <v>TATXXD</v>
          </cell>
          <cell r="X136" t="str">
            <v>AU03</v>
          </cell>
          <cell r="Y136">
            <v>0</v>
          </cell>
          <cell r="Z136" t="str">
            <v/>
          </cell>
          <cell r="AA136" t="str">
            <v/>
          </cell>
          <cell r="AB136" t="str">
            <v/>
          </cell>
          <cell r="AC136" t="str">
            <v/>
          </cell>
          <cell r="AD136">
            <v>742</v>
          </cell>
          <cell r="AE136" t="str">
            <v>ZBTO</v>
          </cell>
        </row>
        <row r="137">
          <cell r="G137" t="str">
            <v>9518988277-1</v>
          </cell>
          <cell r="H137">
            <v>45871</v>
          </cell>
          <cell r="I137" t="str">
            <v>SWASTIK STEEL PROCESSOR LLP</v>
          </cell>
          <cell r="J137">
            <v>2000</v>
          </cell>
          <cell r="K137" t="str">
            <v>Untrimmed edge</v>
          </cell>
          <cell r="L137">
            <v>15</v>
          </cell>
          <cell r="M137">
            <v>29</v>
          </cell>
          <cell r="N137" t="str">
            <v>DQ</v>
          </cell>
          <cell r="O137">
            <v>1800890</v>
          </cell>
          <cell r="P137" t="str">
            <v>CRCA COIL-TATXXD-AU03-0.35X1250</v>
          </cell>
          <cell r="Q137">
            <v>0.35</v>
          </cell>
          <cell r="R137">
            <v>1250</v>
          </cell>
          <cell r="S137">
            <v>116</v>
          </cell>
          <cell r="T137">
            <v>0</v>
          </cell>
          <cell r="U137">
            <v>116</v>
          </cell>
          <cell r="V137" t="str">
            <v>C01</v>
          </cell>
          <cell r="W137" t="str">
            <v>TATXXD</v>
          </cell>
          <cell r="X137" t="str">
            <v>AU03</v>
          </cell>
          <cell r="Y137">
            <v>0</v>
          </cell>
          <cell r="Z137" t="str">
            <v/>
          </cell>
          <cell r="AA137" t="str">
            <v/>
          </cell>
          <cell r="AB137" t="str">
            <v/>
          </cell>
          <cell r="AC137" t="str">
            <v/>
          </cell>
          <cell r="AD137">
            <v>742</v>
          </cell>
          <cell r="AE137" t="str">
            <v>ZBTO</v>
          </cell>
        </row>
        <row r="138">
          <cell r="G138" t="str">
            <v>9518988277-2</v>
          </cell>
          <cell r="H138">
            <v>45871</v>
          </cell>
          <cell r="I138" t="str">
            <v>SWASTIK STEEL PROCESSOR LLP</v>
          </cell>
          <cell r="J138">
            <v>2000</v>
          </cell>
          <cell r="K138" t="str">
            <v>Untrimmed edge</v>
          </cell>
          <cell r="L138">
            <v>15</v>
          </cell>
          <cell r="M138">
            <v>29</v>
          </cell>
          <cell r="N138" t="str">
            <v>DQ</v>
          </cell>
          <cell r="O138">
            <v>1804772</v>
          </cell>
          <cell r="P138" t="str">
            <v>CRCA COIL TATXXD AU03 0.4X1250</v>
          </cell>
          <cell r="Q138">
            <v>0.4</v>
          </cell>
          <cell r="R138">
            <v>1250</v>
          </cell>
          <cell r="S138">
            <v>58</v>
          </cell>
          <cell r="T138">
            <v>0</v>
          </cell>
          <cell r="U138">
            <v>58</v>
          </cell>
          <cell r="V138" t="str">
            <v>C01</v>
          </cell>
          <cell r="W138" t="str">
            <v>TATXXD</v>
          </cell>
          <cell r="X138" t="str">
            <v>AU03</v>
          </cell>
          <cell r="Y138">
            <v>0</v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  <cell r="AD138">
            <v>742</v>
          </cell>
          <cell r="AE138" t="str">
            <v>ZBTO</v>
          </cell>
        </row>
        <row r="139">
          <cell r="G139" t="str">
            <v>9518994601-1</v>
          </cell>
          <cell r="H139">
            <v>45874</v>
          </cell>
          <cell r="I139" t="str">
            <v>DURGA TRADERS</v>
          </cell>
          <cell r="J139">
            <v>2000</v>
          </cell>
          <cell r="K139" t="str">
            <v>Untrimmed edge</v>
          </cell>
          <cell r="L139">
            <v>10</v>
          </cell>
          <cell r="M139">
            <v>28</v>
          </cell>
          <cell r="N139" t="str">
            <v>D FOR CRCA</v>
          </cell>
          <cell r="O139">
            <v>1800890</v>
          </cell>
          <cell r="P139" t="str">
            <v>CRCA COIL-TATXXD-AU03-0.35X1250</v>
          </cell>
          <cell r="Q139">
            <v>0.35</v>
          </cell>
          <cell r="R139">
            <v>1250</v>
          </cell>
          <cell r="S139">
            <v>58</v>
          </cell>
          <cell r="T139">
            <v>0</v>
          </cell>
          <cell r="U139">
            <v>58</v>
          </cell>
          <cell r="V139" t="str">
            <v>C01</v>
          </cell>
          <cell r="W139" t="str">
            <v>TATXXD</v>
          </cell>
          <cell r="X139" t="str">
            <v>AU03</v>
          </cell>
          <cell r="Y139">
            <v>0</v>
          </cell>
          <cell r="Z139" t="str">
            <v/>
          </cell>
          <cell r="AA139" t="str">
            <v/>
          </cell>
          <cell r="AB139" t="str">
            <v/>
          </cell>
          <cell r="AC139" t="str">
            <v/>
          </cell>
          <cell r="AD139">
            <v>742</v>
          </cell>
          <cell r="AE139" t="str">
            <v>ZBTO</v>
          </cell>
        </row>
        <row r="140">
          <cell r="G140" t="str">
            <v>9518994601-2</v>
          </cell>
          <cell r="H140">
            <v>45874</v>
          </cell>
          <cell r="I140" t="str">
            <v>DURGA TRADERS</v>
          </cell>
          <cell r="J140">
            <v>2000</v>
          </cell>
          <cell r="K140" t="str">
            <v>Untrimmed edge</v>
          </cell>
          <cell r="L140">
            <v>10</v>
          </cell>
          <cell r="M140">
            <v>28</v>
          </cell>
          <cell r="N140" t="str">
            <v>AU03</v>
          </cell>
          <cell r="O140">
            <v>185675</v>
          </cell>
          <cell r="P140" t="str">
            <v>CRCA COIL-TATXXD-AU03-0.5X1250</v>
          </cell>
          <cell r="Q140">
            <v>0.5</v>
          </cell>
          <cell r="R140">
            <v>1250</v>
          </cell>
          <cell r="S140">
            <v>87</v>
          </cell>
          <cell r="T140">
            <v>0</v>
          </cell>
          <cell r="U140">
            <v>87</v>
          </cell>
          <cell r="V140" t="str">
            <v>C01</v>
          </cell>
          <cell r="W140" t="str">
            <v>TATXXD</v>
          </cell>
          <cell r="X140" t="str">
            <v>AU03</v>
          </cell>
          <cell r="Y140">
            <v>0</v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>
            <v>742</v>
          </cell>
          <cell r="AE140" t="str">
            <v>ZBTO</v>
          </cell>
        </row>
        <row r="141">
          <cell r="G141" t="str">
            <v>9518994601-3</v>
          </cell>
          <cell r="H141">
            <v>45874</v>
          </cell>
          <cell r="I141" t="str">
            <v>DURGA TRADERS</v>
          </cell>
          <cell r="J141">
            <v>2000</v>
          </cell>
          <cell r="K141" t="str">
            <v>Untrimmed edge</v>
          </cell>
          <cell r="L141">
            <v>10</v>
          </cell>
          <cell r="M141">
            <v>28</v>
          </cell>
          <cell r="N141" t="str">
            <v>AU03</v>
          </cell>
          <cell r="O141">
            <v>1801290</v>
          </cell>
          <cell r="P141" t="str">
            <v>CRCA COIL-TATXXD-AU03-0.6X1250</v>
          </cell>
          <cell r="Q141">
            <v>0.6</v>
          </cell>
          <cell r="R141">
            <v>1250</v>
          </cell>
          <cell r="S141">
            <v>87</v>
          </cell>
          <cell r="T141">
            <v>0</v>
          </cell>
          <cell r="U141">
            <v>87</v>
          </cell>
          <cell r="V141" t="str">
            <v>C01</v>
          </cell>
          <cell r="W141" t="str">
            <v>TATXXD</v>
          </cell>
          <cell r="X141" t="str">
            <v>AU03</v>
          </cell>
          <cell r="Y141">
            <v>0</v>
          </cell>
          <cell r="Z141" t="str">
            <v/>
          </cell>
          <cell r="AA141" t="str">
            <v/>
          </cell>
          <cell r="AB141" t="str">
            <v/>
          </cell>
          <cell r="AC141" t="str">
            <v/>
          </cell>
          <cell r="AD141">
            <v>742</v>
          </cell>
          <cell r="AE141" t="str">
            <v>ZBTO</v>
          </cell>
        </row>
        <row r="142">
          <cell r="G142" t="str">
            <v>9518994601-4</v>
          </cell>
          <cell r="H142">
            <v>45874</v>
          </cell>
          <cell r="I142" t="str">
            <v>DURGA TRADERS</v>
          </cell>
          <cell r="J142">
            <v>2000</v>
          </cell>
          <cell r="K142" t="str">
            <v>Untrimmed edge</v>
          </cell>
          <cell r="L142">
            <v>10</v>
          </cell>
          <cell r="M142">
            <v>28</v>
          </cell>
          <cell r="N142" t="str">
            <v>D FOR CRCA</v>
          </cell>
          <cell r="O142">
            <v>1804826</v>
          </cell>
          <cell r="P142" t="str">
            <v>CRCA COIL-TATXXD-AU03-0.9X1250</v>
          </cell>
          <cell r="Q142">
            <v>0.9</v>
          </cell>
          <cell r="R142">
            <v>1250</v>
          </cell>
          <cell r="S142">
            <v>1E-3</v>
          </cell>
          <cell r="T142">
            <v>0</v>
          </cell>
          <cell r="U142">
            <v>1E-3</v>
          </cell>
          <cell r="V142" t="str">
            <v>C01</v>
          </cell>
          <cell r="W142" t="str">
            <v>TATXXD</v>
          </cell>
          <cell r="X142" t="str">
            <v>AU03</v>
          </cell>
          <cell r="Y142">
            <v>0</v>
          </cell>
          <cell r="Z142" t="str">
            <v/>
          </cell>
          <cell r="AA142" t="str">
            <v/>
          </cell>
          <cell r="AB142" t="str">
            <v/>
          </cell>
          <cell r="AC142" t="str">
            <v/>
          </cell>
          <cell r="AD142">
            <v>742</v>
          </cell>
          <cell r="AE142" t="str">
            <v>ZBTO</v>
          </cell>
        </row>
        <row r="143">
          <cell r="G143" t="str">
            <v>9518995071-1</v>
          </cell>
          <cell r="H143">
            <v>45874</v>
          </cell>
          <cell r="I143" t="str">
            <v>AGARWAL STEEL TRADERS</v>
          </cell>
          <cell r="J143">
            <v>2000</v>
          </cell>
          <cell r="K143" t="str">
            <v>Untrimmed edge</v>
          </cell>
          <cell r="L143">
            <v>7</v>
          </cell>
          <cell r="M143">
            <v>28</v>
          </cell>
          <cell r="N143" t="str">
            <v>AU03</v>
          </cell>
          <cell r="O143">
            <v>1801290</v>
          </cell>
          <cell r="P143" t="str">
            <v>CRCA COIL-TATXXD-AU03-0.6X1250</v>
          </cell>
          <cell r="Q143">
            <v>0.6</v>
          </cell>
          <cell r="R143">
            <v>1250</v>
          </cell>
          <cell r="S143">
            <v>29</v>
          </cell>
          <cell r="T143">
            <v>0</v>
          </cell>
          <cell r="U143">
            <v>29</v>
          </cell>
          <cell r="V143" t="str">
            <v>C01</v>
          </cell>
          <cell r="W143" t="str">
            <v>TATXXD</v>
          </cell>
          <cell r="X143" t="str">
            <v>AU03</v>
          </cell>
          <cell r="Y143">
            <v>0</v>
          </cell>
          <cell r="Z143" t="str">
            <v/>
          </cell>
          <cell r="AA143" t="str">
            <v/>
          </cell>
          <cell r="AB143" t="str">
            <v/>
          </cell>
          <cell r="AC143" t="str">
            <v/>
          </cell>
          <cell r="AD143">
            <v>742</v>
          </cell>
          <cell r="AE143" t="str">
            <v>ZBTO</v>
          </cell>
        </row>
        <row r="144">
          <cell r="G144" t="str">
            <v>9518995071-2</v>
          </cell>
          <cell r="H144">
            <v>45874</v>
          </cell>
          <cell r="I144" t="str">
            <v>AGARWAL STEEL TRADERS</v>
          </cell>
          <cell r="J144">
            <v>2000</v>
          </cell>
          <cell r="K144" t="str">
            <v>Untrimmed edge</v>
          </cell>
          <cell r="L144">
            <v>7</v>
          </cell>
          <cell r="M144">
            <v>28</v>
          </cell>
          <cell r="N144" t="str">
            <v>DQ</v>
          </cell>
          <cell r="O144">
            <v>1804826</v>
          </cell>
          <cell r="P144" t="str">
            <v>CRCA COIL-TATXXD-AU03-0.9X1250</v>
          </cell>
          <cell r="Q144">
            <v>0.9</v>
          </cell>
          <cell r="R144">
            <v>1250</v>
          </cell>
          <cell r="S144">
            <v>29</v>
          </cell>
          <cell r="T144">
            <v>0</v>
          </cell>
          <cell r="U144">
            <v>29</v>
          </cell>
          <cell r="V144" t="str">
            <v>C01</v>
          </cell>
          <cell r="W144" t="str">
            <v>TATXXD</v>
          </cell>
          <cell r="X144" t="str">
            <v>AU03</v>
          </cell>
          <cell r="Y144">
            <v>0</v>
          </cell>
          <cell r="Z144" t="str">
            <v/>
          </cell>
          <cell r="AA144" t="str">
            <v/>
          </cell>
          <cell r="AB144" t="str">
            <v/>
          </cell>
          <cell r="AC144" t="str">
            <v/>
          </cell>
          <cell r="AD144">
            <v>742</v>
          </cell>
          <cell r="AE144" t="str">
            <v>ZBTO</v>
          </cell>
        </row>
        <row r="145">
          <cell r="G145" t="str">
            <v>9518995071-3</v>
          </cell>
          <cell r="H145">
            <v>45874</v>
          </cell>
          <cell r="I145" t="str">
            <v>AGARWAL STEEL TRADERS</v>
          </cell>
          <cell r="J145">
            <v>2000</v>
          </cell>
          <cell r="K145" t="str">
            <v>Untrimmed edge</v>
          </cell>
          <cell r="L145">
            <v>7</v>
          </cell>
          <cell r="M145">
            <v>28</v>
          </cell>
          <cell r="N145" t="str">
            <v>DQ</v>
          </cell>
          <cell r="O145">
            <v>1801804</v>
          </cell>
          <cell r="P145" t="str">
            <v>CRCA COIL-TATXXD-AU03-1X1250</v>
          </cell>
          <cell r="Q145">
            <v>1</v>
          </cell>
          <cell r="R145">
            <v>1250</v>
          </cell>
          <cell r="S145">
            <v>29</v>
          </cell>
          <cell r="T145">
            <v>25.12</v>
          </cell>
          <cell r="U145">
            <v>3.88</v>
          </cell>
          <cell r="V145" t="str">
            <v>C01</v>
          </cell>
          <cell r="W145" t="str">
            <v>TATXXD</v>
          </cell>
          <cell r="X145" t="str">
            <v>AU03</v>
          </cell>
          <cell r="Y145">
            <v>25.12</v>
          </cell>
          <cell r="Z145" t="str">
            <v/>
          </cell>
          <cell r="AA145" t="str">
            <v/>
          </cell>
          <cell r="AB145" t="str">
            <v/>
          </cell>
          <cell r="AC145" t="str">
            <v/>
          </cell>
          <cell r="AD145">
            <v>742</v>
          </cell>
          <cell r="AE145" t="str">
            <v>ZBTO</v>
          </cell>
        </row>
        <row r="146">
          <cell r="G146" t="str">
            <v>9518995071-4</v>
          </cell>
          <cell r="H146">
            <v>45874</v>
          </cell>
          <cell r="I146" t="str">
            <v>AGARWAL STEEL TRADERS</v>
          </cell>
          <cell r="J146">
            <v>2000</v>
          </cell>
          <cell r="K146" t="str">
            <v>Untrimmed edge</v>
          </cell>
          <cell r="L146">
            <v>7</v>
          </cell>
          <cell r="M146">
            <v>28</v>
          </cell>
          <cell r="N146" t="str">
            <v>DQ</v>
          </cell>
          <cell r="O146">
            <v>1804854</v>
          </cell>
          <cell r="P146" t="str">
            <v>CRCA COIL-TATXXD-AU03-1.2X1250</v>
          </cell>
          <cell r="Q146">
            <v>1.2</v>
          </cell>
          <cell r="R146">
            <v>1250</v>
          </cell>
          <cell r="S146">
            <v>29</v>
          </cell>
          <cell r="T146">
            <v>0</v>
          </cell>
          <cell r="U146">
            <v>29</v>
          </cell>
          <cell r="V146" t="str">
            <v>C01</v>
          </cell>
          <cell r="W146" t="str">
            <v>TATXXD</v>
          </cell>
          <cell r="X146" t="str">
            <v>AU03</v>
          </cell>
          <cell r="Y146">
            <v>0</v>
          </cell>
          <cell r="Z146" t="str">
            <v/>
          </cell>
          <cell r="AA146" t="str">
            <v/>
          </cell>
          <cell r="AB146" t="str">
            <v/>
          </cell>
          <cell r="AC146" t="str">
            <v/>
          </cell>
          <cell r="AD146">
            <v>742</v>
          </cell>
          <cell r="AE146" t="str">
            <v>ZBTO</v>
          </cell>
        </row>
        <row r="147">
          <cell r="G147" t="str">
            <v>9518995071-5</v>
          </cell>
          <cell r="H147">
            <v>45874</v>
          </cell>
          <cell r="I147" t="str">
            <v>AGARWAL STEEL TRADERS</v>
          </cell>
          <cell r="J147">
            <v>2000</v>
          </cell>
          <cell r="K147" t="str">
            <v>Untrimmed edge</v>
          </cell>
          <cell r="L147">
            <v>7</v>
          </cell>
          <cell r="M147">
            <v>28</v>
          </cell>
          <cell r="N147" t="str">
            <v>AU03</v>
          </cell>
          <cell r="O147">
            <v>1884117</v>
          </cell>
          <cell r="P147" t="str">
            <v>CRCA COIL-TATXXD-AU03-2X1250</v>
          </cell>
          <cell r="Q147">
            <v>2</v>
          </cell>
          <cell r="R147">
            <v>1250</v>
          </cell>
          <cell r="S147">
            <v>29</v>
          </cell>
          <cell r="T147">
            <v>0</v>
          </cell>
          <cell r="U147">
            <v>29</v>
          </cell>
          <cell r="V147" t="str">
            <v>C01</v>
          </cell>
          <cell r="W147" t="str">
            <v>TATXXD</v>
          </cell>
          <cell r="X147" t="str">
            <v>AU03</v>
          </cell>
          <cell r="Y147">
            <v>0</v>
          </cell>
          <cell r="Z147" t="str">
            <v/>
          </cell>
          <cell r="AA147" t="str">
            <v/>
          </cell>
          <cell r="AB147" t="str">
            <v/>
          </cell>
          <cell r="AC147" t="str">
            <v/>
          </cell>
          <cell r="AD147">
            <v>742</v>
          </cell>
          <cell r="AE147" t="str">
            <v>ZBTO</v>
          </cell>
        </row>
        <row r="148">
          <cell r="G148" t="str">
            <v>9519024305-1</v>
          </cell>
          <cell r="H148">
            <v>45887</v>
          </cell>
          <cell r="I148" t="str">
            <v>PSPL STEEL PROCESSORS PRIVATE</v>
          </cell>
          <cell r="J148">
            <v>2000</v>
          </cell>
          <cell r="K148" t="str">
            <v>Trimming ( for CRC</v>
          </cell>
          <cell r="L148">
            <v>2</v>
          </cell>
          <cell r="M148">
            <v>3</v>
          </cell>
          <cell r="N148" t="str">
            <v>O/D GRADES</v>
          </cell>
          <cell r="O148">
            <v>2441000</v>
          </cell>
          <cell r="P148" t="str">
            <v>CRCA SHEET TATCRC SR16 0.330X1250X2500</v>
          </cell>
          <cell r="Q148">
            <v>0.33</v>
          </cell>
          <cell r="R148">
            <v>1250</v>
          </cell>
          <cell r="S148">
            <v>1E-3</v>
          </cell>
          <cell r="T148">
            <v>0</v>
          </cell>
          <cell r="U148">
            <v>1E-3</v>
          </cell>
          <cell r="V148" t="str">
            <v>C06</v>
          </cell>
          <cell r="W148" t="str">
            <v>TATCRC</v>
          </cell>
          <cell r="X148" t="str">
            <v>SR16</v>
          </cell>
          <cell r="Y148">
            <v>0</v>
          </cell>
          <cell r="Z148" t="str">
            <v/>
          </cell>
          <cell r="AA148" t="str">
            <v/>
          </cell>
          <cell r="AB148" t="str">
            <v/>
          </cell>
          <cell r="AC148" t="str">
            <v/>
          </cell>
          <cell r="AD148">
            <v>742</v>
          </cell>
          <cell r="AE148" t="str">
            <v>ZBTO</v>
          </cell>
        </row>
        <row r="149">
          <cell r="G149" t="str">
            <v>9519024305-2</v>
          </cell>
          <cell r="H149">
            <v>45887</v>
          </cell>
          <cell r="I149" t="str">
            <v>PSPL STEEL PROCESSORS PRIVATE</v>
          </cell>
          <cell r="J149">
            <v>2000</v>
          </cell>
          <cell r="K149" t="str">
            <v>Trimming ( for CRC</v>
          </cell>
          <cell r="L149">
            <v>2</v>
          </cell>
          <cell r="M149">
            <v>3</v>
          </cell>
          <cell r="N149" t="str">
            <v>O/D GRADES</v>
          </cell>
          <cell r="O149">
            <v>3239536</v>
          </cell>
          <cell r="P149" t="str">
            <v>CRCA SHEET TATCRC SR16 0.350X900X2500</v>
          </cell>
          <cell r="Q149">
            <v>0.35</v>
          </cell>
          <cell r="R149">
            <v>900</v>
          </cell>
          <cell r="S149">
            <v>1E-3</v>
          </cell>
          <cell r="T149">
            <v>0</v>
          </cell>
          <cell r="U149">
            <v>1E-3</v>
          </cell>
          <cell r="V149" t="str">
            <v>C06</v>
          </cell>
          <cell r="W149" t="str">
            <v>TATCRC</v>
          </cell>
          <cell r="X149" t="str">
            <v>SR16</v>
          </cell>
          <cell r="Y149">
            <v>0</v>
          </cell>
          <cell r="Z149" t="str">
            <v/>
          </cell>
          <cell r="AA149" t="str">
            <v/>
          </cell>
          <cell r="AB149" t="str">
            <v/>
          </cell>
          <cell r="AC149" t="str">
            <v/>
          </cell>
          <cell r="AD149">
            <v>742</v>
          </cell>
          <cell r="AE149" t="str">
            <v>ZBTO</v>
          </cell>
        </row>
        <row r="150">
          <cell r="G150" t="str">
            <v>9519024305-3</v>
          </cell>
          <cell r="H150">
            <v>45887</v>
          </cell>
          <cell r="I150" t="str">
            <v>PSPL STEEL PROCESSORS PRIVATE</v>
          </cell>
          <cell r="J150">
            <v>2000</v>
          </cell>
          <cell r="K150" t="str">
            <v>Trimming ( for CRC</v>
          </cell>
          <cell r="L150">
            <v>2</v>
          </cell>
          <cell r="M150">
            <v>3</v>
          </cell>
          <cell r="N150" t="str">
            <v>O/D GRADES</v>
          </cell>
          <cell r="O150">
            <v>3239548</v>
          </cell>
          <cell r="P150" t="str">
            <v>CRCA SHEET TATCRC SR16 0.400X900X2500</v>
          </cell>
          <cell r="Q150">
            <v>0.4</v>
          </cell>
          <cell r="R150">
            <v>900</v>
          </cell>
          <cell r="S150">
            <v>63</v>
          </cell>
          <cell r="T150">
            <v>0</v>
          </cell>
          <cell r="U150">
            <v>63</v>
          </cell>
          <cell r="V150" t="str">
            <v>C06</v>
          </cell>
          <cell r="W150" t="str">
            <v>TATCRC</v>
          </cell>
          <cell r="X150" t="str">
            <v>SR16</v>
          </cell>
          <cell r="Y150">
            <v>0</v>
          </cell>
          <cell r="Z150" t="str">
            <v/>
          </cell>
          <cell r="AA150" t="str">
            <v/>
          </cell>
          <cell r="AB150" t="str">
            <v/>
          </cell>
          <cell r="AC150" t="str">
            <v/>
          </cell>
          <cell r="AD150">
            <v>742</v>
          </cell>
          <cell r="AE150" t="str">
            <v>ZBTO</v>
          </cell>
        </row>
        <row r="151">
          <cell r="G151" t="str">
            <v>9519024305-4</v>
          </cell>
          <cell r="H151">
            <v>45887</v>
          </cell>
          <cell r="I151" t="str">
            <v>PSPL STEEL PROCESSORS PRIVATE</v>
          </cell>
          <cell r="J151">
            <v>2000</v>
          </cell>
          <cell r="K151" t="str">
            <v>Trimming ( for CRC</v>
          </cell>
          <cell r="L151">
            <v>2</v>
          </cell>
          <cell r="M151">
            <v>3</v>
          </cell>
          <cell r="N151" t="str">
            <v>O/D GRADES</v>
          </cell>
          <cell r="O151">
            <v>3239560</v>
          </cell>
          <cell r="P151" t="str">
            <v>CRCA SHEET TATCRC SR16 0.450X900X2500</v>
          </cell>
          <cell r="Q151">
            <v>0.45</v>
          </cell>
          <cell r="R151">
            <v>900</v>
          </cell>
          <cell r="S151">
            <v>1E-3</v>
          </cell>
          <cell r="T151">
            <v>0</v>
          </cell>
          <cell r="U151">
            <v>1E-3</v>
          </cell>
          <cell r="V151" t="str">
            <v>C06</v>
          </cell>
          <cell r="W151" t="str">
            <v>TATCRC</v>
          </cell>
          <cell r="X151" t="str">
            <v>SR16</v>
          </cell>
          <cell r="Y151">
            <v>0</v>
          </cell>
          <cell r="Z151" t="str">
            <v/>
          </cell>
          <cell r="AA151" t="str">
            <v/>
          </cell>
          <cell r="AB151" t="str">
            <v/>
          </cell>
          <cell r="AC151" t="str">
            <v/>
          </cell>
          <cell r="AD151">
            <v>742</v>
          </cell>
          <cell r="AE151" t="str">
            <v>ZBTO</v>
          </cell>
        </row>
        <row r="152">
          <cell r="G152" t="str">
            <v>9519024305-5</v>
          </cell>
          <cell r="H152">
            <v>45887</v>
          </cell>
          <cell r="I152" t="str">
            <v>PSPL STEEL PROCESSORS PRIVATE</v>
          </cell>
          <cell r="J152">
            <v>2000</v>
          </cell>
          <cell r="K152" t="str">
            <v>Trimming ( for CRC</v>
          </cell>
          <cell r="L152">
            <v>2</v>
          </cell>
          <cell r="M152">
            <v>3</v>
          </cell>
          <cell r="N152" t="str">
            <v>O/D GRADES</v>
          </cell>
          <cell r="O152">
            <v>3239568</v>
          </cell>
          <cell r="P152" t="str">
            <v>CRCA SHEET TATCRC SR16 0.450X1250X2500</v>
          </cell>
          <cell r="Q152">
            <v>0.45</v>
          </cell>
          <cell r="R152">
            <v>1250</v>
          </cell>
          <cell r="S152">
            <v>1E-3</v>
          </cell>
          <cell r="T152">
            <v>0</v>
          </cell>
          <cell r="U152">
            <v>1E-3</v>
          </cell>
          <cell r="V152" t="str">
            <v>C06</v>
          </cell>
          <cell r="W152" t="str">
            <v>TATCRC</v>
          </cell>
          <cell r="X152" t="str">
            <v>SR16</v>
          </cell>
          <cell r="Y152">
            <v>0</v>
          </cell>
          <cell r="Z152" t="str">
            <v/>
          </cell>
          <cell r="AA152" t="str">
            <v/>
          </cell>
          <cell r="AB152" t="str">
            <v/>
          </cell>
          <cell r="AC152" t="str">
            <v/>
          </cell>
          <cell r="AD152">
            <v>742</v>
          </cell>
          <cell r="AE152" t="str">
            <v>ZBTO</v>
          </cell>
        </row>
        <row r="153">
          <cell r="G153" t="str">
            <v>9519024305-6</v>
          </cell>
          <cell r="H153">
            <v>45887</v>
          </cell>
          <cell r="I153" t="str">
            <v>PSPL STEEL PROCESSORS PRIVATE</v>
          </cell>
          <cell r="J153">
            <v>2000</v>
          </cell>
          <cell r="K153" t="str">
            <v>Trimming ( for CRC</v>
          </cell>
          <cell r="L153">
            <v>2</v>
          </cell>
          <cell r="M153">
            <v>3</v>
          </cell>
          <cell r="N153" t="str">
            <v>O/D GRADES</v>
          </cell>
          <cell r="O153">
            <v>3771883</v>
          </cell>
          <cell r="P153" t="str">
            <v>BLOCKED BY QAD</v>
          </cell>
          <cell r="Q153">
            <v>0.5</v>
          </cell>
          <cell r="R153">
            <v>1250</v>
          </cell>
          <cell r="S153">
            <v>58</v>
          </cell>
          <cell r="T153">
            <v>0</v>
          </cell>
          <cell r="U153">
            <v>58</v>
          </cell>
          <cell r="V153" t="str">
            <v>C06</v>
          </cell>
          <cell r="W153" t="str">
            <v>TATCRC</v>
          </cell>
          <cell r="X153" t="str">
            <v>SR16</v>
          </cell>
          <cell r="Y153">
            <v>0</v>
          </cell>
          <cell r="Z153" t="str">
            <v/>
          </cell>
          <cell r="AA153" t="str">
            <v/>
          </cell>
          <cell r="AB153" t="str">
            <v/>
          </cell>
          <cell r="AC153" t="str">
            <v/>
          </cell>
          <cell r="AD153">
            <v>742</v>
          </cell>
          <cell r="AE153" t="str">
            <v>ZBTO</v>
          </cell>
        </row>
        <row r="154">
          <cell r="G154" t="str">
            <v>9519024305-7</v>
          </cell>
          <cell r="H154">
            <v>45887</v>
          </cell>
          <cell r="I154" t="str">
            <v>PSPL STEEL PROCESSORS PRIVATE</v>
          </cell>
          <cell r="J154">
            <v>2000</v>
          </cell>
          <cell r="K154" t="str">
            <v>Trimming ( for CRC</v>
          </cell>
          <cell r="L154">
            <v>2</v>
          </cell>
          <cell r="M154">
            <v>3</v>
          </cell>
          <cell r="N154" t="str">
            <v>SR15</v>
          </cell>
          <cell r="O154">
            <v>3240772</v>
          </cell>
          <cell r="P154" t="str">
            <v>CRCA SHEET TSBCRC SR15 0.600X900X2500</v>
          </cell>
          <cell r="Q154">
            <v>0.6</v>
          </cell>
          <cell r="R154">
            <v>900</v>
          </cell>
          <cell r="S154">
            <v>1E-3</v>
          </cell>
          <cell r="T154">
            <v>0</v>
          </cell>
          <cell r="U154">
            <v>1E-3</v>
          </cell>
          <cell r="V154" t="str">
            <v>C06</v>
          </cell>
          <cell r="W154" t="str">
            <v>TSBCRC</v>
          </cell>
          <cell r="X154" t="str">
            <v>SR15</v>
          </cell>
          <cell r="Y154">
            <v>0</v>
          </cell>
          <cell r="Z154" t="str">
            <v/>
          </cell>
          <cell r="AA154" t="str">
            <v/>
          </cell>
          <cell r="AB154" t="str">
            <v/>
          </cell>
          <cell r="AC154" t="str">
            <v/>
          </cell>
          <cell r="AD154">
            <v>742</v>
          </cell>
          <cell r="AE154" t="str">
            <v>ZBTO</v>
          </cell>
        </row>
        <row r="155">
          <cell r="G155" t="str">
            <v>9519024305-8</v>
          </cell>
          <cell r="H155">
            <v>45887</v>
          </cell>
          <cell r="I155" t="str">
            <v>PSPL STEEL PROCESSORS PRIVATE</v>
          </cell>
          <cell r="J155">
            <v>2000</v>
          </cell>
          <cell r="K155" t="str">
            <v>Trimming ( for CRC</v>
          </cell>
          <cell r="L155">
            <v>2</v>
          </cell>
          <cell r="M155">
            <v>3</v>
          </cell>
          <cell r="N155" t="str">
            <v>O/D GRADES</v>
          </cell>
          <cell r="O155">
            <v>3402254</v>
          </cell>
          <cell r="P155" t="str">
            <v>CRCA SHEET TSBCRC SR15 0.600X1000X2000</v>
          </cell>
          <cell r="Q155">
            <v>0.6</v>
          </cell>
          <cell r="R155">
            <v>1000</v>
          </cell>
          <cell r="S155">
            <v>1E-3</v>
          </cell>
          <cell r="T155">
            <v>0</v>
          </cell>
          <cell r="U155">
            <v>1E-3</v>
          </cell>
          <cell r="V155" t="str">
            <v>C06</v>
          </cell>
          <cell r="W155" t="str">
            <v>TSBCRC</v>
          </cell>
          <cell r="X155" t="str">
            <v>SR15</v>
          </cell>
          <cell r="Y155">
            <v>0</v>
          </cell>
          <cell r="Z155" t="str">
            <v/>
          </cell>
          <cell r="AA155" t="str">
            <v/>
          </cell>
          <cell r="AB155" t="str">
            <v/>
          </cell>
          <cell r="AC155" t="str">
            <v/>
          </cell>
          <cell r="AD155">
            <v>742</v>
          </cell>
          <cell r="AE155" t="str">
            <v>ZBTO</v>
          </cell>
        </row>
        <row r="156">
          <cell r="G156" t="str">
            <v>9519024305-9</v>
          </cell>
          <cell r="H156">
            <v>45887</v>
          </cell>
          <cell r="I156" t="str">
            <v>PSPL STEEL PROCESSORS PRIVATE</v>
          </cell>
          <cell r="J156">
            <v>2000</v>
          </cell>
          <cell r="K156" t="str">
            <v>Trimming ( for CRC</v>
          </cell>
          <cell r="L156">
            <v>2</v>
          </cell>
          <cell r="M156">
            <v>3</v>
          </cell>
          <cell r="N156" t="str">
            <v>O/D GRADES</v>
          </cell>
          <cell r="O156">
            <v>3409913</v>
          </cell>
          <cell r="P156" t="str">
            <v>CRCA SHEET TSBCRC SR15 0.600X1120X2000</v>
          </cell>
          <cell r="Q156">
            <v>0.6</v>
          </cell>
          <cell r="R156">
            <v>1120</v>
          </cell>
          <cell r="S156">
            <v>1E-3</v>
          </cell>
          <cell r="T156">
            <v>0</v>
          </cell>
          <cell r="U156">
            <v>1E-3</v>
          </cell>
          <cell r="V156" t="str">
            <v>C06</v>
          </cell>
          <cell r="W156" t="str">
            <v>TSBCRC</v>
          </cell>
          <cell r="X156" t="str">
            <v>SR15</v>
          </cell>
          <cell r="Y156">
            <v>0</v>
          </cell>
          <cell r="Z156" t="str">
            <v/>
          </cell>
          <cell r="AA156" t="str">
            <v/>
          </cell>
          <cell r="AB156" t="str">
            <v/>
          </cell>
          <cell r="AC156" t="str">
            <v/>
          </cell>
          <cell r="AD156">
            <v>742</v>
          </cell>
          <cell r="AE156" t="str">
            <v>ZBTO</v>
          </cell>
        </row>
        <row r="157">
          <cell r="G157" t="str">
            <v>9519024305-10</v>
          </cell>
          <cell r="H157">
            <v>45887</v>
          </cell>
          <cell r="I157" t="str">
            <v>PSPL STEEL PROCESSORS PRIVATE</v>
          </cell>
          <cell r="J157">
            <v>2000</v>
          </cell>
          <cell r="K157" t="str">
            <v>Trimming ( for CRC</v>
          </cell>
          <cell r="L157">
            <v>2</v>
          </cell>
          <cell r="M157">
            <v>3</v>
          </cell>
          <cell r="N157" t="str">
            <v>O/D GRADES</v>
          </cell>
          <cell r="O157">
            <v>3627096</v>
          </cell>
          <cell r="P157" t="str">
            <v>CRCA SHEET TSBCRC SR15 0.800X1120X2000</v>
          </cell>
          <cell r="Q157">
            <v>0.8</v>
          </cell>
          <cell r="R157">
            <v>1120</v>
          </cell>
          <cell r="S157">
            <v>1E-3</v>
          </cell>
          <cell r="T157">
            <v>0</v>
          </cell>
          <cell r="U157">
            <v>1E-3</v>
          </cell>
          <cell r="V157" t="str">
            <v>C06</v>
          </cell>
          <cell r="W157" t="str">
            <v>TSBCRC</v>
          </cell>
          <cell r="X157" t="str">
            <v>SR15</v>
          </cell>
          <cell r="Y157">
            <v>0</v>
          </cell>
          <cell r="Z157" t="str">
            <v/>
          </cell>
          <cell r="AA157" t="str">
            <v/>
          </cell>
          <cell r="AB157" t="str">
            <v/>
          </cell>
          <cell r="AC157" t="str">
            <v/>
          </cell>
          <cell r="AD157">
            <v>742</v>
          </cell>
          <cell r="AE157" t="str">
            <v>ZBTO</v>
          </cell>
        </row>
        <row r="158">
          <cell r="G158" t="str">
            <v>9519024914-1</v>
          </cell>
          <cell r="H158">
            <v>45887</v>
          </cell>
          <cell r="I158" t="str">
            <v>SRI BALAJI STEEL TRADERS</v>
          </cell>
          <cell r="J158">
            <v>2000</v>
          </cell>
          <cell r="K158" t="str">
            <v>Untrimmed edge</v>
          </cell>
          <cell r="L158">
            <v>6</v>
          </cell>
          <cell r="M158">
            <v>18</v>
          </cell>
          <cell r="N158" t="str">
            <v>DQ</v>
          </cell>
          <cell r="O158">
            <v>1804867</v>
          </cell>
          <cell r="P158" t="str">
            <v>CRCA COIL-TATXXD-AU03-1.6X1250</v>
          </cell>
          <cell r="Q158">
            <v>1.6</v>
          </cell>
          <cell r="R158">
            <v>1250</v>
          </cell>
          <cell r="S158">
            <v>29</v>
          </cell>
          <cell r="T158">
            <v>0</v>
          </cell>
          <cell r="U158">
            <v>29</v>
          </cell>
          <cell r="V158" t="str">
            <v>C01</v>
          </cell>
          <cell r="W158" t="str">
            <v>TATXXD</v>
          </cell>
          <cell r="X158" t="str">
            <v>AU03</v>
          </cell>
          <cell r="Y158">
            <v>0</v>
          </cell>
          <cell r="Z158" t="str">
            <v/>
          </cell>
          <cell r="AA158" t="str">
            <v/>
          </cell>
          <cell r="AB158" t="str">
            <v/>
          </cell>
          <cell r="AC158" t="str">
            <v/>
          </cell>
          <cell r="AD158">
            <v>742</v>
          </cell>
          <cell r="AE158" t="str">
            <v>ZBTO</v>
          </cell>
        </row>
        <row r="159">
          <cell r="G159" t="str">
            <v>9519024914-2</v>
          </cell>
          <cell r="H159">
            <v>45887</v>
          </cell>
          <cell r="I159" t="str">
            <v>SRI BALAJI STEEL TRADERS</v>
          </cell>
          <cell r="J159">
            <v>2000</v>
          </cell>
          <cell r="K159" t="str">
            <v>Untrimmed edge</v>
          </cell>
          <cell r="L159">
            <v>6</v>
          </cell>
          <cell r="M159">
            <v>18</v>
          </cell>
          <cell r="N159" t="str">
            <v>AU03</v>
          </cell>
          <cell r="O159">
            <v>1884117</v>
          </cell>
          <cell r="P159" t="str">
            <v>CRCA COIL-TATXXD-AU03-2X1250</v>
          </cell>
          <cell r="Q159">
            <v>2</v>
          </cell>
          <cell r="R159">
            <v>1250</v>
          </cell>
          <cell r="S159">
            <v>29</v>
          </cell>
          <cell r="T159">
            <v>0</v>
          </cell>
          <cell r="U159">
            <v>29</v>
          </cell>
          <cell r="V159" t="str">
            <v>C01</v>
          </cell>
          <cell r="W159" t="str">
            <v>TATXXD</v>
          </cell>
          <cell r="X159" t="str">
            <v>AU03</v>
          </cell>
          <cell r="Y159">
            <v>0</v>
          </cell>
          <cell r="Z159" t="str">
            <v/>
          </cell>
          <cell r="AA159" t="str">
            <v/>
          </cell>
          <cell r="AB159" t="str">
            <v/>
          </cell>
          <cell r="AC159" t="str">
            <v/>
          </cell>
          <cell r="AD159">
            <v>742</v>
          </cell>
          <cell r="AE159" t="str">
            <v>ZBTO</v>
          </cell>
        </row>
        <row r="160">
          <cell r="G160" t="str">
            <v>9519024914-3</v>
          </cell>
          <cell r="H160">
            <v>45887</v>
          </cell>
          <cell r="I160" t="str">
            <v>SRI BALAJI STEEL TRADERS</v>
          </cell>
          <cell r="J160">
            <v>2000</v>
          </cell>
          <cell r="K160" t="str">
            <v>Trimming only at RCL</v>
          </cell>
          <cell r="L160">
            <v>2</v>
          </cell>
          <cell r="M160">
            <v>3</v>
          </cell>
          <cell r="N160" t="str">
            <v>O/D GRADES</v>
          </cell>
          <cell r="O160">
            <v>3239408</v>
          </cell>
          <cell r="P160" t="str">
            <v>CRCA SHEET TATCRC SR16 0.300X900X2500</v>
          </cell>
          <cell r="Q160">
            <v>0.3</v>
          </cell>
          <cell r="R160">
            <v>900</v>
          </cell>
          <cell r="S160">
            <v>21</v>
          </cell>
          <cell r="T160">
            <v>0</v>
          </cell>
          <cell r="U160">
            <v>21</v>
          </cell>
          <cell r="V160" t="str">
            <v>C06</v>
          </cell>
          <cell r="W160" t="str">
            <v>TATCRC</v>
          </cell>
          <cell r="X160" t="str">
            <v>SR16</v>
          </cell>
          <cell r="Y160">
            <v>0</v>
          </cell>
          <cell r="Z160" t="str">
            <v/>
          </cell>
          <cell r="AA160" t="str">
            <v/>
          </cell>
          <cell r="AB160" t="str">
            <v/>
          </cell>
          <cell r="AC160" t="str">
            <v/>
          </cell>
          <cell r="AD160">
            <v>742</v>
          </cell>
          <cell r="AE160" t="str">
            <v>ZBTO</v>
          </cell>
        </row>
        <row r="161">
          <cell r="G161" t="str">
            <v>9519024914-4</v>
          </cell>
          <cell r="H161">
            <v>45887</v>
          </cell>
          <cell r="I161" t="str">
            <v>SRI BALAJI STEEL TRADERS</v>
          </cell>
          <cell r="J161">
            <v>2000</v>
          </cell>
          <cell r="K161" t="str">
            <v>Trimming only at RCL</v>
          </cell>
          <cell r="L161">
            <v>2</v>
          </cell>
          <cell r="M161">
            <v>3</v>
          </cell>
          <cell r="N161" t="str">
            <v>O/D GRADES</v>
          </cell>
          <cell r="O161">
            <v>3239539</v>
          </cell>
          <cell r="P161" t="str">
            <v>CRCA SHEET TATCRC SR16 0.350X1000X1980</v>
          </cell>
          <cell r="Q161">
            <v>0.35</v>
          </cell>
          <cell r="R161">
            <v>1000</v>
          </cell>
          <cell r="S161">
            <v>23</v>
          </cell>
          <cell r="T161">
            <v>0</v>
          </cell>
          <cell r="U161">
            <v>23</v>
          </cell>
          <cell r="V161" t="str">
            <v>C06</v>
          </cell>
          <cell r="W161" t="str">
            <v>TATCRC</v>
          </cell>
          <cell r="X161" t="str">
            <v>SR16</v>
          </cell>
          <cell r="Y161">
            <v>0</v>
          </cell>
          <cell r="Z161" t="str">
            <v/>
          </cell>
          <cell r="AA161" t="str">
            <v/>
          </cell>
          <cell r="AB161" t="str">
            <v/>
          </cell>
          <cell r="AC161" t="str">
            <v/>
          </cell>
          <cell r="AD161">
            <v>742</v>
          </cell>
          <cell r="AE161" t="str">
            <v>ZBTO</v>
          </cell>
        </row>
        <row r="162">
          <cell r="G162" t="str">
            <v>9519024914-5</v>
          </cell>
          <cell r="H162">
            <v>45887</v>
          </cell>
          <cell r="I162" t="str">
            <v>SRI BALAJI STEEL TRADERS</v>
          </cell>
          <cell r="J162">
            <v>2000</v>
          </cell>
          <cell r="K162" t="str">
            <v>Trimming only at RCL</v>
          </cell>
          <cell r="L162">
            <v>2</v>
          </cell>
          <cell r="M162">
            <v>3</v>
          </cell>
          <cell r="N162" t="str">
            <v>SR16</v>
          </cell>
          <cell r="O162">
            <v>3239543</v>
          </cell>
          <cell r="P162" t="str">
            <v>CRCA SHEET TATCRC SR16 0.350X1250X2500</v>
          </cell>
          <cell r="Q162">
            <v>0.35</v>
          </cell>
          <cell r="R162">
            <v>1250</v>
          </cell>
          <cell r="S162">
            <v>29</v>
          </cell>
          <cell r="T162">
            <v>0</v>
          </cell>
          <cell r="U162">
            <v>29</v>
          </cell>
          <cell r="V162" t="str">
            <v>C06</v>
          </cell>
          <cell r="W162" t="str">
            <v>TATCRC</v>
          </cell>
          <cell r="X162" t="str">
            <v>SR16</v>
          </cell>
          <cell r="Y162">
            <v>0</v>
          </cell>
          <cell r="Z162" t="str">
            <v/>
          </cell>
          <cell r="AA162" t="str">
            <v/>
          </cell>
          <cell r="AB162" t="str">
            <v/>
          </cell>
          <cell r="AC162" t="str">
            <v/>
          </cell>
          <cell r="AD162">
            <v>742</v>
          </cell>
          <cell r="AE162" t="str">
            <v>ZBTO</v>
          </cell>
        </row>
        <row r="163">
          <cell r="G163" t="str">
            <v>9519024914-6</v>
          </cell>
          <cell r="H163">
            <v>45887</v>
          </cell>
          <cell r="I163" t="str">
            <v>SRI BALAJI STEEL TRADERS</v>
          </cell>
          <cell r="J163">
            <v>2000</v>
          </cell>
          <cell r="K163" t="str">
            <v>Trimming only at RCL</v>
          </cell>
          <cell r="L163">
            <v>2</v>
          </cell>
          <cell r="M163">
            <v>3</v>
          </cell>
          <cell r="N163" t="str">
            <v>O/D GRADES</v>
          </cell>
          <cell r="O163">
            <v>3239552</v>
          </cell>
          <cell r="P163" t="str">
            <v>CRCA SHEET TATCRC SR16 0.400X1000X1980</v>
          </cell>
          <cell r="Q163">
            <v>0.4</v>
          </cell>
          <cell r="R163">
            <v>1000</v>
          </cell>
          <cell r="S163">
            <v>23</v>
          </cell>
          <cell r="T163">
            <v>0</v>
          </cell>
          <cell r="U163">
            <v>23</v>
          </cell>
          <cell r="V163" t="str">
            <v>C06</v>
          </cell>
          <cell r="W163" t="str">
            <v>TATCRC</v>
          </cell>
          <cell r="X163" t="str">
            <v>SR16</v>
          </cell>
          <cell r="Y163">
            <v>0</v>
          </cell>
          <cell r="Z163" t="str">
            <v/>
          </cell>
          <cell r="AA163" t="str">
            <v/>
          </cell>
          <cell r="AB163" t="str">
            <v/>
          </cell>
          <cell r="AC163" t="str">
            <v/>
          </cell>
          <cell r="AD163">
            <v>742</v>
          </cell>
          <cell r="AE163" t="str">
            <v>ZBTO</v>
          </cell>
        </row>
        <row r="164">
          <cell r="G164" t="str">
            <v>9519024914-7</v>
          </cell>
          <cell r="H164">
            <v>45887</v>
          </cell>
          <cell r="I164" t="str">
            <v>SRI BALAJI STEEL TRADERS</v>
          </cell>
          <cell r="J164">
            <v>2000</v>
          </cell>
          <cell r="K164" t="str">
            <v>Trimming only at RCL</v>
          </cell>
          <cell r="L164">
            <v>2</v>
          </cell>
          <cell r="M164">
            <v>3</v>
          </cell>
          <cell r="N164" t="str">
            <v>SR16</v>
          </cell>
          <cell r="O164">
            <v>3239557</v>
          </cell>
          <cell r="P164" t="str">
            <v>CRCA SHEET TATCRC SR16 0.400X1250X2500</v>
          </cell>
          <cell r="Q164">
            <v>0.4</v>
          </cell>
          <cell r="R164">
            <v>1250</v>
          </cell>
          <cell r="S164">
            <v>29</v>
          </cell>
          <cell r="T164">
            <v>0</v>
          </cell>
          <cell r="U164">
            <v>29</v>
          </cell>
          <cell r="V164" t="str">
            <v>C06</v>
          </cell>
          <cell r="W164" t="str">
            <v>TATCRC</v>
          </cell>
          <cell r="X164" t="str">
            <v>SR16</v>
          </cell>
          <cell r="Y164">
            <v>0</v>
          </cell>
          <cell r="Z164" t="str">
            <v/>
          </cell>
          <cell r="AA164" t="str">
            <v/>
          </cell>
          <cell r="AB164" t="str">
            <v/>
          </cell>
          <cell r="AC164" t="str">
            <v/>
          </cell>
          <cell r="AD164">
            <v>742</v>
          </cell>
          <cell r="AE164" t="str">
            <v>ZBTO</v>
          </cell>
        </row>
        <row r="165">
          <cell r="G165" t="str">
            <v>9519025763-1</v>
          </cell>
          <cell r="H165">
            <v>45887</v>
          </cell>
          <cell r="I165" t="str">
            <v>O.V.S. ISPAT UDYOG</v>
          </cell>
          <cell r="J165">
            <v>2000</v>
          </cell>
          <cell r="K165" t="str">
            <v>Trimming at PLTCM</v>
          </cell>
          <cell r="L165">
            <v>2.5</v>
          </cell>
          <cell r="M165">
            <v>3</v>
          </cell>
          <cell r="N165" t="str">
            <v>TR15</v>
          </cell>
          <cell r="O165">
            <v>322578</v>
          </cell>
          <cell r="P165" t="str">
            <v>CRCA SHEET TATCRC TR15 .5X1250X2500</v>
          </cell>
          <cell r="Q165">
            <v>0.5</v>
          </cell>
          <cell r="R165">
            <v>1250</v>
          </cell>
          <cell r="S165">
            <v>29</v>
          </cell>
          <cell r="T165">
            <v>0</v>
          </cell>
          <cell r="U165">
            <v>29</v>
          </cell>
          <cell r="V165" t="str">
            <v>C06</v>
          </cell>
          <cell r="W165" t="str">
            <v>TATCRC</v>
          </cell>
          <cell r="X165" t="str">
            <v>TR15</v>
          </cell>
          <cell r="Y165">
            <v>0</v>
          </cell>
          <cell r="Z165" t="str">
            <v/>
          </cell>
          <cell r="AA165" t="str">
            <v/>
          </cell>
          <cell r="AB165" t="str">
            <v/>
          </cell>
          <cell r="AC165" t="str">
            <v/>
          </cell>
          <cell r="AD165">
            <v>742</v>
          </cell>
          <cell r="AE165" t="str">
            <v>ZBTO</v>
          </cell>
        </row>
        <row r="166">
          <cell r="G166" t="str">
            <v>9519025763-2</v>
          </cell>
          <cell r="H166">
            <v>45887</v>
          </cell>
          <cell r="I166" t="str">
            <v>O.V.S. ISPAT UDYOG</v>
          </cell>
          <cell r="J166">
            <v>2000</v>
          </cell>
          <cell r="K166" t="str">
            <v>Trimming at PLTCM</v>
          </cell>
          <cell r="L166">
            <v>2.5</v>
          </cell>
          <cell r="M166">
            <v>3</v>
          </cell>
          <cell r="N166" t="str">
            <v>TR15</v>
          </cell>
          <cell r="O166">
            <v>322581</v>
          </cell>
          <cell r="P166" t="str">
            <v>CRCA SHEET TATCRC TR15 0.60X1250X2500</v>
          </cell>
          <cell r="Q166">
            <v>0.6</v>
          </cell>
          <cell r="R166">
            <v>1250</v>
          </cell>
          <cell r="S166">
            <v>29</v>
          </cell>
          <cell r="T166">
            <v>0</v>
          </cell>
          <cell r="U166">
            <v>29</v>
          </cell>
          <cell r="V166" t="str">
            <v>C06</v>
          </cell>
          <cell r="W166" t="str">
            <v>TATCRC</v>
          </cell>
          <cell r="X166" t="str">
            <v>TR15</v>
          </cell>
          <cell r="Y166">
            <v>0</v>
          </cell>
          <cell r="Z166" t="str">
            <v/>
          </cell>
          <cell r="AA166" t="str">
            <v/>
          </cell>
          <cell r="AB166" t="str">
            <v/>
          </cell>
          <cell r="AC166" t="str">
            <v/>
          </cell>
          <cell r="AD166">
            <v>742</v>
          </cell>
          <cell r="AE166" t="str">
            <v>ZBTO</v>
          </cell>
        </row>
        <row r="167">
          <cell r="G167" t="str">
            <v>9519025763-3</v>
          </cell>
          <cell r="H167">
            <v>45887</v>
          </cell>
          <cell r="I167" t="str">
            <v>O.V.S. ISPAT UDYOG</v>
          </cell>
          <cell r="J167">
            <v>2000</v>
          </cell>
          <cell r="K167" t="str">
            <v>Trimming at PLTCM</v>
          </cell>
          <cell r="L167">
            <v>2.5</v>
          </cell>
          <cell r="M167">
            <v>3</v>
          </cell>
          <cell r="N167" t="str">
            <v>TR15</v>
          </cell>
          <cell r="O167">
            <v>322575</v>
          </cell>
          <cell r="P167" t="str">
            <v>CRCA SHEET TATCRC TR15 .7X1250X2500</v>
          </cell>
          <cell r="Q167">
            <v>0.7</v>
          </cell>
          <cell r="R167">
            <v>1250</v>
          </cell>
          <cell r="S167">
            <v>29</v>
          </cell>
          <cell r="T167">
            <v>0</v>
          </cell>
          <cell r="U167">
            <v>29</v>
          </cell>
          <cell r="V167" t="str">
            <v>C06</v>
          </cell>
          <cell r="W167" t="str">
            <v>TATCRC</v>
          </cell>
          <cell r="X167" t="str">
            <v>TR15</v>
          </cell>
          <cell r="Y167">
            <v>0</v>
          </cell>
          <cell r="Z167" t="str">
            <v/>
          </cell>
          <cell r="AA167" t="str">
            <v/>
          </cell>
          <cell r="AB167" t="str">
            <v/>
          </cell>
          <cell r="AC167" t="str">
            <v/>
          </cell>
          <cell r="AD167">
            <v>742</v>
          </cell>
          <cell r="AE167" t="str">
            <v>ZBTO</v>
          </cell>
        </row>
        <row r="168">
          <cell r="G168" t="str">
            <v>9519027787-1</v>
          </cell>
          <cell r="H168">
            <v>45888</v>
          </cell>
          <cell r="I168" t="str">
            <v>SITARAM IRON AND STEEL PVT LTD</v>
          </cell>
          <cell r="J168">
            <v>2000</v>
          </cell>
          <cell r="K168" t="str">
            <v>Trimming at PLTCM</v>
          </cell>
          <cell r="L168">
            <v>2</v>
          </cell>
          <cell r="M168">
            <v>3</v>
          </cell>
          <cell r="N168" t="str">
            <v>O/D GRADES</v>
          </cell>
          <cell r="O168">
            <v>3239540</v>
          </cell>
          <cell r="P168" t="str">
            <v>CRCA SHEET TATCRC SR16 0.350X1000X2440</v>
          </cell>
          <cell r="Q168">
            <v>0.35</v>
          </cell>
          <cell r="R168">
            <v>1000</v>
          </cell>
          <cell r="S168">
            <v>22.998999999999999</v>
          </cell>
          <cell r="T168">
            <v>0</v>
          </cell>
          <cell r="U168">
            <v>17.193999999999999</v>
          </cell>
          <cell r="V168" t="str">
            <v>C06</v>
          </cell>
          <cell r="W168" t="str">
            <v>TATCRC</v>
          </cell>
          <cell r="X168" t="str">
            <v>SR16</v>
          </cell>
          <cell r="Y168">
            <v>5.8049999999999997</v>
          </cell>
          <cell r="Z168" t="str">
            <v/>
          </cell>
          <cell r="AA168" t="str">
            <v/>
          </cell>
          <cell r="AB168" t="str">
            <v/>
          </cell>
          <cell r="AC168" t="str">
            <v/>
          </cell>
          <cell r="AD168">
            <v>742</v>
          </cell>
          <cell r="AE168" t="str">
            <v>ZBTO</v>
          </cell>
        </row>
        <row r="169">
          <cell r="G169" t="str">
            <v>9519027787-2</v>
          </cell>
          <cell r="H169">
            <v>45888</v>
          </cell>
          <cell r="I169" t="str">
            <v>SITARAM IRON AND STEEL PVT LTD</v>
          </cell>
          <cell r="J169">
            <v>2000</v>
          </cell>
          <cell r="K169" t="str">
            <v>Trimming at PLTCM</v>
          </cell>
          <cell r="L169">
            <v>2</v>
          </cell>
          <cell r="M169">
            <v>3</v>
          </cell>
          <cell r="N169" t="str">
            <v>O/D GRADES</v>
          </cell>
          <cell r="O169">
            <v>3239555</v>
          </cell>
          <cell r="P169" t="str">
            <v>CRCA SHEET TATCRC SR16 0.400X1000X2440</v>
          </cell>
          <cell r="Q169">
            <v>0.4</v>
          </cell>
          <cell r="R169">
            <v>1000</v>
          </cell>
          <cell r="S169">
            <v>22.998999999999999</v>
          </cell>
          <cell r="T169">
            <v>0</v>
          </cell>
          <cell r="U169">
            <v>2.6339999999999999</v>
          </cell>
          <cell r="V169" t="str">
            <v>C06</v>
          </cell>
          <cell r="W169" t="str">
            <v>TATCRC</v>
          </cell>
          <cell r="X169" t="str">
            <v>SR16</v>
          </cell>
          <cell r="Y169">
            <v>20.364999999999998</v>
          </cell>
          <cell r="Z169" t="str">
            <v/>
          </cell>
          <cell r="AA169" t="str">
            <v/>
          </cell>
          <cell r="AB169" t="str">
            <v/>
          </cell>
          <cell r="AC169" t="str">
            <v/>
          </cell>
          <cell r="AD169">
            <v>742</v>
          </cell>
          <cell r="AE169" t="str">
            <v>ZBTO</v>
          </cell>
        </row>
        <row r="170">
          <cell r="G170" t="str">
            <v>9519027787-3</v>
          </cell>
          <cell r="H170">
            <v>45888</v>
          </cell>
          <cell r="I170" t="str">
            <v>SITARAM IRON AND STEEL PVT LTD</v>
          </cell>
          <cell r="J170">
            <v>2000</v>
          </cell>
          <cell r="K170" t="str">
            <v>Trimming at PLTCM</v>
          </cell>
          <cell r="L170">
            <v>2</v>
          </cell>
          <cell r="M170">
            <v>3</v>
          </cell>
          <cell r="N170" t="str">
            <v>O/D GRADES</v>
          </cell>
          <cell r="O170">
            <v>3239566</v>
          </cell>
          <cell r="P170" t="str">
            <v>CRCA SHEET TATCRC SR16 0.450X1000X2440</v>
          </cell>
          <cell r="Q170">
            <v>0.45</v>
          </cell>
          <cell r="R170">
            <v>1000</v>
          </cell>
          <cell r="S170">
            <v>22.998999999999999</v>
          </cell>
          <cell r="T170">
            <v>0</v>
          </cell>
          <cell r="U170">
            <v>3.169</v>
          </cell>
          <cell r="V170" t="str">
            <v>C06</v>
          </cell>
          <cell r="W170" t="str">
            <v>TATCRC</v>
          </cell>
          <cell r="X170" t="str">
            <v>SR16</v>
          </cell>
          <cell r="Y170">
            <v>19.829999999999998</v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  <cell r="AD170">
            <v>742</v>
          </cell>
          <cell r="AE170" t="str">
            <v>ZBTO</v>
          </cell>
        </row>
        <row r="171">
          <cell r="G171" t="str">
            <v>9519027787-4</v>
          </cell>
          <cell r="H171">
            <v>45888</v>
          </cell>
          <cell r="I171" t="str">
            <v>SITARAM IRON AND STEEL PVT LTD</v>
          </cell>
          <cell r="J171">
            <v>2000</v>
          </cell>
          <cell r="K171" t="str">
            <v>Trimming at PLTCM</v>
          </cell>
          <cell r="L171">
            <v>2</v>
          </cell>
          <cell r="M171">
            <v>3</v>
          </cell>
          <cell r="N171" t="str">
            <v>O/D GRADES</v>
          </cell>
          <cell r="O171">
            <v>3240759</v>
          </cell>
          <cell r="P171" t="str">
            <v>CRCA SHEET TSBCRC SR15 0.500X1000X2440</v>
          </cell>
          <cell r="Q171">
            <v>0.5</v>
          </cell>
          <cell r="R171">
            <v>1000</v>
          </cell>
          <cell r="S171">
            <v>22.998999999999999</v>
          </cell>
          <cell r="T171">
            <v>0</v>
          </cell>
          <cell r="U171">
            <v>22.998999999999999</v>
          </cell>
          <cell r="V171" t="str">
            <v>C06</v>
          </cell>
          <cell r="W171" t="str">
            <v>TSBCRC</v>
          </cell>
          <cell r="X171" t="str">
            <v>SR15</v>
          </cell>
          <cell r="Y171">
            <v>0</v>
          </cell>
          <cell r="Z171" t="str">
            <v/>
          </cell>
          <cell r="AA171" t="str">
            <v/>
          </cell>
          <cell r="AB171" t="str">
            <v/>
          </cell>
          <cell r="AC171" t="str">
            <v/>
          </cell>
          <cell r="AD171">
            <v>742</v>
          </cell>
          <cell r="AE171" t="str">
            <v>ZBTO</v>
          </cell>
        </row>
        <row r="172">
          <cell r="G172" t="str">
            <v>9519027787-5</v>
          </cell>
          <cell r="H172">
            <v>45888</v>
          </cell>
          <cell r="I172" t="str">
            <v>SITARAM IRON AND STEEL PVT LTD</v>
          </cell>
          <cell r="J172">
            <v>2000</v>
          </cell>
          <cell r="K172" t="str">
            <v>Trimming at PLTCM</v>
          </cell>
          <cell r="L172">
            <v>2</v>
          </cell>
          <cell r="M172">
            <v>3</v>
          </cell>
          <cell r="N172" t="str">
            <v>O/D GRADES</v>
          </cell>
          <cell r="O172">
            <v>3240776</v>
          </cell>
          <cell r="P172" t="str">
            <v>CRCA SHEET TSBCRC SR15 0.600X1000X2440</v>
          </cell>
          <cell r="Q172">
            <v>0.6</v>
          </cell>
          <cell r="R172">
            <v>1000</v>
          </cell>
          <cell r="S172">
            <v>55</v>
          </cell>
          <cell r="T172">
            <v>0</v>
          </cell>
          <cell r="U172">
            <v>55</v>
          </cell>
          <cell r="V172" t="str">
            <v>C06</v>
          </cell>
          <cell r="W172" t="str">
            <v>TSBCRC</v>
          </cell>
          <cell r="X172" t="str">
            <v>SR15</v>
          </cell>
          <cell r="Y172">
            <v>0</v>
          </cell>
          <cell r="Z172" t="str">
            <v/>
          </cell>
          <cell r="AA172" t="str">
            <v/>
          </cell>
          <cell r="AB172" t="str">
            <v/>
          </cell>
          <cell r="AC172" t="str">
            <v/>
          </cell>
          <cell r="AD172">
            <v>742</v>
          </cell>
          <cell r="AE172" t="str">
            <v>ZBTO</v>
          </cell>
        </row>
        <row r="173">
          <cell r="G173" t="str">
            <v>9519027787-6</v>
          </cell>
          <cell r="H173">
            <v>45888</v>
          </cell>
          <cell r="I173" t="str">
            <v>SITARAM IRON AND STEEL PVT LTD</v>
          </cell>
          <cell r="J173">
            <v>2000</v>
          </cell>
          <cell r="K173" t="str">
            <v>Trimming at PLTCM</v>
          </cell>
          <cell r="L173">
            <v>2</v>
          </cell>
          <cell r="M173">
            <v>3</v>
          </cell>
          <cell r="N173" t="str">
            <v>SR15</v>
          </cell>
          <cell r="O173">
            <v>3240785</v>
          </cell>
          <cell r="P173" t="str">
            <v>CRCA SHEET TSBCRC SR15 0.600X1250X2500</v>
          </cell>
          <cell r="Q173">
            <v>0.6</v>
          </cell>
          <cell r="R173">
            <v>1250</v>
          </cell>
          <cell r="S173">
            <v>28.998999999999999</v>
          </cell>
          <cell r="T173">
            <v>0</v>
          </cell>
          <cell r="U173">
            <v>2.8690000000000002</v>
          </cell>
          <cell r="V173" t="str">
            <v>C06</v>
          </cell>
          <cell r="W173" t="str">
            <v>TSBCRC</v>
          </cell>
          <cell r="X173" t="str">
            <v>SR15</v>
          </cell>
          <cell r="Y173">
            <v>26.13</v>
          </cell>
          <cell r="Z173" t="str">
            <v/>
          </cell>
          <cell r="AA173" t="str">
            <v/>
          </cell>
          <cell r="AB173" t="str">
            <v/>
          </cell>
          <cell r="AC173" t="str">
            <v/>
          </cell>
          <cell r="AD173">
            <v>742</v>
          </cell>
          <cell r="AE173" t="str">
            <v>ZBTO</v>
          </cell>
        </row>
        <row r="174">
          <cell r="G174" t="str">
            <v>9519027787-7</v>
          </cell>
          <cell r="H174">
            <v>45888</v>
          </cell>
          <cell r="I174" t="str">
            <v>SITARAM IRON AND STEEL PVT LTD</v>
          </cell>
          <cell r="J174">
            <v>2000</v>
          </cell>
          <cell r="K174" t="str">
            <v>Trimming at PLTCM</v>
          </cell>
          <cell r="L174">
            <v>2</v>
          </cell>
          <cell r="M174">
            <v>3</v>
          </cell>
          <cell r="N174" t="str">
            <v>AU03</v>
          </cell>
          <cell r="O174">
            <v>279229</v>
          </cell>
          <cell r="P174" t="str">
            <v>CRSHEET TATXXD AU03 0.50X1250X2500</v>
          </cell>
          <cell r="Q174">
            <v>0.5</v>
          </cell>
          <cell r="R174">
            <v>1250</v>
          </cell>
          <cell r="S174">
            <v>29</v>
          </cell>
          <cell r="T174">
            <v>0</v>
          </cell>
          <cell r="U174">
            <v>29</v>
          </cell>
          <cell r="V174" t="str">
            <v>C06</v>
          </cell>
          <cell r="W174" t="str">
            <v>TATXXD</v>
          </cell>
          <cell r="X174" t="str">
            <v>AU03</v>
          </cell>
          <cell r="Y174">
            <v>0</v>
          </cell>
          <cell r="Z174" t="str">
            <v/>
          </cell>
          <cell r="AA174" t="str">
            <v/>
          </cell>
          <cell r="AB174" t="str">
            <v/>
          </cell>
          <cell r="AC174" t="str">
            <v/>
          </cell>
          <cell r="AD174">
            <v>742</v>
          </cell>
          <cell r="AE174" t="str">
            <v>ZBTO</v>
          </cell>
        </row>
        <row r="175">
          <cell r="G175" t="str">
            <v>9519027787-8</v>
          </cell>
          <cell r="H175">
            <v>45888</v>
          </cell>
          <cell r="I175" t="str">
            <v>SITARAM IRON AND STEEL PVT LTD</v>
          </cell>
          <cell r="J175">
            <v>2000</v>
          </cell>
          <cell r="K175" t="str">
            <v>Trimming at PLTCM</v>
          </cell>
          <cell r="L175">
            <v>2</v>
          </cell>
          <cell r="M175">
            <v>3</v>
          </cell>
          <cell r="N175" t="str">
            <v>O/D GRADES</v>
          </cell>
          <cell r="O175">
            <v>3240867</v>
          </cell>
          <cell r="P175" t="str">
            <v>CRCA SHEET TSBCRC SR15 1.600X1250X2500</v>
          </cell>
          <cell r="Q175">
            <v>1.6</v>
          </cell>
          <cell r="R175">
            <v>1250</v>
          </cell>
          <cell r="S175">
            <v>57.999000000000002</v>
          </cell>
          <cell r="T175">
            <v>0</v>
          </cell>
          <cell r="U175">
            <v>9.7940000000000005</v>
          </cell>
          <cell r="V175" t="str">
            <v>C06</v>
          </cell>
          <cell r="W175" t="str">
            <v>TSBCRC</v>
          </cell>
          <cell r="X175" t="str">
            <v>SR15</v>
          </cell>
          <cell r="Y175">
            <v>48.204999999999998</v>
          </cell>
          <cell r="Z175" t="str">
            <v/>
          </cell>
          <cell r="AA175" t="str">
            <v/>
          </cell>
          <cell r="AB175" t="str">
            <v/>
          </cell>
          <cell r="AC175" t="str">
            <v/>
          </cell>
          <cell r="AD175">
            <v>742</v>
          </cell>
          <cell r="AE175" t="str">
            <v>ZBTO</v>
          </cell>
        </row>
        <row r="176">
          <cell r="G176" t="str">
            <v>9519027787-9</v>
          </cell>
          <cell r="H176">
            <v>45888</v>
          </cell>
          <cell r="I176" t="str">
            <v>SITARAM IRON AND STEEL PVT LTD</v>
          </cell>
          <cell r="J176">
            <v>2000</v>
          </cell>
          <cell r="K176" t="str">
            <v>Trimming at PLTCM</v>
          </cell>
          <cell r="L176">
            <v>2</v>
          </cell>
          <cell r="M176">
            <v>3</v>
          </cell>
          <cell r="N176" t="str">
            <v>O/D GRADES</v>
          </cell>
          <cell r="O176">
            <v>3410101</v>
          </cell>
          <cell r="P176" t="str">
            <v>CRCA SHEET TSBCRC SR15 0.750X1000X2500</v>
          </cell>
          <cell r="Q176">
            <v>0.75</v>
          </cell>
          <cell r="R176">
            <v>1000</v>
          </cell>
          <cell r="S176">
            <v>22.998999999999999</v>
          </cell>
          <cell r="T176">
            <v>0</v>
          </cell>
          <cell r="U176">
            <v>22.998999999999999</v>
          </cell>
          <cell r="V176" t="str">
            <v>C06</v>
          </cell>
          <cell r="W176" t="str">
            <v>TSBCRC</v>
          </cell>
          <cell r="X176" t="str">
            <v>SR15</v>
          </cell>
          <cell r="Y176">
            <v>0</v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  <cell r="AD176">
            <v>742</v>
          </cell>
          <cell r="AE176" t="str">
            <v>ZBTO</v>
          </cell>
        </row>
        <row r="177">
          <cell r="G177" t="str">
            <v>9519028231-1</v>
          </cell>
          <cell r="H177">
            <v>45888</v>
          </cell>
          <cell r="I177" t="str">
            <v>BASEER AND CO</v>
          </cell>
          <cell r="J177">
            <v>2000</v>
          </cell>
          <cell r="K177" t="str">
            <v>Trimming only at RCL</v>
          </cell>
          <cell r="L177">
            <v>6</v>
          </cell>
          <cell r="M177">
            <v>18</v>
          </cell>
          <cell r="N177" t="str">
            <v>DQ</v>
          </cell>
          <cell r="O177">
            <v>4097019</v>
          </cell>
          <cell r="P177" t="str">
            <v>CR COIL TATXXD AU03 0.350X900</v>
          </cell>
          <cell r="Q177">
            <v>0.35</v>
          </cell>
          <cell r="R177">
            <v>900</v>
          </cell>
          <cell r="S177">
            <v>42</v>
          </cell>
          <cell r="T177">
            <v>0</v>
          </cell>
          <cell r="U177">
            <v>42</v>
          </cell>
          <cell r="V177" t="str">
            <v>C01</v>
          </cell>
          <cell r="W177" t="str">
            <v>TATXXD</v>
          </cell>
          <cell r="X177" t="str">
            <v>AU03</v>
          </cell>
          <cell r="Y177">
            <v>0</v>
          </cell>
          <cell r="Z177" t="str">
            <v/>
          </cell>
          <cell r="AA177" t="str">
            <v/>
          </cell>
          <cell r="AB177" t="str">
            <v/>
          </cell>
          <cell r="AC177" t="str">
            <v/>
          </cell>
          <cell r="AD177">
            <v>742</v>
          </cell>
          <cell r="AE177" t="str">
            <v>ZBTO</v>
          </cell>
        </row>
        <row r="178">
          <cell r="G178" t="str">
            <v>9519028231-2</v>
          </cell>
          <cell r="H178">
            <v>45888</v>
          </cell>
          <cell r="I178" t="str">
            <v>BASEER AND CO</v>
          </cell>
          <cell r="J178">
            <v>2000</v>
          </cell>
          <cell r="K178" t="str">
            <v>Trimming only at RCL</v>
          </cell>
          <cell r="L178">
            <v>6</v>
          </cell>
          <cell r="M178">
            <v>18</v>
          </cell>
          <cell r="N178" t="str">
            <v>AU03</v>
          </cell>
          <cell r="O178">
            <v>185675</v>
          </cell>
          <cell r="P178" t="str">
            <v>CRCA COIL-TATXXD-AU03-0.5X1250</v>
          </cell>
          <cell r="Q178">
            <v>0.5</v>
          </cell>
          <cell r="R178">
            <v>1250</v>
          </cell>
          <cell r="S178">
            <v>58</v>
          </cell>
          <cell r="T178">
            <v>0</v>
          </cell>
          <cell r="U178">
            <v>58</v>
          </cell>
          <cell r="V178" t="str">
            <v>C01</v>
          </cell>
          <cell r="W178" t="str">
            <v>TATXXD</v>
          </cell>
          <cell r="X178" t="str">
            <v>AU03</v>
          </cell>
          <cell r="Y178">
            <v>0</v>
          </cell>
          <cell r="Z178" t="str">
            <v/>
          </cell>
          <cell r="AA178" t="str">
            <v/>
          </cell>
          <cell r="AB178" t="str">
            <v/>
          </cell>
          <cell r="AC178" t="str">
            <v/>
          </cell>
          <cell r="AD178">
            <v>742</v>
          </cell>
          <cell r="AE178" t="str">
            <v>ZBTO</v>
          </cell>
        </row>
        <row r="179">
          <cell r="G179" t="str">
            <v>9519028231-3</v>
          </cell>
          <cell r="H179">
            <v>45888</v>
          </cell>
          <cell r="I179" t="str">
            <v>BASEER AND CO</v>
          </cell>
          <cell r="J179">
            <v>2000</v>
          </cell>
          <cell r="K179" t="str">
            <v>Trimming only at RCL</v>
          </cell>
          <cell r="L179">
            <v>6</v>
          </cell>
          <cell r="M179">
            <v>18</v>
          </cell>
          <cell r="N179" t="str">
            <v>AU03</v>
          </cell>
          <cell r="O179">
            <v>1801290</v>
          </cell>
          <cell r="P179" t="str">
            <v>CRCA COIL-TATXXD-AU03-0.6X1250</v>
          </cell>
          <cell r="Q179">
            <v>0.6</v>
          </cell>
          <cell r="R179">
            <v>1250</v>
          </cell>
          <cell r="S179">
            <v>58</v>
          </cell>
          <cell r="T179">
            <v>0</v>
          </cell>
          <cell r="U179">
            <v>58</v>
          </cell>
          <cell r="V179" t="str">
            <v>C01</v>
          </cell>
          <cell r="W179" t="str">
            <v>TATXXD</v>
          </cell>
          <cell r="X179" t="str">
            <v>AU03</v>
          </cell>
          <cell r="Y179">
            <v>0</v>
          </cell>
          <cell r="Z179" t="str">
            <v/>
          </cell>
          <cell r="AA179" t="str">
            <v/>
          </cell>
          <cell r="AB179" t="str">
            <v/>
          </cell>
          <cell r="AC179" t="str">
            <v/>
          </cell>
          <cell r="AD179">
            <v>742</v>
          </cell>
          <cell r="AE179" t="str">
            <v>ZBTO</v>
          </cell>
        </row>
        <row r="180">
          <cell r="G180" t="str">
            <v>9519028231-4</v>
          </cell>
          <cell r="H180">
            <v>45888</v>
          </cell>
          <cell r="I180" t="str">
            <v>BASEER AND CO</v>
          </cell>
          <cell r="J180">
            <v>2000</v>
          </cell>
          <cell r="K180" t="str">
            <v>Trimming only at RCL</v>
          </cell>
          <cell r="L180">
            <v>6</v>
          </cell>
          <cell r="M180">
            <v>18</v>
          </cell>
          <cell r="N180" t="str">
            <v>DQ</v>
          </cell>
          <cell r="O180">
            <v>1801562</v>
          </cell>
          <cell r="P180" t="str">
            <v>CRCA COIL-TATXXD-AU03-0.8X1000</v>
          </cell>
          <cell r="Q180">
            <v>0.8</v>
          </cell>
          <cell r="R180">
            <v>1000</v>
          </cell>
          <cell r="S180">
            <v>46</v>
          </cell>
          <cell r="T180">
            <v>0</v>
          </cell>
          <cell r="U180">
            <v>46</v>
          </cell>
          <cell r="V180" t="str">
            <v>C01</v>
          </cell>
          <cell r="W180" t="str">
            <v>TATXXD</v>
          </cell>
          <cell r="X180" t="str">
            <v>AU03</v>
          </cell>
          <cell r="Y180">
            <v>0</v>
          </cell>
          <cell r="Z180" t="str">
            <v/>
          </cell>
          <cell r="AA180" t="str">
            <v/>
          </cell>
          <cell r="AB180" t="str">
            <v/>
          </cell>
          <cell r="AC180" t="str">
            <v/>
          </cell>
          <cell r="AD180">
            <v>742</v>
          </cell>
          <cell r="AE180" t="str">
            <v>ZBTO</v>
          </cell>
        </row>
        <row r="181">
          <cell r="G181" t="str">
            <v>9519028231-5</v>
          </cell>
          <cell r="H181">
            <v>45888</v>
          </cell>
          <cell r="I181" t="str">
            <v>BASEER AND CO</v>
          </cell>
          <cell r="J181">
            <v>2000</v>
          </cell>
          <cell r="K181" t="str">
            <v>Trimming only at RCL</v>
          </cell>
          <cell r="L181">
            <v>6</v>
          </cell>
          <cell r="M181">
            <v>18</v>
          </cell>
          <cell r="N181" t="str">
            <v>AU03</v>
          </cell>
          <cell r="O181">
            <v>1804814</v>
          </cell>
          <cell r="P181" t="str">
            <v>CRCA COIL TATXXD AU03 0.8X1250</v>
          </cell>
          <cell r="Q181">
            <v>0.8</v>
          </cell>
          <cell r="R181">
            <v>1250</v>
          </cell>
          <cell r="S181">
            <v>116</v>
          </cell>
          <cell r="T181">
            <v>0</v>
          </cell>
          <cell r="U181">
            <v>116</v>
          </cell>
          <cell r="V181" t="str">
            <v>C01</v>
          </cell>
          <cell r="W181" t="str">
            <v>TATXXD</v>
          </cell>
          <cell r="X181" t="str">
            <v>AU03</v>
          </cell>
          <cell r="Y181">
            <v>0</v>
          </cell>
          <cell r="Z181" t="str">
            <v/>
          </cell>
          <cell r="AA181" t="str">
            <v/>
          </cell>
          <cell r="AB181" t="str">
            <v/>
          </cell>
          <cell r="AC181" t="str">
            <v/>
          </cell>
          <cell r="AD181">
            <v>742</v>
          </cell>
          <cell r="AE181" t="str">
            <v>ZBTO</v>
          </cell>
        </row>
        <row r="182">
          <cell r="G182" t="str">
            <v>9519028231-6</v>
          </cell>
          <cell r="H182">
            <v>45888</v>
          </cell>
          <cell r="I182" t="str">
            <v>BASEER AND CO</v>
          </cell>
          <cell r="J182">
            <v>2000</v>
          </cell>
          <cell r="K182" t="str">
            <v>Trimming only at RCL</v>
          </cell>
          <cell r="L182">
            <v>6</v>
          </cell>
          <cell r="M182">
            <v>18</v>
          </cell>
          <cell r="N182" t="str">
            <v>DQ</v>
          </cell>
          <cell r="O182">
            <v>2334995</v>
          </cell>
          <cell r="P182" t="str">
            <v>CRCA COIL TATXXD AU03 1.500X1250</v>
          </cell>
          <cell r="Q182">
            <v>1.5</v>
          </cell>
          <cell r="R182">
            <v>1250</v>
          </cell>
          <cell r="S182">
            <v>58</v>
          </cell>
          <cell r="T182">
            <v>0</v>
          </cell>
          <cell r="U182">
            <v>58</v>
          </cell>
          <cell r="V182" t="str">
            <v>C01</v>
          </cell>
          <cell r="W182" t="str">
            <v>TATXXD</v>
          </cell>
          <cell r="X182" t="str">
            <v>AU03</v>
          </cell>
          <cell r="Y182">
            <v>0</v>
          </cell>
          <cell r="Z182" t="str">
            <v/>
          </cell>
          <cell r="AA182" t="str">
            <v/>
          </cell>
          <cell r="AB182" t="str">
            <v/>
          </cell>
          <cell r="AC182" t="str">
            <v/>
          </cell>
          <cell r="AD182">
            <v>742</v>
          </cell>
          <cell r="AE182" t="str">
            <v>ZBTO</v>
          </cell>
        </row>
        <row r="183">
          <cell r="G183" t="str">
            <v>9519028231-7</v>
          </cell>
          <cell r="H183">
            <v>45888</v>
          </cell>
          <cell r="I183" t="str">
            <v>BASEER AND CO</v>
          </cell>
          <cell r="J183">
            <v>2000</v>
          </cell>
          <cell r="K183" t="str">
            <v>Trimming only at RCL</v>
          </cell>
          <cell r="L183">
            <v>6</v>
          </cell>
          <cell r="M183">
            <v>18</v>
          </cell>
          <cell r="N183" t="str">
            <v>DQ</v>
          </cell>
          <cell r="O183">
            <v>1804867</v>
          </cell>
          <cell r="P183" t="str">
            <v>CRCA COIL-TATXXD-AU03-1.6X1250</v>
          </cell>
          <cell r="Q183">
            <v>1.6</v>
          </cell>
          <cell r="R183">
            <v>1250</v>
          </cell>
          <cell r="S183">
            <v>87</v>
          </cell>
          <cell r="T183">
            <v>0</v>
          </cell>
          <cell r="U183">
            <v>87</v>
          </cell>
          <cell r="V183" t="str">
            <v>C01</v>
          </cell>
          <cell r="W183" t="str">
            <v>TATXXD</v>
          </cell>
          <cell r="X183" t="str">
            <v>AU03</v>
          </cell>
          <cell r="Y183">
            <v>0</v>
          </cell>
          <cell r="Z183" t="str">
            <v/>
          </cell>
          <cell r="AA183" t="str">
            <v/>
          </cell>
          <cell r="AB183" t="str">
            <v/>
          </cell>
          <cell r="AC183" t="str">
            <v/>
          </cell>
          <cell r="AD183">
            <v>742</v>
          </cell>
          <cell r="AE183" t="str">
            <v>ZBTO</v>
          </cell>
        </row>
        <row r="184">
          <cell r="G184" t="str">
            <v>9519028231-8</v>
          </cell>
          <cell r="H184">
            <v>45888</v>
          </cell>
          <cell r="I184" t="str">
            <v>BASEER AND CO</v>
          </cell>
          <cell r="J184">
            <v>2000</v>
          </cell>
          <cell r="K184" t="str">
            <v>Trimming only at RCL</v>
          </cell>
          <cell r="L184">
            <v>6</v>
          </cell>
          <cell r="M184">
            <v>18</v>
          </cell>
          <cell r="N184" t="str">
            <v>AU03</v>
          </cell>
          <cell r="O184">
            <v>1884117</v>
          </cell>
          <cell r="P184" t="str">
            <v>CRCA COIL-TATXXD-AU03-2X1250</v>
          </cell>
          <cell r="Q184">
            <v>2</v>
          </cell>
          <cell r="R184">
            <v>1250</v>
          </cell>
          <cell r="S184">
            <v>29</v>
          </cell>
          <cell r="T184">
            <v>24.39</v>
          </cell>
          <cell r="U184">
            <v>4.6100000000000003</v>
          </cell>
          <cell r="V184" t="str">
            <v>C01</v>
          </cell>
          <cell r="W184" t="str">
            <v>TATXXD</v>
          </cell>
          <cell r="X184" t="str">
            <v>AU03</v>
          </cell>
          <cell r="Y184">
            <v>24.39</v>
          </cell>
          <cell r="Z184" t="str">
            <v/>
          </cell>
          <cell r="AA184" t="str">
            <v/>
          </cell>
          <cell r="AB184" t="str">
            <v/>
          </cell>
          <cell r="AC184" t="str">
            <v/>
          </cell>
          <cell r="AD184">
            <v>742</v>
          </cell>
          <cell r="AE184" t="str">
            <v>ZBTO</v>
          </cell>
        </row>
        <row r="185">
          <cell r="G185" t="str">
            <v>9519028231-9</v>
          </cell>
          <cell r="H185">
            <v>45888</v>
          </cell>
          <cell r="I185" t="str">
            <v>BASEER AND CO</v>
          </cell>
          <cell r="J185">
            <v>2000</v>
          </cell>
          <cell r="K185" t="str">
            <v>Trimming only at RCL</v>
          </cell>
          <cell r="L185">
            <v>6</v>
          </cell>
          <cell r="M185">
            <v>18</v>
          </cell>
          <cell r="N185" t="str">
            <v>CQ</v>
          </cell>
          <cell r="O185">
            <v>2243480</v>
          </cell>
          <cell r="P185" t="str">
            <v>CRCA COIL TATCRC TR15 0.350X1250</v>
          </cell>
          <cell r="Q185">
            <v>0.35</v>
          </cell>
          <cell r="R185">
            <v>1250</v>
          </cell>
          <cell r="S185">
            <v>58</v>
          </cell>
          <cell r="T185">
            <v>0</v>
          </cell>
          <cell r="U185">
            <v>58</v>
          </cell>
          <cell r="V185" t="str">
            <v>C01</v>
          </cell>
          <cell r="W185" t="str">
            <v>TATCRC</v>
          </cell>
          <cell r="X185" t="str">
            <v>TR15</v>
          </cell>
          <cell r="Y185">
            <v>0</v>
          </cell>
          <cell r="Z185" t="str">
            <v/>
          </cell>
          <cell r="AA185" t="str">
            <v/>
          </cell>
          <cell r="AB185" t="str">
            <v/>
          </cell>
          <cell r="AC185" t="str">
            <v/>
          </cell>
          <cell r="AD185">
            <v>742</v>
          </cell>
          <cell r="AE185" t="str">
            <v>ZBTO</v>
          </cell>
        </row>
        <row r="186">
          <cell r="G186" t="str">
            <v>9519028231-10</v>
          </cell>
          <cell r="H186">
            <v>45888</v>
          </cell>
          <cell r="I186" t="str">
            <v>BASEER AND CO</v>
          </cell>
          <cell r="J186">
            <v>2000</v>
          </cell>
          <cell r="K186" t="str">
            <v>Trimming only at RCL</v>
          </cell>
          <cell r="L186">
            <v>6</v>
          </cell>
          <cell r="M186">
            <v>18</v>
          </cell>
          <cell r="N186" t="str">
            <v>CQ</v>
          </cell>
          <cell r="O186">
            <v>2165170</v>
          </cell>
          <cell r="P186" t="str">
            <v>CRCA COIL TATCRC TR15 0.400X900</v>
          </cell>
          <cell r="Q186">
            <v>0.4</v>
          </cell>
          <cell r="R186">
            <v>900</v>
          </cell>
          <cell r="S186">
            <v>63</v>
          </cell>
          <cell r="T186">
            <v>0</v>
          </cell>
          <cell r="U186">
            <v>63</v>
          </cell>
          <cell r="V186" t="str">
            <v>C01</v>
          </cell>
          <cell r="W186" t="str">
            <v>TATCRC</v>
          </cell>
          <cell r="X186" t="str">
            <v>TR15</v>
          </cell>
          <cell r="Y186">
            <v>0</v>
          </cell>
          <cell r="Z186" t="str">
            <v/>
          </cell>
          <cell r="AA186" t="str">
            <v/>
          </cell>
          <cell r="AB186" t="str">
            <v/>
          </cell>
          <cell r="AC186" t="str">
            <v/>
          </cell>
          <cell r="AD186">
            <v>742</v>
          </cell>
          <cell r="AE186" t="str">
            <v>ZBTO</v>
          </cell>
        </row>
        <row r="187">
          <cell r="G187" t="str">
            <v>9519028231-11</v>
          </cell>
          <cell r="H187">
            <v>45888</v>
          </cell>
          <cell r="I187" t="str">
            <v>BASEER AND CO</v>
          </cell>
          <cell r="J187">
            <v>2000</v>
          </cell>
          <cell r="K187" t="str">
            <v>Trimming only at RCL</v>
          </cell>
          <cell r="L187">
            <v>6</v>
          </cell>
          <cell r="M187">
            <v>18</v>
          </cell>
          <cell r="N187" t="str">
            <v>CQ</v>
          </cell>
          <cell r="O187">
            <v>37862</v>
          </cell>
          <cell r="P187" t="str">
            <v>CRCA COIL TATCRC TR15 0.4X1250</v>
          </cell>
          <cell r="Q187">
            <v>0.4</v>
          </cell>
          <cell r="R187">
            <v>1250</v>
          </cell>
          <cell r="S187">
            <v>58</v>
          </cell>
          <cell r="T187">
            <v>0</v>
          </cell>
          <cell r="U187">
            <v>58</v>
          </cell>
          <cell r="V187" t="str">
            <v>C01</v>
          </cell>
          <cell r="W187" t="str">
            <v>TATCRC</v>
          </cell>
          <cell r="X187" t="str">
            <v>TR15</v>
          </cell>
          <cell r="Y187">
            <v>0</v>
          </cell>
          <cell r="Z187" t="str">
            <v/>
          </cell>
          <cell r="AA187" t="str">
            <v/>
          </cell>
          <cell r="AB187" t="str">
            <v/>
          </cell>
          <cell r="AC187" t="str">
            <v/>
          </cell>
          <cell r="AD187">
            <v>742</v>
          </cell>
          <cell r="AE187" t="str">
            <v>ZBTO</v>
          </cell>
        </row>
        <row r="188">
          <cell r="G188" t="str">
            <v>9519028231-12</v>
          </cell>
          <cell r="H188">
            <v>45888</v>
          </cell>
          <cell r="I188" t="str">
            <v>BASEER AND CO</v>
          </cell>
          <cell r="J188">
            <v>2000</v>
          </cell>
          <cell r="K188" t="str">
            <v>Trimming only at RCL</v>
          </cell>
          <cell r="L188">
            <v>6</v>
          </cell>
          <cell r="M188">
            <v>18</v>
          </cell>
          <cell r="N188" t="str">
            <v>CQ</v>
          </cell>
          <cell r="O188">
            <v>1804893</v>
          </cell>
          <cell r="P188" t="str">
            <v>CRCA COIL-TATCRC-TR15-0.45X900</v>
          </cell>
          <cell r="Q188">
            <v>0.45</v>
          </cell>
          <cell r="R188">
            <v>900</v>
          </cell>
          <cell r="S188">
            <v>42</v>
          </cell>
          <cell r="T188">
            <v>0</v>
          </cell>
          <cell r="U188">
            <v>42</v>
          </cell>
          <cell r="V188" t="str">
            <v>C01</v>
          </cell>
          <cell r="W188" t="str">
            <v>TATCRC</v>
          </cell>
          <cell r="X188" t="str">
            <v>TR15</v>
          </cell>
          <cell r="Y188">
            <v>0</v>
          </cell>
          <cell r="Z188" t="str">
            <v/>
          </cell>
          <cell r="AA188" t="str">
            <v/>
          </cell>
          <cell r="AB188" t="str">
            <v/>
          </cell>
          <cell r="AC188" t="str">
            <v/>
          </cell>
          <cell r="AD188">
            <v>742</v>
          </cell>
          <cell r="AE188" t="str">
            <v>ZBTO</v>
          </cell>
        </row>
        <row r="189">
          <cell r="G189" t="str">
            <v>9519028231-13</v>
          </cell>
          <cell r="H189">
            <v>45888</v>
          </cell>
          <cell r="I189" t="str">
            <v>BASEER AND CO</v>
          </cell>
          <cell r="J189">
            <v>2000</v>
          </cell>
          <cell r="K189" t="str">
            <v>Trimming only at RCL</v>
          </cell>
          <cell r="L189">
            <v>6</v>
          </cell>
          <cell r="M189">
            <v>18</v>
          </cell>
          <cell r="N189" t="str">
            <v>CQ</v>
          </cell>
          <cell r="O189">
            <v>2155235</v>
          </cell>
          <cell r="P189" t="str">
            <v>CRCA COIL TATCRC TR15 0.45X1250</v>
          </cell>
          <cell r="Q189">
            <v>0.45</v>
          </cell>
          <cell r="R189">
            <v>1250</v>
          </cell>
          <cell r="S189">
            <v>29</v>
          </cell>
          <cell r="T189">
            <v>0</v>
          </cell>
          <cell r="U189">
            <v>29</v>
          </cell>
          <cell r="V189" t="str">
            <v>C01</v>
          </cell>
          <cell r="W189" t="str">
            <v>TATCRC</v>
          </cell>
          <cell r="X189" t="str">
            <v>TR15</v>
          </cell>
          <cell r="Y189">
            <v>0</v>
          </cell>
          <cell r="Z189" t="str">
            <v/>
          </cell>
          <cell r="AA189" t="str">
            <v/>
          </cell>
          <cell r="AB189" t="str">
            <v/>
          </cell>
          <cell r="AC189" t="str">
            <v/>
          </cell>
          <cell r="AD189">
            <v>742</v>
          </cell>
          <cell r="AE189" t="str">
            <v>ZBTO</v>
          </cell>
        </row>
        <row r="190">
          <cell r="G190" t="str">
            <v>9519028231-14</v>
          </cell>
          <cell r="H190">
            <v>45888</v>
          </cell>
          <cell r="I190" t="str">
            <v>BASEER AND CO</v>
          </cell>
          <cell r="J190">
            <v>2000</v>
          </cell>
          <cell r="K190" t="str">
            <v>Trimming only at RCL</v>
          </cell>
          <cell r="L190">
            <v>6</v>
          </cell>
          <cell r="M190">
            <v>18</v>
          </cell>
          <cell r="N190" t="str">
            <v>CQ</v>
          </cell>
          <cell r="O190">
            <v>1804905</v>
          </cell>
          <cell r="P190" t="str">
            <v>CRCA COIL-TATCRC-TR15-0.5X1000</v>
          </cell>
          <cell r="Q190">
            <v>0.5</v>
          </cell>
          <cell r="R190">
            <v>1000</v>
          </cell>
          <cell r="S190">
            <v>46</v>
          </cell>
          <cell r="T190">
            <v>0</v>
          </cell>
          <cell r="U190">
            <v>46</v>
          </cell>
          <cell r="V190" t="str">
            <v>C01</v>
          </cell>
          <cell r="W190" t="str">
            <v>TATCRC</v>
          </cell>
          <cell r="X190" t="str">
            <v>TR15</v>
          </cell>
          <cell r="Y190">
            <v>0</v>
          </cell>
          <cell r="Z190" t="str">
            <v/>
          </cell>
          <cell r="AA190" t="str">
            <v/>
          </cell>
          <cell r="AB190" t="str">
            <v/>
          </cell>
          <cell r="AC190" t="str">
            <v/>
          </cell>
          <cell r="AD190">
            <v>742</v>
          </cell>
          <cell r="AE190" t="str">
            <v>ZBTO</v>
          </cell>
        </row>
        <row r="191">
          <cell r="G191" t="str">
            <v>9519028231-15</v>
          </cell>
          <cell r="H191">
            <v>45888</v>
          </cell>
          <cell r="I191" t="str">
            <v>BASEER AND CO</v>
          </cell>
          <cell r="J191">
            <v>2000</v>
          </cell>
          <cell r="K191" t="str">
            <v>Trimming only at RCL</v>
          </cell>
          <cell r="L191">
            <v>6</v>
          </cell>
          <cell r="M191">
            <v>18</v>
          </cell>
          <cell r="N191" t="str">
            <v>CQ</v>
          </cell>
          <cell r="O191">
            <v>1804914</v>
          </cell>
          <cell r="P191" t="str">
            <v>CRCA COIL TATCRC TR15 0.6X1000</v>
          </cell>
          <cell r="Q191">
            <v>0.6</v>
          </cell>
          <cell r="R191">
            <v>1000</v>
          </cell>
          <cell r="S191">
            <v>46</v>
          </cell>
          <cell r="T191">
            <v>0</v>
          </cell>
          <cell r="U191">
            <v>46</v>
          </cell>
          <cell r="V191" t="str">
            <v>C01</v>
          </cell>
          <cell r="W191" t="str">
            <v>TATCRC</v>
          </cell>
          <cell r="X191" t="str">
            <v>TR15</v>
          </cell>
          <cell r="Y191">
            <v>0</v>
          </cell>
          <cell r="Z191" t="str">
            <v/>
          </cell>
          <cell r="AA191" t="str">
            <v/>
          </cell>
          <cell r="AB191" t="str">
            <v/>
          </cell>
          <cell r="AC191" t="str">
            <v/>
          </cell>
          <cell r="AD191">
            <v>742</v>
          </cell>
          <cell r="AE191" t="str">
            <v>ZBTO</v>
          </cell>
        </row>
        <row r="192">
          <cell r="G192" t="str">
            <v>9519028231-16</v>
          </cell>
          <cell r="H192">
            <v>45888</v>
          </cell>
          <cell r="I192" t="str">
            <v>BASEER AND CO</v>
          </cell>
          <cell r="J192">
            <v>2000</v>
          </cell>
          <cell r="K192" t="str">
            <v>Trimming at PLTCM</v>
          </cell>
          <cell r="L192">
            <v>2</v>
          </cell>
          <cell r="M192">
            <v>3</v>
          </cell>
          <cell r="N192" t="str">
            <v>D FOR CRCA</v>
          </cell>
          <cell r="O192">
            <v>189865</v>
          </cell>
          <cell r="P192" t="str">
            <v>CRSHEET TATXXD AU03 1.0X1250X2500</v>
          </cell>
          <cell r="Q192">
            <v>1</v>
          </cell>
          <cell r="R192">
            <v>1250</v>
          </cell>
          <cell r="S192">
            <v>29</v>
          </cell>
          <cell r="T192">
            <v>0</v>
          </cell>
          <cell r="U192">
            <v>29</v>
          </cell>
          <cell r="V192" t="str">
            <v>C06</v>
          </cell>
          <cell r="W192" t="str">
            <v>TATXXD</v>
          </cell>
          <cell r="X192" t="str">
            <v>AU03</v>
          </cell>
          <cell r="Y192">
            <v>0</v>
          </cell>
          <cell r="Z192" t="str">
            <v/>
          </cell>
          <cell r="AA192" t="str">
            <v/>
          </cell>
          <cell r="AB192" t="str">
            <v/>
          </cell>
          <cell r="AC192" t="str">
            <v/>
          </cell>
          <cell r="AD192">
            <v>742</v>
          </cell>
          <cell r="AE192" t="str">
            <v>ZBTO</v>
          </cell>
        </row>
        <row r="193">
          <cell r="G193" t="str">
            <v>9519028231-17</v>
          </cell>
          <cell r="H193">
            <v>45888</v>
          </cell>
          <cell r="I193" t="str">
            <v>BASEER AND CO</v>
          </cell>
          <cell r="J193">
            <v>2000</v>
          </cell>
          <cell r="K193" t="str">
            <v>Trimming at PLTCM</v>
          </cell>
          <cell r="L193">
            <v>2</v>
          </cell>
          <cell r="M193">
            <v>3</v>
          </cell>
          <cell r="N193" t="str">
            <v>AU03</v>
          </cell>
          <cell r="O193">
            <v>189866</v>
          </cell>
          <cell r="P193" t="str">
            <v>CRSHEET TATXXD AU03 1.20X1250X2500</v>
          </cell>
          <cell r="Q193">
            <v>1.2</v>
          </cell>
          <cell r="R193">
            <v>1250</v>
          </cell>
          <cell r="S193">
            <v>29</v>
          </cell>
          <cell r="T193">
            <v>0</v>
          </cell>
          <cell r="U193">
            <v>29</v>
          </cell>
          <cell r="V193" t="str">
            <v>C06</v>
          </cell>
          <cell r="W193" t="str">
            <v>TATXXD</v>
          </cell>
          <cell r="X193" t="str">
            <v>AU03</v>
          </cell>
          <cell r="Y193">
            <v>0</v>
          </cell>
          <cell r="Z193" t="str">
            <v/>
          </cell>
          <cell r="AA193" t="str">
            <v/>
          </cell>
          <cell r="AB193" t="str">
            <v/>
          </cell>
          <cell r="AC193" t="str">
            <v/>
          </cell>
          <cell r="AD193">
            <v>742</v>
          </cell>
          <cell r="AE193" t="str">
            <v>ZBTO</v>
          </cell>
        </row>
        <row r="194">
          <cell r="G194" t="str">
            <v>9519028231-18</v>
          </cell>
          <cell r="H194">
            <v>45888</v>
          </cell>
          <cell r="I194" t="str">
            <v>BASEER AND CO</v>
          </cell>
          <cell r="J194">
            <v>2000</v>
          </cell>
          <cell r="K194" t="str">
            <v>Trimming at PLTCM</v>
          </cell>
          <cell r="L194">
            <v>2</v>
          </cell>
          <cell r="M194">
            <v>3</v>
          </cell>
          <cell r="N194" t="str">
            <v>D FOR CRCA</v>
          </cell>
          <cell r="O194">
            <v>3533096</v>
          </cell>
          <cell r="P194" t="str">
            <v>CRSHEET C06 TATXXD AU03 1.6X1250X2500</v>
          </cell>
          <cell r="Q194">
            <v>1.6</v>
          </cell>
          <cell r="R194">
            <v>1250</v>
          </cell>
          <cell r="S194">
            <v>29</v>
          </cell>
          <cell r="T194">
            <v>0</v>
          </cell>
          <cell r="U194">
            <v>29</v>
          </cell>
          <cell r="V194" t="str">
            <v>C06</v>
          </cell>
          <cell r="W194" t="str">
            <v>TATXXD</v>
          </cell>
          <cell r="X194" t="str">
            <v>AU03</v>
          </cell>
          <cell r="Y194">
            <v>0</v>
          </cell>
          <cell r="Z194" t="str">
            <v/>
          </cell>
          <cell r="AA194" t="str">
            <v/>
          </cell>
          <cell r="AB194" t="str">
            <v/>
          </cell>
          <cell r="AC194" t="str">
            <v/>
          </cell>
          <cell r="AD194">
            <v>742</v>
          </cell>
          <cell r="AE194" t="str">
            <v>ZBTO</v>
          </cell>
        </row>
        <row r="195">
          <cell r="G195" t="str">
            <v>9519028231-19</v>
          </cell>
          <cell r="H195">
            <v>45888</v>
          </cell>
          <cell r="I195" t="str">
            <v>BASEER AND CO</v>
          </cell>
          <cell r="J195">
            <v>2000</v>
          </cell>
          <cell r="K195" t="str">
            <v>Trimming at PLTCM</v>
          </cell>
          <cell r="L195">
            <v>2</v>
          </cell>
          <cell r="M195">
            <v>3</v>
          </cell>
          <cell r="N195" t="str">
            <v>D FOR CRCA</v>
          </cell>
          <cell r="O195">
            <v>274376</v>
          </cell>
          <cell r="P195" t="str">
            <v>CRSHEET C06TATXXD AU03 2.0X1250X2500</v>
          </cell>
          <cell r="Q195">
            <v>2</v>
          </cell>
          <cell r="R195">
            <v>1250</v>
          </cell>
          <cell r="S195">
            <v>58</v>
          </cell>
          <cell r="T195">
            <v>0</v>
          </cell>
          <cell r="U195">
            <v>58</v>
          </cell>
          <cell r="V195" t="str">
            <v>C06</v>
          </cell>
          <cell r="W195" t="str">
            <v>TATXXD</v>
          </cell>
          <cell r="X195" t="str">
            <v>AU03</v>
          </cell>
          <cell r="Y195">
            <v>0</v>
          </cell>
          <cell r="Z195" t="str">
            <v/>
          </cell>
          <cell r="AA195" t="str">
            <v/>
          </cell>
          <cell r="AB195" t="str">
            <v/>
          </cell>
          <cell r="AC195" t="str">
            <v/>
          </cell>
          <cell r="AD195">
            <v>742</v>
          </cell>
          <cell r="AE195" t="str">
            <v>ZBTO</v>
          </cell>
        </row>
        <row r="196">
          <cell r="G196" t="str">
            <v>9519028231-24</v>
          </cell>
          <cell r="H196">
            <v>45888</v>
          </cell>
          <cell r="I196" t="str">
            <v>BASEER AND CO</v>
          </cell>
          <cell r="J196">
            <v>2000</v>
          </cell>
          <cell r="K196" t="str">
            <v>Trimming at PLTCM</v>
          </cell>
          <cell r="L196">
            <v>2</v>
          </cell>
          <cell r="M196">
            <v>3</v>
          </cell>
          <cell r="N196" t="str">
            <v>O/D GRADES</v>
          </cell>
          <cell r="O196">
            <v>1805100</v>
          </cell>
          <cell r="P196" t="str">
            <v>CRCA SHEET-TATCRC-TR15-0.3X900X2500</v>
          </cell>
          <cell r="Q196">
            <v>0.3</v>
          </cell>
          <cell r="R196">
            <v>900</v>
          </cell>
          <cell r="S196">
            <v>42</v>
          </cell>
          <cell r="T196">
            <v>0</v>
          </cell>
          <cell r="U196">
            <v>42</v>
          </cell>
          <cell r="V196" t="str">
            <v>C06</v>
          </cell>
          <cell r="W196" t="str">
            <v>TATCRC</v>
          </cell>
          <cell r="X196" t="str">
            <v>TR15</v>
          </cell>
          <cell r="Y196">
            <v>0</v>
          </cell>
          <cell r="Z196" t="str">
            <v/>
          </cell>
          <cell r="AA196" t="str">
            <v/>
          </cell>
          <cell r="AB196" t="str">
            <v/>
          </cell>
          <cell r="AC196" t="str">
            <v/>
          </cell>
          <cell r="AD196">
            <v>742</v>
          </cell>
          <cell r="AE196" t="str">
            <v>ZBTO</v>
          </cell>
        </row>
        <row r="197">
          <cell r="G197" t="str">
            <v>9519028231-25</v>
          </cell>
          <cell r="H197">
            <v>45888</v>
          </cell>
          <cell r="I197" t="str">
            <v>BASEER AND CO</v>
          </cell>
          <cell r="J197">
            <v>2000</v>
          </cell>
          <cell r="K197" t="str">
            <v>Trimming at PLTCM</v>
          </cell>
          <cell r="L197">
            <v>2</v>
          </cell>
          <cell r="M197">
            <v>3</v>
          </cell>
          <cell r="N197" t="str">
            <v>O/D GRADES</v>
          </cell>
          <cell r="O197">
            <v>3241651</v>
          </cell>
          <cell r="P197" t="str">
            <v>CRCA SHEET TATCRC TR15 0.350X1250X2500</v>
          </cell>
          <cell r="Q197">
            <v>0.35</v>
          </cell>
          <cell r="R197">
            <v>1250</v>
          </cell>
          <cell r="S197">
            <v>58</v>
          </cell>
          <cell r="T197">
            <v>0</v>
          </cell>
          <cell r="U197">
            <v>58</v>
          </cell>
          <cell r="V197" t="str">
            <v>C06</v>
          </cell>
          <cell r="W197" t="str">
            <v>TATCRC</v>
          </cell>
          <cell r="X197" t="str">
            <v>TR15</v>
          </cell>
          <cell r="Y197">
            <v>0</v>
          </cell>
          <cell r="Z197" t="str">
            <v/>
          </cell>
          <cell r="AA197" t="str">
            <v/>
          </cell>
          <cell r="AB197" t="str">
            <v/>
          </cell>
          <cell r="AC197" t="str">
            <v/>
          </cell>
          <cell r="AD197">
            <v>742</v>
          </cell>
          <cell r="AE197" t="str">
            <v>ZBTO</v>
          </cell>
        </row>
        <row r="198">
          <cell r="G198" t="str">
            <v>9519028231-26</v>
          </cell>
          <cell r="H198">
            <v>45888</v>
          </cell>
          <cell r="I198" t="str">
            <v>BASEER AND CO</v>
          </cell>
          <cell r="J198">
            <v>2000</v>
          </cell>
          <cell r="K198" t="str">
            <v>Trimming at PLTCM</v>
          </cell>
          <cell r="L198">
            <v>2</v>
          </cell>
          <cell r="M198">
            <v>3</v>
          </cell>
          <cell r="N198" t="str">
            <v>O/D GRADES</v>
          </cell>
          <cell r="O198">
            <v>1155508</v>
          </cell>
          <cell r="P198" t="str">
            <v>CRCA SHEET TATCRC TR15 0.450X1250X2500</v>
          </cell>
          <cell r="Q198">
            <v>0.45</v>
          </cell>
          <cell r="R198">
            <v>1250</v>
          </cell>
          <cell r="S198">
            <v>29</v>
          </cell>
          <cell r="T198">
            <v>0</v>
          </cell>
          <cell r="U198">
            <v>29</v>
          </cell>
          <cell r="V198" t="str">
            <v>C06</v>
          </cell>
          <cell r="W198" t="str">
            <v>TATCRC</v>
          </cell>
          <cell r="X198" t="str">
            <v>TR15</v>
          </cell>
          <cell r="Y198">
            <v>0</v>
          </cell>
          <cell r="Z198" t="str">
            <v/>
          </cell>
          <cell r="AA198" t="str">
            <v/>
          </cell>
          <cell r="AB198" t="str">
            <v/>
          </cell>
          <cell r="AC198" t="str">
            <v/>
          </cell>
          <cell r="AD198">
            <v>742</v>
          </cell>
          <cell r="AE198" t="str">
            <v>ZBTO</v>
          </cell>
        </row>
        <row r="199">
          <cell r="G199" t="str">
            <v>9519028231-27</v>
          </cell>
          <cell r="H199">
            <v>45888</v>
          </cell>
          <cell r="I199" t="str">
            <v>BASEER AND CO</v>
          </cell>
          <cell r="J199">
            <v>2000</v>
          </cell>
          <cell r="K199" t="str">
            <v>Trimming at PLTCM</v>
          </cell>
          <cell r="L199">
            <v>2</v>
          </cell>
          <cell r="M199">
            <v>3</v>
          </cell>
          <cell r="N199" t="str">
            <v>TR15</v>
          </cell>
          <cell r="O199">
            <v>322578</v>
          </cell>
          <cell r="P199" t="str">
            <v>CRCA SHEET TATCRC TR15 .5X1250X2500</v>
          </cell>
          <cell r="Q199">
            <v>0.5</v>
          </cell>
          <cell r="R199">
            <v>1250</v>
          </cell>
          <cell r="S199">
            <v>58</v>
          </cell>
          <cell r="T199">
            <v>0</v>
          </cell>
          <cell r="U199">
            <v>58</v>
          </cell>
          <cell r="V199" t="str">
            <v>C06</v>
          </cell>
          <cell r="W199" t="str">
            <v>TATCRC</v>
          </cell>
          <cell r="X199" t="str">
            <v>TR15</v>
          </cell>
          <cell r="Y199">
            <v>0</v>
          </cell>
          <cell r="Z199" t="str">
            <v/>
          </cell>
          <cell r="AA199" t="str">
            <v/>
          </cell>
          <cell r="AB199" t="str">
            <v/>
          </cell>
          <cell r="AC199" t="str">
            <v/>
          </cell>
          <cell r="AD199">
            <v>742</v>
          </cell>
          <cell r="AE199" t="str">
            <v>ZBTO</v>
          </cell>
        </row>
        <row r="200">
          <cell r="G200" t="str">
            <v>9519028231-28</v>
          </cell>
          <cell r="H200">
            <v>45888</v>
          </cell>
          <cell r="I200" t="str">
            <v>BASEER AND CO</v>
          </cell>
          <cell r="J200">
            <v>2000</v>
          </cell>
          <cell r="K200" t="str">
            <v>Trimming at PLTCM</v>
          </cell>
          <cell r="L200">
            <v>2</v>
          </cell>
          <cell r="M200">
            <v>3</v>
          </cell>
          <cell r="N200" t="str">
            <v>TR15</v>
          </cell>
          <cell r="O200">
            <v>322581</v>
          </cell>
          <cell r="P200" t="str">
            <v>CRCA SHEET TATCRC TR15 0.60X1250X2500</v>
          </cell>
          <cell r="Q200">
            <v>0.6</v>
          </cell>
          <cell r="R200">
            <v>1250</v>
          </cell>
          <cell r="S200">
            <v>29</v>
          </cell>
          <cell r="T200">
            <v>0</v>
          </cell>
          <cell r="U200">
            <v>29</v>
          </cell>
          <cell r="V200" t="str">
            <v>C06</v>
          </cell>
          <cell r="W200" t="str">
            <v>TATCRC</v>
          </cell>
          <cell r="X200" t="str">
            <v>TR15</v>
          </cell>
          <cell r="Y200">
            <v>0</v>
          </cell>
          <cell r="Z200" t="str">
            <v/>
          </cell>
          <cell r="AA200" t="str">
            <v/>
          </cell>
          <cell r="AB200" t="str">
            <v/>
          </cell>
          <cell r="AC200" t="str">
            <v/>
          </cell>
          <cell r="AD200">
            <v>742</v>
          </cell>
          <cell r="AE200" t="str">
            <v>ZBTO</v>
          </cell>
        </row>
        <row r="201">
          <cell r="G201" t="str">
            <v>9519028902-1</v>
          </cell>
          <cell r="H201">
            <v>45888</v>
          </cell>
          <cell r="I201" t="str">
            <v>TATA STEEL DOWNSTREAM PRODUCTS</v>
          </cell>
          <cell r="J201">
            <v>2000</v>
          </cell>
          <cell r="K201" t="str">
            <v>Untrimmed edge</v>
          </cell>
          <cell r="L201">
            <v>13</v>
          </cell>
          <cell r="M201">
            <v>29</v>
          </cell>
          <cell r="N201" t="str">
            <v>DQ</v>
          </cell>
          <cell r="O201">
            <v>2197847</v>
          </cell>
          <cell r="P201" t="str">
            <v>CRCA COIL TATXXD AU03 1.950X1250</v>
          </cell>
          <cell r="Q201">
            <v>1.95</v>
          </cell>
          <cell r="R201">
            <v>1250</v>
          </cell>
          <cell r="S201">
            <v>86</v>
          </cell>
          <cell r="T201">
            <v>0</v>
          </cell>
          <cell r="U201">
            <v>86</v>
          </cell>
          <cell r="V201" t="str">
            <v>C01</v>
          </cell>
          <cell r="W201" t="str">
            <v>TATXXD</v>
          </cell>
          <cell r="X201" t="str">
            <v>AU03</v>
          </cell>
          <cell r="Y201">
            <v>0</v>
          </cell>
          <cell r="Z201" t="str">
            <v/>
          </cell>
          <cell r="AA201" t="str">
            <v/>
          </cell>
          <cell r="AB201" t="str">
            <v/>
          </cell>
          <cell r="AC201" t="str">
            <v/>
          </cell>
          <cell r="AD201">
            <v>742</v>
          </cell>
          <cell r="AE201" t="str">
            <v>ZBTO</v>
          </cell>
        </row>
        <row r="202">
          <cell r="G202" t="str">
            <v>9519031476-1</v>
          </cell>
          <cell r="H202">
            <v>45889</v>
          </cell>
          <cell r="I202" t="str">
            <v>BHARTIA  DISTRIBUTORS PVT. LTD</v>
          </cell>
          <cell r="J202">
            <v>2000</v>
          </cell>
          <cell r="K202" t="str">
            <v>Trimming ( for CRC</v>
          </cell>
          <cell r="L202">
            <v>2.5</v>
          </cell>
          <cell r="M202">
            <v>3</v>
          </cell>
          <cell r="N202" t="str">
            <v>O/D GRADES</v>
          </cell>
          <cell r="O202">
            <v>3239542</v>
          </cell>
          <cell r="P202" t="str">
            <v>CRCA SHEET TATCRC SR16 0.350X1000X2500</v>
          </cell>
          <cell r="Q202">
            <v>0.35</v>
          </cell>
          <cell r="R202">
            <v>1000</v>
          </cell>
          <cell r="S202">
            <v>69</v>
          </cell>
          <cell r="T202">
            <v>0</v>
          </cell>
          <cell r="U202">
            <v>69</v>
          </cell>
          <cell r="V202" t="str">
            <v>C06</v>
          </cell>
          <cell r="W202" t="str">
            <v>TATCRC</v>
          </cell>
          <cell r="X202" t="str">
            <v>SR16</v>
          </cell>
          <cell r="Y202">
            <v>0</v>
          </cell>
          <cell r="Z202" t="str">
            <v/>
          </cell>
          <cell r="AA202" t="str">
            <v/>
          </cell>
          <cell r="AB202" t="str">
            <v/>
          </cell>
          <cell r="AC202" t="str">
            <v/>
          </cell>
          <cell r="AD202">
            <v>742</v>
          </cell>
          <cell r="AE202" t="str">
            <v>ZBTO</v>
          </cell>
        </row>
        <row r="203">
          <cell r="G203" t="str">
            <v>9519031476-2</v>
          </cell>
          <cell r="H203">
            <v>45889</v>
          </cell>
          <cell r="I203" t="str">
            <v>BHARTIA  DISTRIBUTORS PVT. LTD</v>
          </cell>
          <cell r="J203">
            <v>2000</v>
          </cell>
          <cell r="K203" t="str">
            <v>Trimming ( for CRC</v>
          </cell>
          <cell r="L203">
            <v>2.5</v>
          </cell>
          <cell r="M203">
            <v>3</v>
          </cell>
          <cell r="N203" t="str">
            <v>O/D GRADES</v>
          </cell>
          <cell r="O203">
            <v>3239554</v>
          </cell>
          <cell r="P203" t="str">
            <v>CRCA SHEET TATCRC SR16 0.400X1000X2500</v>
          </cell>
          <cell r="Q203">
            <v>0.4</v>
          </cell>
          <cell r="R203">
            <v>1000</v>
          </cell>
          <cell r="S203">
            <v>69</v>
          </cell>
          <cell r="T203">
            <v>0</v>
          </cell>
          <cell r="U203">
            <v>69</v>
          </cell>
          <cell r="V203" t="str">
            <v>C06</v>
          </cell>
          <cell r="W203" t="str">
            <v>TATCRC</v>
          </cell>
          <cell r="X203" t="str">
            <v>SR16</v>
          </cell>
          <cell r="Y203">
            <v>0</v>
          </cell>
          <cell r="Z203" t="str">
            <v/>
          </cell>
          <cell r="AA203" t="str">
            <v/>
          </cell>
          <cell r="AB203" t="str">
            <v/>
          </cell>
          <cell r="AC203" t="str">
            <v/>
          </cell>
          <cell r="AD203">
            <v>742</v>
          </cell>
          <cell r="AE203" t="str">
            <v>ZBTO</v>
          </cell>
        </row>
        <row r="204">
          <cell r="G204" t="str">
            <v>9519031476-3</v>
          </cell>
          <cell r="H204">
            <v>45889</v>
          </cell>
          <cell r="I204" t="str">
            <v>BHARTIA  DISTRIBUTORS PVT. LTD</v>
          </cell>
          <cell r="J204">
            <v>2000</v>
          </cell>
          <cell r="K204" t="str">
            <v>Trimming ( for CRC</v>
          </cell>
          <cell r="L204">
            <v>2.5</v>
          </cell>
          <cell r="M204">
            <v>3</v>
          </cell>
          <cell r="N204" t="str">
            <v>O/D GRADES</v>
          </cell>
          <cell r="O204">
            <v>3240760</v>
          </cell>
          <cell r="P204" t="str">
            <v>CRCA SHEET TSBCRC SR15 0.500X1000X2500</v>
          </cell>
          <cell r="Q204">
            <v>0.5</v>
          </cell>
          <cell r="R204">
            <v>1000</v>
          </cell>
          <cell r="S204">
            <v>23</v>
          </cell>
          <cell r="T204">
            <v>0</v>
          </cell>
          <cell r="U204">
            <v>23</v>
          </cell>
          <cell r="V204" t="str">
            <v>C06</v>
          </cell>
          <cell r="W204" t="str">
            <v>TSBCRC</v>
          </cell>
          <cell r="X204" t="str">
            <v>SR15</v>
          </cell>
          <cell r="Y204">
            <v>0</v>
          </cell>
          <cell r="Z204" t="str">
            <v/>
          </cell>
          <cell r="AA204" t="str">
            <v/>
          </cell>
          <cell r="AB204" t="str">
            <v/>
          </cell>
          <cell r="AC204" t="str">
            <v/>
          </cell>
          <cell r="AD204">
            <v>742</v>
          </cell>
          <cell r="AE204" t="str">
            <v>ZBTO</v>
          </cell>
        </row>
        <row r="205">
          <cell r="G205" t="str">
            <v>9519031476-4</v>
          </cell>
          <cell r="H205">
            <v>45889</v>
          </cell>
          <cell r="I205" t="str">
            <v>BHARTIA  DISTRIBUTORS PVT. LTD</v>
          </cell>
          <cell r="J205">
            <v>2000</v>
          </cell>
          <cell r="K205" t="str">
            <v>Trimming ( for CRC</v>
          </cell>
          <cell r="L205">
            <v>2.5</v>
          </cell>
          <cell r="M205">
            <v>3</v>
          </cell>
          <cell r="N205" t="str">
            <v>O/D GRADES</v>
          </cell>
          <cell r="O205">
            <v>3240778</v>
          </cell>
          <cell r="P205" t="str">
            <v>CRCA SHEET TSBCRC SR15 0.600X1000X2500</v>
          </cell>
          <cell r="Q205">
            <v>0.6</v>
          </cell>
          <cell r="R205">
            <v>1000</v>
          </cell>
          <cell r="S205">
            <v>23</v>
          </cell>
          <cell r="T205">
            <v>0</v>
          </cell>
          <cell r="U205">
            <v>23</v>
          </cell>
          <cell r="V205" t="str">
            <v>C06</v>
          </cell>
          <cell r="W205" t="str">
            <v>TSBCRC</v>
          </cell>
          <cell r="X205" t="str">
            <v>SR15</v>
          </cell>
          <cell r="Y205">
            <v>0</v>
          </cell>
          <cell r="Z205" t="str">
            <v/>
          </cell>
          <cell r="AA205" t="str">
            <v/>
          </cell>
          <cell r="AB205" t="str">
            <v/>
          </cell>
          <cell r="AC205" t="str">
            <v/>
          </cell>
          <cell r="AD205">
            <v>742</v>
          </cell>
          <cell r="AE205" t="str">
            <v>ZBTO</v>
          </cell>
        </row>
        <row r="206">
          <cell r="G206" t="str">
            <v>9519031476-5</v>
          </cell>
          <cell r="H206">
            <v>45889</v>
          </cell>
          <cell r="I206" t="str">
            <v>BHARTIA  DISTRIBUTORS PVT. LTD</v>
          </cell>
          <cell r="J206">
            <v>2000</v>
          </cell>
          <cell r="K206" t="str">
            <v>Trimming ( for CRC</v>
          </cell>
          <cell r="L206">
            <v>2.5</v>
          </cell>
          <cell r="M206">
            <v>3</v>
          </cell>
          <cell r="N206" t="str">
            <v>O/D GRADES</v>
          </cell>
          <cell r="O206">
            <v>3240790</v>
          </cell>
          <cell r="P206" t="str">
            <v>CRCA SHEET TSBCRC SR15 0.700X1000X2500</v>
          </cell>
          <cell r="Q206">
            <v>0.7</v>
          </cell>
          <cell r="R206">
            <v>1000</v>
          </cell>
          <cell r="S206">
            <v>23</v>
          </cell>
          <cell r="T206">
            <v>0</v>
          </cell>
          <cell r="U206">
            <v>23</v>
          </cell>
          <cell r="V206" t="str">
            <v>C06</v>
          </cell>
          <cell r="W206" t="str">
            <v>TSBCRC</v>
          </cell>
          <cell r="X206" t="str">
            <v>SR15</v>
          </cell>
          <cell r="Y206">
            <v>0</v>
          </cell>
          <cell r="Z206" t="str">
            <v/>
          </cell>
          <cell r="AA206" t="str">
            <v/>
          </cell>
          <cell r="AB206" t="str">
            <v/>
          </cell>
          <cell r="AC206" t="str">
            <v/>
          </cell>
          <cell r="AD206">
            <v>742</v>
          </cell>
          <cell r="AE206" t="str">
            <v>ZBTO</v>
          </cell>
        </row>
        <row r="207">
          <cell r="G207" t="str">
            <v>9519031476-6</v>
          </cell>
          <cell r="H207">
            <v>45889</v>
          </cell>
          <cell r="I207" t="str">
            <v>BHARTIA  DISTRIBUTORS PVT. LTD</v>
          </cell>
          <cell r="J207">
            <v>2000</v>
          </cell>
          <cell r="K207" t="str">
            <v>Trimming ( for CRC</v>
          </cell>
          <cell r="L207">
            <v>2.5</v>
          </cell>
          <cell r="M207">
            <v>3</v>
          </cell>
          <cell r="N207" t="str">
            <v>O/D GRADES</v>
          </cell>
          <cell r="O207">
            <v>3240799</v>
          </cell>
          <cell r="P207" t="str">
            <v>CRCA SHEET TSBCRC SR15 0.750X1250X2500</v>
          </cell>
          <cell r="Q207">
            <v>0.75</v>
          </cell>
          <cell r="R207">
            <v>1250</v>
          </cell>
          <cell r="S207">
            <v>29</v>
          </cell>
          <cell r="T207">
            <v>0</v>
          </cell>
          <cell r="U207">
            <v>26.22</v>
          </cell>
          <cell r="V207" t="str">
            <v>C06</v>
          </cell>
          <cell r="W207" t="str">
            <v>TSBCRC</v>
          </cell>
          <cell r="X207" t="str">
            <v>SR15</v>
          </cell>
          <cell r="Y207">
            <v>2.78</v>
          </cell>
          <cell r="Z207" t="str">
            <v/>
          </cell>
          <cell r="AA207" t="str">
            <v/>
          </cell>
          <cell r="AB207" t="str">
            <v/>
          </cell>
          <cell r="AC207" t="str">
            <v/>
          </cell>
          <cell r="AD207">
            <v>742</v>
          </cell>
          <cell r="AE207" t="str">
            <v>ZBTO</v>
          </cell>
        </row>
        <row r="208">
          <cell r="G208" t="str">
            <v>9519031476-7</v>
          </cell>
          <cell r="H208">
            <v>45889</v>
          </cell>
          <cell r="I208" t="str">
            <v>BHARTIA  DISTRIBUTORS PVT. LTD</v>
          </cell>
          <cell r="J208">
            <v>2000</v>
          </cell>
          <cell r="K208" t="str">
            <v>Trimming ( for CRC</v>
          </cell>
          <cell r="L208">
            <v>2.5</v>
          </cell>
          <cell r="M208">
            <v>3</v>
          </cell>
          <cell r="N208" t="str">
            <v>O/D GRADES</v>
          </cell>
          <cell r="O208">
            <v>3240808</v>
          </cell>
          <cell r="P208" t="str">
            <v>CRCA SHEET TSBCRC SR15 0.800X1250X2500</v>
          </cell>
          <cell r="Q208">
            <v>0.8</v>
          </cell>
          <cell r="R208">
            <v>1250</v>
          </cell>
          <cell r="S208">
            <v>29</v>
          </cell>
          <cell r="T208">
            <v>5.4950000000000001</v>
          </cell>
          <cell r="U208">
            <v>6.95</v>
          </cell>
          <cell r="V208" t="str">
            <v>C06</v>
          </cell>
          <cell r="W208" t="str">
            <v>TSBCRC</v>
          </cell>
          <cell r="X208" t="str">
            <v>SR15</v>
          </cell>
          <cell r="Y208">
            <v>22.05</v>
          </cell>
          <cell r="Z208" t="str">
            <v/>
          </cell>
          <cell r="AA208" t="str">
            <v/>
          </cell>
          <cell r="AB208" t="str">
            <v/>
          </cell>
          <cell r="AC208" t="str">
            <v/>
          </cell>
          <cell r="AD208">
            <v>742</v>
          </cell>
          <cell r="AE208" t="str">
            <v>ZBTO</v>
          </cell>
        </row>
        <row r="209">
          <cell r="G209" t="str">
            <v>9519031476-8</v>
          </cell>
          <cell r="H209">
            <v>45889</v>
          </cell>
          <cell r="I209" t="str">
            <v>BHARTIA  DISTRIBUTORS PVT. LTD</v>
          </cell>
          <cell r="J209">
            <v>2000</v>
          </cell>
          <cell r="K209" t="str">
            <v>Trimming ( for CRC</v>
          </cell>
          <cell r="L209">
            <v>2.5</v>
          </cell>
          <cell r="M209">
            <v>3</v>
          </cell>
          <cell r="N209" t="str">
            <v>SR15</v>
          </cell>
          <cell r="O209">
            <v>3240820</v>
          </cell>
          <cell r="P209" t="str">
            <v>CRCA SHEET TSBCRC SR15 0.900X1250X2500</v>
          </cell>
          <cell r="Q209">
            <v>0.9</v>
          </cell>
          <cell r="R209">
            <v>1250</v>
          </cell>
          <cell r="S209">
            <v>29</v>
          </cell>
          <cell r="T209">
            <v>0</v>
          </cell>
          <cell r="U209">
            <v>29</v>
          </cell>
          <cell r="V209" t="str">
            <v>C06</v>
          </cell>
          <cell r="W209" t="str">
            <v>TSBCRC</v>
          </cell>
          <cell r="X209" t="str">
            <v>SR15</v>
          </cell>
          <cell r="Y209">
            <v>0</v>
          </cell>
          <cell r="Z209" t="str">
            <v/>
          </cell>
          <cell r="AA209" t="str">
            <v/>
          </cell>
          <cell r="AB209" t="str">
            <v/>
          </cell>
          <cell r="AC209" t="str">
            <v/>
          </cell>
          <cell r="AD209">
            <v>742</v>
          </cell>
          <cell r="AE209" t="str">
            <v>ZBTO</v>
          </cell>
        </row>
        <row r="210">
          <cell r="G210" t="str">
            <v>9519031476-9</v>
          </cell>
          <cell r="H210">
            <v>45889</v>
          </cell>
          <cell r="I210" t="str">
            <v>BHARTIA  DISTRIBUTORS PVT. LTD</v>
          </cell>
          <cell r="J210">
            <v>2000</v>
          </cell>
          <cell r="K210" t="str">
            <v>Trimming ( for CRC</v>
          </cell>
          <cell r="L210">
            <v>2.5</v>
          </cell>
          <cell r="M210">
            <v>3</v>
          </cell>
          <cell r="N210" t="str">
            <v>O/D GRADES</v>
          </cell>
          <cell r="O210">
            <v>3240842</v>
          </cell>
          <cell r="P210" t="str">
            <v>CRCA SHEET TSBCRC SR15 1X1250X2500</v>
          </cell>
          <cell r="Q210">
            <v>1</v>
          </cell>
          <cell r="R210">
            <v>1250</v>
          </cell>
          <cell r="S210">
            <v>58</v>
          </cell>
          <cell r="T210">
            <v>0</v>
          </cell>
          <cell r="U210">
            <v>31.48</v>
          </cell>
          <cell r="V210" t="str">
            <v>C06</v>
          </cell>
          <cell r="W210" t="str">
            <v>TSBCRC</v>
          </cell>
          <cell r="X210" t="str">
            <v>SR15</v>
          </cell>
          <cell r="Y210">
            <v>26.52</v>
          </cell>
          <cell r="Z210" t="str">
            <v/>
          </cell>
          <cell r="AA210" t="str">
            <v/>
          </cell>
          <cell r="AB210" t="str">
            <v/>
          </cell>
          <cell r="AC210" t="str">
            <v/>
          </cell>
          <cell r="AD210">
            <v>742</v>
          </cell>
          <cell r="AE210" t="str">
            <v>ZBTO</v>
          </cell>
        </row>
        <row r="211">
          <cell r="G211" t="str">
            <v>9519031476-10</v>
          </cell>
          <cell r="H211">
            <v>45889</v>
          </cell>
          <cell r="I211" t="str">
            <v>BHARTIA  DISTRIBUTORS PVT. LTD</v>
          </cell>
          <cell r="J211">
            <v>2000</v>
          </cell>
          <cell r="K211" t="str">
            <v>Trimming ( for CRC</v>
          </cell>
          <cell r="L211">
            <v>2.5</v>
          </cell>
          <cell r="M211">
            <v>3</v>
          </cell>
          <cell r="N211" t="str">
            <v>SR15</v>
          </cell>
          <cell r="O211">
            <v>3240851</v>
          </cell>
          <cell r="P211" t="str">
            <v>CRCA SHEET TSBCRC SR15 1.200X1250X2500</v>
          </cell>
          <cell r="Q211">
            <v>1.2</v>
          </cell>
          <cell r="R211">
            <v>1250</v>
          </cell>
          <cell r="S211">
            <v>58</v>
          </cell>
          <cell r="T211">
            <v>8.3849999999999998</v>
          </cell>
          <cell r="U211">
            <v>7.88</v>
          </cell>
          <cell r="V211" t="str">
            <v>C06</v>
          </cell>
          <cell r="W211" t="str">
            <v>TSBCRC</v>
          </cell>
          <cell r="X211" t="str">
            <v>SR15</v>
          </cell>
          <cell r="Y211">
            <v>50.12</v>
          </cell>
          <cell r="Z211" t="str">
            <v/>
          </cell>
          <cell r="AA211" t="str">
            <v/>
          </cell>
          <cell r="AB211" t="str">
            <v/>
          </cell>
          <cell r="AC211" t="str">
            <v/>
          </cell>
          <cell r="AD211">
            <v>742</v>
          </cell>
          <cell r="AE211" t="str">
            <v>ZBTO</v>
          </cell>
        </row>
        <row r="212">
          <cell r="G212" t="str">
            <v>9519031476-11</v>
          </cell>
          <cell r="H212">
            <v>45889</v>
          </cell>
          <cell r="I212" t="str">
            <v>BHARTIA  DISTRIBUTORS PVT. LTD</v>
          </cell>
          <cell r="J212">
            <v>2000</v>
          </cell>
          <cell r="K212" t="str">
            <v>Trimming ( for CRC</v>
          </cell>
          <cell r="L212">
            <v>2.5</v>
          </cell>
          <cell r="M212">
            <v>3</v>
          </cell>
          <cell r="N212" t="str">
            <v>O/D GRADES</v>
          </cell>
          <cell r="O212">
            <v>3240857</v>
          </cell>
          <cell r="P212" t="str">
            <v>CRCA SHEET TSBCRC SR15 2X1250X2500</v>
          </cell>
          <cell r="Q212">
            <v>2</v>
          </cell>
          <cell r="R212">
            <v>1250</v>
          </cell>
          <cell r="S212">
            <v>29</v>
          </cell>
          <cell r="T212">
            <v>0</v>
          </cell>
          <cell r="U212">
            <v>29</v>
          </cell>
          <cell r="V212" t="str">
            <v>C06</v>
          </cell>
          <cell r="W212" t="str">
            <v>TSBCRC</v>
          </cell>
          <cell r="X212" t="str">
            <v>SR15</v>
          </cell>
          <cell r="Y212">
            <v>0</v>
          </cell>
          <cell r="Z212" t="str">
            <v/>
          </cell>
          <cell r="AA212" t="str">
            <v/>
          </cell>
          <cell r="AB212" t="str">
            <v/>
          </cell>
          <cell r="AC212" t="str">
            <v/>
          </cell>
          <cell r="AD212">
            <v>742</v>
          </cell>
          <cell r="AE212" t="str">
            <v>ZBTO</v>
          </cell>
        </row>
        <row r="213">
          <cell r="G213" t="str">
            <v>9519038135-1</v>
          </cell>
          <cell r="H213">
            <v>45891</v>
          </cell>
          <cell r="I213" t="str">
            <v>SRI BALAJI STEEL TRADERS</v>
          </cell>
          <cell r="J213">
            <v>2000</v>
          </cell>
          <cell r="K213" t="str">
            <v>Untrimmed edge</v>
          </cell>
          <cell r="L213">
            <v>6</v>
          </cell>
          <cell r="M213">
            <v>18</v>
          </cell>
          <cell r="N213" t="str">
            <v>AU03</v>
          </cell>
          <cell r="O213">
            <v>185675</v>
          </cell>
          <cell r="P213" t="str">
            <v>CRCA COIL-TATXXD-AU03-0.5X1250</v>
          </cell>
          <cell r="Q213">
            <v>0.5</v>
          </cell>
          <cell r="R213">
            <v>1250</v>
          </cell>
          <cell r="S213">
            <v>87</v>
          </cell>
          <cell r="T213">
            <v>0</v>
          </cell>
          <cell r="U213">
            <v>87</v>
          </cell>
          <cell r="V213" t="str">
            <v>C01</v>
          </cell>
          <cell r="W213" t="str">
            <v>TATXXD</v>
          </cell>
          <cell r="X213" t="str">
            <v>AU03</v>
          </cell>
          <cell r="Y213">
            <v>0</v>
          </cell>
          <cell r="Z213" t="str">
            <v/>
          </cell>
          <cell r="AA213" t="str">
            <v/>
          </cell>
          <cell r="AB213" t="str">
            <v/>
          </cell>
          <cell r="AC213" t="str">
            <v/>
          </cell>
          <cell r="AD213">
            <v>742</v>
          </cell>
          <cell r="AE213" t="str">
            <v>ZBTO</v>
          </cell>
        </row>
        <row r="214">
          <cell r="G214" t="str">
            <v>9519038135-2</v>
          </cell>
          <cell r="H214">
            <v>45891</v>
          </cell>
          <cell r="I214" t="str">
            <v>SRI BALAJI STEEL TRADERS</v>
          </cell>
          <cell r="J214">
            <v>2000</v>
          </cell>
          <cell r="K214" t="str">
            <v>Untrimmed edge</v>
          </cell>
          <cell r="L214">
            <v>8</v>
          </cell>
          <cell r="M214">
            <v>14</v>
          </cell>
          <cell r="N214" t="str">
            <v>EL06</v>
          </cell>
          <cell r="O214">
            <v>3587949</v>
          </cell>
          <cell r="P214" t="str">
            <v>CR COIL TSBSTA EL06 0.500X1250</v>
          </cell>
          <cell r="Q214">
            <v>0.5</v>
          </cell>
          <cell r="R214">
            <v>1250</v>
          </cell>
          <cell r="S214">
            <v>116</v>
          </cell>
          <cell r="T214">
            <v>0</v>
          </cell>
          <cell r="U214">
            <v>103.26</v>
          </cell>
          <cell r="V214" t="str">
            <v>C01</v>
          </cell>
          <cell r="W214" t="str">
            <v>TSBSTA</v>
          </cell>
          <cell r="X214" t="str">
            <v>EL06</v>
          </cell>
          <cell r="Y214">
            <v>12.74</v>
          </cell>
          <cell r="Z214" t="str">
            <v/>
          </cell>
          <cell r="AA214" t="str">
            <v/>
          </cell>
          <cell r="AB214" t="str">
            <v/>
          </cell>
          <cell r="AC214" t="str">
            <v/>
          </cell>
          <cell r="AD214">
            <v>742</v>
          </cell>
          <cell r="AE214" t="str">
            <v>ZBTO</v>
          </cell>
        </row>
        <row r="215">
          <cell r="G215" t="str">
            <v>9519038135-3</v>
          </cell>
          <cell r="H215">
            <v>45891</v>
          </cell>
          <cell r="I215" t="str">
            <v>SRI BALAJI STEEL TRADERS</v>
          </cell>
          <cell r="J215">
            <v>2000</v>
          </cell>
          <cell r="K215" t="str">
            <v>Untrimmed edge</v>
          </cell>
          <cell r="L215">
            <v>6</v>
          </cell>
          <cell r="M215">
            <v>18</v>
          </cell>
          <cell r="N215" t="str">
            <v>DQ</v>
          </cell>
          <cell r="O215">
            <v>1804854</v>
          </cell>
          <cell r="P215" t="str">
            <v>CRCA COIL-TATXXD-AU03-1.2X1250</v>
          </cell>
          <cell r="Q215">
            <v>1.2</v>
          </cell>
          <cell r="R215">
            <v>1250</v>
          </cell>
          <cell r="S215">
            <v>29</v>
          </cell>
          <cell r="T215">
            <v>0</v>
          </cell>
          <cell r="U215">
            <v>29</v>
          </cell>
          <cell r="V215" t="str">
            <v>C01</v>
          </cell>
          <cell r="W215" t="str">
            <v>TATXXD</v>
          </cell>
          <cell r="X215" t="str">
            <v>AU03</v>
          </cell>
          <cell r="Y215">
            <v>0</v>
          </cell>
          <cell r="Z215" t="str">
            <v/>
          </cell>
          <cell r="AA215" t="str">
            <v/>
          </cell>
          <cell r="AB215" t="str">
            <v/>
          </cell>
          <cell r="AC215" t="str">
            <v/>
          </cell>
          <cell r="AD215">
            <v>742</v>
          </cell>
          <cell r="AE215" t="str">
            <v>ZBTO</v>
          </cell>
        </row>
        <row r="216">
          <cell r="G216" t="str">
            <v>9519038135-4</v>
          </cell>
          <cell r="H216">
            <v>45891</v>
          </cell>
          <cell r="I216" t="str">
            <v>SRI BALAJI STEEL TRADERS</v>
          </cell>
          <cell r="J216">
            <v>2000</v>
          </cell>
          <cell r="K216" t="str">
            <v>Untrimmed edge</v>
          </cell>
          <cell r="L216">
            <v>6</v>
          </cell>
          <cell r="M216">
            <v>18</v>
          </cell>
          <cell r="N216" t="str">
            <v>DQ</v>
          </cell>
          <cell r="O216">
            <v>1804867</v>
          </cell>
          <cell r="P216" t="str">
            <v>CRCA COIL-TATXXD-AU03-1.6X1250</v>
          </cell>
          <cell r="Q216">
            <v>1.6</v>
          </cell>
          <cell r="R216">
            <v>1250</v>
          </cell>
          <cell r="S216">
            <v>29</v>
          </cell>
          <cell r="T216">
            <v>0</v>
          </cell>
          <cell r="U216">
            <v>29</v>
          </cell>
          <cell r="V216" t="str">
            <v>C01</v>
          </cell>
          <cell r="W216" t="str">
            <v>TATXXD</v>
          </cell>
          <cell r="X216" t="str">
            <v>AU03</v>
          </cell>
          <cell r="Y216">
            <v>0</v>
          </cell>
          <cell r="Z216" t="str">
            <v/>
          </cell>
          <cell r="AA216" t="str">
            <v/>
          </cell>
          <cell r="AB216" t="str">
            <v/>
          </cell>
          <cell r="AC216" t="str">
            <v/>
          </cell>
          <cell r="AD216">
            <v>742</v>
          </cell>
          <cell r="AE216" t="str">
            <v>ZBTO</v>
          </cell>
        </row>
        <row r="217">
          <cell r="G217" t="str">
            <v>9519038135-5</v>
          </cell>
          <cell r="H217">
            <v>45891</v>
          </cell>
          <cell r="I217" t="str">
            <v>SRI BALAJI STEEL TRADERS</v>
          </cell>
          <cell r="J217">
            <v>2000</v>
          </cell>
          <cell r="K217" t="str">
            <v>Untrimmed edge</v>
          </cell>
          <cell r="L217">
            <v>6</v>
          </cell>
          <cell r="M217">
            <v>18</v>
          </cell>
          <cell r="N217" t="str">
            <v>AU03</v>
          </cell>
          <cell r="O217">
            <v>1884117</v>
          </cell>
          <cell r="P217" t="str">
            <v>CRCA COIL-TATXXD-AU03-2X1250</v>
          </cell>
          <cell r="Q217">
            <v>2</v>
          </cell>
          <cell r="R217">
            <v>1250</v>
          </cell>
          <cell r="S217">
            <v>58</v>
          </cell>
          <cell r="T217">
            <v>0</v>
          </cell>
          <cell r="U217">
            <v>58</v>
          </cell>
          <cell r="V217" t="str">
            <v>C01</v>
          </cell>
          <cell r="W217" t="str">
            <v>TATXXD</v>
          </cell>
          <cell r="X217" t="str">
            <v>AU03</v>
          </cell>
          <cell r="Y217">
            <v>0</v>
          </cell>
          <cell r="Z217" t="str">
            <v/>
          </cell>
          <cell r="AA217" t="str">
            <v/>
          </cell>
          <cell r="AB217" t="str">
            <v/>
          </cell>
          <cell r="AC217" t="str">
            <v/>
          </cell>
          <cell r="AD217">
            <v>742</v>
          </cell>
          <cell r="AE217" t="str">
            <v>ZBTO</v>
          </cell>
        </row>
        <row r="218">
          <cell r="G218" t="str">
            <v>9519038135-6</v>
          </cell>
          <cell r="H218">
            <v>45891</v>
          </cell>
          <cell r="I218" t="str">
            <v>SRI BALAJI STEEL TRADERS</v>
          </cell>
          <cell r="J218">
            <v>2000</v>
          </cell>
          <cell r="K218" t="str">
            <v>Untrimmed edge</v>
          </cell>
          <cell r="L218">
            <v>6</v>
          </cell>
          <cell r="M218">
            <v>18</v>
          </cell>
          <cell r="N218" t="str">
            <v>DQ</v>
          </cell>
          <cell r="O218">
            <v>2155233</v>
          </cell>
          <cell r="P218" t="str">
            <v>CRCA COIL TATXXD AU03 2.5X1250</v>
          </cell>
          <cell r="Q218">
            <v>2.5</v>
          </cell>
          <cell r="R218">
            <v>1250</v>
          </cell>
          <cell r="S218">
            <v>29</v>
          </cell>
          <cell r="T218">
            <v>0</v>
          </cell>
          <cell r="U218">
            <v>29</v>
          </cell>
          <cell r="V218" t="str">
            <v>C01</v>
          </cell>
          <cell r="W218" t="str">
            <v>TATXXD</v>
          </cell>
          <cell r="X218" t="str">
            <v>AU03</v>
          </cell>
          <cell r="Y218">
            <v>0</v>
          </cell>
          <cell r="Z218" t="str">
            <v/>
          </cell>
          <cell r="AA218" t="str">
            <v/>
          </cell>
          <cell r="AB218" t="str">
            <v/>
          </cell>
          <cell r="AC218" t="str">
            <v/>
          </cell>
          <cell r="AD218">
            <v>742</v>
          </cell>
          <cell r="AE218" t="str">
            <v>ZBTO</v>
          </cell>
        </row>
        <row r="219">
          <cell r="G219" t="str">
            <v>9519038135-7</v>
          </cell>
          <cell r="H219">
            <v>45891</v>
          </cell>
          <cell r="I219" t="str">
            <v>SRI BALAJI STEEL TRADERS</v>
          </cell>
          <cell r="J219">
            <v>2000</v>
          </cell>
          <cell r="K219" t="str">
            <v>Trimming only at RCL</v>
          </cell>
          <cell r="L219">
            <v>2</v>
          </cell>
          <cell r="M219">
            <v>3</v>
          </cell>
          <cell r="N219" t="str">
            <v>AU03</v>
          </cell>
          <cell r="O219">
            <v>279230</v>
          </cell>
          <cell r="P219" t="str">
            <v>CRSHEET TATXXD AU03 0.60X1250X2500</v>
          </cell>
          <cell r="Q219">
            <v>0.6</v>
          </cell>
          <cell r="R219">
            <v>1250</v>
          </cell>
          <cell r="S219">
            <v>58</v>
          </cell>
          <cell r="T219">
            <v>0</v>
          </cell>
          <cell r="U219">
            <v>58</v>
          </cell>
          <cell r="V219" t="str">
            <v>C06</v>
          </cell>
          <cell r="W219" t="str">
            <v>TATXXD</v>
          </cell>
          <cell r="X219" t="str">
            <v>AU03</v>
          </cell>
          <cell r="Y219">
            <v>0</v>
          </cell>
          <cell r="Z219" t="str">
            <v/>
          </cell>
          <cell r="AA219" t="str">
            <v/>
          </cell>
          <cell r="AB219" t="str">
            <v/>
          </cell>
          <cell r="AC219" t="str">
            <v/>
          </cell>
          <cell r="AD219">
            <v>742</v>
          </cell>
          <cell r="AE219" t="str">
            <v>ZBTO</v>
          </cell>
        </row>
        <row r="220">
          <cell r="G220" t="str">
            <v>9519038135-8</v>
          </cell>
          <cell r="H220">
            <v>45891</v>
          </cell>
          <cell r="I220" t="str">
            <v>SRI BALAJI STEEL TRADERS</v>
          </cell>
          <cell r="J220">
            <v>2000</v>
          </cell>
          <cell r="K220" t="str">
            <v>Trimming only at RCL</v>
          </cell>
          <cell r="L220">
            <v>2</v>
          </cell>
          <cell r="M220">
            <v>3</v>
          </cell>
          <cell r="N220" t="str">
            <v>D FOR CRCA</v>
          </cell>
          <cell r="O220">
            <v>353957</v>
          </cell>
          <cell r="P220" t="str">
            <v>CRCA SHEET TATXXD AU03 0.80X1250X2500</v>
          </cell>
          <cell r="Q220">
            <v>0.8</v>
          </cell>
          <cell r="R220">
            <v>1250</v>
          </cell>
          <cell r="S220">
            <v>58</v>
          </cell>
          <cell r="T220">
            <v>0</v>
          </cell>
          <cell r="U220">
            <v>58</v>
          </cell>
          <cell r="V220" t="str">
            <v>C06</v>
          </cell>
          <cell r="W220" t="str">
            <v>TATXXD</v>
          </cell>
          <cell r="X220" t="str">
            <v>AU03</v>
          </cell>
          <cell r="Y220">
            <v>0</v>
          </cell>
          <cell r="Z220" t="str">
            <v/>
          </cell>
          <cell r="AA220" t="str">
            <v/>
          </cell>
          <cell r="AB220" t="str">
            <v/>
          </cell>
          <cell r="AC220" t="str">
            <v/>
          </cell>
          <cell r="AD220">
            <v>742</v>
          </cell>
          <cell r="AE220" t="str">
            <v>ZBTO</v>
          </cell>
        </row>
        <row r="221">
          <cell r="G221" t="str">
            <v>9519038135-9</v>
          </cell>
          <cell r="H221">
            <v>45891</v>
          </cell>
          <cell r="I221" t="str">
            <v>SRI BALAJI STEEL TRADERS</v>
          </cell>
          <cell r="J221">
            <v>2000</v>
          </cell>
          <cell r="K221" t="str">
            <v>Trimming only at RCL</v>
          </cell>
          <cell r="L221">
            <v>2</v>
          </cell>
          <cell r="M221">
            <v>3</v>
          </cell>
          <cell r="N221" t="str">
            <v>D FOR CRCA</v>
          </cell>
          <cell r="O221">
            <v>189865</v>
          </cell>
          <cell r="P221" t="str">
            <v>CRSHEET TATXXD AU03 1.0X1250X2500</v>
          </cell>
          <cell r="Q221">
            <v>1</v>
          </cell>
          <cell r="R221">
            <v>1250</v>
          </cell>
          <cell r="S221">
            <v>29</v>
          </cell>
          <cell r="T221">
            <v>0</v>
          </cell>
          <cell r="U221">
            <v>29</v>
          </cell>
          <cell r="V221" t="str">
            <v>C06</v>
          </cell>
          <cell r="W221" t="str">
            <v>TATXXD</v>
          </cell>
          <cell r="X221" t="str">
            <v>AU03</v>
          </cell>
          <cell r="Y221">
            <v>0</v>
          </cell>
          <cell r="Z221" t="str">
            <v/>
          </cell>
          <cell r="AA221" t="str">
            <v/>
          </cell>
          <cell r="AB221" t="str">
            <v/>
          </cell>
          <cell r="AC221" t="str">
            <v/>
          </cell>
          <cell r="AD221">
            <v>742</v>
          </cell>
          <cell r="AE221" t="str">
            <v>ZBTO</v>
          </cell>
        </row>
        <row r="222">
          <cell r="G222" t="str">
            <v>9519038135-10</v>
          </cell>
          <cell r="H222">
            <v>45891</v>
          </cell>
          <cell r="I222" t="str">
            <v>SRI BALAJI STEEL TRADERS</v>
          </cell>
          <cell r="J222">
            <v>2000</v>
          </cell>
          <cell r="K222" t="str">
            <v>Trimming only at RCL</v>
          </cell>
          <cell r="L222">
            <v>2</v>
          </cell>
          <cell r="M222">
            <v>3</v>
          </cell>
          <cell r="N222" t="str">
            <v>AU03</v>
          </cell>
          <cell r="O222">
            <v>189866</v>
          </cell>
          <cell r="P222" t="str">
            <v>CRSHEET TATXXD AU03 1.20X1250X2500</v>
          </cell>
          <cell r="Q222">
            <v>1.2</v>
          </cell>
          <cell r="R222">
            <v>1250</v>
          </cell>
          <cell r="S222">
            <v>58</v>
          </cell>
          <cell r="T222">
            <v>0</v>
          </cell>
          <cell r="U222">
            <v>58</v>
          </cell>
          <cell r="V222" t="str">
            <v>C06</v>
          </cell>
          <cell r="W222" t="str">
            <v>TATXXD</v>
          </cell>
          <cell r="X222" t="str">
            <v>AU03</v>
          </cell>
          <cell r="Y222">
            <v>0</v>
          </cell>
          <cell r="Z222" t="str">
            <v/>
          </cell>
          <cell r="AA222" t="str">
            <v/>
          </cell>
          <cell r="AB222" t="str">
            <v/>
          </cell>
          <cell r="AC222" t="str">
            <v/>
          </cell>
          <cell r="AD222">
            <v>742</v>
          </cell>
          <cell r="AE222" t="str">
            <v>ZBTO</v>
          </cell>
        </row>
        <row r="223">
          <cell r="G223" t="str">
            <v>9519038135-11</v>
          </cell>
          <cell r="H223">
            <v>45891</v>
          </cell>
          <cell r="I223" t="str">
            <v>SRI BALAJI STEEL TRADERS</v>
          </cell>
          <cell r="J223">
            <v>2000</v>
          </cell>
          <cell r="K223" t="str">
            <v>Trimming only at RCL</v>
          </cell>
          <cell r="L223">
            <v>2</v>
          </cell>
          <cell r="M223">
            <v>3</v>
          </cell>
          <cell r="N223" t="str">
            <v>D FOR CRCA</v>
          </cell>
          <cell r="O223">
            <v>194544</v>
          </cell>
          <cell r="P223" t="str">
            <v>CRSHEET TATXXD AU03 1.50X1250X2500</v>
          </cell>
          <cell r="Q223">
            <v>1.5</v>
          </cell>
          <cell r="R223">
            <v>1250</v>
          </cell>
          <cell r="S223">
            <v>58</v>
          </cell>
          <cell r="T223">
            <v>0</v>
          </cell>
          <cell r="U223">
            <v>58</v>
          </cell>
          <cell r="V223" t="str">
            <v>C06</v>
          </cell>
          <cell r="W223" t="str">
            <v>TATXXD</v>
          </cell>
          <cell r="X223" t="str">
            <v>AU03</v>
          </cell>
          <cell r="Y223">
            <v>0</v>
          </cell>
          <cell r="Z223" t="str">
            <v/>
          </cell>
          <cell r="AA223" t="str">
            <v/>
          </cell>
          <cell r="AB223" t="str">
            <v/>
          </cell>
          <cell r="AC223" t="str">
            <v/>
          </cell>
          <cell r="AD223">
            <v>742</v>
          </cell>
          <cell r="AE223" t="str">
            <v>ZBTO</v>
          </cell>
        </row>
        <row r="224">
          <cell r="G224" t="str">
            <v>9519038135-12</v>
          </cell>
          <cell r="H224">
            <v>45891</v>
          </cell>
          <cell r="I224" t="str">
            <v>SRI BALAJI STEEL TRADERS</v>
          </cell>
          <cell r="J224">
            <v>2000</v>
          </cell>
          <cell r="K224" t="str">
            <v>Trimming only at RCL</v>
          </cell>
          <cell r="L224">
            <v>2</v>
          </cell>
          <cell r="M224">
            <v>3</v>
          </cell>
          <cell r="N224" t="str">
            <v>D FOR CRCA</v>
          </cell>
          <cell r="O224">
            <v>3533096</v>
          </cell>
          <cell r="P224" t="str">
            <v>CRSHEET C06 TATXXD AU03 1.6X1250X2500</v>
          </cell>
          <cell r="Q224">
            <v>1.6</v>
          </cell>
          <cell r="R224">
            <v>1250</v>
          </cell>
          <cell r="S224">
            <v>58</v>
          </cell>
          <cell r="T224">
            <v>0</v>
          </cell>
          <cell r="U224">
            <v>58</v>
          </cell>
          <cell r="V224" t="str">
            <v>C06</v>
          </cell>
          <cell r="W224" t="str">
            <v>TATXXD</v>
          </cell>
          <cell r="X224" t="str">
            <v>AU03</v>
          </cell>
          <cell r="Y224">
            <v>0</v>
          </cell>
          <cell r="Z224" t="str">
            <v/>
          </cell>
          <cell r="AA224" t="str">
            <v/>
          </cell>
          <cell r="AB224" t="str">
            <v/>
          </cell>
          <cell r="AC224" t="str">
            <v/>
          </cell>
          <cell r="AD224">
            <v>742</v>
          </cell>
          <cell r="AE224" t="str">
            <v>ZBTO</v>
          </cell>
        </row>
        <row r="225">
          <cell r="G225" t="str">
            <v>9519038135-13</v>
          </cell>
          <cell r="H225">
            <v>45891</v>
          </cell>
          <cell r="I225" t="str">
            <v>SRI BALAJI STEEL TRADERS</v>
          </cell>
          <cell r="J225">
            <v>2000</v>
          </cell>
          <cell r="K225" t="str">
            <v>Trimming only at RCL</v>
          </cell>
          <cell r="L225">
            <v>2</v>
          </cell>
          <cell r="M225">
            <v>3</v>
          </cell>
          <cell r="N225" t="str">
            <v>D FOR CRCA</v>
          </cell>
          <cell r="O225">
            <v>274376</v>
          </cell>
          <cell r="P225" t="str">
            <v>CRSHEET C06TATXXD AU03 2.0X1250X2500</v>
          </cell>
          <cell r="Q225">
            <v>2</v>
          </cell>
          <cell r="R225">
            <v>1250</v>
          </cell>
          <cell r="S225">
            <v>58</v>
          </cell>
          <cell r="T225">
            <v>0</v>
          </cell>
          <cell r="U225">
            <v>58</v>
          </cell>
          <cell r="V225" t="str">
            <v>C06</v>
          </cell>
          <cell r="W225" t="str">
            <v>TATXXD</v>
          </cell>
          <cell r="X225" t="str">
            <v>AU03</v>
          </cell>
          <cell r="Y225">
            <v>0</v>
          </cell>
          <cell r="Z225" t="str">
            <v/>
          </cell>
          <cell r="AA225" t="str">
            <v/>
          </cell>
          <cell r="AB225" t="str">
            <v/>
          </cell>
          <cell r="AC225" t="str">
            <v/>
          </cell>
          <cell r="AD225">
            <v>742</v>
          </cell>
          <cell r="AE225" t="str">
            <v>ZBTO</v>
          </cell>
        </row>
        <row r="226">
          <cell r="G226" t="str">
            <v>9519038135-14</v>
          </cell>
          <cell r="H226">
            <v>45891</v>
          </cell>
          <cell r="I226" t="str">
            <v>SRI BALAJI STEEL TRADERS</v>
          </cell>
          <cell r="J226">
            <v>2000</v>
          </cell>
          <cell r="K226" t="str">
            <v>Trimming only at RCL</v>
          </cell>
          <cell r="L226">
            <v>2</v>
          </cell>
          <cell r="M226">
            <v>3</v>
          </cell>
          <cell r="N226" t="str">
            <v>D FOR CRCA</v>
          </cell>
          <cell r="O226">
            <v>325986</v>
          </cell>
          <cell r="P226" t="str">
            <v>CRCA SHEET TATXXD AU03 2.5X1250X2500</v>
          </cell>
          <cell r="Q226">
            <v>2.5</v>
          </cell>
          <cell r="R226">
            <v>1250</v>
          </cell>
          <cell r="S226">
            <v>29</v>
          </cell>
          <cell r="T226">
            <v>0</v>
          </cell>
          <cell r="U226">
            <v>29</v>
          </cell>
          <cell r="V226" t="str">
            <v>C06</v>
          </cell>
          <cell r="W226" t="str">
            <v>TATXXD</v>
          </cell>
          <cell r="X226" t="str">
            <v>AU03</v>
          </cell>
          <cell r="Y226">
            <v>0</v>
          </cell>
          <cell r="Z226" t="str">
            <v/>
          </cell>
          <cell r="AA226" t="str">
            <v/>
          </cell>
          <cell r="AB226" t="str">
            <v/>
          </cell>
          <cell r="AC226" t="str">
            <v/>
          </cell>
          <cell r="AD226">
            <v>742</v>
          </cell>
          <cell r="AE226" t="str">
            <v>ZBTO</v>
          </cell>
        </row>
        <row r="227">
          <cell r="G227" t="str">
            <v>9519038607-1</v>
          </cell>
          <cell r="H227">
            <v>45891</v>
          </cell>
          <cell r="I227" t="str">
            <v>BUBNA COMMERCIAL COMPANY</v>
          </cell>
          <cell r="J227">
            <v>2000</v>
          </cell>
          <cell r="K227" t="str">
            <v>Trimming only at RCL</v>
          </cell>
          <cell r="L227">
            <v>5</v>
          </cell>
          <cell r="M227">
            <v>15</v>
          </cell>
          <cell r="N227" t="str">
            <v>O/D GRADES</v>
          </cell>
          <cell r="O227">
            <v>1191955</v>
          </cell>
          <cell r="P227" t="str">
            <v>GP COIL SOFT-TATXGP-GK09-0.3X900</v>
          </cell>
          <cell r="Q227">
            <v>0.3</v>
          </cell>
          <cell r="R227">
            <v>900</v>
          </cell>
          <cell r="S227">
            <v>63</v>
          </cell>
          <cell r="T227">
            <v>0</v>
          </cell>
          <cell r="U227">
            <v>63</v>
          </cell>
          <cell r="V227" t="str">
            <v>C02</v>
          </cell>
          <cell r="W227" t="str">
            <v>TATXGP</v>
          </cell>
          <cell r="X227" t="str">
            <v>GK09</v>
          </cell>
          <cell r="Y227">
            <v>0</v>
          </cell>
          <cell r="Z227" t="str">
            <v/>
          </cell>
          <cell r="AA227" t="str">
            <v/>
          </cell>
          <cell r="AB227" t="str">
            <v/>
          </cell>
          <cell r="AC227" t="str">
            <v/>
          </cell>
          <cell r="AD227">
            <v>743</v>
          </cell>
          <cell r="AE227" t="str">
            <v>ZBTO</v>
          </cell>
        </row>
        <row r="228">
          <cell r="G228" t="str">
            <v>9519038607-2</v>
          </cell>
          <cell r="H228">
            <v>45891</v>
          </cell>
          <cell r="I228" t="str">
            <v>BUBNA COMMERCIAL COMPANY</v>
          </cell>
          <cell r="J228">
            <v>2000</v>
          </cell>
          <cell r="K228" t="str">
            <v>Trimming only at RCL</v>
          </cell>
          <cell r="L228">
            <v>5</v>
          </cell>
          <cell r="M228">
            <v>15</v>
          </cell>
          <cell r="N228" t="str">
            <v>O/D GRADES</v>
          </cell>
          <cell r="O228">
            <v>1142893</v>
          </cell>
          <cell r="P228" t="str">
            <v>GP COIL SOFT-TATXGP-GLK1-0.35X900</v>
          </cell>
          <cell r="Q228">
            <v>0.35</v>
          </cell>
          <cell r="R228">
            <v>900</v>
          </cell>
          <cell r="S228">
            <v>105</v>
          </cell>
          <cell r="T228">
            <v>0</v>
          </cell>
          <cell r="U228">
            <v>105</v>
          </cell>
          <cell r="V228" t="str">
            <v>C02</v>
          </cell>
          <cell r="W228" t="str">
            <v>TATXGP</v>
          </cell>
          <cell r="X228" t="str">
            <v>GLK1</v>
          </cell>
          <cell r="Y228">
            <v>0</v>
          </cell>
          <cell r="Z228" t="str">
            <v/>
          </cell>
          <cell r="AA228" t="str">
            <v/>
          </cell>
          <cell r="AB228" t="str">
            <v/>
          </cell>
          <cell r="AC228" t="str">
            <v/>
          </cell>
          <cell r="AD228">
            <v>743</v>
          </cell>
          <cell r="AE228" t="str">
            <v>ZBTO</v>
          </cell>
        </row>
        <row r="229">
          <cell r="G229" t="str">
            <v>9519038607-3</v>
          </cell>
          <cell r="H229">
            <v>45891</v>
          </cell>
          <cell r="I229" t="str">
            <v>BUBNA COMMERCIAL COMPANY</v>
          </cell>
          <cell r="J229">
            <v>2000</v>
          </cell>
          <cell r="K229" t="str">
            <v>Trimming only at RCL</v>
          </cell>
          <cell r="L229">
            <v>5</v>
          </cell>
          <cell r="M229">
            <v>15</v>
          </cell>
          <cell r="N229" t="str">
            <v>O/D GRADES</v>
          </cell>
          <cell r="O229">
            <v>1142895</v>
          </cell>
          <cell r="P229" t="str">
            <v>GP COIL SOFT-TATXGP-GLK1-0.5X900</v>
          </cell>
          <cell r="Q229">
            <v>0.5</v>
          </cell>
          <cell r="R229">
            <v>900</v>
          </cell>
          <cell r="S229">
            <v>105</v>
          </cell>
          <cell r="T229">
            <v>0</v>
          </cell>
          <cell r="U229">
            <v>105</v>
          </cell>
          <cell r="V229" t="str">
            <v>C02</v>
          </cell>
          <cell r="W229" t="str">
            <v>TATXGP</v>
          </cell>
          <cell r="X229" t="str">
            <v>GLK1</v>
          </cell>
          <cell r="Y229">
            <v>0</v>
          </cell>
          <cell r="Z229" t="str">
            <v/>
          </cell>
          <cell r="AA229" t="str">
            <v/>
          </cell>
          <cell r="AB229" t="str">
            <v/>
          </cell>
          <cell r="AC229" t="str">
            <v/>
          </cell>
          <cell r="AD229">
            <v>743</v>
          </cell>
          <cell r="AE229" t="str">
            <v>ZBTO</v>
          </cell>
        </row>
        <row r="230">
          <cell r="G230" t="str">
            <v>9519038607-4</v>
          </cell>
          <cell r="H230">
            <v>45891</v>
          </cell>
          <cell r="I230" t="str">
            <v>BUBNA COMMERCIAL COMPANY</v>
          </cell>
          <cell r="J230">
            <v>2000</v>
          </cell>
          <cell r="K230" t="str">
            <v>Trimming only at RCL</v>
          </cell>
          <cell r="L230">
            <v>5</v>
          </cell>
          <cell r="M230">
            <v>15</v>
          </cell>
          <cell r="N230" t="str">
            <v>O/D GRADES</v>
          </cell>
          <cell r="O230">
            <v>1142897</v>
          </cell>
          <cell r="P230" t="str">
            <v>GP COIL SOFT-TATXGP-GLK1-0.6X900</v>
          </cell>
          <cell r="Q230">
            <v>0.6</v>
          </cell>
          <cell r="R230">
            <v>900</v>
          </cell>
          <cell r="S230">
            <v>63</v>
          </cell>
          <cell r="T230">
            <v>0</v>
          </cell>
          <cell r="U230">
            <v>63</v>
          </cell>
          <cell r="V230" t="str">
            <v>C02</v>
          </cell>
          <cell r="W230" t="str">
            <v>TATXGP</v>
          </cell>
          <cell r="X230" t="str">
            <v>GLK1</v>
          </cell>
          <cell r="Y230">
            <v>0</v>
          </cell>
          <cell r="Z230" t="str">
            <v/>
          </cell>
          <cell r="AA230" t="str">
            <v/>
          </cell>
          <cell r="AB230" t="str">
            <v/>
          </cell>
          <cell r="AC230" t="str">
            <v/>
          </cell>
          <cell r="AD230">
            <v>743</v>
          </cell>
          <cell r="AE230" t="str">
            <v>ZBTO</v>
          </cell>
        </row>
        <row r="231">
          <cell r="G231" t="str">
            <v>9519038607-5</v>
          </cell>
          <cell r="H231">
            <v>45891</v>
          </cell>
          <cell r="I231" t="str">
            <v>BUBNA COMMERCIAL COMPANY</v>
          </cell>
          <cell r="J231">
            <v>2000</v>
          </cell>
          <cell r="K231" t="str">
            <v>Trimming only at RCL</v>
          </cell>
          <cell r="L231">
            <v>5</v>
          </cell>
          <cell r="M231">
            <v>15</v>
          </cell>
          <cell r="N231" t="str">
            <v>O/D GRADES</v>
          </cell>
          <cell r="O231">
            <v>1300227</v>
          </cell>
          <cell r="P231" t="str">
            <v>GP COIL SOFT-TATXGP-GLK1-0.6X1220</v>
          </cell>
          <cell r="Q231">
            <v>0.6</v>
          </cell>
          <cell r="R231">
            <v>1220</v>
          </cell>
          <cell r="S231">
            <v>56</v>
          </cell>
          <cell r="T231">
            <v>0</v>
          </cell>
          <cell r="U231">
            <v>56</v>
          </cell>
          <cell r="V231" t="str">
            <v>C02</v>
          </cell>
          <cell r="W231" t="str">
            <v>TATXGP</v>
          </cell>
          <cell r="X231" t="str">
            <v>GLK1</v>
          </cell>
          <cell r="Y231">
            <v>0</v>
          </cell>
          <cell r="Z231" t="str">
            <v/>
          </cell>
          <cell r="AA231" t="str">
            <v/>
          </cell>
          <cell r="AB231" t="str">
            <v/>
          </cell>
          <cell r="AC231" t="str">
            <v/>
          </cell>
          <cell r="AD231">
            <v>743</v>
          </cell>
          <cell r="AE231" t="str">
            <v>ZBTO</v>
          </cell>
        </row>
        <row r="232">
          <cell r="G232" t="str">
            <v>9519038643-1</v>
          </cell>
          <cell r="H232">
            <v>45891</v>
          </cell>
          <cell r="I232" t="str">
            <v>BUBNA COMMERCIAL COMPANY</v>
          </cell>
          <cell r="J232">
            <v>2000</v>
          </cell>
          <cell r="K232" t="str">
            <v>Trimming only at RCL</v>
          </cell>
          <cell r="L232">
            <v>5</v>
          </cell>
          <cell r="M232">
            <v>15</v>
          </cell>
          <cell r="N232" t="str">
            <v>O/D GRADES</v>
          </cell>
          <cell r="O232">
            <v>1191955</v>
          </cell>
          <cell r="P232" t="str">
            <v>GP COIL SOFT-TATXGP-GK09-0.3X900</v>
          </cell>
          <cell r="Q232">
            <v>0.3</v>
          </cell>
          <cell r="R232">
            <v>900</v>
          </cell>
          <cell r="S232">
            <v>63</v>
          </cell>
          <cell r="T232">
            <v>0</v>
          </cell>
          <cell r="U232">
            <v>63</v>
          </cell>
          <cell r="V232" t="str">
            <v>C02</v>
          </cell>
          <cell r="W232" t="str">
            <v>TATXGP</v>
          </cell>
          <cell r="X232" t="str">
            <v>GK09</v>
          </cell>
          <cell r="Y232">
            <v>0</v>
          </cell>
          <cell r="Z232" t="str">
            <v/>
          </cell>
          <cell r="AA232" t="str">
            <v/>
          </cell>
          <cell r="AB232" t="str">
            <v/>
          </cell>
          <cell r="AC232" t="str">
            <v/>
          </cell>
          <cell r="AD232">
            <v>743</v>
          </cell>
          <cell r="AE232" t="str">
            <v>ZBTO</v>
          </cell>
        </row>
        <row r="233">
          <cell r="G233" t="str">
            <v>9519038643-2</v>
          </cell>
          <cell r="H233">
            <v>45891</v>
          </cell>
          <cell r="I233" t="str">
            <v>BUBNA COMMERCIAL COMPANY</v>
          </cell>
          <cell r="J233">
            <v>2000</v>
          </cell>
          <cell r="K233" t="str">
            <v>Trimming only at RCL</v>
          </cell>
          <cell r="L233">
            <v>5</v>
          </cell>
          <cell r="M233">
            <v>15</v>
          </cell>
          <cell r="N233" t="str">
            <v>O/D GRADES</v>
          </cell>
          <cell r="O233">
            <v>1191956</v>
          </cell>
          <cell r="P233" t="str">
            <v>GP COIL SOFT-TATXGP-GK09-0.35X900</v>
          </cell>
          <cell r="Q233">
            <v>0.35</v>
          </cell>
          <cell r="R233">
            <v>900</v>
          </cell>
          <cell r="S233">
            <v>105</v>
          </cell>
          <cell r="T233">
            <v>0</v>
          </cell>
          <cell r="U233">
            <v>105</v>
          </cell>
          <cell r="V233" t="str">
            <v>C02</v>
          </cell>
          <cell r="W233" t="str">
            <v>TATXGP</v>
          </cell>
          <cell r="X233" t="str">
            <v>GK09</v>
          </cell>
          <cell r="Y233">
            <v>0</v>
          </cell>
          <cell r="Z233" t="str">
            <v/>
          </cell>
          <cell r="AA233" t="str">
            <v/>
          </cell>
          <cell r="AB233" t="str">
            <v/>
          </cell>
          <cell r="AC233" t="str">
            <v/>
          </cell>
          <cell r="AD233">
            <v>743</v>
          </cell>
          <cell r="AE233" t="str">
            <v>ZBTO</v>
          </cell>
        </row>
        <row r="234">
          <cell r="G234" t="str">
            <v>9519038643-3</v>
          </cell>
          <cell r="H234">
            <v>45891</v>
          </cell>
          <cell r="I234" t="str">
            <v>BUBNA COMMERCIAL COMPANY</v>
          </cell>
          <cell r="J234">
            <v>2000</v>
          </cell>
          <cell r="K234" t="str">
            <v>Trimming only at RCL</v>
          </cell>
          <cell r="L234">
            <v>5</v>
          </cell>
          <cell r="M234">
            <v>15</v>
          </cell>
          <cell r="N234" t="str">
            <v>GK09</v>
          </cell>
          <cell r="O234">
            <v>1178439</v>
          </cell>
          <cell r="P234" t="str">
            <v>GP COIL SOFT-TATXGP-GK09-0.4X900</v>
          </cell>
          <cell r="Q234">
            <v>0.4</v>
          </cell>
          <cell r="R234">
            <v>900</v>
          </cell>
          <cell r="S234">
            <v>105</v>
          </cell>
          <cell r="T234">
            <v>0</v>
          </cell>
          <cell r="U234">
            <v>105</v>
          </cell>
          <cell r="V234" t="str">
            <v>C02</v>
          </cell>
          <cell r="W234" t="str">
            <v>TATXGP</v>
          </cell>
          <cell r="X234" t="str">
            <v>GK09</v>
          </cell>
          <cell r="Y234">
            <v>0</v>
          </cell>
          <cell r="Z234" t="str">
            <v/>
          </cell>
          <cell r="AA234" t="str">
            <v/>
          </cell>
          <cell r="AB234" t="str">
            <v/>
          </cell>
          <cell r="AC234" t="str">
            <v/>
          </cell>
          <cell r="AD234">
            <v>743</v>
          </cell>
          <cell r="AE234" t="str">
            <v>ZBTO</v>
          </cell>
        </row>
        <row r="235">
          <cell r="G235" t="str">
            <v>9519038643-4</v>
          </cell>
          <cell r="H235">
            <v>45891</v>
          </cell>
          <cell r="I235" t="str">
            <v>BUBNA COMMERCIAL COMPANY</v>
          </cell>
          <cell r="J235">
            <v>2000</v>
          </cell>
          <cell r="K235" t="str">
            <v>Trimming only at RCL</v>
          </cell>
          <cell r="L235">
            <v>5</v>
          </cell>
          <cell r="M235">
            <v>15</v>
          </cell>
          <cell r="N235" t="str">
            <v>O/D GRADES</v>
          </cell>
          <cell r="O235">
            <v>1854418</v>
          </cell>
          <cell r="P235" t="str">
            <v>GP COIL SOFT-TATXGP-GK09-0.5X900</v>
          </cell>
          <cell r="Q235">
            <v>0.5</v>
          </cell>
          <cell r="R235">
            <v>900</v>
          </cell>
          <cell r="S235">
            <v>105</v>
          </cell>
          <cell r="T235">
            <v>0</v>
          </cell>
          <cell r="U235">
            <v>105</v>
          </cell>
          <cell r="V235" t="str">
            <v>C02</v>
          </cell>
          <cell r="W235" t="str">
            <v>TATXGP</v>
          </cell>
          <cell r="X235" t="str">
            <v>GK09</v>
          </cell>
          <cell r="Y235">
            <v>0</v>
          </cell>
          <cell r="Z235" t="str">
            <v/>
          </cell>
          <cell r="AA235" t="str">
            <v/>
          </cell>
          <cell r="AB235" t="str">
            <v/>
          </cell>
          <cell r="AC235" t="str">
            <v/>
          </cell>
          <cell r="AD235">
            <v>743</v>
          </cell>
          <cell r="AE235" t="str">
            <v>ZBTO</v>
          </cell>
        </row>
        <row r="236">
          <cell r="G236" t="str">
            <v>9519038643-5</v>
          </cell>
          <cell r="H236">
            <v>45891</v>
          </cell>
          <cell r="I236" t="str">
            <v>BUBNA COMMERCIAL COMPANY</v>
          </cell>
          <cell r="J236">
            <v>2000</v>
          </cell>
          <cell r="K236" t="str">
            <v>Trimming only at RCL</v>
          </cell>
          <cell r="L236">
            <v>5</v>
          </cell>
          <cell r="M236">
            <v>15</v>
          </cell>
          <cell r="N236" t="str">
            <v/>
          </cell>
          <cell r="O236">
            <v>1854424</v>
          </cell>
          <cell r="P236" t="str">
            <v>GP COIL SOFT-TATXGP-GK09-0.6X900</v>
          </cell>
          <cell r="Q236">
            <v>0.6</v>
          </cell>
          <cell r="R236">
            <v>900</v>
          </cell>
          <cell r="S236">
            <v>42</v>
          </cell>
          <cell r="T236">
            <v>0</v>
          </cell>
          <cell r="U236">
            <v>42</v>
          </cell>
          <cell r="V236" t="str">
            <v>C02</v>
          </cell>
          <cell r="W236" t="str">
            <v>TATXGP</v>
          </cell>
          <cell r="X236" t="str">
            <v>GK09</v>
          </cell>
          <cell r="Y236">
            <v>0</v>
          </cell>
          <cell r="Z236" t="str">
            <v/>
          </cell>
          <cell r="AA236" t="str">
            <v/>
          </cell>
          <cell r="AB236" t="str">
            <v/>
          </cell>
          <cell r="AC236" t="str">
            <v/>
          </cell>
          <cell r="AD236">
            <v>743</v>
          </cell>
          <cell r="AE236" t="str">
            <v>ZBTO</v>
          </cell>
        </row>
        <row r="237">
          <cell r="G237" t="str">
            <v>9519051350-1</v>
          </cell>
          <cell r="H237">
            <v>45895</v>
          </cell>
          <cell r="I237" t="str">
            <v>O.V.S. ISPAT UDYOG</v>
          </cell>
          <cell r="J237">
            <v>2000</v>
          </cell>
          <cell r="K237" t="str">
            <v>Trimming at PLTCM</v>
          </cell>
          <cell r="L237">
            <v>2.5</v>
          </cell>
          <cell r="M237">
            <v>3</v>
          </cell>
          <cell r="N237" t="str">
            <v>SR16</v>
          </cell>
          <cell r="O237">
            <v>3239557</v>
          </cell>
          <cell r="P237" t="str">
            <v>CRCA SHEET TATCRC SR16 0.400X1250X2500</v>
          </cell>
          <cell r="Q237">
            <v>0.4</v>
          </cell>
          <cell r="R237">
            <v>1250</v>
          </cell>
          <cell r="S237">
            <v>29</v>
          </cell>
          <cell r="T237">
            <v>0</v>
          </cell>
          <cell r="U237">
            <v>29</v>
          </cell>
          <cell r="V237" t="str">
            <v>C06</v>
          </cell>
          <cell r="W237" t="str">
            <v>TATCRC</v>
          </cell>
          <cell r="X237" t="str">
            <v>SR16</v>
          </cell>
          <cell r="Y237">
            <v>0</v>
          </cell>
          <cell r="Z237" t="str">
            <v/>
          </cell>
          <cell r="AA237" t="str">
            <v/>
          </cell>
          <cell r="AB237" t="str">
            <v/>
          </cell>
          <cell r="AC237" t="str">
            <v/>
          </cell>
          <cell r="AD237">
            <v>742</v>
          </cell>
          <cell r="AE237" t="str">
            <v>ZBTO</v>
          </cell>
        </row>
        <row r="238">
          <cell r="G238" t="str">
            <v>9519051350-2</v>
          </cell>
          <cell r="H238">
            <v>45895</v>
          </cell>
          <cell r="I238" t="str">
            <v>O.V.S. ISPAT UDYOG</v>
          </cell>
          <cell r="J238">
            <v>2000</v>
          </cell>
          <cell r="K238" t="str">
            <v>Trimming at PLTCM</v>
          </cell>
          <cell r="L238">
            <v>2.5</v>
          </cell>
          <cell r="M238">
            <v>3</v>
          </cell>
          <cell r="N238" t="str">
            <v>TR15</v>
          </cell>
          <cell r="O238">
            <v>322575</v>
          </cell>
          <cell r="P238" t="str">
            <v>CRCA SHEET TATCRC TR15 .7X1250X2500</v>
          </cell>
          <cell r="Q238">
            <v>0.7</v>
          </cell>
          <cell r="R238">
            <v>1250</v>
          </cell>
          <cell r="S238">
            <v>29</v>
          </cell>
          <cell r="T238">
            <v>0</v>
          </cell>
          <cell r="U238">
            <v>29</v>
          </cell>
          <cell r="V238" t="str">
            <v>C06</v>
          </cell>
          <cell r="W238" t="str">
            <v>TATCRC</v>
          </cell>
          <cell r="X238" t="str">
            <v>TR15</v>
          </cell>
          <cell r="Y238">
            <v>0</v>
          </cell>
          <cell r="Z238" t="str">
            <v/>
          </cell>
          <cell r="AA238" t="str">
            <v/>
          </cell>
          <cell r="AB238" t="str">
            <v/>
          </cell>
          <cell r="AC238" t="str">
            <v/>
          </cell>
          <cell r="AD238">
            <v>742</v>
          </cell>
          <cell r="AE238" t="str">
            <v>ZBTO</v>
          </cell>
        </row>
        <row r="239">
          <cell r="G239" t="str">
            <v>9519054666-1</v>
          </cell>
          <cell r="H239">
            <v>45896</v>
          </cell>
          <cell r="I239" t="str">
            <v>SAGAR STEELS PROCESSING &amp; MANU</v>
          </cell>
          <cell r="J239">
            <v>2000</v>
          </cell>
          <cell r="K239" t="str">
            <v>Trimming only at RCL</v>
          </cell>
          <cell r="L239">
            <v>6</v>
          </cell>
          <cell r="M239">
            <v>24</v>
          </cell>
          <cell r="N239" t="str">
            <v>O/D GRADES</v>
          </cell>
          <cell r="O239">
            <v>1854416</v>
          </cell>
          <cell r="P239" t="str">
            <v>GP COIL SOFT-TATXGP-GLK1-0.45X1220</v>
          </cell>
          <cell r="Q239">
            <v>0.45</v>
          </cell>
          <cell r="R239">
            <v>1220</v>
          </cell>
          <cell r="S239">
            <v>1E-3</v>
          </cell>
          <cell r="T239">
            <v>0</v>
          </cell>
          <cell r="U239">
            <v>1E-3</v>
          </cell>
          <cell r="V239" t="str">
            <v>C02</v>
          </cell>
          <cell r="W239" t="str">
            <v>TATXGP</v>
          </cell>
          <cell r="X239" t="str">
            <v>GLK1</v>
          </cell>
          <cell r="Y239">
            <v>0</v>
          </cell>
          <cell r="Z239" t="str">
            <v/>
          </cell>
          <cell r="AA239" t="str">
            <v/>
          </cell>
          <cell r="AB239" t="str">
            <v/>
          </cell>
          <cell r="AC239" t="str">
            <v/>
          </cell>
          <cell r="AD239">
            <v>743</v>
          </cell>
          <cell r="AE239" t="str">
            <v>ZBTO</v>
          </cell>
        </row>
        <row r="240">
          <cell r="G240" t="str">
            <v>9519054666-2</v>
          </cell>
          <cell r="H240">
            <v>45896</v>
          </cell>
          <cell r="I240" t="str">
            <v>SAGAR STEELS PROCESSING &amp; MANU</v>
          </cell>
          <cell r="J240">
            <v>2000</v>
          </cell>
          <cell r="K240" t="str">
            <v>Trimming only at RCL</v>
          </cell>
          <cell r="L240">
            <v>6</v>
          </cell>
          <cell r="M240">
            <v>24</v>
          </cell>
          <cell r="N240" t="str">
            <v>O/D GRADES</v>
          </cell>
          <cell r="O240">
            <v>1300229</v>
          </cell>
          <cell r="P240" t="str">
            <v>GP COIL SOFT-TATXGP-GLK1-0.4X1220</v>
          </cell>
          <cell r="Q240">
            <v>0.4</v>
          </cell>
          <cell r="R240">
            <v>1220</v>
          </cell>
          <cell r="S240">
            <v>112</v>
          </cell>
          <cell r="T240">
            <v>0</v>
          </cell>
          <cell r="U240">
            <v>57.395000000000003</v>
          </cell>
          <cell r="V240" t="str">
            <v>C02</v>
          </cell>
          <cell r="W240" t="str">
            <v>TATXGP</v>
          </cell>
          <cell r="X240" t="str">
            <v>GLK1</v>
          </cell>
          <cell r="Y240">
            <v>54.604999999999997</v>
          </cell>
          <cell r="Z240" t="str">
            <v/>
          </cell>
          <cell r="AA240" t="str">
            <v/>
          </cell>
          <cell r="AB240" t="str">
            <v/>
          </cell>
          <cell r="AC240" t="str">
            <v/>
          </cell>
          <cell r="AD240">
            <v>743</v>
          </cell>
          <cell r="AE240" t="str">
            <v>ZBTO</v>
          </cell>
        </row>
        <row r="241">
          <cell r="G241" t="str">
            <v>9519054666-3</v>
          </cell>
          <cell r="H241">
            <v>45896</v>
          </cell>
          <cell r="I241" t="str">
            <v>SAGAR STEELS PROCESSING &amp; MANU</v>
          </cell>
          <cell r="J241">
            <v>2000</v>
          </cell>
          <cell r="K241" t="str">
            <v>Trimming only at RCL</v>
          </cell>
          <cell r="L241">
            <v>6</v>
          </cell>
          <cell r="M241">
            <v>24</v>
          </cell>
          <cell r="N241" t="str">
            <v>GLK1</v>
          </cell>
          <cell r="O241">
            <v>2233645</v>
          </cell>
          <cell r="P241" t="str">
            <v>GP COIL SOFT TATXGP GLK1 0.35X1220</v>
          </cell>
          <cell r="Q241">
            <v>0.35</v>
          </cell>
          <cell r="R241">
            <v>1220</v>
          </cell>
          <cell r="S241">
            <v>112</v>
          </cell>
          <cell r="T241">
            <v>0</v>
          </cell>
          <cell r="U241">
            <v>3.82</v>
          </cell>
          <cell r="V241" t="str">
            <v>C02</v>
          </cell>
          <cell r="W241" t="str">
            <v>TATXGP</v>
          </cell>
          <cell r="X241" t="str">
            <v>GLK1</v>
          </cell>
          <cell r="Y241">
            <v>108.18</v>
          </cell>
          <cell r="Z241" t="str">
            <v/>
          </cell>
          <cell r="AA241" t="str">
            <v/>
          </cell>
          <cell r="AB241" t="str">
            <v/>
          </cell>
          <cell r="AC241" t="str">
            <v/>
          </cell>
          <cell r="AD241">
            <v>743</v>
          </cell>
          <cell r="AE241" t="str">
            <v>ZBTO</v>
          </cell>
        </row>
        <row r="242">
          <cell r="G242" t="str">
            <v>9519054666-4</v>
          </cell>
          <cell r="H242">
            <v>45896</v>
          </cell>
          <cell r="I242" t="str">
            <v>SAGAR STEELS PROCESSING &amp; MANU</v>
          </cell>
          <cell r="J242">
            <v>2000</v>
          </cell>
          <cell r="K242" t="str">
            <v>Trimming only at RCL</v>
          </cell>
          <cell r="L242">
            <v>6</v>
          </cell>
          <cell r="M242">
            <v>24</v>
          </cell>
          <cell r="N242" t="str">
            <v>O/D GRADES</v>
          </cell>
          <cell r="O242">
            <v>4035700</v>
          </cell>
          <cell r="P242" t="str">
            <v>GP COIL TATXGP GLK1 0.330X900</v>
          </cell>
          <cell r="Q242">
            <v>0.33</v>
          </cell>
          <cell r="R242">
            <v>900</v>
          </cell>
          <cell r="S242">
            <v>42</v>
          </cell>
          <cell r="T242">
            <v>0</v>
          </cell>
          <cell r="U242">
            <v>42</v>
          </cell>
          <cell r="V242" t="str">
            <v>C02</v>
          </cell>
          <cell r="W242" t="str">
            <v>TATXGP</v>
          </cell>
          <cell r="X242" t="str">
            <v>GLK1</v>
          </cell>
          <cell r="Y242">
            <v>0</v>
          </cell>
          <cell r="Z242" t="str">
            <v/>
          </cell>
          <cell r="AA242" t="str">
            <v/>
          </cell>
          <cell r="AB242" t="str">
            <v/>
          </cell>
          <cell r="AC242" t="str">
            <v/>
          </cell>
          <cell r="AD242">
            <v>743</v>
          </cell>
          <cell r="AE242" t="str">
            <v>ZBTO</v>
          </cell>
        </row>
        <row r="243">
          <cell r="G243" t="str">
            <v>9519054666-5</v>
          </cell>
          <cell r="H243">
            <v>45896</v>
          </cell>
          <cell r="I243" t="str">
            <v>SAGAR STEELS PROCESSING &amp; MANU</v>
          </cell>
          <cell r="J243">
            <v>2000</v>
          </cell>
          <cell r="K243" t="str">
            <v>Untrimmed edge</v>
          </cell>
          <cell r="L243">
            <v>6</v>
          </cell>
          <cell r="M243">
            <v>24</v>
          </cell>
          <cell r="N243" t="str">
            <v>O/D GRADES</v>
          </cell>
          <cell r="O243">
            <v>1851074</v>
          </cell>
          <cell r="P243" t="str">
            <v>GP COIL SOFT-TATXGP-GLK1-0.28X900</v>
          </cell>
          <cell r="Q243">
            <v>0.28000000000000003</v>
          </cell>
          <cell r="R243">
            <v>900</v>
          </cell>
          <cell r="S243">
            <v>1E-3</v>
          </cell>
          <cell r="T243">
            <v>0</v>
          </cell>
          <cell r="U243">
            <v>1E-3</v>
          </cell>
          <cell r="V243" t="str">
            <v>C02</v>
          </cell>
          <cell r="W243" t="str">
            <v>TATXGP</v>
          </cell>
          <cell r="X243" t="str">
            <v>GLK1</v>
          </cell>
          <cell r="Y243">
            <v>0</v>
          </cell>
          <cell r="Z243" t="str">
            <v/>
          </cell>
          <cell r="AA243" t="str">
            <v/>
          </cell>
          <cell r="AB243" t="str">
            <v/>
          </cell>
          <cell r="AC243" t="str">
            <v/>
          </cell>
          <cell r="AD243">
            <v>743</v>
          </cell>
          <cell r="AE243" t="str">
            <v>ZBTO</v>
          </cell>
        </row>
        <row r="244">
          <cell r="G244" t="str">
            <v>9519054666-6</v>
          </cell>
          <cell r="H244">
            <v>45896</v>
          </cell>
          <cell r="I244" t="str">
            <v>SAGAR STEELS PROCESSING &amp; MANU</v>
          </cell>
          <cell r="J244">
            <v>2000</v>
          </cell>
          <cell r="K244" t="str">
            <v>Trimming only at RCL</v>
          </cell>
          <cell r="L244">
            <v>6</v>
          </cell>
          <cell r="M244">
            <v>24</v>
          </cell>
          <cell r="N244" t="str">
            <v>O/D GRADES</v>
          </cell>
          <cell r="O244">
            <v>1300230</v>
          </cell>
          <cell r="P244" t="str">
            <v>GP COIL SOFT-TATXGP-GLK1-0.3X1220</v>
          </cell>
          <cell r="Q244">
            <v>0.3</v>
          </cell>
          <cell r="R244">
            <v>1220</v>
          </cell>
          <cell r="S244">
            <v>1E-3</v>
          </cell>
          <cell r="T244">
            <v>0</v>
          </cell>
          <cell r="U244">
            <v>1E-3</v>
          </cell>
          <cell r="V244" t="str">
            <v>C02</v>
          </cell>
          <cell r="W244" t="str">
            <v>TATXGP</v>
          </cell>
          <cell r="X244" t="str">
            <v>GLK1</v>
          </cell>
          <cell r="Y244">
            <v>0</v>
          </cell>
          <cell r="Z244" t="str">
            <v/>
          </cell>
          <cell r="AA244" t="str">
            <v/>
          </cell>
          <cell r="AB244" t="str">
            <v/>
          </cell>
          <cell r="AC244" t="str">
            <v/>
          </cell>
          <cell r="AD244">
            <v>743</v>
          </cell>
          <cell r="AE244" t="str">
            <v>ZBTO</v>
          </cell>
        </row>
        <row r="245">
          <cell r="G245" t="str">
            <v>9519057594-1</v>
          </cell>
          <cell r="H245">
            <v>45897</v>
          </cell>
          <cell r="I245" t="str">
            <v>SAGAR STEELS</v>
          </cell>
          <cell r="J245">
            <v>2000</v>
          </cell>
          <cell r="K245" t="str">
            <v>Trimming ( for CRC</v>
          </cell>
          <cell r="L245">
            <v>2</v>
          </cell>
          <cell r="M245">
            <v>3</v>
          </cell>
          <cell r="N245" t="str">
            <v>O/D GRADES</v>
          </cell>
          <cell r="O245">
            <v>3239408</v>
          </cell>
          <cell r="P245" t="str">
            <v>CRCA SHEET TATCRC SR16 0.300X900X2500</v>
          </cell>
          <cell r="Q245">
            <v>0.3</v>
          </cell>
          <cell r="R245">
            <v>900</v>
          </cell>
          <cell r="S245">
            <v>20.99</v>
          </cell>
          <cell r="T245">
            <v>0</v>
          </cell>
          <cell r="U245">
            <v>20.99</v>
          </cell>
          <cell r="V245" t="str">
            <v>C06</v>
          </cell>
          <cell r="W245" t="str">
            <v>TATCRC</v>
          </cell>
          <cell r="X245" t="str">
            <v>SR16</v>
          </cell>
          <cell r="Y245">
            <v>0</v>
          </cell>
          <cell r="Z245" t="str">
            <v/>
          </cell>
          <cell r="AA245" t="str">
            <v/>
          </cell>
          <cell r="AB245" t="str">
            <v/>
          </cell>
          <cell r="AC245" t="str">
            <v/>
          </cell>
          <cell r="AD245">
            <v>742</v>
          </cell>
          <cell r="AE245" t="str">
            <v>ZBTO</v>
          </cell>
        </row>
        <row r="246">
          <cell r="G246" t="str">
            <v>9519060675-1</v>
          </cell>
          <cell r="H246">
            <v>45898</v>
          </cell>
          <cell r="I246" t="str">
            <v>DURGA STEEL INDUSTRIES</v>
          </cell>
          <cell r="J246">
            <v>2000</v>
          </cell>
          <cell r="K246" t="str">
            <v>Untrimmed edge</v>
          </cell>
          <cell r="L246">
            <v>15</v>
          </cell>
          <cell r="M246">
            <v>29</v>
          </cell>
          <cell r="N246" t="str">
            <v>GR1</v>
          </cell>
          <cell r="O246">
            <v>1224970</v>
          </cell>
          <cell r="P246" t="str">
            <v>HR COILS-PO IS 1079 HR2 1.60X1250</v>
          </cell>
          <cell r="Q246">
            <v>1.6</v>
          </cell>
          <cell r="R246">
            <v>1250</v>
          </cell>
          <cell r="S246">
            <v>87</v>
          </cell>
          <cell r="T246">
            <v>0</v>
          </cell>
          <cell r="U246">
            <v>87</v>
          </cell>
          <cell r="V246">
            <v>768</v>
          </cell>
          <cell r="W246" t="str">
            <v>THR099</v>
          </cell>
          <cell r="X246" t="str">
            <v>HR99</v>
          </cell>
          <cell r="Y246">
            <v>0</v>
          </cell>
          <cell r="Z246" t="str">
            <v/>
          </cell>
          <cell r="AA246" t="str">
            <v/>
          </cell>
          <cell r="AB246" t="str">
            <v/>
          </cell>
          <cell r="AC246" t="str">
            <v/>
          </cell>
          <cell r="AD246">
            <v>742</v>
          </cell>
          <cell r="AE246" t="str">
            <v>ZBTO</v>
          </cell>
        </row>
        <row r="247">
          <cell r="G247" t="str">
            <v>9519060675-2</v>
          </cell>
          <cell r="H247">
            <v>45898</v>
          </cell>
          <cell r="I247" t="str">
            <v>DURGA STEEL INDUSTRIES</v>
          </cell>
          <cell r="J247">
            <v>2000</v>
          </cell>
          <cell r="K247" t="str">
            <v>Untrimmed edge</v>
          </cell>
          <cell r="L247">
            <v>15</v>
          </cell>
          <cell r="M247">
            <v>29</v>
          </cell>
          <cell r="N247" t="str">
            <v>GR1</v>
          </cell>
          <cell r="O247">
            <v>1210083</v>
          </cell>
          <cell r="P247" t="str">
            <v>HR COILS-PO IS 1079 HR2 2X1250</v>
          </cell>
          <cell r="Q247">
            <v>2</v>
          </cell>
          <cell r="R247">
            <v>1250</v>
          </cell>
          <cell r="S247">
            <v>87</v>
          </cell>
          <cell r="T247">
            <v>0</v>
          </cell>
          <cell r="U247">
            <v>87</v>
          </cell>
          <cell r="V247">
            <v>768</v>
          </cell>
          <cell r="W247" t="str">
            <v>THR099</v>
          </cell>
          <cell r="X247" t="str">
            <v>HR99</v>
          </cell>
          <cell r="Y247">
            <v>0</v>
          </cell>
          <cell r="Z247" t="str">
            <v/>
          </cell>
          <cell r="AA247" t="str">
            <v/>
          </cell>
          <cell r="AB247" t="str">
            <v/>
          </cell>
          <cell r="AC247" t="str">
            <v/>
          </cell>
          <cell r="AD247">
            <v>742</v>
          </cell>
          <cell r="AE247" t="str">
            <v>ZBTO</v>
          </cell>
        </row>
        <row r="248">
          <cell r="G248" t="str">
            <v>9519060675-3</v>
          </cell>
          <cell r="H248">
            <v>45898</v>
          </cell>
          <cell r="I248" t="str">
            <v>DURGA STEEL INDUSTRIES</v>
          </cell>
          <cell r="J248">
            <v>2000</v>
          </cell>
          <cell r="K248" t="str">
            <v>Untrimmed edge</v>
          </cell>
          <cell r="L248">
            <v>15</v>
          </cell>
          <cell r="M248">
            <v>29</v>
          </cell>
          <cell r="N248" t="str">
            <v>GR1</v>
          </cell>
          <cell r="O248">
            <v>1294719</v>
          </cell>
          <cell r="P248" t="str">
            <v>HR COILS-POIS 1079 HR2  2.90X1250</v>
          </cell>
          <cell r="Q248">
            <v>2.9</v>
          </cell>
          <cell r="R248">
            <v>1250</v>
          </cell>
          <cell r="S248">
            <v>87</v>
          </cell>
          <cell r="T248">
            <v>0</v>
          </cell>
          <cell r="U248">
            <v>87</v>
          </cell>
          <cell r="V248">
            <v>768</v>
          </cell>
          <cell r="W248" t="str">
            <v>THR099</v>
          </cell>
          <cell r="X248" t="str">
            <v>HR99</v>
          </cell>
          <cell r="Y248">
            <v>0</v>
          </cell>
          <cell r="Z248" t="str">
            <v/>
          </cell>
          <cell r="AA248" t="str">
            <v/>
          </cell>
          <cell r="AB248" t="str">
            <v/>
          </cell>
          <cell r="AC248" t="str">
            <v/>
          </cell>
          <cell r="AD248">
            <v>742</v>
          </cell>
          <cell r="AE248" t="str">
            <v>ZBTO</v>
          </cell>
        </row>
        <row r="249">
          <cell r="G249" t="str">
            <v>9519060675-4</v>
          </cell>
          <cell r="H249">
            <v>45898</v>
          </cell>
          <cell r="I249" t="str">
            <v>DURGA STEEL INDUSTRIES</v>
          </cell>
          <cell r="J249">
            <v>2000</v>
          </cell>
          <cell r="K249" t="str">
            <v>Untrimmed edge</v>
          </cell>
          <cell r="L249">
            <v>15</v>
          </cell>
          <cell r="M249">
            <v>29</v>
          </cell>
          <cell r="N249" t="str">
            <v>GR1</v>
          </cell>
          <cell r="O249">
            <v>1252834</v>
          </cell>
          <cell r="P249" t="str">
            <v>HR COILS-PO IS 1079 HR2 3.0X1250</v>
          </cell>
          <cell r="Q249">
            <v>3</v>
          </cell>
          <cell r="R249">
            <v>1250</v>
          </cell>
          <cell r="S249">
            <v>87</v>
          </cell>
          <cell r="T249">
            <v>0</v>
          </cell>
          <cell r="U249">
            <v>87</v>
          </cell>
          <cell r="V249">
            <v>768</v>
          </cell>
          <cell r="W249" t="str">
            <v>THR099</v>
          </cell>
          <cell r="X249" t="str">
            <v>HR99</v>
          </cell>
          <cell r="Y249">
            <v>0</v>
          </cell>
          <cell r="Z249" t="str">
            <v/>
          </cell>
          <cell r="AA249" t="str">
            <v/>
          </cell>
          <cell r="AB249" t="str">
            <v/>
          </cell>
          <cell r="AC249" t="str">
            <v/>
          </cell>
          <cell r="AD249">
            <v>742</v>
          </cell>
          <cell r="AE249" t="str">
            <v>ZBTO</v>
          </cell>
        </row>
        <row r="250">
          <cell r="G250" t="str">
            <v>9519060675-5</v>
          </cell>
          <cell r="H250">
            <v>45898</v>
          </cell>
          <cell r="I250" t="str">
            <v>DURGA STEEL INDUSTRIES</v>
          </cell>
          <cell r="J250">
            <v>2000</v>
          </cell>
          <cell r="K250" t="str">
            <v>Untrimmed edge</v>
          </cell>
          <cell r="L250">
            <v>15</v>
          </cell>
          <cell r="M250">
            <v>29</v>
          </cell>
          <cell r="N250" t="str">
            <v>GR1</v>
          </cell>
          <cell r="O250">
            <v>1210086</v>
          </cell>
          <cell r="P250" t="str">
            <v>HR COILS-PO IS 1079 HR2 4X1250</v>
          </cell>
          <cell r="Q250">
            <v>4</v>
          </cell>
          <cell r="R250">
            <v>1250</v>
          </cell>
          <cell r="S250">
            <v>58</v>
          </cell>
          <cell r="T250">
            <v>0</v>
          </cell>
          <cell r="U250">
            <v>58</v>
          </cell>
          <cell r="V250">
            <v>768</v>
          </cell>
          <cell r="W250" t="str">
            <v>THR099</v>
          </cell>
          <cell r="X250" t="str">
            <v>HR99</v>
          </cell>
          <cell r="Y250">
            <v>0</v>
          </cell>
          <cell r="Z250" t="str">
            <v/>
          </cell>
          <cell r="AA250" t="str">
            <v/>
          </cell>
          <cell r="AB250" t="str">
            <v/>
          </cell>
          <cell r="AC250" t="str">
            <v/>
          </cell>
          <cell r="AD250">
            <v>742</v>
          </cell>
          <cell r="AE250" t="str">
            <v>ZBTO</v>
          </cell>
        </row>
        <row r="251">
          <cell r="G251" t="str">
            <v>9519060675-6</v>
          </cell>
          <cell r="H251">
            <v>45898</v>
          </cell>
          <cell r="I251" t="str">
            <v>DURGA STEEL INDUSTRIES</v>
          </cell>
          <cell r="J251">
            <v>2000</v>
          </cell>
          <cell r="K251" t="str">
            <v>Untrimmed edge</v>
          </cell>
          <cell r="L251">
            <v>15</v>
          </cell>
          <cell r="M251">
            <v>29</v>
          </cell>
          <cell r="N251" t="str">
            <v/>
          </cell>
          <cell r="O251">
            <v>1251304</v>
          </cell>
          <cell r="P251" t="str">
            <v>HR COILS-PO IS 1079 HR2 4.50X1250</v>
          </cell>
          <cell r="Q251">
            <v>0</v>
          </cell>
          <cell r="R251">
            <v>0</v>
          </cell>
          <cell r="S251">
            <v>29</v>
          </cell>
          <cell r="T251">
            <v>0</v>
          </cell>
          <cell r="U251">
            <v>29</v>
          </cell>
          <cell r="V251">
            <v>768</v>
          </cell>
          <cell r="W251" t="str">
            <v>THR099</v>
          </cell>
          <cell r="X251" t="str">
            <v>HR99</v>
          </cell>
          <cell r="Y251">
            <v>0</v>
          </cell>
          <cell r="Z251" t="str">
            <v/>
          </cell>
          <cell r="AA251" t="str">
            <v/>
          </cell>
          <cell r="AB251" t="str">
            <v/>
          </cell>
          <cell r="AC251" t="str">
            <v/>
          </cell>
          <cell r="AD251">
            <v>742</v>
          </cell>
          <cell r="AE251" t="str">
            <v>ZBTO</v>
          </cell>
        </row>
        <row r="252">
          <cell r="G252" t="str">
            <v>9519060675-7</v>
          </cell>
          <cell r="H252">
            <v>45898</v>
          </cell>
          <cell r="I252" t="str">
            <v>DURGA STEEL INDUSTRIES</v>
          </cell>
          <cell r="J252">
            <v>2000</v>
          </cell>
          <cell r="K252" t="str">
            <v>Untrimmed edge</v>
          </cell>
          <cell r="L252">
            <v>15</v>
          </cell>
          <cell r="M252">
            <v>29</v>
          </cell>
          <cell r="N252" t="str">
            <v/>
          </cell>
          <cell r="O252">
            <v>1210097</v>
          </cell>
          <cell r="P252" t="str">
            <v>HR COILS-PO IS 1079 HR2 5X1250</v>
          </cell>
          <cell r="Q252">
            <v>5</v>
          </cell>
          <cell r="R252">
            <v>1250</v>
          </cell>
          <cell r="S252">
            <v>58</v>
          </cell>
          <cell r="T252">
            <v>0</v>
          </cell>
          <cell r="U252">
            <v>58</v>
          </cell>
          <cell r="V252">
            <v>768</v>
          </cell>
          <cell r="W252" t="str">
            <v>THR099</v>
          </cell>
          <cell r="X252" t="str">
            <v>HR99</v>
          </cell>
          <cell r="Y252">
            <v>0</v>
          </cell>
          <cell r="Z252" t="str">
            <v/>
          </cell>
          <cell r="AA252" t="str">
            <v/>
          </cell>
          <cell r="AB252" t="str">
            <v/>
          </cell>
          <cell r="AC252" t="str">
            <v/>
          </cell>
          <cell r="AD252">
            <v>742</v>
          </cell>
          <cell r="AE252" t="str">
            <v>ZBTO</v>
          </cell>
        </row>
        <row r="253">
          <cell r="G253" t="str">
            <v>9519061549-1</v>
          </cell>
          <cell r="H253">
            <v>45898</v>
          </cell>
          <cell r="I253" t="str">
            <v>JAI LAXMI STEELS</v>
          </cell>
          <cell r="J253">
            <v>2000</v>
          </cell>
          <cell r="K253" t="str">
            <v>Trimming only at RCL</v>
          </cell>
          <cell r="L253">
            <v>4</v>
          </cell>
          <cell r="M253">
            <v>6</v>
          </cell>
          <cell r="N253" t="str">
            <v>SOFT</v>
          </cell>
          <cell r="O253">
            <v>1854363</v>
          </cell>
          <cell r="P253" t="str">
            <v>GP COIL SOFT-TATXGP-GLK1-0.22X900</v>
          </cell>
          <cell r="Q253">
            <v>0.22</v>
          </cell>
          <cell r="R253">
            <v>900</v>
          </cell>
          <cell r="S253">
            <v>42</v>
          </cell>
          <cell r="T253">
            <v>0</v>
          </cell>
          <cell r="U253">
            <v>42</v>
          </cell>
          <cell r="V253" t="str">
            <v>C02</v>
          </cell>
          <cell r="W253" t="str">
            <v>TATXGP</v>
          </cell>
          <cell r="X253" t="str">
            <v>GLK1</v>
          </cell>
          <cell r="Y253">
            <v>0</v>
          </cell>
          <cell r="Z253" t="str">
            <v/>
          </cell>
          <cell r="AA253" t="str">
            <v/>
          </cell>
          <cell r="AB253" t="str">
            <v/>
          </cell>
          <cell r="AC253" t="str">
            <v/>
          </cell>
          <cell r="AD253">
            <v>743</v>
          </cell>
          <cell r="AE253" t="str">
            <v>ZBTO</v>
          </cell>
        </row>
        <row r="254">
          <cell r="G254" t="str">
            <v>9519061549-2</v>
          </cell>
          <cell r="H254">
            <v>45898</v>
          </cell>
          <cell r="I254" t="str">
            <v>JAI LAXMI STEELS</v>
          </cell>
          <cell r="J254">
            <v>2000</v>
          </cell>
          <cell r="K254" t="str">
            <v>Trimming only at RCL</v>
          </cell>
          <cell r="L254">
            <v>4</v>
          </cell>
          <cell r="M254">
            <v>6</v>
          </cell>
          <cell r="N254" t="str">
            <v>SOFT</v>
          </cell>
          <cell r="O254">
            <v>1851066</v>
          </cell>
          <cell r="P254" t="str">
            <v>GP COIL SOFT-TATXGP-GLK1-0.25X900</v>
          </cell>
          <cell r="Q254">
            <v>0.25</v>
          </cell>
          <cell r="R254">
            <v>900</v>
          </cell>
          <cell r="S254">
            <v>42</v>
          </cell>
          <cell r="T254">
            <v>0</v>
          </cell>
          <cell r="U254">
            <v>42</v>
          </cell>
          <cell r="V254" t="str">
            <v>C02</v>
          </cell>
          <cell r="W254" t="str">
            <v>TATXGP</v>
          </cell>
          <cell r="X254" t="str">
            <v>GLK1</v>
          </cell>
          <cell r="Y254">
            <v>0</v>
          </cell>
          <cell r="Z254" t="str">
            <v/>
          </cell>
          <cell r="AA254" t="str">
            <v/>
          </cell>
          <cell r="AB254" t="str">
            <v/>
          </cell>
          <cell r="AC254" t="str">
            <v/>
          </cell>
          <cell r="AD254">
            <v>743</v>
          </cell>
          <cell r="AE254" t="str">
            <v>ZBTO</v>
          </cell>
        </row>
        <row r="255">
          <cell r="G255" t="str">
            <v>9519061549-3</v>
          </cell>
          <cell r="H255">
            <v>45898</v>
          </cell>
          <cell r="I255" t="str">
            <v>JAI LAXMI STEELS</v>
          </cell>
          <cell r="J255">
            <v>2000</v>
          </cell>
          <cell r="K255" t="str">
            <v>Trimming only at RCL</v>
          </cell>
          <cell r="L255">
            <v>4</v>
          </cell>
          <cell r="M255">
            <v>6</v>
          </cell>
          <cell r="N255" t="str">
            <v>SOFT</v>
          </cell>
          <cell r="O255">
            <v>1851066</v>
          </cell>
          <cell r="P255" t="str">
            <v>GP COIL SOFT-TATXGP-GLK1-0.25X900</v>
          </cell>
          <cell r="Q255">
            <v>0.25</v>
          </cell>
          <cell r="R255">
            <v>900</v>
          </cell>
          <cell r="S255">
            <v>42</v>
          </cell>
          <cell r="T255">
            <v>0</v>
          </cell>
          <cell r="U255">
            <v>42</v>
          </cell>
          <cell r="V255" t="str">
            <v>C02</v>
          </cell>
          <cell r="W255" t="str">
            <v>TATXGP</v>
          </cell>
          <cell r="X255" t="str">
            <v>GLK1</v>
          </cell>
          <cell r="Y255">
            <v>0</v>
          </cell>
          <cell r="Z255" t="str">
            <v/>
          </cell>
          <cell r="AA255" t="str">
            <v/>
          </cell>
          <cell r="AB255" t="str">
            <v/>
          </cell>
          <cell r="AC255" t="str">
            <v/>
          </cell>
          <cell r="AD255">
            <v>743</v>
          </cell>
          <cell r="AE255" t="str">
            <v>ZBTO</v>
          </cell>
        </row>
        <row r="256">
          <cell r="G256" t="str">
            <v>9519061549-4</v>
          </cell>
          <cell r="H256">
            <v>45898</v>
          </cell>
          <cell r="I256" t="str">
            <v>JAI LAXMI STEELS</v>
          </cell>
          <cell r="J256">
            <v>2000</v>
          </cell>
          <cell r="K256" t="str">
            <v>Trimming only at RCL</v>
          </cell>
          <cell r="L256">
            <v>4</v>
          </cell>
          <cell r="M256">
            <v>6</v>
          </cell>
          <cell r="N256" t="str">
            <v>GLK1</v>
          </cell>
          <cell r="O256">
            <v>1142901</v>
          </cell>
          <cell r="P256" t="str">
            <v>GP COIL SOFT-TATXGP-GLK1-0.3X1000</v>
          </cell>
          <cell r="Q256">
            <v>0.3</v>
          </cell>
          <cell r="R256">
            <v>1000</v>
          </cell>
          <cell r="S256">
            <v>69</v>
          </cell>
          <cell r="T256">
            <v>0</v>
          </cell>
          <cell r="U256">
            <v>69</v>
          </cell>
          <cell r="V256" t="str">
            <v>C02</v>
          </cell>
          <cell r="W256" t="str">
            <v>TATXGP</v>
          </cell>
          <cell r="X256" t="str">
            <v>GLK1</v>
          </cell>
          <cell r="Y256">
            <v>0</v>
          </cell>
          <cell r="Z256" t="str">
            <v/>
          </cell>
          <cell r="AA256" t="str">
            <v/>
          </cell>
          <cell r="AB256" t="str">
            <v/>
          </cell>
          <cell r="AC256" t="str">
            <v/>
          </cell>
          <cell r="AD256">
            <v>743</v>
          </cell>
          <cell r="AE256" t="str">
            <v>ZBTO</v>
          </cell>
        </row>
        <row r="257">
          <cell r="G257" t="str">
            <v>9519061549-5</v>
          </cell>
          <cell r="H257">
            <v>45898</v>
          </cell>
          <cell r="I257" t="str">
            <v>JAI LAXMI STEELS</v>
          </cell>
          <cell r="J257">
            <v>2000</v>
          </cell>
          <cell r="K257" t="str">
            <v>Trimming only at RCL</v>
          </cell>
          <cell r="L257">
            <v>4</v>
          </cell>
          <cell r="M257">
            <v>6</v>
          </cell>
          <cell r="N257" t="str">
            <v>GLK1</v>
          </cell>
          <cell r="O257">
            <v>1142901</v>
          </cell>
          <cell r="P257" t="str">
            <v>GP COIL SOFT-TATXGP-GLK1-0.3X1000</v>
          </cell>
          <cell r="Q257">
            <v>0.3</v>
          </cell>
          <cell r="R257">
            <v>1000</v>
          </cell>
          <cell r="S257">
            <v>69</v>
          </cell>
          <cell r="T257">
            <v>0</v>
          </cell>
          <cell r="U257">
            <v>69</v>
          </cell>
          <cell r="V257" t="str">
            <v>C02</v>
          </cell>
          <cell r="W257" t="str">
            <v>TATXGP</v>
          </cell>
          <cell r="X257" t="str">
            <v>GLK1</v>
          </cell>
          <cell r="Y257">
            <v>0</v>
          </cell>
          <cell r="Z257" t="str">
            <v/>
          </cell>
          <cell r="AA257" t="str">
            <v/>
          </cell>
          <cell r="AB257" t="str">
            <v/>
          </cell>
          <cell r="AC257" t="str">
            <v/>
          </cell>
          <cell r="AD257">
            <v>743</v>
          </cell>
          <cell r="AE257" t="str">
            <v>ZBTO</v>
          </cell>
        </row>
        <row r="258">
          <cell r="G258" t="str">
            <v>9519062649-1</v>
          </cell>
          <cell r="H258">
            <v>45898</v>
          </cell>
          <cell r="I258" t="str">
            <v>INDIA STEEL INDUSTRIES</v>
          </cell>
          <cell r="J258">
            <v>2000</v>
          </cell>
          <cell r="K258" t="str">
            <v>C</v>
          </cell>
          <cell r="L258">
            <v>10</v>
          </cell>
          <cell r="M258">
            <v>25</v>
          </cell>
          <cell r="N258" t="str">
            <v>CQ</v>
          </cell>
          <cell r="O258">
            <v>1804905</v>
          </cell>
          <cell r="P258" t="str">
            <v>CRCA COIL-TATCRC-TR15-0.5X1000</v>
          </cell>
          <cell r="Q258">
            <v>0.5</v>
          </cell>
          <cell r="R258">
            <v>1000</v>
          </cell>
          <cell r="S258">
            <v>22.998999999999999</v>
          </cell>
          <cell r="T258">
            <v>0</v>
          </cell>
          <cell r="U258">
            <v>22.998999999999999</v>
          </cell>
          <cell r="V258" t="str">
            <v>C01</v>
          </cell>
          <cell r="W258" t="str">
            <v>TATCRC</v>
          </cell>
          <cell r="X258" t="str">
            <v>TR15</v>
          </cell>
          <cell r="Y258">
            <v>0</v>
          </cell>
          <cell r="Z258" t="str">
            <v/>
          </cell>
          <cell r="AA258" t="str">
            <v/>
          </cell>
          <cell r="AB258" t="str">
            <v/>
          </cell>
          <cell r="AC258" t="str">
            <v/>
          </cell>
          <cell r="AD258">
            <v>742</v>
          </cell>
          <cell r="AE258" t="str">
            <v>ZBTO</v>
          </cell>
        </row>
        <row r="259">
          <cell r="G259" t="str">
            <v>9519062649-2</v>
          </cell>
          <cell r="H259">
            <v>45898</v>
          </cell>
          <cell r="I259" t="str">
            <v>INDIA STEEL INDUSTRIES</v>
          </cell>
          <cell r="J259">
            <v>2000</v>
          </cell>
          <cell r="K259" t="str">
            <v>C</v>
          </cell>
          <cell r="L259">
            <v>10</v>
          </cell>
          <cell r="M259">
            <v>25</v>
          </cell>
          <cell r="N259" t="str">
            <v>CQ</v>
          </cell>
          <cell r="O259">
            <v>1804889</v>
          </cell>
          <cell r="P259" t="str">
            <v>CRCA COIL-TATCRC-TR15-0.4X1000</v>
          </cell>
          <cell r="Q259">
            <v>0.4</v>
          </cell>
          <cell r="R259">
            <v>1000</v>
          </cell>
          <cell r="S259">
            <v>22.998999999999999</v>
          </cell>
          <cell r="T259">
            <v>0</v>
          </cell>
          <cell r="U259">
            <v>22.998999999999999</v>
          </cell>
          <cell r="V259" t="str">
            <v>C01</v>
          </cell>
          <cell r="W259" t="str">
            <v>TATCRC</v>
          </cell>
          <cell r="X259" t="str">
            <v>TR15</v>
          </cell>
          <cell r="Y259">
            <v>0</v>
          </cell>
          <cell r="Z259" t="str">
            <v/>
          </cell>
          <cell r="AA259" t="str">
            <v/>
          </cell>
          <cell r="AB259" t="str">
            <v/>
          </cell>
          <cell r="AC259" t="str">
            <v/>
          </cell>
          <cell r="AD259">
            <v>742</v>
          </cell>
          <cell r="AE259" t="str">
            <v>ZBTO</v>
          </cell>
        </row>
        <row r="260">
          <cell r="G260" t="str">
            <v>9519062649-3</v>
          </cell>
          <cell r="H260">
            <v>45898</v>
          </cell>
          <cell r="I260" t="str">
            <v>INDIA STEEL INDUSTRIES</v>
          </cell>
          <cell r="J260">
            <v>2000</v>
          </cell>
          <cell r="K260" t="str">
            <v>C</v>
          </cell>
          <cell r="L260">
            <v>10</v>
          </cell>
          <cell r="M260">
            <v>25</v>
          </cell>
          <cell r="N260" t="str">
            <v>CQ</v>
          </cell>
          <cell r="O260">
            <v>37862</v>
          </cell>
          <cell r="P260" t="str">
            <v>CRCA COIL TATCRC TR15 0.4X1250</v>
          </cell>
          <cell r="Q260">
            <v>0.4</v>
          </cell>
          <cell r="R260">
            <v>1250</v>
          </cell>
          <cell r="S260">
            <v>28.998999999999999</v>
          </cell>
          <cell r="T260">
            <v>0</v>
          </cell>
          <cell r="U260">
            <v>28.998999999999999</v>
          </cell>
          <cell r="V260" t="str">
            <v>C01</v>
          </cell>
          <cell r="W260" t="str">
            <v>TATCRC</v>
          </cell>
          <cell r="X260" t="str">
            <v>TR15</v>
          </cell>
          <cell r="Y260">
            <v>0</v>
          </cell>
          <cell r="Z260" t="str">
            <v/>
          </cell>
          <cell r="AA260" t="str">
            <v/>
          </cell>
          <cell r="AB260" t="str">
            <v/>
          </cell>
          <cell r="AC260" t="str">
            <v/>
          </cell>
          <cell r="AD260">
            <v>742</v>
          </cell>
          <cell r="AE260" t="str">
            <v>ZBTO</v>
          </cell>
        </row>
        <row r="261">
          <cell r="G261" t="str">
            <v>9519062649-4</v>
          </cell>
          <cell r="H261">
            <v>45898</v>
          </cell>
          <cell r="I261" t="str">
            <v>INDIA STEEL INDUSTRIES</v>
          </cell>
          <cell r="J261">
            <v>2000</v>
          </cell>
          <cell r="K261" t="str">
            <v>C</v>
          </cell>
          <cell r="L261">
            <v>10</v>
          </cell>
          <cell r="M261">
            <v>25</v>
          </cell>
          <cell r="N261" t="str">
            <v>CQ</v>
          </cell>
          <cell r="O261">
            <v>2155235</v>
          </cell>
          <cell r="P261" t="str">
            <v>CRCA COIL TATCRC TR15 0.45X1250</v>
          </cell>
          <cell r="Q261">
            <v>0.45</v>
          </cell>
          <cell r="R261">
            <v>1250</v>
          </cell>
          <cell r="S261">
            <v>28.998999999999999</v>
          </cell>
          <cell r="T261">
            <v>0</v>
          </cell>
          <cell r="U261">
            <v>28.998999999999999</v>
          </cell>
          <cell r="V261" t="str">
            <v>C01</v>
          </cell>
          <cell r="W261" t="str">
            <v>TATCRC</v>
          </cell>
          <cell r="X261" t="str">
            <v>TR15</v>
          </cell>
          <cell r="Y261">
            <v>0</v>
          </cell>
          <cell r="Z261" t="str">
            <v/>
          </cell>
          <cell r="AA261" t="str">
            <v/>
          </cell>
          <cell r="AB261" t="str">
            <v/>
          </cell>
          <cell r="AC261" t="str">
            <v/>
          </cell>
          <cell r="AD261">
            <v>742</v>
          </cell>
          <cell r="AE261" t="str">
            <v>ZBTO</v>
          </cell>
        </row>
        <row r="262">
          <cell r="G262" t="str">
            <v>9519070991-1</v>
          </cell>
          <cell r="H262">
            <v>45901</v>
          </cell>
          <cell r="I262" t="str">
            <v>ANM ISPAT PVT LTD</v>
          </cell>
          <cell r="J262">
            <v>2000</v>
          </cell>
          <cell r="K262" t="str">
            <v>Trimming only at RCL</v>
          </cell>
          <cell r="L262">
            <v>2.5</v>
          </cell>
          <cell r="M262">
            <v>3.5</v>
          </cell>
          <cell r="N262" t="str">
            <v>CQ</v>
          </cell>
          <cell r="O262">
            <v>3239568</v>
          </cell>
          <cell r="P262" t="str">
            <v>CRCA SHEET TATCRC SR16 0.450X1250X2500</v>
          </cell>
          <cell r="Q262">
            <v>0.45</v>
          </cell>
          <cell r="R262">
            <v>1250</v>
          </cell>
          <cell r="S262">
            <v>58</v>
          </cell>
          <cell r="T262">
            <v>0</v>
          </cell>
          <cell r="U262">
            <v>58</v>
          </cell>
          <cell r="V262" t="str">
            <v>C06</v>
          </cell>
          <cell r="W262" t="str">
            <v>TATCRC</v>
          </cell>
          <cell r="X262" t="str">
            <v>SR16</v>
          </cell>
          <cell r="Y262">
            <v>0</v>
          </cell>
          <cell r="Z262" t="str">
            <v/>
          </cell>
          <cell r="AA262" t="str">
            <v/>
          </cell>
          <cell r="AB262" t="str">
            <v/>
          </cell>
          <cell r="AC262" t="str">
            <v/>
          </cell>
          <cell r="AD262">
            <v>742</v>
          </cell>
          <cell r="AE262" t="str">
            <v>ZBTO</v>
          </cell>
        </row>
        <row r="263">
          <cell r="G263" t="str">
            <v>9519072526-1</v>
          </cell>
          <cell r="H263">
            <v>45902</v>
          </cell>
          <cell r="I263" t="str">
            <v>BMW VENTURES LIMITED</v>
          </cell>
          <cell r="J263">
            <v>2000</v>
          </cell>
          <cell r="K263" t="str">
            <v>Untrimmed edge</v>
          </cell>
          <cell r="L263">
            <v>1</v>
          </cell>
          <cell r="M263">
            <v>5</v>
          </cell>
          <cell r="N263" t="str">
            <v>O/D GRADES</v>
          </cell>
          <cell r="O263">
            <v>3953694</v>
          </cell>
          <cell r="P263" t="str">
            <v>GP COIL TATXGP GP2T 0.250X1350</v>
          </cell>
          <cell r="Q263">
            <v>0.25</v>
          </cell>
          <cell r="R263">
            <v>1350</v>
          </cell>
          <cell r="S263">
            <v>93</v>
          </cell>
          <cell r="T263">
            <v>0</v>
          </cell>
          <cell r="U263">
            <v>93</v>
          </cell>
          <cell r="V263" t="str">
            <v>C05</v>
          </cell>
          <cell r="W263" t="str">
            <v>TATXGP</v>
          </cell>
          <cell r="X263" t="str">
            <v>GP2T</v>
          </cell>
          <cell r="Y263">
            <v>0</v>
          </cell>
          <cell r="Z263" t="str">
            <v/>
          </cell>
          <cell r="AA263" t="str">
            <v/>
          </cell>
          <cell r="AB263" t="str">
            <v/>
          </cell>
          <cell r="AC263" t="str">
            <v/>
          </cell>
          <cell r="AD263">
            <v>743</v>
          </cell>
          <cell r="AE263" t="str">
            <v>ZBTO</v>
          </cell>
        </row>
        <row r="264">
          <cell r="G264" t="str">
            <v>9519072526-2</v>
          </cell>
          <cell r="H264">
            <v>45902</v>
          </cell>
          <cell r="I264" t="str">
            <v>BMW VENTURES LIMITED</v>
          </cell>
          <cell r="J264">
            <v>2000</v>
          </cell>
          <cell r="K264" t="str">
            <v>Trimming at PLTCM</v>
          </cell>
          <cell r="L264">
            <v>1</v>
          </cell>
          <cell r="M264">
            <v>5</v>
          </cell>
          <cell r="N264" t="str">
            <v>O/D GRADES</v>
          </cell>
          <cell r="O264">
            <v>3907468</v>
          </cell>
          <cell r="P264" t="str">
            <v>GP COIL TATXGP GP02 0.350X1350</v>
          </cell>
          <cell r="Q264">
            <v>0.35</v>
          </cell>
          <cell r="R264">
            <v>1350</v>
          </cell>
          <cell r="S264">
            <v>62</v>
          </cell>
          <cell r="T264">
            <v>0</v>
          </cell>
          <cell r="U264">
            <v>62</v>
          </cell>
          <cell r="V264" t="str">
            <v>C05</v>
          </cell>
          <cell r="W264" t="str">
            <v>TATXGP</v>
          </cell>
          <cell r="X264" t="str">
            <v>GP02</v>
          </cell>
          <cell r="Y264">
            <v>0</v>
          </cell>
          <cell r="Z264" t="str">
            <v/>
          </cell>
          <cell r="AA264" t="str">
            <v/>
          </cell>
          <cell r="AB264" t="str">
            <v/>
          </cell>
          <cell r="AC264" t="str">
            <v/>
          </cell>
          <cell r="AD264">
            <v>743</v>
          </cell>
          <cell r="AE264" t="str">
            <v>ZBTO</v>
          </cell>
        </row>
        <row r="265">
          <cell r="G265" t="str">
            <v>9519072526-3</v>
          </cell>
          <cell r="H265">
            <v>45902</v>
          </cell>
          <cell r="I265" t="str">
            <v>BMW VENTURES LIMITED</v>
          </cell>
          <cell r="J265">
            <v>2000</v>
          </cell>
          <cell r="K265" t="str">
            <v>Trimming at PLTCM</v>
          </cell>
          <cell r="L265">
            <v>1</v>
          </cell>
          <cell r="M265">
            <v>5</v>
          </cell>
          <cell r="N265" t="str">
            <v>O/D GRADES</v>
          </cell>
          <cell r="O265">
            <v>3767014</v>
          </cell>
          <cell r="P265" t="str">
            <v>GP COIL TATGPH GP02 0.400X1350</v>
          </cell>
          <cell r="Q265">
            <v>0.4</v>
          </cell>
          <cell r="R265">
            <v>1350</v>
          </cell>
          <cell r="S265">
            <v>93</v>
          </cell>
          <cell r="T265">
            <v>0</v>
          </cell>
          <cell r="U265">
            <v>93</v>
          </cell>
          <cell r="V265" t="str">
            <v>C05</v>
          </cell>
          <cell r="W265" t="str">
            <v>TATGPH</v>
          </cell>
          <cell r="X265" t="str">
            <v>GP02</v>
          </cell>
          <cell r="Y265">
            <v>0</v>
          </cell>
          <cell r="Z265" t="str">
            <v/>
          </cell>
          <cell r="AA265" t="str">
            <v/>
          </cell>
          <cell r="AB265" t="str">
            <v/>
          </cell>
          <cell r="AC265" t="str">
            <v/>
          </cell>
          <cell r="AD265">
            <v>743</v>
          </cell>
          <cell r="AE265" t="str">
            <v>ZBTO</v>
          </cell>
        </row>
        <row r="266">
          <cell r="G266" t="str">
            <v>9519073326-1</v>
          </cell>
          <cell r="H266">
            <v>45902</v>
          </cell>
          <cell r="I266" t="str">
            <v>SWASTIK STEEL PROCESSOR LLP</v>
          </cell>
          <cell r="J266">
            <v>2000</v>
          </cell>
          <cell r="K266" t="str">
            <v>Untrimmed edge</v>
          </cell>
          <cell r="L266">
            <v>15</v>
          </cell>
          <cell r="M266">
            <v>29</v>
          </cell>
          <cell r="N266" t="str">
            <v>DQ</v>
          </cell>
          <cell r="O266">
            <v>259534</v>
          </cell>
          <cell r="P266" t="str">
            <v>CR COIL-ICF  DQ TATXXD AU03 0.35 X 1250</v>
          </cell>
          <cell r="Q266">
            <v>0.35</v>
          </cell>
          <cell r="R266">
            <v>1250</v>
          </cell>
          <cell r="S266">
            <v>116</v>
          </cell>
          <cell r="T266">
            <v>0</v>
          </cell>
          <cell r="U266">
            <v>116</v>
          </cell>
          <cell r="V266" t="str">
            <v>C01</v>
          </cell>
          <cell r="W266" t="str">
            <v>TATXXD</v>
          </cell>
          <cell r="X266" t="str">
            <v>AU03</v>
          </cell>
          <cell r="Y266">
            <v>0</v>
          </cell>
          <cell r="Z266" t="str">
            <v/>
          </cell>
          <cell r="AA266" t="str">
            <v/>
          </cell>
          <cell r="AB266" t="str">
            <v/>
          </cell>
          <cell r="AC266" t="str">
            <v/>
          </cell>
          <cell r="AD266">
            <v>742</v>
          </cell>
          <cell r="AE266" t="str">
            <v>ZBTO</v>
          </cell>
        </row>
        <row r="267">
          <cell r="G267" t="str">
            <v>9519073326-2</v>
          </cell>
          <cell r="H267">
            <v>45902</v>
          </cell>
          <cell r="I267" t="str">
            <v>SWASTIK STEEL PROCESSOR LLP</v>
          </cell>
          <cell r="J267">
            <v>2000</v>
          </cell>
          <cell r="K267" t="str">
            <v>Untrimmed edge</v>
          </cell>
          <cell r="L267">
            <v>15</v>
          </cell>
          <cell r="M267">
            <v>29</v>
          </cell>
          <cell r="N267" t="str">
            <v>DQ</v>
          </cell>
          <cell r="O267">
            <v>185664</v>
          </cell>
          <cell r="P267" t="str">
            <v>CR COIL-ICF  DQ TATXXD AU03 0.40 X 1250</v>
          </cell>
          <cell r="Q267">
            <v>0.4</v>
          </cell>
          <cell r="R267">
            <v>1250</v>
          </cell>
          <cell r="S267">
            <v>116</v>
          </cell>
          <cell r="T267">
            <v>0</v>
          </cell>
          <cell r="U267">
            <v>116</v>
          </cell>
          <cell r="V267" t="str">
            <v>C01</v>
          </cell>
          <cell r="W267" t="str">
            <v>TATXXD</v>
          </cell>
          <cell r="X267" t="str">
            <v>AU03</v>
          </cell>
          <cell r="Y267">
            <v>0</v>
          </cell>
          <cell r="Z267" t="str">
            <v/>
          </cell>
          <cell r="AA267" t="str">
            <v/>
          </cell>
          <cell r="AB267" t="str">
            <v/>
          </cell>
          <cell r="AC267" t="str">
            <v/>
          </cell>
          <cell r="AD267">
            <v>742</v>
          </cell>
          <cell r="AE267" t="str">
            <v>ZBTO</v>
          </cell>
        </row>
        <row r="268">
          <cell r="G268" t="str">
            <v>9519075806-1</v>
          </cell>
          <cell r="H268">
            <v>45903</v>
          </cell>
          <cell r="I268" t="str">
            <v>SAGAR STEELS</v>
          </cell>
          <cell r="J268">
            <v>2000</v>
          </cell>
          <cell r="K268" t="str">
            <v>Trimming ( for CRC</v>
          </cell>
          <cell r="L268">
            <v>2</v>
          </cell>
          <cell r="M268">
            <v>3</v>
          </cell>
          <cell r="N268" t="str">
            <v>O/D GRADES</v>
          </cell>
          <cell r="O268">
            <v>3533340</v>
          </cell>
          <cell r="P268" t="str">
            <v>CRCA SHEET TATCRC SR16 0.450X1120X2000</v>
          </cell>
          <cell r="Q268">
            <v>0.45</v>
          </cell>
          <cell r="R268">
            <v>1120</v>
          </cell>
          <cell r="S268">
            <v>26</v>
          </cell>
          <cell r="T268">
            <v>0</v>
          </cell>
          <cell r="U268">
            <v>26</v>
          </cell>
          <cell r="V268" t="str">
            <v>C06</v>
          </cell>
          <cell r="W268" t="str">
            <v>TATCRC</v>
          </cell>
          <cell r="X268" t="str">
            <v>SR16</v>
          </cell>
          <cell r="Y268">
            <v>0</v>
          </cell>
          <cell r="Z268" t="str">
            <v/>
          </cell>
          <cell r="AA268" t="str">
            <v/>
          </cell>
          <cell r="AB268" t="str">
            <v/>
          </cell>
          <cell r="AC268" t="str">
            <v/>
          </cell>
          <cell r="AD268">
            <v>742</v>
          </cell>
          <cell r="AE268" t="str">
            <v>ZBTO</v>
          </cell>
        </row>
        <row r="269">
          <cell r="G269" t="str">
            <v>9519075949-1</v>
          </cell>
          <cell r="H269">
            <v>45903</v>
          </cell>
          <cell r="I269" t="str">
            <v>ANM ISPAT PVT LTD</v>
          </cell>
          <cell r="J269">
            <v>2000</v>
          </cell>
          <cell r="K269" t="str">
            <v>Trimming only at RCL</v>
          </cell>
          <cell r="L269">
            <v>2.5</v>
          </cell>
          <cell r="M269">
            <v>3.5</v>
          </cell>
          <cell r="N269" t="str">
            <v>SR16</v>
          </cell>
          <cell r="O269">
            <v>3239557</v>
          </cell>
          <cell r="P269" t="str">
            <v>CRCA SHEET TATCRC SR16 0.400X1250X2500</v>
          </cell>
          <cell r="Q269">
            <v>0.4</v>
          </cell>
          <cell r="R269">
            <v>1250</v>
          </cell>
          <cell r="S269">
            <v>29</v>
          </cell>
          <cell r="T269">
            <v>0</v>
          </cell>
          <cell r="U269">
            <v>29</v>
          </cell>
          <cell r="V269" t="str">
            <v>C06</v>
          </cell>
          <cell r="W269" t="str">
            <v>TATCRC</v>
          </cell>
          <cell r="X269" t="str">
            <v>SR16</v>
          </cell>
          <cell r="Y269">
            <v>0</v>
          </cell>
          <cell r="Z269" t="str">
            <v/>
          </cell>
          <cell r="AA269" t="str">
            <v/>
          </cell>
          <cell r="AB269" t="str">
            <v/>
          </cell>
          <cell r="AC269" t="str">
            <v/>
          </cell>
          <cell r="AD269">
            <v>742</v>
          </cell>
          <cell r="AE269" t="str">
            <v>ZBTO</v>
          </cell>
        </row>
        <row r="270">
          <cell r="G270" t="str">
            <v>9519076188-1</v>
          </cell>
          <cell r="H270">
            <v>45903</v>
          </cell>
          <cell r="I270" t="str">
            <v>KARTHIK STEEL</v>
          </cell>
          <cell r="J270">
            <v>2000</v>
          </cell>
          <cell r="K270" t="str">
            <v>Untrimmed edge</v>
          </cell>
          <cell r="L270" t="str">
            <v/>
          </cell>
          <cell r="M270" t="str">
            <v/>
          </cell>
          <cell r="N270" t="str">
            <v/>
          </cell>
          <cell r="O270">
            <v>1210097</v>
          </cell>
          <cell r="P270" t="str">
            <v>HR COILS-PO IS 1079 HR2 5X1250</v>
          </cell>
          <cell r="Q270">
            <v>5</v>
          </cell>
          <cell r="R270">
            <v>1250</v>
          </cell>
          <cell r="S270">
            <v>29</v>
          </cell>
          <cell r="T270">
            <v>0</v>
          </cell>
          <cell r="U270">
            <v>29</v>
          </cell>
          <cell r="V270">
            <v>768</v>
          </cell>
          <cell r="W270" t="str">
            <v>THR099</v>
          </cell>
          <cell r="X270" t="str">
            <v>HR99</v>
          </cell>
          <cell r="Y270">
            <v>0</v>
          </cell>
          <cell r="Z270" t="str">
            <v/>
          </cell>
          <cell r="AA270" t="str">
            <v/>
          </cell>
          <cell r="AB270" t="str">
            <v/>
          </cell>
          <cell r="AC270" t="str">
            <v/>
          </cell>
          <cell r="AD270">
            <v>742</v>
          </cell>
          <cell r="AE270" t="str">
            <v>ZBTO</v>
          </cell>
        </row>
        <row r="271">
          <cell r="G271" t="str">
            <v>9519076414-1</v>
          </cell>
          <cell r="H271">
            <v>45903</v>
          </cell>
          <cell r="I271" t="str">
            <v>INDIA STEEL INDUSTRIES</v>
          </cell>
          <cell r="J271">
            <v>2000</v>
          </cell>
          <cell r="K271" t="str">
            <v>Trimming at PLTCM</v>
          </cell>
          <cell r="L271">
            <v>2.5</v>
          </cell>
          <cell r="M271">
            <v>3</v>
          </cell>
          <cell r="N271" t="str">
            <v>SR16</v>
          </cell>
          <cell r="O271">
            <v>3239557</v>
          </cell>
          <cell r="P271" t="str">
            <v>CRCA SHEET TATCRC SR16 0.400X1250X2500</v>
          </cell>
          <cell r="Q271">
            <v>0.4</v>
          </cell>
          <cell r="R271">
            <v>1250</v>
          </cell>
          <cell r="S271">
            <v>29</v>
          </cell>
          <cell r="T271">
            <v>0</v>
          </cell>
          <cell r="U271">
            <v>29</v>
          </cell>
          <cell r="V271" t="str">
            <v>C06</v>
          </cell>
          <cell r="W271" t="str">
            <v>TATCRC</v>
          </cell>
          <cell r="X271" t="str">
            <v>SR16</v>
          </cell>
          <cell r="Y271">
            <v>0</v>
          </cell>
          <cell r="Z271" t="str">
            <v/>
          </cell>
          <cell r="AA271" t="str">
            <v/>
          </cell>
          <cell r="AB271" t="str">
            <v/>
          </cell>
          <cell r="AC271" t="str">
            <v/>
          </cell>
          <cell r="AD271">
            <v>742</v>
          </cell>
          <cell r="AE271" t="str">
            <v>ZBTO</v>
          </cell>
        </row>
        <row r="272">
          <cell r="G272" t="str">
            <v>9519076414-2</v>
          </cell>
          <cell r="H272">
            <v>45903</v>
          </cell>
          <cell r="I272" t="str">
            <v>INDIA STEEL INDUSTRIES</v>
          </cell>
          <cell r="J272">
            <v>2000</v>
          </cell>
          <cell r="K272" t="str">
            <v>Trimming at PLTCM</v>
          </cell>
          <cell r="L272">
            <v>2.5</v>
          </cell>
          <cell r="M272">
            <v>3</v>
          </cell>
          <cell r="N272" t="str">
            <v>CQ</v>
          </cell>
          <cell r="O272">
            <v>3437524</v>
          </cell>
          <cell r="P272" t="str">
            <v>CRCA SHEET TATCRC SR16 0.400X1250X2030</v>
          </cell>
          <cell r="Q272">
            <v>0.4</v>
          </cell>
          <cell r="R272">
            <v>1250</v>
          </cell>
          <cell r="S272">
            <v>87</v>
          </cell>
          <cell r="T272">
            <v>0</v>
          </cell>
          <cell r="U272">
            <v>87</v>
          </cell>
          <cell r="V272" t="str">
            <v>C06</v>
          </cell>
          <cell r="W272" t="str">
            <v>TATCRC</v>
          </cell>
          <cell r="X272" t="str">
            <v>SR16</v>
          </cell>
          <cell r="Y272">
            <v>0</v>
          </cell>
          <cell r="Z272" t="str">
            <v/>
          </cell>
          <cell r="AA272" t="str">
            <v/>
          </cell>
          <cell r="AB272" t="str">
            <v/>
          </cell>
          <cell r="AC272" t="str">
            <v/>
          </cell>
          <cell r="AD272">
            <v>742</v>
          </cell>
          <cell r="AE272" t="str">
            <v>ZBTO</v>
          </cell>
        </row>
        <row r="273">
          <cell r="G273" t="str">
            <v>9519076414-3</v>
          </cell>
          <cell r="H273">
            <v>45903</v>
          </cell>
          <cell r="I273" t="str">
            <v>INDIA STEEL INDUSTRIES</v>
          </cell>
          <cell r="J273">
            <v>2000</v>
          </cell>
          <cell r="K273" t="str">
            <v>Trimming at PLTCM</v>
          </cell>
          <cell r="L273">
            <v>2.5</v>
          </cell>
          <cell r="M273">
            <v>3</v>
          </cell>
          <cell r="N273" t="str">
            <v>CQ</v>
          </cell>
          <cell r="O273">
            <v>3444592</v>
          </cell>
          <cell r="P273" t="str">
            <v>CRCA SHEET TATCRC SR16 0.450X1250X2030</v>
          </cell>
          <cell r="Q273">
            <v>0.45</v>
          </cell>
          <cell r="R273">
            <v>1250</v>
          </cell>
          <cell r="S273">
            <v>58</v>
          </cell>
          <cell r="T273">
            <v>0</v>
          </cell>
          <cell r="U273">
            <v>58</v>
          </cell>
          <cell r="V273" t="str">
            <v>C06</v>
          </cell>
          <cell r="W273" t="str">
            <v>TATCRC</v>
          </cell>
          <cell r="X273" t="str">
            <v>SR16</v>
          </cell>
          <cell r="Y273">
            <v>0</v>
          </cell>
          <cell r="Z273" t="str">
            <v/>
          </cell>
          <cell r="AA273" t="str">
            <v/>
          </cell>
          <cell r="AB273" t="str">
            <v/>
          </cell>
          <cell r="AC273" t="str">
            <v/>
          </cell>
          <cell r="AD273">
            <v>742</v>
          </cell>
          <cell r="AE273" t="str">
            <v>ZBTO</v>
          </cell>
        </row>
        <row r="274">
          <cell r="G274" t="str">
            <v>9519076414-4</v>
          </cell>
          <cell r="H274">
            <v>45903</v>
          </cell>
          <cell r="I274" t="str">
            <v>INDIA STEEL INDUSTRIES</v>
          </cell>
          <cell r="J274">
            <v>2000</v>
          </cell>
          <cell r="K274" t="str">
            <v>Trimming at PLTCM</v>
          </cell>
          <cell r="L274">
            <v>2.5</v>
          </cell>
          <cell r="M274">
            <v>3</v>
          </cell>
          <cell r="N274" t="str">
            <v>CQ</v>
          </cell>
          <cell r="O274">
            <v>3240761</v>
          </cell>
          <cell r="P274" t="str">
            <v>CRCA SHEET TSBCRC SR15 0.500X1250X2030</v>
          </cell>
          <cell r="Q274">
            <v>0.5</v>
          </cell>
          <cell r="R274">
            <v>1250</v>
          </cell>
          <cell r="S274">
            <v>87</v>
          </cell>
          <cell r="T274">
            <v>0</v>
          </cell>
          <cell r="U274">
            <v>87</v>
          </cell>
          <cell r="V274" t="str">
            <v>C06</v>
          </cell>
          <cell r="W274" t="str">
            <v>TSBCRC</v>
          </cell>
          <cell r="X274" t="str">
            <v>SR15</v>
          </cell>
          <cell r="Y274">
            <v>0</v>
          </cell>
          <cell r="Z274" t="str">
            <v/>
          </cell>
          <cell r="AA274" t="str">
            <v/>
          </cell>
          <cell r="AB274" t="str">
            <v/>
          </cell>
          <cell r="AC274" t="str">
            <v/>
          </cell>
          <cell r="AD274">
            <v>742</v>
          </cell>
          <cell r="AE274" t="str">
            <v>ZBTO</v>
          </cell>
        </row>
        <row r="275">
          <cell r="G275" t="str">
            <v>9519077538-1</v>
          </cell>
          <cell r="H275">
            <v>45904</v>
          </cell>
          <cell r="I275" t="str">
            <v>RAMESH COMPANY</v>
          </cell>
          <cell r="J275">
            <v>2000</v>
          </cell>
          <cell r="K275" t="str">
            <v>Trimming ( for CRC</v>
          </cell>
          <cell r="L275">
            <v>2</v>
          </cell>
          <cell r="M275">
            <v>3</v>
          </cell>
          <cell r="N275" t="str">
            <v>O/D GRADES</v>
          </cell>
          <cell r="O275">
            <v>3239536</v>
          </cell>
          <cell r="P275" t="str">
            <v>CRCA SHEET TATCRC SR16 0.350X900X2500</v>
          </cell>
          <cell r="Q275">
            <v>0.35</v>
          </cell>
          <cell r="R275">
            <v>900</v>
          </cell>
          <cell r="S275">
            <v>21</v>
          </cell>
          <cell r="T275">
            <v>0</v>
          </cell>
          <cell r="U275">
            <v>21</v>
          </cell>
          <cell r="V275" t="str">
            <v>C06</v>
          </cell>
          <cell r="W275" t="str">
            <v>TATCRC</v>
          </cell>
          <cell r="X275" t="str">
            <v>SR16</v>
          </cell>
          <cell r="Y275">
            <v>0</v>
          </cell>
          <cell r="Z275" t="str">
            <v/>
          </cell>
          <cell r="AA275" t="str">
            <v/>
          </cell>
          <cell r="AB275" t="str">
            <v/>
          </cell>
          <cell r="AC275" t="str">
            <v/>
          </cell>
          <cell r="AD275">
            <v>742</v>
          </cell>
          <cell r="AE275" t="str">
            <v>ZBTO</v>
          </cell>
        </row>
        <row r="276">
          <cell r="G276" t="str">
            <v>9519077538-2</v>
          </cell>
          <cell r="H276">
            <v>45904</v>
          </cell>
          <cell r="I276" t="str">
            <v>RAMESH COMPANY</v>
          </cell>
          <cell r="J276">
            <v>2000</v>
          </cell>
          <cell r="K276" t="str">
            <v>Trimming ( for CRC</v>
          </cell>
          <cell r="L276">
            <v>2</v>
          </cell>
          <cell r="M276">
            <v>3</v>
          </cell>
          <cell r="N276" t="str">
            <v>O/D GRADES</v>
          </cell>
          <cell r="O276">
            <v>3239542</v>
          </cell>
          <cell r="P276" t="str">
            <v>CRCA SHEET TATCRC SR16 0.350X1000X2500</v>
          </cell>
          <cell r="Q276">
            <v>0.35</v>
          </cell>
          <cell r="R276">
            <v>1000</v>
          </cell>
          <cell r="S276">
            <v>23</v>
          </cell>
          <cell r="T276">
            <v>0</v>
          </cell>
          <cell r="U276">
            <v>23</v>
          </cell>
          <cell r="V276" t="str">
            <v>C06</v>
          </cell>
          <cell r="W276" t="str">
            <v>TATCRC</v>
          </cell>
          <cell r="X276" t="str">
            <v>SR16</v>
          </cell>
          <cell r="Y276">
            <v>0</v>
          </cell>
          <cell r="Z276" t="str">
            <v/>
          </cell>
          <cell r="AA276" t="str">
            <v/>
          </cell>
          <cell r="AB276" t="str">
            <v/>
          </cell>
          <cell r="AC276" t="str">
            <v/>
          </cell>
          <cell r="AD276">
            <v>742</v>
          </cell>
          <cell r="AE276" t="str">
            <v>ZBTO</v>
          </cell>
        </row>
        <row r="277">
          <cell r="G277" t="str">
            <v>9519077538-3</v>
          </cell>
          <cell r="H277">
            <v>45904</v>
          </cell>
          <cell r="I277" t="str">
            <v>RAMESH COMPANY</v>
          </cell>
          <cell r="J277">
            <v>2000</v>
          </cell>
          <cell r="K277" t="str">
            <v>Trimming ( for CRC</v>
          </cell>
          <cell r="L277">
            <v>2</v>
          </cell>
          <cell r="M277">
            <v>3</v>
          </cell>
          <cell r="N277" t="str">
            <v>SR16</v>
          </cell>
          <cell r="O277">
            <v>3239543</v>
          </cell>
          <cell r="P277" t="str">
            <v>CRCA SHEET TATCRC SR16 0.350X1250X2500</v>
          </cell>
          <cell r="Q277">
            <v>0.35</v>
          </cell>
          <cell r="R277">
            <v>1250</v>
          </cell>
          <cell r="S277">
            <v>29</v>
          </cell>
          <cell r="T277">
            <v>0</v>
          </cell>
          <cell r="U277">
            <v>29</v>
          </cell>
          <cell r="V277" t="str">
            <v>C06</v>
          </cell>
          <cell r="W277" t="str">
            <v>TATCRC</v>
          </cell>
          <cell r="X277" t="str">
            <v>SR16</v>
          </cell>
          <cell r="Y277">
            <v>0</v>
          </cell>
          <cell r="Z277" t="str">
            <v/>
          </cell>
          <cell r="AA277" t="str">
            <v/>
          </cell>
          <cell r="AB277" t="str">
            <v/>
          </cell>
          <cell r="AC277" t="str">
            <v/>
          </cell>
          <cell r="AD277">
            <v>742</v>
          </cell>
          <cell r="AE277" t="str">
            <v>ZBTO</v>
          </cell>
        </row>
        <row r="278">
          <cell r="G278" t="str">
            <v>9519077538-4</v>
          </cell>
          <cell r="H278">
            <v>45904</v>
          </cell>
          <cell r="I278" t="str">
            <v>RAMESH COMPANY</v>
          </cell>
          <cell r="J278">
            <v>2000</v>
          </cell>
          <cell r="K278" t="str">
            <v>Trimming ( for CRC</v>
          </cell>
          <cell r="L278">
            <v>2</v>
          </cell>
          <cell r="M278">
            <v>3</v>
          </cell>
          <cell r="N278" t="str">
            <v>O/D GRADES</v>
          </cell>
          <cell r="O278">
            <v>3239548</v>
          </cell>
          <cell r="P278" t="str">
            <v>CRCA SHEET TATCRC SR16 0.400X900X2500</v>
          </cell>
          <cell r="Q278">
            <v>0.4</v>
          </cell>
          <cell r="R278">
            <v>900</v>
          </cell>
          <cell r="S278">
            <v>42</v>
          </cell>
          <cell r="T278">
            <v>0</v>
          </cell>
          <cell r="U278">
            <v>42</v>
          </cell>
          <cell r="V278" t="str">
            <v>C06</v>
          </cell>
          <cell r="W278" t="str">
            <v>TATCRC</v>
          </cell>
          <cell r="X278" t="str">
            <v>SR16</v>
          </cell>
          <cell r="Y278">
            <v>0</v>
          </cell>
          <cell r="Z278" t="str">
            <v/>
          </cell>
          <cell r="AA278" t="str">
            <v/>
          </cell>
          <cell r="AB278" t="str">
            <v/>
          </cell>
          <cell r="AC278" t="str">
            <v/>
          </cell>
          <cell r="AD278">
            <v>742</v>
          </cell>
          <cell r="AE278" t="str">
            <v>ZBTO</v>
          </cell>
        </row>
        <row r="279">
          <cell r="G279" t="str">
            <v>9519077538-5</v>
          </cell>
          <cell r="H279">
            <v>45904</v>
          </cell>
          <cell r="I279" t="str">
            <v>RAMESH COMPANY</v>
          </cell>
          <cell r="J279">
            <v>2000</v>
          </cell>
          <cell r="K279" t="str">
            <v>Trimming ( for CRC</v>
          </cell>
          <cell r="L279">
            <v>2</v>
          </cell>
          <cell r="M279">
            <v>3</v>
          </cell>
          <cell r="N279" t="str">
            <v>O/D GRADES</v>
          </cell>
          <cell r="O279">
            <v>3908482</v>
          </cell>
          <cell r="P279" t="str">
            <v>BLOCKED BY QAD</v>
          </cell>
          <cell r="Q279">
            <v>0.45</v>
          </cell>
          <cell r="R279">
            <v>900</v>
          </cell>
          <cell r="S279">
            <v>42</v>
          </cell>
          <cell r="T279">
            <v>0</v>
          </cell>
          <cell r="U279">
            <v>42</v>
          </cell>
          <cell r="V279" t="str">
            <v>C06</v>
          </cell>
          <cell r="W279" t="str">
            <v>TSBCRC</v>
          </cell>
          <cell r="X279" t="str">
            <v>SR15</v>
          </cell>
          <cell r="Y279">
            <v>0</v>
          </cell>
          <cell r="Z279" t="str">
            <v/>
          </cell>
          <cell r="AA279" t="str">
            <v/>
          </cell>
          <cell r="AB279" t="str">
            <v/>
          </cell>
          <cell r="AC279" t="str">
            <v/>
          </cell>
          <cell r="AD279">
            <v>742</v>
          </cell>
          <cell r="AE279" t="str">
            <v>ZBTO</v>
          </cell>
        </row>
        <row r="280">
          <cell r="G280" t="str">
            <v>9519077538-6</v>
          </cell>
          <cell r="H280">
            <v>45904</v>
          </cell>
          <cell r="I280" t="str">
            <v>RAMESH COMPANY</v>
          </cell>
          <cell r="J280">
            <v>2000</v>
          </cell>
          <cell r="K280" t="str">
            <v>Trimming ( for CRC</v>
          </cell>
          <cell r="L280">
            <v>2</v>
          </cell>
          <cell r="M280">
            <v>3</v>
          </cell>
          <cell r="N280" t="str">
            <v>O/D GRADES</v>
          </cell>
          <cell r="O280">
            <v>3892602</v>
          </cell>
          <cell r="P280" t="str">
            <v>BLOCKED BY QAD</v>
          </cell>
          <cell r="Q280">
            <v>0.45</v>
          </cell>
          <cell r="R280">
            <v>1000</v>
          </cell>
          <cell r="S280">
            <v>46</v>
          </cell>
          <cell r="T280">
            <v>0</v>
          </cell>
          <cell r="U280">
            <v>46</v>
          </cell>
          <cell r="V280" t="str">
            <v>C06</v>
          </cell>
          <cell r="W280" t="str">
            <v>TSBCRC</v>
          </cell>
          <cell r="X280" t="str">
            <v>SR15</v>
          </cell>
          <cell r="Y280">
            <v>0</v>
          </cell>
          <cell r="Z280" t="str">
            <v/>
          </cell>
          <cell r="AA280" t="str">
            <v/>
          </cell>
          <cell r="AB280" t="str">
            <v/>
          </cell>
          <cell r="AC280" t="str">
            <v/>
          </cell>
          <cell r="AD280">
            <v>742</v>
          </cell>
          <cell r="AE280" t="str">
            <v>ZBTO</v>
          </cell>
        </row>
        <row r="281">
          <cell r="G281" t="str">
            <v>9519077538-7</v>
          </cell>
          <cell r="H281">
            <v>45904</v>
          </cell>
          <cell r="I281" t="str">
            <v>RAMESH COMPANY</v>
          </cell>
          <cell r="J281">
            <v>2000</v>
          </cell>
          <cell r="K281" t="str">
            <v>Trimming ( for CRC</v>
          </cell>
          <cell r="L281">
            <v>2</v>
          </cell>
          <cell r="M281">
            <v>3</v>
          </cell>
          <cell r="N281" t="str">
            <v>O/D GRADES</v>
          </cell>
          <cell r="O281">
            <v>3710840</v>
          </cell>
          <cell r="P281" t="str">
            <v>BLOCKED BY QAD</v>
          </cell>
          <cell r="Q281">
            <v>0.45</v>
          </cell>
          <cell r="R281">
            <v>1250</v>
          </cell>
          <cell r="S281">
            <v>58</v>
          </cell>
          <cell r="T281">
            <v>0</v>
          </cell>
          <cell r="U281">
            <v>58</v>
          </cell>
          <cell r="V281" t="str">
            <v>C06</v>
          </cell>
          <cell r="W281" t="str">
            <v>TSBCRC</v>
          </cell>
          <cell r="X281" t="str">
            <v>SR15</v>
          </cell>
          <cell r="Y281">
            <v>0</v>
          </cell>
          <cell r="Z281" t="str">
            <v/>
          </cell>
          <cell r="AA281" t="str">
            <v/>
          </cell>
          <cell r="AB281" t="str">
            <v/>
          </cell>
          <cell r="AC281" t="str">
            <v/>
          </cell>
          <cell r="AD281">
            <v>742</v>
          </cell>
          <cell r="AE281" t="str">
            <v>ZBTO</v>
          </cell>
        </row>
        <row r="282">
          <cell r="G282" t="str">
            <v>9519077538-8</v>
          </cell>
          <cell r="H282">
            <v>45904</v>
          </cell>
          <cell r="I282" t="str">
            <v>RAMESH COMPANY</v>
          </cell>
          <cell r="J282">
            <v>2000</v>
          </cell>
          <cell r="K282" t="str">
            <v>Trimming ( for CRC</v>
          </cell>
          <cell r="L282">
            <v>2</v>
          </cell>
          <cell r="M282">
            <v>3</v>
          </cell>
          <cell r="N282" t="str">
            <v>SR15</v>
          </cell>
          <cell r="O282">
            <v>3240765</v>
          </cell>
          <cell r="P282" t="str">
            <v>CRCA SHEET TSBCRC SR15 0.500X1250X2500</v>
          </cell>
          <cell r="Q282">
            <v>0.5</v>
          </cell>
          <cell r="R282">
            <v>1250</v>
          </cell>
          <cell r="S282">
            <v>29</v>
          </cell>
          <cell r="T282">
            <v>0</v>
          </cell>
          <cell r="U282">
            <v>29</v>
          </cell>
          <cell r="V282" t="str">
            <v>C06</v>
          </cell>
          <cell r="W282" t="str">
            <v>TSBCRC</v>
          </cell>
          <cell r="X282" t="str">
            <v>SR15</v>
          </cell>
          <cell r="Y282">
            <v>0</v>
          </cell>
          <cell r="Z282" t="str">
            <v/>
          </cell>
          <cell r="AA282" t="str">
            <v/>
          </cell>
          <cell r="AB282" t="str">
            <v/>
          </cell>
          <cell r="AC282" t="str">
            <v/>
          </cell>
          <cell r="AD282">
            <v>742</v>
          </cell>
          <cell r="AE282" t="str">
            <v>ZBTO</v>
          </cell>
        </row>
        <row r="283">
          <cell r="G283" t="str">
            <v>9519080347-1</v>
          </cell>
          <cell r="H283">
            <v>45905</v>
          </cell>
          <cell r="I283" t="str">
            <v>BANSAL BROTHERS</v>
          </cell>
          <cell r="J283">
            <v>2000</v>
          </cell>
          <cell r="K283" t="str">
            <v>Untrimmed edge</v>
          </cell>
          <cell r="L283">
            <v>10</v>
          </cell>
          <cell r="M283">
            <v>30</v>
          </cell>
          <cell r="N283" t="str">
            <v>STEELIUM</v>
          </cell>
          <cell r="O283">
            <v>1804772</v>
          </cell>
          <cell r="P283" t="str">
            <v>CRCA COIL TATXXD AU03 0.4X1250</v>
          </cell>
          <cell r="Q283">
            <v>0.4</v>
          </cell>
          <cell r="R283">
            <v>1250</v>
          </cell>
          <cell r="S283">
            <v>29</v>
          </cell>
          <cell r="T283">
            <v>0</v>
          </cell>
          <cell r="U283">
            <v>29</v>
          </cell>
          <cell r="V283" t="str">
            <v>C01</v>
          </cell>
          <cell r="W283" t="str">
            <v>TATXXD</v>
          </cell>
          <cell r="X283" t="str">
            <v>AU03</v>
          </cell>
          <cell r="Y283">
            <v>0</v>
          </cell>
          <cell r="Z283" t="str">
            <v/>
          </cell>
          <cell r="AA283" t="str">
            <v/>
          </cell>
          <cell r="AB283" t="str">
            <v/>
          </cell>
          <cell r="AC283" t="str">
            <v/>
          </cell>
          <cell r="AD283">
            <v>742</v>
          </cell>
          <cell r="AE283" t="str">
            <v>ZBTO</v>
          </cell>
        </row>
        <row r="284">
          <cell r="G284" t="str">
            <v>9519080347-2</v>
          </cell>
          <cell r="H284">
            <v>45905</v>
          </cell>
          <cell r="I284" t="str">
            <v>BANSAL BROTHERS</v>
          </cell>
          <cell r="J284">
            <v>2000</v>
          </cell>
          <cell r="K284" t="str">
            <v>Untrimmed edge</v>
          </cell>
          <cell r="L284">
            <v>10</v>
          </cell>
          <cell r="M284">
            <v>30</v>
          </cell>
          <cell r="N284" t="str">
            <v>AU03</v>
          </cell>
          <cell r="O284">
            <v>185675</v>
          </cell>
          <cell r="P284" t="str">
            <v>CRCA COIL-TATXXD-AU03-0.5X1250</v>
          </cell>
          <cell r="Q284">
            <v>0.5</v>
          </cell>
          <cell r="R284">
            <v>1250</v>
          </cell>
          <cell r="S284">
            <v>29</v>
          </cell>
          <cell r="T284">
            <v>0</v>
          </cell>
          <cell r="U284">
            <v>29</v>
          </cell>
          <cell r="V284" t="str">
            <v>C01</v>
          </cell>
          <cell r="W284" t="str">
            <v>TATXXD</v>
          </cell>
          <cell r="X284" t="str">
            <v>AU03</v>
          </cell>
          <cell r="Y284">
            <v>0</v>
          </cell>
          <cell r="Z284" t="str">
            <v/>
          </cell>
          <cell r="AA284" t="str">
            <v/>
          </cell>
          <cell r="AB284" t="str">
            <v/>
          </cell>
          <cell r="AC284" t="str">
            <v/>
          </cell>
          <cell r="AD284">
            <v>742</v>
          </cell>
          <cell r="AE284" t="str">
            <v>ZBTO</v>
          </cell>
        </row>
        <row r="285">
          <cell r="G285" t="str">
            <v>9519086148-1</v>
          </cell>
          <cell r="H285">
            <v>45908</v>
          </cell>
          <cell r="I285" t="str">
            <v>BUBNA COMMERCIAL COMPANY</v>
          </cell>
          <cell r="J285">
            <v>2000</v>
          </cell>
          <cell r="K285" t="str">
            <v>Trimming only at RCL</v>
          </cell>
          <cell r="L285">
            <v>5</v>
          </cell>
          <cell r="M285">
            <v>15</v>
          </cell>
          <cell r="N285" t="str">
            <v>O/D GRADES</v>
          </cell>
          <cell r="O285">
            <v>1142897</v>
          </cell>
          <cell r="P285" t="str">
            <v>GP COIL SOFT-TATXGP-GLK1-0.6X900</v>
          </cell>
          <cell r="Q285">
            <v>0.6</v>
          </cell>
          <cell r="R285">
            <v>900</v>
          </cell>
          <cell r="S285">
            <v>63</v>
          </cell>
          <cell r="T285">
            <v>0</v>
          </cell>
          <cell r="U285">
            <v>63</v>
          </cell>
          <cell r="V285" t="str">
            <v>C02</v>
          </cell>
          <cell r="W285" t="str">
            <v>TATXGP</v>
          </cell>
          <cell r="X285" t="str">
            <v>GLK1</v>
          </cell>
          <cell r="Y285">
            <v>0</v>
          </cell>
          <cell r="Z285" t="str">
            <v/>
          </cell>
          <cell r="AA285" t="str">
            <v/>
          </cell>
          <cell r="AB285" t="str">
            <v/>
          </cell>
          <cell r="AC285" t="str">
            <v/>
          </cell>
          <cell r="AD285">
            <v>743</v>
          </cell>
          <cell r="AE285" t="str">
            <v>ZBTO</v>
          </cell>
        </row>
        <row r="286">
          <cell r="G286" t="str">
            <v>9519086148-2</v>
          </cell>
          <cell r="H286">
            <v>45908</v>
          </cell>
          <cell r="I286" t="str">
            <v>BUBNA COMMERCIAL COMPANY</v>
          </cell>
          <cell r="J286">
            <v>2000</v>
          </cell>
          <cell r="K286" t="str">
            <v>Trimming only at RCL</v>
          </cell>
          <cell r="L286">
            <v>5</v>
          </cell>
          <cell r="M286">
            <v>15</v>
          </cell>
          <cell r="N286" t="str">
            <v>O/D GRADES</v>
          </cell>
          <cell r="O286">
            <v>1142895</v>
          </cell>
          <cell r="P286" t="str">
            <v>GP COIL SOFT-TATXGP-GLK1-0.5X900</v>
          </cell>
          <cell r="Q286">
            <v>0.5</v>
          </cell>
          <cell r="R286">
            <v>900</v>
          </cell>
          <cell r="S286">
            <v>63</v>
          </cell>
          <cell r="T286">
            <v>0</v>
          </cell>
          <cell r="U286">
            <v>63</v>
          </cell>
          <cell r="V286" t="str">
            <v>C02</v>
          </cell>
          <cell r="W286" t="str">
            <v>TATXGP</v>
          </cell>
          <cell r="X286" t="str">
            <v>GLK1</v>
          </cell>
          <cell r="Y286">
            <v>0</v>
          </cell>
          <cell r="Z286" t="str">
            <v/>
          </cell>
          <cell r="AA286" t="str">
            <v/>
          </cell>
          <cell r="AB286" t="str">
            <v/>
          </cell>
          <cell r="AC286" t="str">
            <v/>
          </cell>
          <cell r="AD286">
            <v>743</v>
          </cell>
          <cell r="AE286" t="str">
            <v>ZBTO</v>
          </cell>
        </row>
        <row r="287">
          <cell r="G287" t="str">
            <v>9519086148-3</v>
          </cell>
          <cell r="H287">
            <v>45908</v>
          </cell>
          <cell r="I287" t="str">
            <v>BUBNA COMMERCIAL COMPANY</v>
          </cell>
          <cell r="J287">
            <v>2000</v>
          </cell>
          <cell r="K287" t="str">
            <v>Trimming only at RCL</v>
          </cell>
          <cell r="L287">
            <v>5</v>
          </cell>
          <cell r="M287">
            <v>15</v>
          </cell>
          <cell r="N287" t="str">
            <v>O/D GRADES</v>
          </cell>
          <cell r="O287">
            <v>1191956</v>
          </cell>
          <cell r="P287" t="str">
            <v>GP COIL SOFT-TATXGP-GK09-0.35X900</v>
          </cell>
          <cell r="Q287">
            <v>0.35</v>
          </cell>
          <cell r="R287">
            <v>900</v>
          </cell>
          <cell r="S287">
            <v>105</v>
          </cell>
          <cell r="T287">
            <v>0</v>
          </cell>
          <cell r="U287">
            <v>105</v>
          </cell>
          <cell r="V287" t="str">
            <v>C02</v>
          </cell>
          <cell r="W287" t="str">
            <v>TATXGP</v>
          </cell>
          <cell r="X287" t="str">
            <v>GK09</v>
          </cell>
          <cell r="Y287">
            <v>0</v>
          </cell>
          <cell r="Z287" t="str">
            <v/>
          </cell>
          <cell r="AA287" t="str">
            <v/>
          </cell>
          <cell r="AB287" t="str">
            <v/>
          </cell>
          <cell r="AC287" t="str">
            <v/>
          </cell>
          <cell r="AD287">
            <v>743</v>
          </cell>
          <cell r="AE287" t="str">
            <v>ZBTO</v>
          </cell>
        </row>
        <row r="288">
          <cell r="G288" t="str">
            <v>9519086148-4</v>
          </cell>
          <cell r="H288">
            <v>45908</v>
          </cell>
          <cell r="I288" t="str">
            <v>BUBNA COMMERCIAL COMPANY</v>
          </cell>
          <cell r="J288">
            <v>2000</v>
          </cell>
          <cell r="K288" t="str">
            <v>Trimming only at RCL</v>
          </cell>
          <cell r="L288">
            <v>5</v>
          </cell>
          <cell r="M288">
            <v>15</v>
          </cell>
          <cell r="N288" t="str">
            <v>GLK1</v>
          </cell>
          <cell r="O288">
            <v>1853143</v>
          </cell>
          <cell r="P288" t="str">
            <v>GP COIL SOFT-TATXGP-GLK1-0.4X900</v>
          </cell>
          <cell r="Q288">
            <v>0.4</v>
          </cell>
          <cell r="R288">
            <v>900</v>
          </cell>
          <cell r="S288">
            <v>105</v>
          </cell>
          <cell r="T288">
            <v>0</v>
          </cell>
          <cell r="U288">
            <v>105</v>
          </cell>
          <cell r="V288" t="str">
            <v>C02</v>
          </cell>
          <cell r="W288" t="str">
            <v>TATXGP</v>
          </cell>
          <cell r="X288" t="str">
            <v>GLK1</v>
          </cell>
          <cell r="Y288">
            <v>0</v>
          </cell>
          <cell r="Z288" t="str">
            <v/>
          </cell>
          <cell r="AA288" t="str">
            <v/>
          </cell>
          <cell r="AB288" t="str">
            <v/>
          </cell>
          <cell r="AC288" t="str">
            <v/>
          </cell>
          <cell r="AD288">
            <v>743</v>
          </cell>
          <cell r="AE288" t="str">
            <v>ZBTO</v>
          </cell>
        </row>
        <row r="289">
          <cell r="G289" t="str">
            <v>9519088655-1</v>
          </cell>
          <cell r="H289">
            <v>45909</v>
          </cell>
          <cell r="I289" t="str">
            <v>BHARTIA  DISTRIBUTORS PVT. LTD</v>
          </cell>
          <cell r="J289">
            <v>2000</v>
          </cell>
          <cell r="K289" t="str">
            <v>Trimming ( for CRC</v>
          </cell>
          <cell r="L289">
            <v>2.5</v>
          </cell>
          <cell r="M289">
            <v>3</v>
          </cell>
          <cell r="N289" t="str">
            <v>O/D GRADES</v>
          </cell>
          <cell r="O289">
            <v>3239536</v>
          </cell>
          <cell r="P289" t="str">
            <v>CRCA SHEET TATCRC SR16 0.350X900X2500</v>
          </cell>
          <cell r="Q289">
            <v>0.35</v>
          </cell>
          <cell r="R289">
            <v>900</v>
          </cell>
          <cell r="S289">
            <v>42</v>
          </cell>
          <cell r="T289">
            <v>0</v>
          </cell>
          <cell r="U289">
            <v>42</v>
          </cell>
          <cell r="V289" t="str">
            <v>C06</v>
          </cell>
          <cell r="W289" t="str">
            <v>TATCRC</v>
          </cell>
          <cell r="X289" t="str">
            <v>SR16</v>
          </cell>
          <cell r="Y289">
            <v>0</v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>
            <v>742</v>
          </cell>
          <cell r="AE289" t="str">
            <v>ZBTO</v>
          </cell>
        </row>
        <row r="290">
          <cell r="G290" t="str">
            <v>9519088655-2</v>
          </cell>
          <cell r="H290">
            <v>45909</v>
          </cell>
          <cell r="I290" t="str">
            <v>BHARTIA  DISTRIBUTORS PVT. LTD</v>
          </cell>
          <cell r="J290">
            <v>2000</v>
          </cell>
          <cell r="K290" t="str">
            <v>Trimming ( for CRC</v>
          </cell>
          <cell r="L290">
            <v>2.5</v>
          </cell>
          <cell r="M290">
            <v>3</v>
          </cell>
          <cell r="N290" t="str">
            <v>O/D GRADES</v>
          </cell>
          <cell r="O290">
            <v>3239542</v>
          </cell>
          <cell r="P290" t="str">
            <v>CRCA SHEET TATCRC SR16 0.350X1000X2500</v>
          </cell>
          <cell r="Q290">
            <v>0.35</v>
          </cell>
          <cell r="R290">
            <v>1000</v>
          </cell>
          <cell r="S290">
            <v>69</v>
          </cell>
          <cell r="T290">
            <v>0</v>
          </cell>
          <cell r="U290">
            <v>69</v>
          </cell>
          <cell r="V290" t="str">
            <v>C06</v>
          </cell>
          <cell r="W290" t="str">
            <v>TATCRC</v>
          </cell>
          <cell r="X290" t="str">
            <v>SR16</v>
          </cell>
          <cell r="Y290">
            <v>0</v>
          </cell>
          <cell r="Z290" t="str">
            <v/>
          </cell>
          <cell r="AA290" t="str">
            <v/>
          </cell>
          <cell r="AB290" t="str">
            <v/>
          </cell>
          <cell r="AC290" t="str">
            <v/>
          </cell>
          <cell r="AD290">
            <v>742</v>
          </cell>
          <cell r="AE290" t="str">
            <v>ZBTO</v>
          </cell>
        </row>
        <row r="291">
          <cell r="G291" t="str">
            <v>9519088655-3</v>
          </cell>
          <cell r="H291">
            <v>45909</v>
          </cell>
          <cell r="I291" t="str">
            <v>BHARTIA  DISTRIBUTORS PVT. LTD</v>
          </cell>
          <cell r="J291">
            <v>2000</v>
          </cell>
          <cell r="K291" t="str">
            <v>Trimming ( for CRC</v>
          </cell>
          <cell r="L291">
            <v>2.5</v>
          </cell>
          <cell r="M291">
            <v>3</v>
          </cell>
          <cell r="N291" t="str">
            <v>O/D GRADES</v>
          </cell>
          <cell r="O291">
            <v>3239554</v>
          </cell>
          <cell r="P291" t="str">
            <v>CRCA SHEET TATCRC SR16 0.400X1000X2500</v>
          </cell>
          <cell r="Q291">
            <v>0.4</v>
          </cell>
          <cell r="R291">
            <v>1000</v>
          </cell>
          <cell r="S291">
            <v>69</v>
          </cell>
          <cell r="T291">
            <v>0</v>
          </cell>
          <cell r="U291">
            <v>69</v>
          </cell>
          <cell r="V291" t="str">
            <v>C06</v>
          </cell>
          <cell r="W291" t="str">
            <v>TATCRC</v>
          </cell>
          <cell r="X291" t="str">
            <v>SR16</v>
          </cell>
          <cell r="Y291">
            <v>0</v>
          </cell>
          <cell r="Z291" t="str">
            <v/>
          </cell>
          <cell r="AA291" t="str">
            <v/>
          </cell>
          <cell r="AB291" t="str">
            <v/>
          </cell>
          <cell r="AC291" t="str">
            <v/>
          </cell>
          <cell r="AD291">
            <v>742</v>
          </cell>
          <cell r="AE291" t="str">
            <v>ZBTO</v>
          </cell>
        </row>
        <row r="292">
          <cell r="G292" t="str">
            <v>9519088655-4</v>
          </cell>
          <cell r="H292">
            <v>45909</v>
          </cell>
          <cell r="I292" t="str">
            <v>BHARTIA  DISTRIBUTORS PVT. LTD</v>
          </cell>
          <cell r="J292">
            <v>2000</v>
          </cell>
          <cell r="K292" t="str">
            <v>Trimming ( for CRC</v>
          </cell>
          <cell r="L292">
            <v>2.5</v>
          </cell>
          <cell r="M292">
            <v>3</v>
          </cell>
          <cell r="N292" t="str">
            <v>O/D GRADES</v>
          </cell>
          <cell r="O292">
            <v>3239548</v>
          </cell>
          <cell r="P292" t="str">
            <v>CRCA SHEET TATCRC SR16 0.400X900X2500</v>
          </cell>
          <cell r="Q292">
            <v>0.4</v>
          </cell>
          <cell r="R292">
            <v>900</v>
          </cell>
          <cell r="S292">
            <v>42</v>
          </cell>
          <cell r="T292">
            <v>0</v>
          </cell>
          <cell r="U292">
            <v>42</v>
          </cell>
          <cell r="V292" t="str">
            <v>C06</v>
          </cell>
          <cell r="W292" t="str">
            <v>TATCRC</v>
          </cell>
          <cell r="X292" t="str">
            <v>SR16</v>
          </cell>
          <cell r="Y292">
            <v>0</v>
          </cell>
          <cell r="Z292" t="str">
            <v/>
          </cell>
          <cell r="AA292" t="str">
            <v/>
          </cell>
          <cell r="AB292" t="str">
            <v/>
          </cell>
          <cell r="AC292" t="str">
            <v/>
          </cell>
          <cell r="AD292">
            <v>742</v>
          </cell>
          <cell r="AE292" t="str">
            <v>ZBTO</v>
          </cell>
        </row>
        <row r="293">
          <cell r="G293" t="str">
            <v>9519088655-5</v>
          </cell>
          <cell r="H293">
            <v>45909</v>
          </cell>
          <cell r="I293" t="str">
            <v>BHARTIA  DISTRIBUTORS PVT. LTD</v>
          </cell>
          <cell r="J293">
            <v>2000</v>
          </cell>
          <cell r="K293" t="str">
            <v>Trimming ( for CRC</v>
          </cell>
          <cell r="L293">
            <v>2.5</v>
          </cell>
          <cell r="M293">
            <v>3</v>
          </cell>
          <cell r="N293" t="str">
            <v>O/D GRADES</v>
          </cell>
          <cell r="O293">
            <v>3239568</v>
          </cell>
          <cell r="P293" t="str">
            <v>CRCA SHEET TATCRC SR16 0.450X1250X2500</v>
          </cell>
          <cell r="Q293">
            <v>0.45</v>
          </cell>
          <cell r="R293">
            <v>1250</v>
          </cell>
          <cell r="S293">
            <v>29</v>
          </cell>
          <cell r="T293">
            <v>0</v>
          </cell>
          <cell r="U293">
            <v>29</v>
          </cell>
          <cell r="V293" t="str">
            <v>C06</v>
          </cell>
          <cell r="W293" t="str">
            <v>TATCRC</v>
          </cell>
          <cell r="X293" t="str">
            <v>SR16</v>
          </cell>
          <cell r="Y293">
            <v>0</v>
          </cell>
          <cell r="Z293" t="str">
            <v/>
          </cell>
          <cell r="AA293" t="str">
            <v/>
          </cell>
          <cell r="AB293" t="str">
            <v/>
          </cell>
          <cell r="AC293" t="str">
            <v/>
          </cell>
          <cell r="AD293">
            <v>742</v>
          </cell>
          <cell r="AE293" t="str">
            <v>ZBTO</v>
          </cell>
        </row>
        <row r="294">
          <cell r="G294" t="str">
            <v>9519088655-6</v>
          </cell>
          <cell r="H294">
            <v>45909</v>
          </cell>
          <cell r="I294" t="str">
            <v>BHARTIA  DISTRIBUTORS PVT. LTD</v>
          </cell>
          <cell r="J294">
            <v>2000</v>
          </cell>
          <cell r="K294" t="str">
            <v>Trimming ( for CRC</v>
          </cell>
          <cell r="L294">
            <v>2.5</v>
          </cell>
          <cell r="M294">
            <v>3</v>
          </cell>
          <cell r="N294" t="str">
            <v>O/D GRADES</v>
          </cell>
          <cell r="O294">
            <v>3240760</v>
          </cell>
          <cell r="P294" t="str">
            <v>CRCA SHEET TSBCRC SR15 0.500X1000X2500</v>
          </cell>
          <cell r="Q294">
            <v>0.5</v>
          </cell>
          <cell r="R294">
            <v>1000</v>
          </cell>
          <cell r="S294">
            <v>23</v>
          </cell>
          <cell r="T294">
            <v>0</v>
          </cell>
          <cell r="U294">
            <v>23</v>
          </cell>
          <cell r="V294" t="str">
            <v>C06</v>
          </cell>
          <cell r="W294" t="str">
            <v>TSBCRC</v>
          </cell>
          <cell r="X294" t="str">
            <v>SR15</v>
          </cell>
          <cell r="Y294">
            <v>0</v>
          </cell>
          <cell r="Z294" t="str">
            <v/>
          </cell>
          <cell r="AA294" t="str">
            <v/>
          </cell>
          <cell r="AB294" t="str">
            <v/>
          </cell>
          <cell r="AC294" t="str">
            <v/>
          </cell>
          <cell r="AD294">
            <v>742</v>
          </cell>
          <cell r="AE294" t="str">
            <v>ZBTO</v>
          </cell>
        </row>
        <row r="295">
          <cell r="G295" t="str">
            <v>9519088655-7</v>
          </cell>
          <cell r="H295">
            <v>45909</v>
          </cell>
          <cell r="I295" t="str">
            <v>BHARTIA  DISTRIBUTORS PVT. LTD</v>
          </cell>
          <cell r="J295">
            <v>2000</v>
          </cell>
          <cell r="K295" t="str">
            <v>Trimming ( for CRC</v>
          </cell>
          <cell r="L295">
            <v>2.5</v>
          </cell>
          <cell r="M295">
            <v>3</v>
          </cell>
          <cell r="N295" t="str">
            <v>O/D GRADES</v>
          </cell>
          <cell r="O295">
            <v>3240778</v>
          </cell>
          <cell r="P295" t="str">
            <v>CRCA SHEET TSBCRC SR15 0.600X1000X2500</v>
          </cell>
          <cell r="Q295">
            <v>0.6</v>
          </cell>
          <cell r="R295">
            <v>1000</v>
          </cell>
          <cell r="S295">
            <v>23</v>
          </cell>
          <cell r="T295">
            <v>0</v>
          </cell>
          <cell r="U295">
            <v>23</v>
          </cell>
          <cell r="V295" t="str">
            <v>C06</v>
          </cell>
          <cell r="W295" t="str">
            <v>TSBCRC</v>
          </cell>
          <cell r="X295" t="str">
            <v>SR15</v>
          </cell>
          <cell r="Y295">
            <v>0</v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>
            <v>742</v>
          </cell>
          <cell r="AE295" t="str">
            <v>ZBTO</v>
          </cell>
        </row>
        <row r="296">
          <cell r="G296" t="str">
            <v>9519088655-8</v>
          </cell>
          <cell r="H296">
            <v>45909</v>
          </cell>
          <cell r="I296" t="str">
            <v>BHARTIA  DISTRIBUTORS PVT. LTD</v>
          </cell>
          <cell r="J296">
            <v>2000</v>
          </cell>
          <cell r="K296" t="str">
            <v>Trimming only at RCL</v>
          </cell>
          <cell r="L296">
            <v>2.5</v>
          </cell>
          <cell r="M296">
            <v>3</v>
          </cell>
          <cell r="N296" t="str">
            <v>O/D GRADES</v>
          </cell>
          <cell r="O296">
            <v>3240790</v>
          </cell>
          <cell r="P296" t="str">
            <v>CRCA SHEET TSBCRC SR15 0.700X1000X2500</v>
          </cell>
          <cell r="Q296">
            <v>0.7</v>
          </cell>
          <cell r="R296">
            <v>1000</v>
          </cell>
          <cell r="S296">
            <v>23</v>
          </cell>
          <cell r="T296">
            <v>0</v>
          </cell>
          <cell r="U296">
            <v>23</v>
          </cell>
          <cell r="V296" t="str">
            <v>C06</v>
          </cell>
          <cell r="W296" t="str">
            <v>TSBCRC</v>
          </cell>
          <cell r="X296" t="str">
            <v>SR15</v>
          </cell>
          <cell r="Y296">
            <v>0</v>
          </cell>
          <cell r="Z296" t="str">
            <v/>
          </cell>
          <cell r="AA296" t="str">
            <v/>
          </cell>
          <cell r="AB296" t="str">
            <v/>
          </cell>
          <cell r="AC296" t="str">
            <v/>
          </cell>
          <cell r="AD296">
            <v>742</v>
          </cell>
          <cell r="AE296" t="str">
            <v>ZBTO</v>
          </cell>
        </row>
        <row r="297">
          <cell r="G297" t="str">
            <v>9519088655-9</v>
          </cell>
          <cell r="H297">
            <v>45909</v>
          </cell>
          <cell r="I297" t="str">
            <v>BHARTIA  DISTRIBUTORS PVT. LTD</v>
          </cell>
          <cell r="J297">
            <v>2000</v>
          </cell>
          <cell r="K297" t="str">
            <v>Trimming ( for CRC</v>
          </cell>
          <cell r="L297">
            <v>2.5</v>
          </cell>
          <cell r="M297">
            <v>3</v>
          </cell>
          <cell r="N297" t="str">
            <v>O/D GRADES</v>
          </cell>
          <cell r="O297">
            <v>3240799</v>
          </cell>
          <cell r="P297" t="str">
            <v>CRCA SHEET TSBCRC SR15 0.750X1250X2500</v>
          </cell>
          <cell r="Q297">
            <v>0.75</v>
          </cell>
          <cell r="R297">
            <v>1250</v>
          </cell>
          <cell r="S297">
            <v>29</v>
          </cell>
          <cell r="T297">
            <v>0</v>
          </cell>
          <cell r="U297">
            <v>29</v>
          </cell>
          <cell r="V297" t="str">
            <v>C06</v>
          </cell>
          <cell r="W297" t="str">
            <v>TSBCRC</v>
          </cell>
          <cell r="X297" t="str">
            <v>SR15</v>
          </cell>
          <cell r="Y297">
            <v>0</v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>
            <v>742</v>
          </cell>
          <cell r="AE297" t="str">
            <v>ZBTO</v>
          </cell>
        </row>
        <row r="298">
          <cell r="G298" t="str">
            <v>9519088655-10</v>
          </cell>
          <cell r="H298">
            <v>45909</v>
          </cell>
          <cell r="I298" t="str">
            <v>BHARTIA  DISTRIBUTORS PVT. LTD</v>
          </cell>
          <cell r="J298">
            <v>2000</v>
          </cell>
          <cell r="K298" t="str">
            <v>Trimming ( for CRC</v>
          </cell>
          <cell r="L298">
            <v>2.5</v>
          </cell>
          <cell r="M298">
            <v>3</v>
          </cell>
          <cell r="N298" t="str">
            <v>O/D GRADES</v>
          </cell>
          <cell r="O298">
            <v>3240808</v>
          </cell>
          <cell r="P298" t="str">
            <v>CRCA SHEET TSBCRC SR15 0.800X1250X2500</v>
          </cell>
          <cell r="Q298">
            <v>0.8</v>
          </cell>
          <cell r="R298">
            <v>1250</v>
          </cell>
          <cell r="S298">
            <v>29</v>
          </cell>
          <cell r="T298">
            <v>0</v>
          </cell>
          <cell r="U298">
            <v>29</v>
          </cell>
          <cell r="V298" t="str">
            <v>C06</v>
          </cell>
          <cell r="W298" t="str">
            <v>TSBCRC</v>
          </cell>
          <cell r="X298" t="str">
            <v>SR15</v>
          </cell>
          <cell r="Y298">
            <v>0</v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>
            <v>742</v>
          </cell>
          <cell r="AE298" t="str">
            <v>ZBTO</v>
          </cell>
        </row>
        <row r="299">
          <cell r="G299" t="str">
            <v>9519088655-11</v>
          </cell>
          <cell r="H299">
            <v>45909</v>
          </cell>
          <cell r="I299" t="str">
            <v>BHARTIA  DISTRIBUTORS PVT. LTD</v>
          </cell>
          <cell r="J299">
            <v>2000</v>
          </cell>
          <cell r="K299" t="str">
            <v>Trimming ( for CRC</v>
          </cell>
          <cell r="L299">
            <v>2.5</v>
          </cell>
          <cell r="M299">
            <v>3</v>
          </cell>
          <cell r="N299" t="str">
            <v>SR15</v>
          </cell>
          <cell r="O299">
            <v>3240820</v>
          </cell>
          <cell r="P299" t="str">
            <v>CRCA SHEET TSBCRC SR15 0.900X1250X2500</v>
          </cell>
          <cell r="Q299">
            <v>0.9</v>
          </cell>
          <cell r="R299">
            <v>1250</v>
          </cell>
          <cell r="S299">
            <v>29</v>
          </cell>
          <cell r="T299">
            <v>0</v>
          </cell>
          <cell r="U299">
            <v>29</v>
          </cell>
          <cell r="V299" t="str">
            <v>C06</v>
          </cell>
          <cell r="W299" t="str">
            <v>TSBCRC</v>
          </cell>
          <cell r="X299" t="str">
            <v>SR15</v>
          </cell>
          <cell r="Y299">
            <v>0</v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>
            <v>742</v>
          </cell>
          <cell r="AE299" t="str">
            <v>ZBTO</v>
          </cell>
        </row>
        <row r="300">
          <cell r="G300" t="str">
            <v>9519088655-12</v>
          </cell>
          <cell r="H300">
            <v>45909</v>
          </cell>
          <cell r="I300" t="str">
            <v>BHARTIA  DISTRIBUTORS PVT. LTD</v>
          </cell>
          <cell r="J300">
            <v>2000</v>
          </cell>
          <cell r="K300" t="str">
            <v>Trimming ( for CRC</v>
          </cell>
          <cell r="L300">
            <v>2.5</v>
          </cell>
          <cell r="M300">
            <v>3</v>
          </cell>
          <cell r="N300" t="str">
            <v>O/D GRADES</v>
          </cell>
          <cell r="O300">
            <v>3240842</v>
          </cell>
          <cell r="P300" t="str">
            <v>CRCA SHEET TSBCRC SR15 1X1250X2500</v>
          </cell>
          <cell r="Q300">
            <v>1</v>
          </cell>
          <cell r="R300">
            <v>1250</v>
          </cell>
          <cell r="S300">
            <v>58</v>
          </cell>
          <cell r="T300">
            <v>0</v>
          </cell>
          <cell r="U300">
            <v>58</v>
          </cell>
          <cell r="V300" t="str">
            <v>C06</v>
          </cell>
          <cell r="W300" t="str">
            <v>TSBCRC</v>
          </cell>
          <cell r="X300" t="str">
            <v>SR15</v>
          </cell>
          <cell r="Y300">
            <v>0</v>
          </cell>
          <cell r="Z300" t="str">
            <v/>
          </cell>
          <cell r="AA300" t="str">
            <v/>
          </cell>
          <cell r="AB300" t="str">
            <v/>
          </cell>
          <cell r="AC300" t="str">
            <v/>
          </cell>
          <cell r="AD300">
            <v>742</v>
          </cell>
          <cell r="AE300" t="str">
            <v>ZBTO</v>
          </cell>
        </row>
        <row r="301">
          <cell r="G301" t="str">
            <v>9519088655-13</v>
          </cell>
          <cell r="H301">
            <v>45909</v>
          </cell>
          <cell r="I301" t="str">
            <v>BHARTIA  DISTRIBUTORS PVT. LTD</v>
          </cell>
          <cell r="J301">
            <v>2000</v>
          </cell>
          <cell r="K301" t="str">
            <v>Trimming ( for CRC</v>
          </cell>
          <cell r="L301">
            <v>2.5</v>
          </cell>
          <cell r="M301">
            <v>3</v>
          </cell>
          <cell r="N301" t="str">
            <v>SR15</v>
          </cell>
          <cell r="O301">
            <v>3240851</v>
          </cell>
          <cell r="P301" t="str">
            <v>CRCA SHEET TSBCRC SR15 1.200X1250X2500</v>
          </cell>
          <cell r="Q301">
            <v>1.2</v>
          </cell>
          <cell r="R301">
            <v>1250</v>
          </cell>
          <cell r="S301">
            <v>58</v>
          </cell>
          <cell r="T301">
            <v>0</v>
          </cell>
          <cell r="U301">
            <v>58</v>
          </cell>
          <cell r="V301" t="str">
            <v>C06</v>
          </cell>
          <cell r="W301" t="str">
            <v>TSBCRC</v>
          </cell>
          <cell r="X301" t="str">
            <v>SR15</v>
          </cell>
          <cell r="Y301">
            <v>0</v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>
            <v>742</v>
          </cell>
          <cell r="AE301" t="str">
            <v>ZBTO</v>
          </cell>
        </row>
        <row r="302">
          <cell r="G302" t="str">
            <v>9519088655-14</v>
          </cell>
          <cell r="H302">
            <v>45909</v>
          </cell>
          <cell r="I302" t="str">
            <v>BHARTIA  DISTRIBUTORS PVT. LTD</v>
          </cell>
          <cell r="J302">
            <v>2000</v>
          </cell>
          <cell r="K302" t="str">
            <v>Trimming ( for CRC</v>
          </cell>
          <cell r="L302">
            <v>2.5</v>
          </cell>
          <cell r="M302">
            <v>3</v>
          </cell>
          <cell r="N302" t="str">
            <v>SR15</v>
          </cell>
          <cell r="O302">
            <v>3240863</v>
          </cell>
          <cell r="P302" t="str">
            <v>CRCA SHEET TSBCRC SR15 1.500X1250X2500</v>
          </cell>
          <cell r="Q302">
            <v>1.5</v>
          </cell>
          <cell r="R302">
            <v>1250</v>
          </cell>
          <cell r="S302">
            <v>58</v>
          </cell>
          <cell r="T302">
            <v>0</v>
          </cell>
          <cell r="U302">
            <v>58</v>
          </cell>
          <cell r="V302" t="str">
            <v>C06</v>
          </cell>
          <cell r="W302" t="str">
            <v>TSBCRC</v>
          </cell>
          <cell r="X302" t="str">
            <v>SR15</v>
          </cell>
          <cell r="Y302">
            <v>0</v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>
            <v>742</v>
          </cell>
          <cell r="AE302" t="str">
            <v>ZBTO</v>
          </cell>
        </row>
        <row r="303">
          <cell r="G303" t="str">
            <v>9519088655-15</v>
          </cell>
          <cell r="H303">
            <v>45909</v>
          </cell>
          <cell r="I303" t="str">
            <v>BHARTIA  DISTRIBUTORS PVT. LTD</v>
          </cell>
          <cell r="J303">
            <v>2000</v>
          </cell>
          <cell r="K303" t="str">
            <v>Trimming ( for CRC</v>
          </cell>
          <cell r="L303">
            <v>2.5</v>
          </cell>
          <cell r="M303">
            <v>3</v>
          </cell>
          <cell r="N303" t="str">
            <v>O/D GRADES</v>
          </cell>
          <cell r="O303">
            <v>3240857</v>
          </cell>
          <cell r="P303" t="str">
            <v>CRCA SHEET TSBCRC SR15 2X1250X2500</v>
          </cell>
          <cell r="Q303">
            <v>2</v>
          </cell>
          <cell r="R303">
            <v>1250</v>
          </cell>
          <cell r="S303">
            <v>29</v>
          </cell>
          <cell r="T303">
            <v>0</v>
          </cell>
          <cell r="U303">
            <v>29</v>
          </cell>
          <cell r="V303" t="str">
            <v>C06</v>
          </cell>
          <cell r="W303" t="str">
            <v>TSBCRC</v>
          </cell>
          <cell r="X303" t="str">
            <v>SR15</v>
          </cell>
          <cell r="Y303">
            <v>0</v>
          </cell>
          <cell r="Z303" t="str">
            <v/>
          </cell>
          <cell r="AA303" t="str">
            <v/>
          </cell>
          <cell r="AB303" t="str">
            <v/>
          </cell>
          <cell r="AC303" t="str">
            <v/>
          </cell>
          <cell r="AD303">
            <v>742</v>
          </cell>
          <cell r="AE303" t="str">
            <v>ZBTO</v>
          </cell>
        </row>
        <row r="304">
          <cell r="G304" t="str">
            <v>9519088967-1</v>
          </cell>
          <cell r="H304">
            <v>45909</v>
          </cell>
          <cell r="I304" t="str">
            <v>TEJRAM RAMNIWAS AGARWAL</v>
          </cell>
          <cell r="J304">
            <v>2000</v>
          </cell>
          <cell r="K304" t="str">
            <v>Trimming at PLTCM</v>
          </cell>
          <cell r="L304">
            <v>2.5</v>
          </cell>
          <cell r="M304">
            <v>3</v>
          </cell>
          <cell r="N304" t="str">
            <v>SR16</v>
          </cell>
          <cell r="O304">
            <v>3239557</v>
          </cell>
          <cell r="P304" t="str">
            <v>CRCA SHEET TATCRC SR16 0.400X1250X2500</v>
          </cell>
          <cell r="Q304">
            <v>0.4</v>
          </cell>
          <cell r="R304">
            <v>1250</v>
          </cell>
          <cell r="S304">
            <v>58</v>
          </cell>
          <cell r="T304">
            <v>0</v>
          </cell>
          <cell r="U304">
            <v>58</v>
          </cell>
          <cell r="V304" t="str">
            <v>C06</v>
          </cell>
          <cell r="W304" t="str">
            <v>TATCRC</v>
          </cell>
          <cell r="X304" t="str">
            <v>SR16</v>
          </cell>
          <cell r="Y304">
            <v>0</v>
          </cell>
          <cell r="Z304" t="str">
            <v/>
          </cell>
          <cell r="AA304" t="str">
            <v/>
          </cell>
          <cell r="AB304" t="str">
            <v/>
          </cell>
          <cell r="AC304" t="str">
            <v/>
          </cell>
          <cell r="AD304">
            <v>742</v>
          </cell>
          <cell r="AE304" t="str">
            <v>ZBTO</v>
          </cell>
        </row>
        <row r="305">
          <cell r="G305" t="str">
            <v>9519088967-2</v>
          </cell>
          <cell r="H305">
            <v>45909</v>
          </cell>
          <cell r="I305" t="str">
            <v>TEJRAM RAMNIWAS AGARWAL</v>
          </cell>
          <cell r="J305">
            <v>2000</v>
          </cell>
          <cell r="K305" t="str">
            <v>Trimming at PLTCM</v>
          </cell>
          <cell r="L305">
            <v>2.5</v>
          </cell>
          <cell r="M305">
            <v>3</v>
          </cell>
          <cell r="N305" t="str">
            <v>NPUR</v>
          </cell>
          <cell r="O305">
            <v>3239568</v>
          </cell>
          <cell r="P305" t="str">
            <v>CRCA SHEET TATCRC SR16 0.450X1250X2500</v>
          </cell>
          <cell r="Q305">
            <v>0.45</v>
          </cell>
          <cell r="R305">
            <v>1250</v>
          </cell>
          <cell r="S305">
            <v>58</v>
          </cell>
          <cell r="T305">
            <v>0</v>
          </cell>
          <cell r="U305">
            <v>58</v>
          </cell>
          <cell r="V305" t="str">
            <v>C06</v>
          </cell>
          <cell r="W305" t="str">
            <v>TATCRC</v>
          </cell>
          <cell r="X305" t="str">
            <v>SR16</v>
          </cell>
          <cell r="Y305">
            <v>0</v>
          </cell>
          <cell r="Z305" t="str">
            <v/>
          </cell>
          <cell r="AA305" t="str">
            <v/>
          </cell>
          <cell r="AB305" t="str">
            <v/>
          </cell>
          <cell r="AC305" t="str">
            <v/>
          </cell>
          <cell r="AD305">
            <v>742</v>
          </cell>
          <cell r="AE305" t="str">
            <v>ZBTO</v>
          </cell>
        </row>
        <row r="306">
          <cell r="G306" t="str">
            <v>9519090038-1</v>
          </cell>
          <cell r="H306">
            <v>45909</v>
          </cell>
          <cell r="I306" t="str">
            <v>BHARTIA  DISTRIBUTORS PVT. LTD</v>
          </cell>
          <cell r="J306">
            <v>2000</v>
          </cell>
          <cell r="K306" t="str">
            <v>Trimming only at RCL</v>
          </cell>
          <cell r="L306">
            <v>2.8</v>
          </cell>
          <cell r="M306">
            <v>3</v>
          </cell>
          <cell r="N306" t="str">
            <v/>
          </cell>
          <cell r="O306">
            <v>3484325</v>
          </cell>
          <cell r="P306" t="str">
            <v>GP SH SOFT TATXGP GK09 0.350X900X2500</v>
          </cell>
          <cell r="Q306">
            <v>0.35</v>
          </cell>
          <cell r="R306">
            <v>900</v>
          </cell>
          <cell r="S306">
            <v>90</v>
          </cell>
          <cell r="T306">
            <v>0</v>
          </cell>
          <cell r="U306">
            <v>90</v>
          </cell>
          <cell r="V306" t="str">
            <v>B11</v>
          </cell>
          <cell r="W306" t="str">
            <v>TATXGP</v>
          </cell>
          <cell r="X306" t="str">
            <v>GK09</v>
          </cell>
          <cell r="Y306">
            <v>0</v>
          </cell>
          <cell r="Z306" t="str">
            <v/>
          </cell>
          <cell r="AA306" t="str">
            <v/>
          </cell>
          <cell r="AB306" t="str">
            <v/>
          </cell>
          <cell r="AC306" t="str">
            <v/>
          </cell>
          <cell r="AD306">
            <v>743</v>
          </cell>
          <cell r="AE306" t="str">
            <v>ZBTO</v>
          </cell>
        </row>
        <row r="307">
          <cell r="G307" t="str">
            <v>9519090038-2</v>
          </cell>
          <cell r="H307">
            <v>45909</v>
          </cell>
          <cell r="I307" t="str">
            <v>BHARTIA  DISTRIBUTORS PVT. LTD</v>
          </cell>
          <cell r="J307">
            <v>2000</v>
          </cell>
          <cell r="K307" t="str">
            <v>Trimming only at RCL</v>
          </cell>
          <cell r="L307">
            <v>2.8</v>
          </cell>
          <cell r="M307">
            <v>3</v>
          </cell>
          <cell r="N307" t="str">
            <v/>
          </cell>
          <cell r="O307">
            <v>3484326</v>
          </cell>
          <cell r="P307" t="str">
            <v>GP SH SOFT TATXGP GK09 0.400X900X2500</v>
          </cell>
          <cell r="Q307">
            <v>0.4</v>
          </cell>
          <cell r="R307">
            <v>900</v>
          </cell>
          <cell r="S307">
            <v>90</v>
          </cell>
          <cell r="T307">
            <v>0</v>
          </cell>
          <cell r="U307">
            <v>90</v>
          </cell>
          <cell r="V307" t="str">
            <v>B11</v>
          </cell>
          <cell r="W307" t="str">
            <v>TATXGP</v>
          </cell>
          <cell r="X307" t="str">
            <v>GK09</v>
          </cell>
          <cell r="Y307">
            <v>0</v>
          </cell>
          <cell r="Z307" t="str">
            <v/>
          </cell>
          <cell r="AA307" t="str">
            <v/>
          </cell>
          <cell r="AB307" t="str">
            <v/>
          </cell>
          <cell r="AC307" t="str">
            <v/>
          </cell>
          <cell r="AD307">
            <v>743</v>
          </cell>
          <cell r="AE307" t="str">
            <v>ZBTO</v>
          </cell>
        </row>
        <row r="308">
          <cell r="G308" t="str">
            <v>9519090038-3</v>
          </cell>
          <cell r="H308">
            <v>45909</v>
          </cell>
          <cell r="I308" t="str">
            <v>BHARTIA  DISTRIBUTORS PVT. LTD</v>
          </cell>
          <cell r="J308">
            <v>2000</v>
          </cell>
          <cell r="K308" t="str">
            <v>Trimming only at RCL</v>
          </cell>
          <cell r="L308">
            <v>2.8</v>
          </cell>
          <cell r="M308">
            <v>3</v>
          </cell>
          <cell r="N308" t="str">
            <v/>
          </cell>
          <cell r="O308">
            <v>3484328</v>
          </cell>
          <cell r="P308" t="str">
            <v>GP SH SOFT TATXGP GK09 0.500X900X2500</v>
          </cell>
          <cell r="Q308">
            <v>0.5</v>
          </cell>
          <cell r="R308">
            <v>900</v>
          </cell>
          <cell r="S308">
            <v>30</v>
          </cell>
          <cell r="T308">
            <v>0</v>
          </cell>
          <cell r="U308">
            <v>30</v>
          </cell>
          <cell r="V308" t="str">
            <v>B11</v>
          </cell>
          <cell r="W308" t="str">
            <v>TATXGP</v>
          </cell>
          <cell r="X308" t="str">
            <v>GK09</v>
          </cell>
          <cell r="Y308">
            <v>0</v>
          </cell>
          <cell r="Z308" t="str">
            <v/>
          </cell>
          <cell r="AA308" t="str">
            <v/>
          </cell>
          <cell r="AB308" t="str">
            <v/>
          </cell>
          <cell r="AC308" t="str">
            <v/>
          </cell>
          <cell r="AD308">
            <v>743</v>
          </cell>
          <cell r="AE308" t="str">
            <v>ZBTO</v>
          </cell>
        </row>
        <row r="309">
          <cell r="G309" t="str">
            <v>9519090038-4</v>
          </cell>
          <cell r="H309">
            <v>45909</v>
          </cell>
          <cell r="I309" t="str">
            <v>BHARTIA  DISTRIBUTORS PVT. LTD</v>
          </cell>
          <cell r="J309">
            <v>2000</v>
          </cell>
          <cell r="K309" t="str">
            <v>Trimming only at RCL</v>
          </cell>
          <cell r="L309">
            <v>2.8</v>
          </cell>
          <cell r="M309">
            <v>3</v>
          </cell>
          <cell r="N309" t="str">
            <v>SOFT</v>
          </cell>
          <cell r="O309">
            <v>3484329</v>
          </cell>
          <cell r="P309" t="str">
            <v>GP SH SOFT TATXGP GK09 0.600X900X2500</v>
          </cell>
          <cell r="Q309">
            <v>0.6</v>
          </cell>
          <cell r="R309">
            <v>900</v>
          </cell>
          <cell r="S309">
            <v>30</v>
          </cell>
          <cell r="T309">
            <v>0</v>
          </cell>
          <cell r="U309">
            <v>30</v>
          </cell>
          <cell r="V309" t="str">
            <v>B11</v>
          </cell>
          <cell r="W309" t="str">
            <v>TATXGP</v>
          </cell>
          <cell r="X309" t="str">
            <v>GK09</v>
          </cell>
          <cell r="Y309">
            <v>0</v>
          </cell>
          <cell r="Z309" t="str">
            <v/>
          </cell>
          <cell r="AA309" t="str">
            <v/>
          </cell>
          <cell r="AB309" t="str">
            <v/>
          </cell>
          <cell r="AC309" t="str">
            <v/>
          </cell>
          <cell r="AD309">
            <v>743</v>
          </cell>
          <cell r="AE309" t="str">
            <v>ZBTO</v>
          </cell>
        </row>
        <row r="310">
          <cell r="G310" t="str">
            <v>9519091498-1</v>
          </cell>
          <cell r="H310">
            <v>45910</v>
          </cell>
          <cell r="I310" t="str">
            <v>DURGA STEEL INDUSTRIES</v>
          </cell>
          <cell r="J310">
            <v>2000</v>
          </cell>
          <cell r="K310" t="str">
            <v>Untrimmed edge</v>
          </cell>
          <cell r="L310">
            <v>15</v>
          </cell>
          <cell r="M310">
            <v>29</v>
          </cell>
          <cell r="N310" t="str">
            <v>GR1</v>
          </cell>
          <cell r="O310">
            <v>1252834</v>
          </cell>
          <cell r="P310" t="str">
            <v>HR COILS-PO IS 1079 HR2 3.0X1250</v>
          </cell>
          <cell r="Q310">
            <v>3</v>
          </cell>
          <cell r="R310">
            <v>1250</v>
          </cell>
          <cell r="S310">
            <v>58</v>
          </cell>
          <cell r="T310">
            <v>0</v>
          </cell>
          <cell r="U310">
            <v>58</v>
          </cell>
          <cell r="V310">
            <v>768</v>
          </cell>
          <cell r="W310" t="str">
            <v>THR099</v>
          </cell>
          <cell r="X310" t="str">
            <v>HR99</v>
          </cell>
          <cell r="Y310">
            <v>0</v>
          </cell>
          <cell r="Z310" t="str">
            <v/>
          </cell>
          <cell r="AA310" t="str">
            <v/>
          </cell>
          <cell r="AB310" t="str">
            <v/>
          </cell>
          <cell r="AC310" t="str">
            <v/>
          </cell>
          <cell r="AD310">
            <v>742</v>
          </cell>
          <cell r="AE310" t="str">
            <v>ZBTO</v>
          </cell>
        </row>
        <row r="311">
          <cell r="G311" t="str">
            <v>9519091866-1</v>
          </cell>
          <cell r="H311">
            <v>45910</v>
          </cell>
          <cell r="I311" t="str">
            <v>BMW VENTURES LIMITED</v>
          </cell>
          <cell r="J311">
            <v>2000</v>
          </cell>
          <cell r="K311" t="str">
            <v>Untrimmed edge</v>
          </cell>
          <cell r="L311">
            <v>1</v>
          </cell>
          <cell r="M311">
            <v>5</v>
          </cell>
          <cell r="N311" t="str">
            <v>O/D GRADES</v>
          </cell>
          <cell r="O311">
            <v>3953694</v>
          </cell>
          <cell r="P311" t="str">
            <v>GP COIL TATXGP GP2T 0.250X1350</v>
          </cell>
          <cell r="Q311">
            <v>0.25</v>
          </cell>
          <cell r="R311">
            <v>1350</v>
          </cell>
          <cell r="S311">
            <v>279</v>
          </cell>
          <cell r="T311">
            <v>0</v>
          </cell>
          <cell r="U311">
            <v>279</v>
          </cell>
          <cell r="V311" t="str">
            <v>C05</v>
          </cell>
          <cell r="W311" t="str">
            <v>TATXGP</v>
          </cell>
          <cell r="X311" t="str">
            <v>GP2T</v>
          </cell>
          <cell r="Y311">
            <v>0</v>
          </cell>
          <cell r="Z311" t="str">
            <v/>
          </cell>
          <cell r="AA311" t="str">
            <v/>
          </cell>
          <cell r="AB311" t="str">
            <v/>
          </cell>
          <cell r="AC311" t="str">
            <v/>
          </cell>
          <cell r="AD311">
            <v>743</v>
          </cell>
          <cell r="AE311" t="str">
            <v>ZBTO</v>
          </cell>
        </row>
        <row r="312">
          <cell r="G312" t="str">
            <v>9519091866-2</v>
          </cell>
          <cell r="H312">
            <v>45910</v>
          </cell>
          <cell r="I312" t="str">
            <v>BMW VENTURES LIMITED</v>
          </cell>
          <cell r="J312">
            <v>2000</v>
          </cell>
          <cell r="K312" t="str">
            <v>Trimming at PLTCM</v>
          </cell>
          <cell r="L312">
            <v>1</v>
          </cell>
          <cell r="M312">
            <v>5</v>
          </cell>
          <cell r="N312" t="str">
            <v>O/D GRADES</v>
          </cell>
          <cell r="O312">
            <v>3907468</v>
          </cell>
          <cell r="P312" t="str">
            <v>GP COIL TATXGP GP02 0.350X1350</v>
          </cell>
          <cell r="Q312">
            <v>0.35</v>
          </cell>
          <cell r="R312">
            <v>1350</v>
          </cell>
          <cell r="S312">
            <v>93</v>
          </cell>
          <cell r="T312">
            <v>0</v>
          </cell>
          <cell r="U312">
            <v>6.61</v>
          </cell>
          <cell r="V312" t="str">
            <v>C05</v>
          </cell>
          <cell r="W312" t="str">
            <v>TATXGP</v>
          </cell>
          <cell r="X312" t="str">
            <v>GP02</v>
          </cell>
          <cell r="Y312">
            <v>86.39</v>
          </cell>
          <cell r="Z312" t="str">
            <v/>
          </cell>
          <cell r="AA312" t="str">
            <v/>
          </cell>
          <cell r="AB312" t="str">
            <v/>
          </cell>
          <cell r="AC312" t="str">
            <v/>
          </cell>
          <cell r="AD312">
            <v>743</v>
          </cell>
          <cell r="AE312" t="str">
            <v>ZBTO</v>
          </cell>
        </row>
        <row r="313">
          <cell r="G313" t="str">
            <v>9519091866-3</v>
          </cell>
          <cell r="H313">
            <v>45910</v>
          </cell>
          <cell r="I313" t="str">
            <v>BMW VENTURES LIMITED</v>
          </cell>
          <cell r="J313">
            <v>2000</v>
          </cell>
          <cell r="K313" t="str">
            <v>Trimming at PLTCM</v>
          </cell>
          <cell r="L313">
            <v>1</v>
          </cell>
          <cell r="M313">
            <v>5</v>
          </cell>
          <cell r="N313" t="str">
            <v>O/D GRADES</v>
          </cell>
          <cell r="O313">
            <v>3767014</v>
          </cell>
          <cell r="P313" t="str">
            <v>GP COIL TATGPH GP02 0.400X1350</v>
          </cell>
          <cell r="Q313">
            <v>0.4</v>
          </cell>
          <cell r="R313">
            <v>1350</v>
          </cell>
          <cell r="S313">
            <v>93</v>
          </cell>
          <cell r="T313">
            <v>0</v>
          </cell>
          <cell r="U313">
            <v>93</v>
          </cell>
          <cell r="V313" t="str">
            <v>C05</v>
          </cell>
          <cell r="W313" t="str">
            <v>TATGPH</v>
          </cell>
          <cell r="X313" t="str">
            <v>GP02</v>
          </cell>
          <cell r="Y313">
            <v>0</v>
          </cell>
          <cell r="Z313" t="str">
            <v/>
          </cell>
          <cell r="AA313" t="str">
            <v/>
          </cell>
          <cell r="AB313" t="str">
            <v/>
          </cell>
          <cell r="AC313" t="str">
            <v/>
          </cell>
          <cell r="AD313">
            <v>743</v>
          </cell>
          <cell r="AE313" t="str">
            <v>ZBTO</v>
          </cell>
        </row>
        <row r="314">
          <cell r="G314" t="str">
            <v>9519091866-4</v>
          </cell>
          <cell r="H314">
            <v>45910</v>
          </cell>
          <cell r="I314" t="str">
            <v>BMW VENTURES LIMITED</v>
          </cell>
          <cell r="J314">
            <v>2000</v>
          </cell>
          <cell r="K314" t="str">
            <v>Untrimmed edge</v>
          </cell>
          <cell r="L314">
            <v>1</v>
          </cell>
          <cell r="M314">
            <v>5</v>
          </cell>
          <cell r="N314" t="str">
            <v>O/D GRADES</v>
          </cell>
          <cell r="O314">
            <v>3953694</v>
          </cell>
          <cell r="P314" t="str">
            <v>GP COIL TATXGP GP2T 0.250X1350</v>
          </cell>
          <cell r="Q314">
            <v>0.25</v>
          </cell>
          <cell r="R314">
            <v>1350</v>
          </cell>
          <cell r="S314">
            <v>217</v>
          </cell>
          <cell r="T314">
            <v>0</v>
          </cell>
          <cell r="U314">
            <v>217</v>
          </cell>
          <cell r="V314" t="str">
            <v>C05</v>
          </cell>
          <cell r="W314" t="str">
            <v>TATXGP</v>
          </cell>
          <cell r="X314" t="str">
            <v>GP2T</v>
          </cell>
          <cell r="Y314">
            <v>0</v>
          </cell>
          <cell r="Z314" t="str">
            <v/>
          </cell>
          <cell r="AA314" t="str">
            <v/>
          </cell>
          <cell r="AB314" t="str">
            <v/>
          </cell>
          <cell r="AC314" t="str">
            <v/>
          </cell>
          <cell r="AD314">
            <v>743</v>
          </cell>
          <cell r="AE314" t="str">
            <v>ZBTO</v>
          </cell>
        </row>
        <row r="315">
          <cell r="G315" t="str">
            <v>9519093099-1</v>
          </cell>
          <cell r="H315">
            <v>45910</v>
          </cell>
          <cell r="I315" t="str">
            <v>SWASTIK STEEL PROCESSOR LLP</v>
          </cell>
          <cell r="J315">
            <v>2000</v>
          </cell>
          <cell r="K315" t="str">
            <v>Untrimmed edge</v>
          </cell>
          <cell r="L315">
            <v>15</v>
          </cell>
          <cell r="M315">
            <v>29</v>
          </cell>
          <cell r="N315" t="str">
            <v>DQ</v>
          </cell>
          <cell r="O315">
            <v>1800890</v>
          </cell>
          <cell r="P315" t="str">
            <v>CRCA COIL-TATXXD-AU03-0.35X1250</v>
          </cell>
          <cell r="Q315">
            <v>0.35</v>
          </cell>
          <cell r="R315">
            <v>1250</v>
          </cell>
          <cell r="S315">
            <v>116</v>
          </cell>
          <cell r="T315">
            <v>0</v>
          </cell>
          <cell r="U315">
            <v>116</v>
          </cell>
          <cell r="V315" t="str">
            <v>C01</v>
          </cell>
          <cell r="W315" t="str">
            <v>TATXXD</v>
          </cell>
          <cell r="X315" t="str">
            <v>AU03</v>
          </cell>
          <cell r="Y315">
            <v>0</v>
          </cell>
          <cell r="Z315" t="str">
            <v/>
          </cell>
          <cell r="AA315" t="str">
            <v/>
          </cell>
          <cell r="AB315" t="str">
            <v/>
          </cell>
          <cell r="AC315" t="str">
            <v/>
          </cell>
          <cell r="AD315">
            <v>742</v>
          </cell>
          <cell r="AE315" t="str">
            <v>ZBTO</v>
          </cell>
        </row>
        <row r="316">
          <cell r="G316" t="str">
            <v>9519093099-2</v>
          </cell>
          <cell r="H316">
            <v>45910</v>
          </cell>
          <cell r="I316" t="str">
            <v>SWASTIK STEEL PROCESSOR LLP</v>
          </cell>
          <cell r="J316">
            <v>2000</v>
          </cell>
          <cell r="K316" t="str">
            <v>Untrimmed edge</v>
          </cell>
          <cell r="L316">
            <v>15</v>
          </cell>
          <cell r="M316">
            <v>29</v>
          </cell>
          <cell r="N316" t="str">
            <v>DQ</v>
          </cell>
          <cell r="O316">
            <v>1804772</v>
          </cell>
          <cell r="P316" t="str">
            <v>CRCA COIL TATXXD AU03 0.4X1250</v>
          </cell>
          <cell r="Q316">
            <v>0.4</v>
          </cell>
          <cell r="R316">
            <v>1250</v>
          </cell>
          <cell r="S316">
            <v>116</v>
          </cell>
          <cell r="T316">
            <v>0</v>
          </cell>
          <cell r="U316">
            <v>116</v>
          </cell>
          <cell r="V316" t="str">
            <v>C01</v>
          </cell>
          <cell r="W316" t="str">
            <v>TATXXD</v>
          </cell>
          <cell r="X316" t="str">
            <v>AU03</v>
          </cell>
          <cell r="Y316">
            <v>0</v>
          </cell>
          <cell r="Z316" t="str">
            <v/>
          </cell>
          <cell r="AA316" t="str">
            <v/>
          </cell>
          <cell r="AB316" t="str">
            <v/>
          </cell>
          <cell r="AC316" t="str">
            <v/>
          </cell>
          <cell r="AD316">
            <v>742</v>
          </cell>
          <cell r="AE316" t="str">
            <v>ZBTO</v>
          </cell>
        </row>
        <row r="317">
          <cell r="G317" t="str">
            <v>9519094552-1</v>
          </cell>
          <cell r="H317">
            <v>45911</v>
          </cell>
          <cell r="I317" t="str">
            <v>SAGAR STEELS</v>
          </cell>
          <cell r="J317">
            <v>2000</v>
          </cell>
          <cell r="K317" t="str">
            <v>Trimming ( for CRC</v>
          </cell>
          <cell r="L317">
            <v>2</v>
          </cell>
          <cell r="M317">
            <v>3</v>
          </cell>
          <cell r="N317" t="str">
            <v>O/D GRADES</v>
          </cell>
          <cell r="O317">
            <v>2427612</v>
          </cell>
          <cell r="P317" t="str">
            <v>CRCA SHEET TATCRC SR16 0.300X900X2500</v>
          </cell>
          <cell r="Q317">
            <v>0.3</v>
          </cell>
          <cell r="R317">
            <v>900</v>
          </cell>
          <cell r="S317">
            <v>42</v>
          </cell>
          <cell r="T317">
            <v>0</v>
          </cell>
          <cell r="U317">
            <v>42</v>
          </cell>
          <cell r="V317" t="str">
            <v>C06</v>
          </cell>
          <cell r="W317" t="str">
            <v>TATCRC</v>
          </cell>
          <cell r="X317" t="str">
            <v>SR16</v>
          </cell>
          <cell r="Y317">
            <v>0</v>
          </cell>
          <cell r="Z317" t="str">
            <v/>
          </cell>
          <cell r="AA317" t="str">
            <v/>
          </cell>
          <cell r="AB317" t="str">
            <v/>
          </cell>
          <cell r="AC317" t="str">
            <v/>
          </cell>
          <cell r="AD317">
            <v>742</v>
          </cell>
          <cell r="AE317" t="str">
            <v>ZBTO</v>
          </cell>
        </row>
        <row r="318">
          <cell r="G318" t="str">
            <v>9519094552-2</v>
          </cell>
          <cell r="H318">
            <v>45911</v>
          </cell>
          <cell r="I318" t="str">
            <v>SAGAR STEELS</v>
          </cell>
          <cell r="J318">
            <v>2000</v>
          </cell>
          <cell r="K318" t="str">
            <v>Trimming ( for CRC</v>
          </cell>
          <cell r="L318">
            <v>2</v>
          </cell>
          <cell r="M318">
            <v>3</v>
          </cell>
          <cell r="N318" t="str">
            <v>O/D GRADES</v>
          </cell>
          <cell r="O318">
            <v>2440959</v>
          </cell>
          <cell r="P318" t="str">
            <v>CRCA SHEET TATCRC SR16 0.330X900X2500</v>
          </cell>
          <cell r="Q318">
            <v>0.33</v>
          </cell>
          <cell r="R318">
            <v>900</v>
          </cell>
          <cell r="S318">
            <v>1E-3</v>
          </cell>
          <cell r="T318">
            <v>0</v>
          </cell>
          <cell r="U318">
            <v>1E-3</v>
          </cell>
          <cell r="V318" t="str">
            <v>C06</v>
          </cell>
          <cell r="W318" t="str">
            <v>TATCRC</v>
          </cell>
          <cell r="X318" t="str">
            <v>SR16</v>
          </cell>
          <cell r="Y318">
            <v>0</v>
          </cell>
          <cell r="Z318" t="str">
            <v/>
          </cell>
          <cell r="AA318" t="str">
            <v/>
          </cell>
          <cell r="AB318" t="str">
            <v/>
          </cell>
          <cell r="AC318" t="str">
            <v/>
          </cell>
          <cell r="AD318">
            <v>742</v>
          </cell>
          <cell r="AE318" t="str">
            <v>ZBTO</v>
          </cell>
        </row>
        <row r="319">
          <cell r="G319" t="str">
            <v>9519094552-3</v>
          </cell>
          <cell r="H319">
            <v>45911</v>
          </cell>
          <cell r="I319" t="str">
            <v>SAGAR STEELS</v>
          </cell>
          <cell r="J319">
            <v>2000</v>
          </cell>
          <cell r="K319" t="str">
            <v>Trimming ( for CRC</v>
          </cell>
          <cell r="L319">
            <v>2</v>
          </cell>
          <cell r="M319">
            <v>3</v>
          </cell>
          <cell r="N319" t="str">
            <v>O/D GRADES</v>
          </cell>
          <cell r="O319">
            <v>2427614</v>
          </cell>
          <cell r="P319" t="str">
            <v>CRCA SHEET TATCRC SR16 0.350X900X2500</v>
          </cell>
          <cell r="Q319">
            <v>0.35</v>
          </cell>
          <cell r="R319">
            <v>900</v>
          </cell>
          <cell r="S319">
            <v>21</v>
          </cell>
          <cell r="T319">
            <v>0</v>
          </cell>
          <cell r="U319">
            <v>21</v>
          </cell>
          <cell r="V319" t="str">
            <v>C06</v>
          </cell>
          <cell r="W319" t="str">
            <v>TATCRC</v>
          </cell>
          <cell r="X319" t="str">
            <v>SR16</v>
          </cell>
          <cell r="Y319">
            <v>0</v>
          </cell>
          <cell r="Z319" t="str">
            <v/>
          </cell>
          <cell r="AA319" t="str">
            <v/>
          </cell>
          <cell r="AB319" t="str">
            <v/>
          </cell>
          <cell r="AC319" t="str">
            <v/>
          </cell>
          <cell r="AD319">
            <v>742</v>
          </cell>
          <cell r="AE319" t="str">
            <v>ZBTO</v>
          </cell>
        </row>
        <row r="320">
          <cell r="G320" t="str">
            <v>9519094552-4</v>
          </cell>
          <cell r="H320">
            <v>45911</v>
          </cell>
          <cell r="I320" t="str">
            <v>SAGAR STEELS</v>
          </cell>
          <cell r="J320">
            <v>2000</v>
          </cell>
          <cell r="K320" t="str">
            <v>Trimming ( for CRC</v>
          </cell>
          <cell r="L320">
            <v>2</v>
          </cell>
          <cell r="M320">
            <v>3</v>
          </cell>
          <cell r="N320" t="str">
            <v>O/D GRADES</v>
          </cell>
          <cell r="O320">
            <v>3239554</v>
          </cell>
          <cell r="P320" t="str">
            <v>CRCA SHEET TATCRC SR16 0.400X1000X2500</v>
          </cell>
          <cell r="Q320">
            <v>0.4</v>
          </cell>
          <cell r="R320">
            <v>1000</v>
          </cell>
          <cell r="S320">
            <v>1E-3</v>
          </cell>
          <cell r="T320">
            <v>0</v>
          </cell>
          <cell r="U320">
            <v>1E-3</v>
          </cell>
          <cell r="V320" t="str">
            <v>C06</v>
          </cell>
          <cell r="W320" t="str">
            <v>TATCRC</v>
          </cell>
          <cell r="X320" t="str">
            <v>SR16</v>
          </cell>
          <cell r="Y320">
            <v>0</v>
          </cell>
          <cell r="Z320" t="str">
            <v/>
          </cell>
          <cell r="AA320" t="str">
            <v/>
          </cell>
          <cell r="AB320" t="str">
            <v/>
          </cell>
          <cell r="AC320" t="str">
            <v/>
          </cell>
          <cell r="AD320">
            <v>742</v>
          </cell>
          <cell r="AE320" t="str">
            <v>ZBTO</v>
          </cell>
        </row>
        <row r="321">
          <cell r="G321" t="str">
            <v>9519094552-5</v>
          </cell>
          <cell r="H321">
            <v>45911</v>
          </cell>
          <cell r="I321" t="str">
            <v>SAGAR STEELS</v>
          </cell>
          <cell r="J321">
            <v>2000</v>
          </cell>
          <cell r="K321" t="str">
            <v>Trimming ( for CRC</v>
          </cell>
          <cell r="L321">
            <v>2</v>
          </cell>
          <cell r="M321">
            <v>3</v>
          </cell>
          <cell r="N321" t="str">
            <v>O/D GRADES</v>
          </cell>
          <cell r="O321">
            <v>3239568</v>
          </cell>
          <cell r="P321" t="str">
            <v>CRCA SHEET TATCRC SR16 0.450X1250X2500</v>
          </cell>
          <cell r="Q321">
            <v>0.45</v>
          </cell>
          <cell r="R321">
            <v>1250</v>
          </cell>
          <cell r="S321">
            <v>29</v>
          </cell>
          <cell r="T321">
            <v>0</v>
          </cell>
          <cell r="U321">
            <v>29</v>
          </cell>
          <cell r="V321" t="str">
            <v>C06</v>
          </cell>
          <cell r="W321" t="str">
            <v>TATCRC</v>
          </cell>
          <cell r="X321" t="str">
            <v>SR16</v>
          </cell>
          <cell r="Y321">
            <v>0</v>
          </cell>
          <cell r="Z321" t="str">
            <v/>
          </cell>
          <cell r="AA321" t="str">
            <v/>
          </cell>
          <cell r="AB321" t="str">
            <v/>
          </cell>
          <cell r="AC321" t="str">
            <v/>
          </cell>
          <cell r="AD321">
            <v>742</v>
          </cell>
          <cell r="AE321" t="str">
            <v>ZBTO</v>
          </cell>
        </row>
        <row r="322">
          <cell r="G322" t="str">
            <v>9519094552-6</v>
          </cell>
          <cell r="H322">
            <v>45911</v>
          </cell>
          <cell r="I322" t="str">
            <v>SAGAR STEELS</v>
          </cell>
          <cell r="J322">
            <v>2000</v>
          </cell>
          <cell r="K322" t="str">
            <v>Trimming ( for CRC</v>
          </cell>
          <cell r="L322">
            <v>2</v>
          </cell>
          <cell r="M322">
            <v>3</v>
          </cell>
          <cell r="N322" t="str">
            <v>SR15</v>
          </cell>
          <cell r="O322">
            <v>3240753</v>
          </cell>
          <cell r="P322" t="str">
            <v>CRCA SHEET TSBCRC SR15 0.500X900X2500</v>
          </cell>
          <cell r="Q322">
            <v>0.5</v>
          </cell>
          <cell r="R322">
            <v>900</v>
          </cell>
          <cell r="S322">
            <v>21</v>
          </cell>
          <cell r="T322">
            <v>0</v>
          </cell>
          <cell r="U322">
            <v>21</v>
          </cell>
          <cell r="V322" t="str">
            <v>C06</v>
          </cell>
          <cell r="W322" t="str">
            <v>TSBCRC</v>
          </cell>
          <cell r="X322" t="str">
            <v>SR15</v>
          </cell>
          <cell r="Y322">
            <v>0</v>
          </cell>
          <cell r="Z322" t="str">
            <v/>
          </cell>
          <cell r="AA322" t="str">
            <v/>
          </cell>
          <cell r="AB322" t="str">
            <v/>
          </cell>
          <cell r="AC322" t="str">
            <v/>
          </cell>
          <cell r="AD322">
            <v>742</v>
          </cell>
          <cell r="AE322" t="str">
            <v>ZBTO</v>
          </cell>
        </row>
        <row r="323">
          <cell r="G323" t="str">
            <v>9519096071-1</v>
          </cell>
          <cell r="H323">
            <v>45911</v>
          </cell>
          <cell r="I323" t="str">
            <v>R. S. BOKARO METAL (P) LTD.</v>
          </cell>
          <cell r="J323">
            <v>2000</v>
          </cell>
          <cell r="K323" t="str">
            <v>Trimming only at RCL</v>
          </cell>
          <cell r="L323">
            <v>2.2679999999999998</v>
          </cell>
          <cell r="M323">
            <v>3.2</v>
          </cell>
          <cell r="N323" t="str">
            <v>CQ</v>
          </cell>
          <cell r="O323">
            <v>3239548</v>
          </cell>
          <cell r="P323" t="str">
            <v>CRCA SHEET TATCRC SR16 0.400X900X2500</v>
          </cell>
          <cell r="Q323">
            <v>0.4</v>
          </cell>
          <cell r="R323">
            <v>900</v>
          </cell>
          <cell r="S323">
            <v>21</v>
          </cell>
          <cell r="T323">
            <v>0</v>
          </cell>
          <cell r="U323">
            <v>21</v>
          </cell>
          <cell r="V323" t="str">
            <v>C06</v>
          </cell>
          <cell r="W323" t="str">
            <v>TATCRC</v>
          </cell>
          <cell r="X323" t="str">
            <v>SR16</v>
          </cell>
          <cell r="Y323">
            <v>0</v>
          </cell>
          <cell r="Z323" t="str">
            <v/>
          </cell>
          <cell r="AA323" t="str">
            <v/>
          </cell>
          <cell r="AB323" t="str">
            <v/>
          </cell>
          <cell r="AC323" t="str">
            <v/>
          </cell>
          <cell r="AD323">
            <v>742</v>
          </cell>
          <cell r="AE323" t="str">
            <v>ZBTO</v>
          </cell>
        </row>
        <row r="324">
          <cell r="G324" t="str">
            <v>9519096071-2</v>
          </cell>
          <cell r="H324">
            <v>45911</v>
          </cell>
          <cell r="I324" t="str">
            <v>R. S. BOKARO METAL (P) LTD.</v>
          </cell>
          <cell r="J324">
            <v>2000</v>
          </cell>
          <cell r="K324" t="str">
            <v>Trimming only at RCL</v>
          </cell>
          <cell r="L324">
            <v>2.5</v>
          </cell>
          <cell r="M324">
            <v>3.2</v>
          </cell>
          <cell r="N324" t="str">
            <v>CQ</v>
          </cell>
          <cell r="O324">
            <v>2441002</v>
          </cell>
          <cell r="P324" t="str">
            <v>CRCA SHEET TATCRC SR16 0.380X1250X2500</v>
          </cell>
          <cell r="Q324">
            <v>0.38</v>
          </cell>
          <cell r="R324">
            <v>1250</v>
          </cell>
          <cell r="S324">
            <v>29</v>
          </cell>
          <cell r="T324">
            <v>0</v>
          </cell>
          <cell r="U324">
            <v>29</v>
          </cell>
          <cell r="V324" t="str">
            <v>C06</v>
          </cell>
          <cell r="W324" t="str">
            <v>TATCRC</v>
          </cell>
          <cell r="X324" t="str">
            <v>SR16</v>
          </cell>
          <cell r="Y324">
            <v>0</v>
          </cell>
          <cell r="Z324" t="str">
            <v/>
          </cell>
          <cell r="AA324" t="str">
            <v/>
          </cell>
          <cell r="AB324" t="str">
            <v/>
          </cell>
          <cell r="AC324" t="str">
            <v/>
          </cell>
          <cell r="AD324">
            <v>742</v>
          </cell>
          <cell r="AE324" t="str">
            <v>ZBTO</v>
          </cell>
        </row>
        <row r="325">
          <cell r="G325" t="str">
            <v>9519096071-3</v>
          </cell>
          <cell r="H325">
            <v>45911</v>
          </cell>
          <cell r="I325" t="str">
            <v>R. S. BOKARO METAL (P) LTD.</v>
          </cell>
          <cell r="J325">
            <v>2000</v>
          </cell>
          <cell r="K325" t="str">
            <v>Trimming only at RCL</v>
          </cell>
          <cell r="L325">
            <v>2.5</v>
          </cell>
          <cell r="M325">
            <v>3.2</v>
          </cell>
          <cell r="N325" t="str">
            <v>CQ</v>
          </cell>
          <cell r="O325">
            <v>2441004</v>
          </cell>
          <cell r="P325" t="str">
            <v>CRCA SHEET TATCRC SR16 0.430X1250X2500</v>
          </cell>
          <cell r="Q325">
            <v>0.43</v>
          </cell>
          <cell r="R325">
            <v>1250</v>
          </cell>
          <cell r="S325">
            <v>29</v>
          </cell>
          <cell r="T325">
            <v>0</v>
          </cell>
          <cell r="U325">
            <v>29</v>
          </cell>
          <cell r="V325" t="str">
            <v>C06</v>
          </cell>
          <cell r="W325" t="str">
            <v>TATCRC</v>
          </cell>
          <cell r="X325" t="str">
            <v>SR16</v>
          </cell>
          <cell r="Y325">
            <v>0</v>
          </cell>
          <cell r="Z325" t="str">
            <v/>
          </cell>
          <cell r="AA325" t="str">
            <v/>
          </cell>
          <cell r="AB325" t="str">
            <v/>
          </cell>
          <cell r="AC325" t="str">
            <v/>
          </cell>
          <cell r="AD325">
            <v>742</v>
          </cell>
          <cell r="AE325" t="str">
            <v>ZBTO</v>
          </cell>
        </row>
        <row r="326">
          <cell r="G326" t="str">
            <v>9519096071-4</v>
          </cell>
          <cell r="H326">
            <v>45911</v>
          </cell>
          <cell r="I326" t="str">
            <v>R. S. BOKARO METAL (P) LTD.</v>
          </cell>
          <cell r="J326">
            <v>2000</v>
          </cell>
          <cell r="K326" t="str">
            <v>Trimming only at RCL</v>
          </cell>
          <cell r="L326">
            <v>2.5</v>
          </cell>
          <cell r="M326">
            <v>3.2</v>
          </cell>
          <cell r="N326" t="str">
            <v>CQ</v>
          </cell>
          <cell r="O326">
            <v>3239560</v>
          </cell>
          <cell r="P326" t="str">
            <v>CRCA SHEET TATCRC SR16 0.450X900X2500</v>
          </cell>
          <cell r="Q326">
            <v>0.45</v>
          </cell>
          <cell r="R326">
            <v>900</v>
          </cell>
          <cell r="S326">
            <v>21</v>
          </cell>
          <cell r="T326">
            <v>0</v>
          </cell>
          <cell r="U326">
            <v>21</v>
          </cell>
          <cell r="V326" t="str">
            <v>C06</v>
          </cell>
          <cell r="W326" t="str">
            <v>TATCRC</v>
          </cell>
          <cell r="X326" t="str">
            <v>SR16</v>
          </cell>
          <cell r="Y326">
            <v>0</v>
          </cell>
          <cell r="Z326" t="str">
            <v/>
          </cell>
          <cell r="AA326" t="str">
            <v/>
          </cell>
          <cell r="AB326" t="str">
            <v/>
          </cell>
          <cell r="AC326" t="str">
            <v/>
          </cell>
          <cell r="AD326">
            <v>742</v>
          </cell>
          <cell r="AE326" t="str">
            <v>ZBTO</v>
          </cell>
        </row>
        <row r="327">
          <cell r="G327" t="str">
            <v>9519096071-5</v>
          </cell>
          <cell r="H327">
            <v>45911</v>
          </cell>
          <cell r="I327" t="str">
            <v>R. S. BOKARO METAL (P) LTD.</v>
          </cell>
          <cell r="J327">
            <v>2000</v>
          </cell>
          <cell r="K327" t="str">
            <v>Trimming only at RCL</v>
          </cell>
          <cell r="L327">
            <v>2.5</v>
          </cell>
          <cell r="M327">
            <v>3.2</v>
          </cell>
          <cell r="N327" t="str">
            <v>CQ</v>
          </cell>
          <cell r="O327">
            <v>3240792</v>
          </cell>
          <cell r="P327" t="str">
            <v>CRCA SHEET TSBCRC SR15 0.600X1250X2500</v>
          </cell>
          <cell r="Q327">
            <v>0.6</v>
          </cell>
          <cell r="R327">
            <v>1250</v>
          </cell>
          <cell r="S327">
            <v>29</v>
          </cell>
          <cell r="T327">
            <v>0</v>
          </cell>
          <cell r="U327">
            <v>29</v>
          </cell>
          <cell r="V327" t="str">
            <v>C06</v>
          </cell>
          <cell r="W327" t="str">
            <v>TSBCRC</v>
          </cell>
          <cell r="X327" t="str">
            <v>SR15</v>
          </cell>
          <cell r="Y327">
            <v>0</v>
          </cell>
          <cell r="Z327" t="str">
            <v/>
          </cell>
          <cell r="AA327" t="str">
            <v/>
          </cell>
          <cell r="AB327" t="str">
            <v/>
          </cell>
          <cell r="AC327" t="str">
            <v/>
          </cell>
          <cell r="AD327">
            <v>742</v>
          </cell>
          <cell r="AE327" t="str">
            <v>ZBTO</v>
          </cell>
        </row>
        <row r="328">
          <cell r="G328" t="str">
            <v>9519097437-1</v>
          </cell>
          <cell r="H328">
            <v>45912</v>
          </cell>
          <cell r="I328" t="str">
            <v>Shree Bajrang Steel Udyog</v>
          </cell>
          <cell r="J328">
            <v>2000</v>
          </cell>
          <cell r="K328" t="str">
            <v>Trimming only at RCL</v>
          </cell>
          <cell r="L328">
            <v>2.5</v>
          </cell>
          <cell r="M328">
            <v>3.2</v>
          </cell>
          <cell r="N328" t="str">
            <v>CQ</v>
          </cell>
          <cell r="O328">
            <v>2427612</v>
          </cell>
          <cell r="P328" t="str">
            <v>CRCA SHEET TATCRC SR16 0.300X900X2500</v>
          </cell>
          <cell r="Q328">
            <v>0.3</v>
          </cell>
          <cell r="R328">
            <v>900</v>
          </cell>
          <cell r="S328">
            <v>84</v>
          </cell>
          <cell r="T328">
            <v>0</v>
          </cell>
          <cell r="U328">
            <v>84</v>
          </cell>
          <cell r="V328" t="str">
            <v>C06</v>
          </cell>
          <cell r="W328" t="str">
            <v>TATCRC</v>
          </cell>
          <cell r="X328" t="str">
            <v>SR16</v>
          </cell>
          <cell r="Y328">
            <v>0</v>
          </cell>
          <cell r="Z328" t="str">
            <v/>
          </cell>
          <cell r="AA328" t="str">
            <v/>
          </cell>
          <cell r="AB328" t="str">
            <v/>
          </cell>
          <cell r="AC328" t="str">
            <v/>
          </cell>
          <cell r="AD328">
            <v>742</v>
          </cell>
          <cell r="AE328" t="str">
            <v>ZBTO</v>
          </cell>
        </row>
        <row r="329">
          <cell r="G329" t="str">
            <v>9519097437-2</v>
          </cell>
          <cell r="H329">
            <v>45912</v>
          </cell>
          <cell r="I329" t="str">
            <v>Shree Bajrang Steel Udyog</v>
          </cell>
          <cell r="J329">
            <v>2000</v>
          </cell>
          <cell r="K329" t="str">
            <v>Trimming only at RCL</v>
          </cell>
          <cell r="L329">
            <v>2.5</v>
          </cell>
          <cell r="M329">
            <v>3.2</v>
          </cell>
          <cell r="N329" t="str">
            <v>CQ</v>
          </cell>
          <cell r="O329">
            <v>2440959</v>
          </cell>
          <cell r="P329" t="str">
            <v>CRCA SHEET TATCRC SR16 0.330X900X2500</v>
          </cell>
          <cell r="Q329">
            <v>0.33</v>
          </cell>
          <cell r="R329">
            <v>900</v>
          </cell>
          <cell r="S329">
            <v>42</v>
          </cell>
          <cell r="T329">
            <v>0</v>
          </cell>
          <cell r="U329">
            <v>42</v>
          </cell>
          <cell r="V329" t="str">
            <v>C06</v>
          </cell>
          <cell r="W329" t="str">
            <v>TATCRC</v>
          </cell>
          <cell r="X329" t="str">
            <v>SR16</v>
          </cell>
          <cell r="Y329">
            <v>0</v>
          </cell>
          <cell r="Z329" t="str">
            <v/>
          </cell>
          <cell r="AA329" t="str">
            <v/>
          </cell>
          <cell r="AB329" t="str">
            <v/>
          </cell>
          <cell r="AC329" t="str">
            <v/>
          </cell>
          <cell r="AD329">
            <v>742</v>
          </cell>
          <cell r="AE329" t="str">
            <v>ZBTO</v>
          </cell>
        </row>
        <row r="330">
          <cell r="G330" t="str">
            <v>9519097437-3</v>
          </cell>
          <cell r="H330">
            <v>45912</v>
          </cell>
          <cell r="I330" t="str">
            <v>Shree Bajrang Steel Udyog</v>
          </cell>
          <cell r="J330">
            <v>2000</v>
          </cell>
          <cell r="K330" t="str">
            <v>Trimming only at RCL</v>
          </cell>
          <cell r="L330">
            <v>2.5</v>
          </cell>
          <cell r="M330">
            <v>3.2</v>
          </cell>
          <cell r="N330" t="str">
            <v>CQ</v>
          </cell>
          <cell r="O330">
            <v>3239536</v>
          </cell>
          <cell r="P330" t="str">
            <v>CRCA SHEET TATCRC SR16 0.350X900X2500</v>
          </cell>
          <cell r="Q330">
            <v>0.35</v>
          </cell>
          <cell r="R330">
            <v>900</v>
          </cell>
          <cell r="S330">
            <v>126</v>
          </cell>
          <cell r="T330">
            <v>0</v>
          </cell>
          <cell r="U330">
            <v>126</v>
          </cell>
          <cell r="V330" t="str">
            <v>C06</v>
          </cell>
          <cell r="W330" t="str">
            <v>TATCRC</v>
          </cell>
          <cell r="X330" t="str">
            <v>SR16</v>
          </cell>
          <cell r="Y330">
            <v>0</v>
          </cell>
          <cell r="Z330" t="str">
            <v/>
          </cell>
          <cell r="AA330" t="str">
            <v/>
          </cell>
          <cell r="AB330" t="str">
            <v/>
          </cell>
          <cell r="AC330" t="str">
            <v/>
          </cell>
          <cell r="AD330">
            <v>742</v>
          </cell>
          <cell r="AE330" t="str">
            <v>ZBTO</v>
          </cell>
        </row>
        <row r="331">
          <cell r="G331" t="str">
            <v>9519097437-4</v>
          </cell>
          <cell r="H331">
            <v>45912</v>
          </cell>
          <cell r="I331" t="str">
            <v>Shree Bajrang Steel Udyog</v>
          </cell>
          <cell r="J331">
            <v>2000</v>
          </cell>
          <cell r="K331" t="str">
            <v>Trimming only at RCL</v>
          </cell>
          <cell r="L331">
            <v>2.5</v>
          </cell>
          <cell r="M331">
            <v>3.2</v>
          </cell>
          <cell r="N331" t="str">
            <v>CQ</v>
          </cell>
          <cell r="O331">
            <v>3239542</v>
          </cell>
          <cell r="P331" t="str">
            <v>CRCA SHEET TATCRC SR16 0.350X1000X2500</v>
          </cell>
          <cell r="Q331">
            <v>0.35</v>
          </cell>
          <cell r="R331">
            <v>1000</v>
          </cell>
          <cell r="S331">
            <v>23</v>
          </cell>
          <cell r="T331">
            <v>0</v>
          </cell>
          <cell r="U331">
            <v>23</v>
          </cell>
          <cell r="V331" t="str">
            <v>C06</v>
          </cell>
          <cell r="W331" t="str">
            <v>TATCRC</v>
          </cell>
          <cell r="X331" t="str">
            <v>SR16</v>
          </cell>
          <cell r="Y331">
            <v>0</v>
          </cell>
          <cell r="Z331" t="str">
            <v/>
          </cell>
          <cell r="AA331" t="str">
            <v/>
          </cell>
          <cell r="AB331" t="str">
            <v/>
          </cell>
          <cell r="AC331" t="str">
            <v/>
          </cell>
          <cell r="AD331">
            <v>742</v>
          </cell>
          <cell r="AE331" t="str">
            <v>ZBTO</v>
          </cell>
        </row>
        <row r="332">
          <cell r="G332" t="str">
            <v>9519097437-5</v>
          </cell>
          <cell r="H332">
            <v>45912</v>
          </cell>
          <cell r="I332" t="str">
            <v>Shree Bajrang Steel Udyog</v>
          </cell>
          <cell r="J332">
            <v>2000</v>
          </cell>
          <cell r="K332" t="str">
            <v>Trimming only at RCL</v>
          </cell>
          <cell r="L332">
            <v>2.5</v>
          </cell>
          <cell r="M332">
            <v>3.2</v>
          </cell>
          <cell r="N332" t="str">
            <v>CQ</v>
          </cell>
          <cell r="O332">
            <v>2441002</v>
          </cell>
          <cell r="P332" t="str">
            <v>CRCA SHEET TATCRC SR16 0.380X1250X2500</v>
          </cell>
          <cell r="Q332">
            <v>0.38</v>
          </cell>
          <cell r="R332">
            <v>1250</v>
          </cell>
          <cell r="S332">
            <v>29</v>
          </cell>
          <cell r="T332">
            <v>0</v>
          </cell>
          <cell r="U332">
            <v>29</v>
          </cell>
          <cell r="V332" t="str">
            <v>C06</v>
          </cell>
          <cell r="W332" t="str">
            <v>TATCRC</v>
          </cell>
          <cell r="X332" t="str">
            <v>SR16</v>
          </cell>
          <cell r="Y332">
            <v>0</v>
          </cell>
          <cell r="Z332" t="str">
            <v/>
          </cell>
          <cell r="AA332" t="str">
            <v/>
          </cell>
          <cell r="AB332" t="str">
            <v/>
          </cell>
          <cell r="AC332" t="str">
            <v/>
          </cell>
          <cell r="AD332">
            <v>742</v>
          </cell>
          <cell r="AE332" t="str">
            <v>ZBTO</v>
          </cell>
        </row>
        <row r="333">
          <cell r="G333" t="str">
            <v>9519097437-6</v>
          </cell>
          <cell r="H333">
            <v>45912</v>
          </cell>
          <cell r="I333" t="str">
            <v>Shree Bajrang Steel Udyog</v>
          </cell>
          <cell r="J333">
            <v>2000</v>
          </cell>
          <cell r="K333" t="str">
            <v>Trimming only at RCL</v>
          </cell>
          <cell r="L333">
            <v>2.5</v>
          </cell>
          <cell r="M333">
            <v>3.2</v>
          </cell>
          <cell r="N333" t="str">
            <v>CQ</v>
          </cell>
          <cell r="O333">
            <v>3239548</v>
          </cell>
          <cell r="P333" t="str">
            <v>CRCA SHEET TATCRC SR16 0.400X900X2500</v>
          </cell>
          <cell r="Q333">
            <v>0.4</v>
          </cell>
          <cell r="R333">
            <v>900</v>
          </cell>
          <cell r="S333">
            <v>21</v>
          </cell>
          <cell r="T333">
            <v>0</v>
          </cell>
          <cell r="U333">
            <v>21</v>
          </cell>
          <cell r="V333" t="str">
            <v>C06</v>
          </cell>
          <cell r="W333" t="str">
            <v>TATCRC</v>
          </cell>
          <cell r="X333" t="str">
            <v>SR16</v>
          </cell>
          <cell r="Y333">
            <v>0</v>
          </cell>
          <cell r="Z333" t="str">
            <v/>
          </cell>
          <cell r="AA333" t="str">
            <v/>
          </cell>
          <cell r="AB333" t="str">
            <v/>
          </cell>
          <cell r="AC333" t="str">
            <v/>
          </cell>
          <cell r="AD333">
            <v>742</v>
          </cell>
          <cell r="AE333" t="str">
            <v>ZBTO</v>
          </cell>
        </row>
        <row r="334">
          <cell r="G334" t="str">
            <v>9519097437-7</v>
          </cell>
          <cell r="H334">
            <v>45912</v>
          </cell>
          <cell r="I334" t="str">
            <v>Shree Bajrang Steel Udyog</v>
          </cell>
          <cell r="J334">
            <v>2000</v>
          </cell>
          <cell r="K334" t="str">
            <v>Trimming only at RCL</v>
          </cell>
          <cell r="L334">
            <v>2.5</v>
          </cell>
          <cell r="M334">
            <v>3.2</v>
          </cell>
          <cell r="N334" t="str">
            <v>CQ</v>
          </cell>
          <cell r="O334">
            <v>3239554</v>
          </cell>
          <cell r="P334" t="str">
            <v>CRCA SHEET TATCRC SR16 0.400X1000X2500</v>
          </cell>
          <cell r="Q334">
            <v>0.4</v>
          </cell>
          <cell r="R334">
            <v>1000</v>
          </cell>
          <cell r="S334">
            <v>115</v>
          </cell>
          <cell r="T334">
            <v>0</v>
          </cell>
          <cell r="U334">
            <v>115</v>
          </cell>
          <cell r="V334" t="str">
            <v>C06</v>
          </cell>
          <cell r="W334" t="str">
            <v>TATCRC</v>
          </cell>
          <cell r="X334" t="str">
            <v>SR16</v>
          </cell>
          <cell r="Y334">
            <v>0</v>
          </cell>
          <cell r="Z334" t="str">
            <v/>
          </cell>
          <cell r="AA334" t="str">
            <v/>
          </cell>
          <cell r="AB334" t="str">
            <v/>
          </cell>
          <cell r="AC334" t="str">
            <v/>
          </cell>
          <cell r="AD334">
            <v>742</v>
          </cell>
          <cell r="AE334" t="str">
            <v>ZBTO</v>
          </cell>
        </row>
        <row r="335">
          <cell r="G335" t="str">
            <v>9519097437-8</v>
          </cell>
          <cell r="H335">
            <v>45912</v>
          </cell>
          <cell r="I335" t="str">
            <v>Shree Bajrang Steel Udyog</v>
          </cell>
          <cell r="J335">
            <v>2000</v>
          </cell>
          <cell r="K335" t="str">
            <v>Trimming only at RCL</v>
          </cell>
          <cell r="L335">
            <v>2.5</v>
          </cell>
          <cell r="M335">
            <v>3.2</v>
          </cell>
          <cell r="N335" t="str">
            <v>CQ</v>
          </cell>
          <cell r="O335">
            <v>3239567</v>
          </cell>
          <cell r="P335" t="str">
            <v>CRCA SHEET TATCRC SR16 0.450X1000X2500</v>
          </cell>
          <cell r="Q335">
            <v>0.45</v>
          </cell>
          <cell r="R335">
            <v>1000</v>
          </cell>
          <cell r="S335">
            <v>115</v>
          </cell>
          <cell r="T335">
            <v>0</v>
          </cell>
          <cell r="U335">
            <v>115</v>
          </cell>
          <cell r="V335" t="str">
            <v>C06</v>
          </cell>
          <cell r="W335" t="str">
            <v>TATCRC</v>
          </cell>
          <cell r="X335" t="str">
            <v>SR16</v>
          </cell>
          <cell r="Y335">
            <v>0</v>
          </cell>
          <cell r="Z335" t="str">
            <v/>
          </cell>
          <cell r="AA335" t="str">
            <v/>
          </cell>
          <cell r="AB335" t="str">
            <v/>
          </cell>
          <cell r="AC335" t="str">
            <v/>
          </cell>
          <cell r="AD335">
            <v>742</v>
          </cell>
          <cell r="AE335" t="str">
            <v>ZBTO</v>
          </cell>
        </row>
        <row r="336">
          <cell r="G336" t="str">
            <v>9519097437-9</v>
          </cell>
          <cell r="H336">
            <v>45912</v>
          </cell>
          <cell r="I336" t="str">
            <v>Shree Bajrang Steel Udyog</v>
          </cell>
          <cell r="J336">
            <v>2000</v>
          </cell>
          <cell r="K336" t="str">
            <v>Trimming only at RCL</v>
          </cell>
          <cell r="L336">
            <v>2.5</v>
          </cell>
          <cell r="M336">
            <v>3.2</v>
          </cell>
          <cell r="N336" t="str">
            <v>CQ</v>
          </cell>
          <cell r="O336">
            <v>3240760</v>
          </cell>
          <cell r="P336" t="str">
            <v>CRCA SHEET TSBCRC SR15 0.500X1000X2500</v>
          </cell>
          <cell r="Q336">
            <v>0.5</v>
          </cell>
          <cell r="R336">
            <v>1000</v>
          </cell>
          <cell r="S336">
            <v>92</v>
          </cell>
          <cell r="T336">
            <v>0</v>
          </cell>
          <cell r="U336">
            <v>92</v>
          </cell>
          <cell r="V336" t="str">
            <v>C06</v>
          </cell>
          <cell r="W336" t="str">
            <v>TSBCRC</v>
          </cell>
          <cell r="X336" t="str">
            <v>SR15</v>
          </cell>
          <cell r="Y336">
            <v>0</v>
          </cell>
          <cell r="Z336" t="str">
            <v/>
          </cell>
          <cell r="AA336" t="str">
            <v/>
          </cell>
          <cell r="AB336" t="str">
            <v/>
          </cell>
          <cell r="AC336" t="str">
            <v/>
          </cell>
          <cell r="AD336">
            <v>742</v>
          </cell>
          <cell r="AE336" t="str">
            <v>ZBTO</v>
          </cell>
        </row>
        <row r="337">
          <cell r="G337" t="str">
            <v>9519097437-10</v>
          </cell>
          <cell r="H337">
            <v>45912</v>
          </cell>
          <cell r="I337" t="str">
            <v>Shree Bajrang Steel Udyog</v>
          </cell>
          <cell r="J337">
            <v>2000</v>
          </cell>
          <cell r="K337" t="str">
            <v>Trimming only at RCL</v>
          </cell>
          <cell r="L337">
            <v>2.5</v>
          </cell>
          <cell r="M337">
            <v>3.2</v>
          </cell>
          <cell r="N337" t="str">
            <v>SR15</v>
          </cell>
          <cell r="O337">
            <v>3240765</v>
          </cell>
          <cell r="P337" t="str">
            <v>CRCA SHEET TSBCRC SR15 0.500X1250X2500</v>
          </cell>
          <cell r="Q337">
            <v>0.5</v>
          </cell>
          <cell r="R337">
            <v>1250</v>
          </cell>
          <cell r="S337">
            <v>116</v>
          </cell>
          <cell r="T337">
            <v>0</v>
          </cell>
          <cell r="U337">
            <v>116</v>
          </cell>
          <cell r="V337" t="str">
            <v>C06</v>
          </cell>
          <cell r="W337" t="str">
            <v>TSBCRC</v>
          </cell>
          <cell r="X337" t="str">
            <v>SR15</v>
          </cell>
          <cell r="Y337">
            <v>0</v>
          </cell>
          <cell r="Z337" t="str">
            <v/>
          </cell>
          <cell r="AA337" t="str">
            <v/>
          </cell>
          <cell r="AB337" t="str">
            <v/>
          </cell>
          <cell r="AC337" t="str">
            <v/>
          </cell>
          <cell r="AD337">
            <v>742</v>
          </cell>
          <cell r="AE337" t="str">
            <v>ZBTO</v>
          </cell>
        </row>
        <row r="338">
          <cell r="G338" t="str">
            <v>9519097437-11</v>
          </cell>
          <cell r="H338">
            <v>45912</v>
          </cell>
          <cell r="I338" t="str">
            <v>Shree Bajrang Steel Udyog</v>
          </cell>
          <cell r="J338">
            <v>2000</v>
          </cell>
          <cell r="K338" t="str">
            <v>Trimming only at RCL</v>
          </cell>
          <cell r="L338">
            <v>2.5</v>
          </cell>
          <cell r="M338">
            <v>3.2</v>
          </cell>
          <cell r="N338" t="str">
            <v>CQ</v>
          </cell>
          <cell r="O338">
            <v>3240778</v>
          </cell>
          <cell r="P338" t="str">
            <v>CRCA SHEET TSBCRC SR15 0.600X1000X2500</v>
          </cell>
          <cell r="Q338">
            <v>0.6</v>
          </cell>
          <cell r="R338">
            <v>1000</v>
          </cell>
          <cell r="S338">
            <v>115</v>
          </cell>
          <cell r="T338">
            <v>0</v>
          </cell>
          <cell r="U338">
            <v>115</v>
          </cell>
          <cell r="V338" t="str">
            <v>C06</v>
          </cell>
          <cell r="W338" t="str">
            <v>TSBCRC</v>
          </cell>
          <cell r="X338" t="str">
            <v>SR15</v>
          </cell>
          <cell r="Y338">
            <v>0</v>
          </cell>
          <cell r="Z338" t="str">
            <v/>
          </cell>
          <cell r="AA338" t="str">
            <v/>
          </cell>
          <cell r="AB338" t="str">
            <v/>
          </cell>
          <cell r="AC338" t="str">
            <v/>
          </cell>
          <cell r="AD338">
            <v>742</v>
          </cell>
          <cell r="AE338" t="str">
            <v>ZBTO</v>
          </cell>
        </row>
        <row r="339">
          <cell r="G339" t="str">
            <v>9519097437-12</v>
          </cell>
          <cell r="H339">
            <v>45912</v>
          </cell>
          <cell r="I339" t="str">
            <v>Shree Bajrang Steel Udyog</v>
          </cell>
          <cell r="J339">
            <v>2000</v>
          </cell>
          <cell r="K339" t="str">
            <v>Trimming only at RCL</v>
          </cell>
          <cell r="L339">
            <v>2.5</v>
          </cell>
          <cell r="M339">
            <v>3.2</v>
          </cell>
          <cell r="N339" t="str">
            <v>CQ</v>
          </cell>
          <cell r="O339">
            <v>3240792</v>
          </cell>
          <cell r="P339" t="str">
            <v>CRCA SHEET TSBCRC SR15 0.600X1250X2500</v>
          </cell>
          <cell r="Q339">
            <v>0.6</v>
          </cell>
          <cell r="R339">
            <v>1250</v>
          </cell>
          <cell r="S339">
            <v>58</v>
          </cell>
          <cell r="T339">
            <v>0</v>
          </cell>
          <cell r="U339">
            <v>58</v>
          </cell>
          <cell r="V339" t="str">
            <v>C06</v>
          </cell>
          <cell r="W339" t="str">
            <v>TSBCRC</v>
          </cell>
          <cell r="X339" t="str">
            <v>SR15</v>
          </cell>
          <cell r="Y339">
            <v>0</v>
          </cell>
          <cell r="Z339" t="str">
            <v/>
          </cell>
          <cell r="AA339" t="str">
            <v/>
          </cell>
          <cell r="AB339" t="str">
            <v/>
          </cell>
          <cell r="AC339" t="str">
            <v/>
          </cell>
          <cell r="AD339">
            <v>742</v>
          </cell>
          <cell r="AE339" t="str">
            <v>ZBTO</v>
          </cell>
        </row>
        <row r="340">
          <cell r="G340" t="str">
            <v>9519098404-1</v>
          </cell>
          <cell r="H340">
            <v>45912</v>
          </cell>
          <cell r="I340" t="str">
            <v>BIHANI ENTERPRISES</v>
          </cell>
          <cell r="J340">
            <v>2000</v>
          </cell>
          <cell r="K340" t="str">
            <v>Trimming only at RCL</v>
          </cell>
          <cell r="L340">
            <v>5</v>
          </cell>
          <cell r="M340">
            <v>7</v>
          </cell>
          <cell r="N340" t="str">
            <v>SOFT</v>
          </cell>
          <cell r="O340">
            <v>1326486</v>
          </cell>
          <cell r="P340" t="str">
            <v>GP COIL SOFT-TATXGP-GK09-0.3X1000</v>
          </cell>
          <cell r="Q340">
            <v>0.3</v>
          </cell>
          <cell r="R340">
            <v>1000</v>
          </cell>
          <cell r="S340">
            <v>23</v>
          </cell>
          <cell r="T340">
            <v>0</v>
          </cell>
          <cell r="U340">
            <v>23</v>
          </cell>
          <cell r="V340" t="str">
            <v>C02</v>
          </cell>
          <cell r="W340" t="str">
            <v>TATXGP</v>
          </cell>
          <cell r="X340" t="str">
            <v>GK09</v>
          </cell>
          <cell r="Y340">
            <v>0</v>
          </cell>
          <cell r="Z340" t="str">
            <v/>
          </cell>
          <cell r="AA340" t="str">
            <v/>
          </cell>
          <cell r="AB340" t="str">
            <v/>
          </cell>
          <cell r="AC340" t="str">
            <v/>
          </cell>
          <cell r="AD340">
            <v>743</v>
          </cell>
          <cell r="AE340" t="str">
            <v>ZBTO</v>
          </cell>
        </row>
        <row r="341">
          <cell r="G341" t="str">
            <v>9519098404-2</v>
          </cell>
          <cell r="H341">
            <v>45912</v>
          </cell>
          <cell r="I341" t="str">
            <v>BIHANI ENTERPRISES</v>
          </cell>
          <cell r="J341">
            <v>2000</v>
          </cell>
          <cell r="K341" t="str">
            <v>Trimming only at RCL</v>
          </cell>
          <cell r="L341">
            <v>5</v>
          </cell>
          <cell r="M341">
            <v>7</v>
          </cell>
          <cell r="N341" t="str">
            <v>SOFT</v>
          </cell>
          <cell r="O341">
            <v>1854390</v>
          </cell>
          <cell r="P341" t="str">
            <v>GP COIL SOFT-TATXGP-GK09-0.3X1220</v>
          </cell>
          <cell r="Q341">
            <v>0.3</v>
          </cell>
          <cell r="R341">
            <v>1220</v>
          </cell>
          <cell r="S341">
            <v>28</v>
          </cell>
          <cell r="T341">
            <v>0</v>
          </cell>
          <cell r="U341">
            <v>28</v>
          </cell>
          <cell r="V341" t="str">
            <v>C02</v>
          </cell>
          <cell r="W341" t="str">
            <v>TATXGP</v>
          </cell>
          <cell r="X341" t="str">
            <v>GK09</v>
          </cell>
          <cell r="Y341">
            <v>0</v>
          </cell>
          <cell r="Z341" t="str">
            <v/>
          </cell>
          <cell r="AA341" t="str">
            <v/>
          </cell>
          <cell r="AB341" t="str">
            <v/>
          </cell>
          <cell r="AC341" t="str">
            <v/>
          </cell>
          <cell r="AD341">
            <v>743</v>
          </cell>
          <cell r="AE341" t="str">
            <v>ZBTO</v>
          </cell>
        </row>
        <row r="342">
          <cell r="G342" t="str">
            <v>9519098404-3</v>
          </cell>
          <cell r="H342">
            <v>45912</v>
          </cell>
          <cell r="I342" t="str">
            <v>BIHANI ENTERPRISES</v>
          </cell>
          <cell r="J342">
            <v>2000</v>
          </cell>
          <cell r="K342" t="str">
            <v>Trimming only at RCL</v>
          </cell>
          <cell r="L342">
            <v>5</v>
          </cell>
          <cell r="M342">
            <v>7</v>
          </cell>
          <cell r="N342" t="str">
            <v>SOFT</v>
          </cell>
          <cell r="O342">
            <v>1854399</v>
          </cell>
          <cell r="P342" t="str">
            <v>GP COIL SOFT-TATXGP-GK09-0.35X1220</v>
          </cell>
          <cell r="Q342">
            <v>0.35</v>
          </cell>
          <cell r="R342">
            <v>1220</v>
          </cell>
          <cell r="S342">
            <v>56</v>
          </cell>
          <cell r="T342">
            <v>0</v>
          </cell>
          <cell r="U342">
            <v>56</v>
          </cell>
          <cell r="V342" t="str">
            <v>C02</v>
          </cell>
          <cell r="W342" t="str">
            <v>TATXGP</v>
          </cell>
          <cell r="X342" t="str">
            <v>GK09</v>
          </cell>
          <cell r="Y342">
            <v>0</v>
          </cell>
          <cell r="Z342" t="str">
            <v/>
          </cell>
          <cell r="AA342" t="str">
            <v/>
          </cell>
          <cell r="AB342" t="str">
            <v/>
          </cell>
          <cell r="AC342" t="str">
            <v/>
          </cell>
          <cell r="AD342">
            <v>743</v>
          </cell>
          <cell r="AE342" t="str">
            <v>ZBTO</v>
          </cell>
        </row>
        <row r="343">
          <cell r="G343" t="str">
            <v>9519098913-1</v>
          </cell>
          <cell r="H343">
            <v>45912</v>
          </cell>
          <cell r="I343" t="str">
            <v>FERRO STEEL SOLUTIONS</v>
          </cell>
          <cell r="J343">
            <v>2000</v>
          </cell>
          <cell r="K343" t="str">
            <v>Untrimmed edge</v>
          </cell>
          <cell r="L343">
            <v>9</v>
          </cell>
          <cell r="M343">
            <v>27</v>
          </cell>
          <cell r="N343" t="str">
            <v>AH03</v>
          </cell>
          <cell r="O343">
            <v>2420508</v>
          </cell>
          <cell r="P343" t="str">
            <v>CRCA COIL TATXXD AH03 0.500X1250</v>
          </cell>
          <cell r="Q343">
            <v>0.5</v>
          </cell>
          <cell r="R343">
            <v>1250</v>
          </cell>
          <cell r="S343">
            <v>174</v>
          </cell>
          <cell r="T343">
            <v>0</v>
          </cell>
          <cell r="U343">
            <v>174</v>
          </cell>
          <cell r="V343" t="str">
            <v>C01</v>
          </cell>
          <cell r="W343" t="str">
            <v>TATXXD</v>
          </cell>
          <cell r="X343" t="str">
            <v>AH03</v>
          </cell>
          <cell r="Y343">
            <v>0</v>
          </cell>
          <cell r="Z343" t="str">
            <v/>
          </cell>
          <cell r="AA343" t="str">
            <v/>
          </cell>
          <cell r="AB343" t="str">
            <v/>
          </cell>
          <cell r="AC343" t="str">
            <v/>
          </cell>
          <cell r="AD343">
            <v>742</v>
          </cell>
          <cell r="AE343" t="str">
            <v>ZBTO</v>
          </cell>
        </row>
        <row r="344">
          <cell r="G344" t="str">
            <v>9519098913-2</v>
          </cell>
          <cell r="H344">
            <v>45912</v>
          </cell>
          <cell r="I344" t="str">
            <v>FERRO STEEL SOLUTIONS</v>
          </cell>
          <cell r="J344">
            <v>2000</v>
          </cell>
          <cell r="K344" t="str">
            <v>Untrimmed edge</v>
          </cell>
          <cell r="L344">
            <v>9</v>
          </cell>
          <cell r="M344">
            <v>27</v>
          </cell>
          <cell r="N344" t="str">
            <v>AH03</v>
          </cell>
          <cell r="O344">
            <v>2420508</v>
          </cell>
          <cell r="P344" t="str">
            <v>CRCA COIL TATXXD AH03 0.500X1250</v>
          </cell>
          <cell r="Q344">
            <v>0.5</v>
          </cell>
          <cell r="R344">
            <v>1250</v>
          </cell>
          <cell r="S344">
            <v>174</v>
          </cell>
          <cell r="T344">
            <v>0</v>
          </cell>
          <cell r="U344">
            <v>174</v>
          </cell>
          <cell r="V344" t="str">
            <v>C01</v>
          </cell>
          <cell r="W344" t="str">
            <v>TATXXD</v>
          </cell>
          <cell r="X344" t="str">
            <v>AH03</v>
          </cell>
          <cell r="Y344">
            <v>0</v>
          </cell>
          <cell r="Z344" t="str">
            <v/>
          </cell>
          <cell r="AA344" t="str">
            <v/>
          </cell>
          <cell r="AB344" t="str">
            <v/>
          </cell>
          <cell r="AC344" t="str">
            <v/>
          </cell>
          <cell r="AD344">
            <v>742</v>
          </cell>
          <cell r="AE344" t="str">
            <v>ZBTO</v>
          </cell>
        </row>
        <row r="345">
          <cell r="G345" t="str">
            <v>9519098913-3</v>
          </cell>
          <cell r="H345">
            <v>45912</v>
          </cell>
          <cell r="I345" t="str">
            <v>FERRO STEEL SOLUTIONS</v>
          </cell>
          <cell r="J345">
            <v>2000</v>
          </cell>
          <cell r="K345" t="str">
            <v>Untrimmed edge</v>
          </cell>
          <cell r="L345">
            <v>9</v>
          </cell>
          <cell r="M345">
            <v>27</v>
          </cell>
          <cell r="N345" t="str">
            <v>AH03</v>
          </cell>
          <cell r="O345">
            <v>2420508</v>
          </cell>
          <cell r="P345" t="str">
            <v>CRCA COIL TATXXD AH03 0.500X1250</v>
          </cell>
          <cell r="Q345">
            <v>0.5</v>
          </cell>
          <cell r="R345">
            <v>1250</v>
          </cell>
          <cell r="S345">
            <v>174</v>
          </cell>
          <cell r="T345">
            <v>0</v>
          </cell>
          <cell r="U345">
            <v>174</v>
          </cell>
          <cell r="V345" t="str">
            <v>C01</v>
          </cell>
          <cell r="W345" t="str">
            <v>TATXXD</v>
          </cell>
          <cell r="X345" t="str">
            <v>AH03</v>
          </cell>
          <cell r="Y345">
            <v>0</v>
          </cell>
          <cell r="Z345" t="str">
            <v/>
          </cell>
          <cell r="AA345" t="str">
            <v/>
          </cell>
          <cell r="AB345" t="str">
            <v/>
          </cell>
          <cell r="AC345" t="str">
            <v/>
          </cell>
          <cell r="AD345">
            <v>742</v>
          </cell>
          <cell r="AE345" t="str">
            <v>ZBTO</v>
          </cell>
        </row>
        <row r="346">
          <cell r="G346" t="str">
            <v>9519099083-1</v>
          </cell>
          <cell r="H346">
            <v>45912</v>
          </cell>
          <cell r="I346" t="str">
            <v>GRG STEELS PVT. LTD.</v>
          </cell>
          <cell r="J346">
            <v>2000</v>
          </cell>
          <cell r="K346" t="str">
            <v>Untrimmed edge</v>
          </cell>
          <cell r="L346">
            <v>10</v>
          </cell>
          <cell r="M346">
            <v>30</v>
          </cell>
          <cell r="N346" t="str">
            <v>STEELIUM</v>
          </cell>
          <cell r="O346">
            <v>1804772</v>
          </cell>
          <cell r="P346" t="str">
            <v>CRCA COIL TATXXD AU03 0.4X1250</v>
          </cell>
          <cell r="Q346">
            <v>0.4</v>
          </cell>
          <cell r="R346">
            <v>1250</v>
          </cell>
          <cell r="S346">
            <v>145</v>
          </cell>
          <cell r="T346">
            <v>0</v>
          </cell>
          <cell r="U346">
            <v>145</v>
          </cell>
          <cell r="V346" t="str">
            <v>C01</v>
          </cell>
          <cell r="W346" t="str">
            <v>TATXXD</v>
          </cell>
          <cell r="X346" t="str">
            <v>AU03</v>
          </cell>
          <cell r="Y346">
            <v>0</v>
          </cell>
          <cell r="Z346" t="str">
            <v/>
          </cell>
          <cell r="AA346" t="str">
            <v/>
          </cell>
          <cell r="AB346" t="str">
            <v/>
          </cell>
          <cell r="AC346" t="str">
            <v/>
          </cell>
          <cell r="AD346">
            <v>742</v>
          </cell>
          <cell r="AE346" t="str">
            <v>ZBTO</v>
          </cell>
        </row>
        <row r="347">
          <cell r="G347" t="str">
            <v>9519099083-2</v>
          </cell>
          <cell r="H347">
            <v>45912</v>
          </cell>
          <cell r="I347" t="str">
            <v>GRG STEELS PVT. LTD.</v>
          </cell>
          <cell r="J347">
            <v>2000</v>
          </cell>
          <cell r="K347" t="str">
            <v>Untrimmed edge</v>
          </cell>
          <cell r="L347">
            <v>10</v>
          </cell>
          <cell r="M347">
            <v>30</v>
          </cell>
          <cell r="N347" t="str">
            <v>STEELIUM</v>
          </cell>
          <cell r="O347">
            <v>1801022</v>
          </cell>
          <cell r="P347" t="str">
            <v>CRCA COIL-TATXXD-AU03-0.45X1250</v>
          </cell>
          <cell r="Q347">
            <v>0.45</v>
          </cell>
          <cell r="R347">
            <v>1250</v>
          </cell>
          <cell r="S347">
            <v>87</v>
          </cell>
          <cell r="T347">
            <v>0</v>
          </cell>
          <cell r="U347">
            <v>87</v>
          </cell>
          <cell r="V347" t="str">
            <v>C01</v>
          </cell>
          <cell r="W347" t="str">
            <v>TATXXD</v>
          </cell>
          <cell r="X347" t="str">
            <v>AU03</v>
          </cell>
          <cell r="Y347">
            <v>0</v>
          </cell>
          <cell r="Z347" t="str">
            <v/>
          </cell>
          <cell r="AA347" t="str">
            <v/>
          </cell>
          <cell r="AB347" t="str">
            <v/>
          </cell>
          <cell r="AC347" t="str">
            <v/>
          </cell>
          <cell r="AD347">
            <v>742</v>
          </cell>
          <cell r="AE347" t="str">
            <v>ZBTO</v>
          </cell>
        </row>
        <row r="348">
          <cell r="G348" t="str">
            <v>9519099563-1</v>
          </cell>
          <cell r="H348">
            <v>45912</v>
          </cell>
          <cell r="I348" t="str">
            <v>Shree Bajrang Steel Udyog</v>
          </cell>
          <cell r="J348">
            <v>2000</v>
          </cell>
          <cell r="K348" t="str">
            <v>Slitting/Trimming at</v>
          </cell>
          <cell r="L348">
            <v>4</v>
          </cell>
          <cell r="M348">
            <v>12</v>
          </cell>
          <cell r="N348" t="str">
            <v>SOFT</v>
          </cell>
          <cell r="O348">
            <v>1851065</v>
          </cell>
          <cell r="P348" t="str">
            <v>GP COIL SOFT-TATXGP-GK09-0.25X900</v>
          </cell>
          <cell r="Q348">
            <v>0.25</v>
          </cell>
          <cell r="R348">
            <v>900</v>
          </cell>
          <cell r="S348">
            <v>42</v>
          </cell>
          <cell r="T348">
            <v>0</v>
          </cell>
          <cell r="U348">
            <v>42</v>
          </cell>
          <cell r="V348" t="str">
            <v>C02</v>
          </cell>
          <cell r="W348" t="str">
            <v>TATXGP</v>
          </cell>
          <cell r="X348" t="str">
            <v>GK09</v>
          </cell>
          <cell r="Y348">
            <v>0</v>
          </cell>
          <cell r="Z348" t="str">
            <v/>
          </cell>
          <cell r="AA348" t="str">
            <v/>
          </cell>
          <cell r="AB348" t="str">
            <v/>
          </cell>
          <cell r="AC348" t="str">
            <v/>
          </cell>
          <cell r="AD348">
            <v>743</v>
          </cell>
          <cell r="AE348" t="str">
            <v>ZBTO</v>
          </cell>
        </row>
        <row r="349">
          <cell r="G349" t="str">
            <v>9519099563-2</v>
          </cell>
          <cell r="H349">
            <v>45912</v>
          </cell>
          <cell r="I349" t="str">
            <v>Shree Bajrang Steel Udyog</v>
          </cell>
          <cell r="J349">
            <v>2000</v>
          </cell>
          <cell r="K349" t="str">
            <v>Slitting/Trimming at</v>
          </cell>
          <cell r="L349">
            <v>4</v>
          </cell>
          <cell r="M349">
            <v>12</v>
          </cell>
          <cell r="N349" t="str">
            <v>SOFT</v>
          </cell>
          <cell r="O349">
            <v>1191955</v>
          </cell>
          <cell r="P349" t="str">
            <v>GP COIL SOFT-TATXGP-GK09-0.3X900</v>
          </cell>
          <cell r="Q349">
            <v>0.3</v>
          </cell>
          <cell r="R349">
            <v>900</v>
          </cell>
          <cell r="S349">
            <v>126</v>
          </cell>
          <cell r="T349">
            <v>0</v>
          </cell>
          <cell r="U349">
            <v>126</v>
          </cell>
          <cell r="V349" t="str">
            <v>C02</v>
          </cell>
          <cell r="W349" t="str">
            <v>TATXGP</v>
          </cell>
          <cell r="X349" t="str">
            <v>GK09</v>
          </cell>
          <cell r="Y349">
            <v>0</v>
          </cell>
          <cell r="Z349" t="str">
            <v/>
          </cell>
          <cell r="AA349" t="str">
            <v/>
          </cell>
          <cell r="AB349" t="str">
            <v/>
          </cell>
          <cell r="AC349" t="str">
            <v/>
          </cell>
          <cell r="AD349">
            <v>743</v>
          </cell>
          <cell r="AE349" t="str">
            <v>ZBTO</v>
          </cell>
        </row>
        <row r="350">
          <cell r="G350" t="str">
            <v>9519099563-3</v>
          </cell>
          <cell r="H350">
            <v>45912</v>
          </cell>
          <cell r="I350" t="str">
            <v>Shree Bajrang Steel Udyog</v>
          </cell>
          <cell r="J350">
            <v>2000</v>
          </cell>
          <cell r="K350" t="str">
            <v>Slitting/Trimming at</v>
          </cell>
          <cell r="L350">
            <v>4</v>
          </cell>
          <cell r="M350">
            <v>12</v>
          </cell>
          <cell r="N350" t="str">
            <v>SOFT</v>
          </cell>
          <cell r="O350">
            <v>1191955</v>
          </cell>
          <cell r="P350" t="str">
            <v>GP COIL SOFT-TATXGP-GK09-0.3X900</v>
          </cell>
          <cell r="Q350">
            <v>0.3</v>
          </cell>
          <cell r="R350">
            <v>900</v>
          </cell>
          <cell r="S350">
            <v>126</v>
          </cell>
          <cell r="T350">
            <v>0</v>
          </cell>
          <cell r="U350">
            <v>126</v>
          </cell>
          <cell r="V350" t="str">
            <v>C02</v>
          </cell>
          <cell r="W350" t="str">
            <v>TATXGP</v>
          </cell>
          <cell r="X350" t="str">
            <v>GK09</v>
          </cell>
          <cell r="Y350">
            <v>0</v>
          </cell>
          <cell r="Z350" t="str">
            <v/>
          </cell>
          <cell r="AA350" t="str">
            <v/>
          </cell>
          <cell r="AB350" t="str">
            <v/>
          </cell>
          <cell r="AC350" t="str">
            <v/>
          </cell>
          <cell r="AD350">
            <v>743</v>
          </cell>
          <cell r="AE350" t="str">
            <v>ZBTO</v>
          </cell>
        </row>
        <row r="351">
          <cell r="G351" t="str">
            <v>9519099563-4</v>
          </cell>
          <cell r="H351">
            <v>45912</v>
          </cell>
          <cell r="I351" t="str">
            <v>Shree Bajrang Steel Udyog</v>
          </cell>
          <cell r="J351">
            <v>2000</v>
          </cell>
          <cell r="K351" t="str">
            <v>Slitting/Trimming at</v>
          </cell>
          <cell r="L351">
            <v>4</v>
          </cell>
          <cell r="M351">
            <v>12</v>
          </cell>
          <cell r="N351" t="str">
            <v>SOFT</v>
          </cell>
          <cell r="O351">
            <v>1191955</v>
          </cell>
          <cell r="P351" t="str">
            <v>GP COIL SOFT-TATXGP-GK09-0.3X900</v>
          </cell>
          <cell r="Q351">
            <v>0.3</v>
          </cell>
          <cell r="R351">
            <v>900</v>
          </cell>
          <cell r="S351">
            <v>105</v>
          </cell>
          <cell r="T351">
            <v>0</v>
          </cell>
          <cell r="U351">
            <v>105</v>
          </cell>
          <cell r="V351" t="str">
            <v>C02</v>
          </cell>
          <cell r="W351" t="str">
            <v>TATXGP</v>
          </cell>
          <cell r="X351" t="str">
            <v>GK09</v>
          </cell>
          <cell r="Y351">
            <v>0</v>
          </cell>
          <cell r="Z351" t="str">
            <v/>
          </cell>
          <cell r="AA351" t="str">
            <v/>
          </cell>
          <cell r="AB351" t="str">
            <v/>
          </cell>
          <cell r="AC351" t="str">
            <v/>
          </cell>
          <cell r="AD351">
            <v>743</v>
          </cell>
          <cell r="AE351" t="str">
            <v>ZBTO</v>
          </cell>
        </row>
        <row r="352">
          <cell r="G352" t="str">
            <v>9519099563-5</v>
          </cell>
          <cell r="H352">
            <v>45912</v>
          </cell>
          <cell r="I352" t="str">
            <v>Shree Bajrang Steel Udyog</v>
          </cell>
          <cell r="J352">
            <v>2000</v>
          </cell>
          <cell r="K352" t="str">
            <v>Slitting/Trimming at</v>
          </cell>
          <cell r="L352">
            <v>4</v>
          </cell>
          <cell r="M352">
            <v>12</v>
          </cell>
          <cell r="N352" t="str">
            <v>SOFT</v>
          </cell>
          <cell r="O352">
            <v>1191956</v>
          </cell>
          <cell r="P352" t="str">
            <v>GP COIL SOFT-TATXGP-GK09-0.35X900</v>
          </cell>
          <cell r="Q352">
            <v>0.35</v>
          </cell>
          <cell r="R352">
            <v>900</v>
          </cell>
          <cell r="S352">
            <v>126</v>
          </cell>
          <cell r="T352">
            <v>0</v>
          </cell>
          <cell r="U352">
            <v>126</v>
          </cell>
          <cell r="V352" t="str">
            <v>C02</v>
          </cell>
          <cell r="W352" t="str">
            <v>TATXGP</v>
          </cell>
          <cell r="X352" t="str">
            <v>GK09</v>
          </cell>
          <cell r="Y352">
            <v>0</v>
          </cell>
          <cell r="Z352" t="str">
            <v/>
          </cell>
          <cell r="AA352" t="str">
            <v/>
          </cell>
          <cell r="AB352" t="str">
            <v/>
          </cell>
          <cell r="AC352" t="str">
            <v/>
          </cell>
          <cell r="AD352">
            <v>743</v>
          </cell>
          <cell r="AE352" t="str">
            <v>ZBTO</v>
          </cell>
        </row>
        <row r="353">
          <cell r="G353" t="str">
            <v>9519099563-6</v>
          </cell>
          <cell r="H353">
            <v>45912</v>
          </cell>
          <cell r="I353" t="str">
            <v>Shree Bajrang Steel Udyog</v>
          </cell>
          <cell r="J353">
            <v>2000</v>
          </cell>
          <cell r="K353" t="str">
            <v>Slitting/Trimming at</v>
          </cell>
          <cell r="L353">
            <v>4</v>
          </cell>
          <cell r="M353">
            <v>12</v>
          </cell>
          <cell r="N353" t="str">
            <v>SOFT</v>
          </cell>
          <cell r="O353">
            <v>1191956</v>
          </cell>
          <cell r="P353" t="str">
            <v>GP COIL SOFT-TATXGP-GK09-0.35X900</v>
          </cell>
          <cell r="Q353">
            <v>0.35</v>
          </cell>
          <cell r="R353">
            <v>900</v>
          </cell>
          <cell r="S353">
            <v>126</v>
          </cell>
          <cell r="T353">
            <v>0</v>
          </cell>
          <cell r="U353">
            <v>126</v>
          </cell>
          <cell r="V353" t="str">
            <v>C02</v>
          </cell>
          <cell r="W353" t="str">
            <v>TATXGP</v>
          </cell>
          <cell r="X353" t="str">
            <v>GK09</v>
          </cell>
          <cell r="Y353">
            <v>0</v>
          </cell>
          <cell r="Z353" t="str">
            <v/>
          </cell>
          <cell r="AA353" t="str">
            <v/>
          </cell>
          <cell r="AB353" t="str">
            <v/>
          </cell>
          <cell r="AC353" t="str">
            <v/>
          </cell>
          <cell r="AD353">
            <v>743</v>
          </cell>
          <cell r="AE353" t="str">
            <v>ZBTO</v>
          </cell>
        </row>
        <row r="354">
          <cell r="G354" t="str">
            <v>9519099563-7</v>
          </cell>
          <cell r="H354">
            <v>45912</v>
          </cell>
          <cell r="I354" t="str">
            <v>Shree Bajrang Steel Udyog</v>
          </cell>
          <cell r="J354">
            <v>2000</v>
          </cell>
          <cell r="K354" t="str">
            <v>Slitting/Trimming at</v>
          </cell>
          <cell r="L354">
            <v>4</v>
          </cell>
          <cell r="M354">
            <v>12</v>
          </cell>
          <cell r="N354" t="str">
            <v>SOFT</v>
          </cell>
          <cell r="O354">
            <v>1191956</v>
          </cell>
          <cell r="P354" t="str">
            <v>GP COIL SOFT-TATXGP-GK09-0.35X900</v>
          </cell>
          <cell r="Q354">
            <v>0.35</v>
          </cell>
          <cell r="R354">
            <v>900</v>
          </cell>
          <cell r="S354">
            <v>105</v>
          </cell>
          <cell r="T354">
            <v>0</v>
          </cell>
          <cell r="U354">
            <v>105</v>
          </cell>
          <cell r="V354" t="str">
            <v>C02</v>
          </cell>
          <cell r="W354" t="str">
            <v>TATXGP</v>
          </cell>
          <cell r="X354" t="str">
            <v>GK09</v>
          </cell>
          <cell r="Y354">
            <v>0</v>
          </cell>
          <cell r="Z354" t="str">
            <v/>
          </cell>
          <cell r="AA354" t="str">
            <v/>
          </cell>
          <cell r="AB354" t="str">
            <v/>
          </cell>
          <cell r="AC354" t="str">
            <v/>
          </cell>
          <cell r="AD354">
            <v>743</v>
          </cell>
          <cell r="AE354" t="str">
            <v>ZBTO</v>
          </cell>
        </row>
        <row r="355">
          <cell r="G355" t="str">
            <v>9519099563-8</v>
          </cell>
          <cell r="H355">
            <v>45912</v>
          </cell>
          <cell r="I355" t="str">
            <v>Shree Bajrang Steel Udyog</v>
          </cell>
          <cell r="J355">
            <v>2000</v>
          </cell>
          <cell r="K355" t="str">
            <v>Slitting/Trimming at</v>
          </cell>
          <cell r="L355">
            <v>4</v>
          </cell>
          <cell r="M355">
            <v>12</v>
          </cell>
          <cell r="N355" t="str">
            <v>GK09</v>
          </cell>
          <cell r="O355">
            <v>1178439</v>
          </cell>
          <cell r="P355" t="str">
            <v>GP COIL SOFT-TATXGP-GK09-0.4X900</v>
          </cell>
          <cell r="Q355">
            <v>0.4</v>
          </cell>
          <cell r="R355">
            <v>900</v>
          </cell>
          <cell r="S355">
            <v>126</v>
          </cell>
          <cell r="T355">
            <v>0</v>
          </cell>
          <cell r="U355">
            <v>126</v>
          </cell>
          <cell r="V355" t="str">
            <v>C02</v>
          </cell>
          <cell r="W355" t="str">
            <v>TATXGP</v>
          </cell>
          <cell r="X355" t="str">
            <v>GK09</v>
          </cell>
          <cell r="Y355">
            <v>0</v>
          </cell>
          <cell r="Z355" t="str">
            <v/>
          </cell>
          <cell r="AA355" t="str">
            <v/>
          </cell>
          <cell r="AB355" t="str">
            <v/>
          </cell>
          <cell r="AC355" t="str">
            <v/>
          </cell>
          <cell r="AD355">
            <v>743</v>
          </cell>
          <cell r="AE355" t="str">
            <v>ZBTO</v>
          </cell>
        </row>
        <row r="356">
          <cell r="G356" t="str">
            <v>9519099563-9</v>
          </cell>
          <cell r="H356">
            <v>45912</v>
          </cell>
          <cell r="I356" t="str">
            <v>Shree Bajrang Steel Udyog</v>
          </cell>
          <cell r="J356">
            <v>2000</v>
          </cell>
          <cell r="K356" t="str">
            <v>Slitting/Trimming at</v>
          </cell>
          <cell r="L356">
            <v>4</v>
          </cell>
          <cell r="M356">
            <v>12</v>
          </cell>
          <cell r="N356" t="str">
            <v>GK09</v>
          </cell>
          <cell r="O356">
            <v>1178439</v>
          </cell>
          <cell r="P356" t="str">
            <v>GP COIL SOFT-TATXGP-GK09-0.4X900</v>
          </cell>
          <cell r="Q356">
            <v>0.4</v>
          </cell>
          <cell r="R356">
            <v>900</v>
          </cell>
          <cell r="S356">
            <v>126</v>
          </cell>
          <cell r="T356">
            <v>0</v>
          </cell>
          <cell r="U356">
            <v>126</v>
          </cell>
          <cell r="V356" t="str">
            <v>C02</v>
          </cell>
          <cell r="W356" t="str">
            <v>TATXGP</v>
          </cell>
          <cell r="X356" t="str">
            <v>GK09</v>
          </cell>
          <cell r="Y356">
            <v>0</v>
          </cell>
          <cell r="Z356" t="str">
            <v/>
          </cell>
          <cell r="AA356" t="str">
            <v/>
          </cell>
          <cell r="AB356" t="str">
            <v/>
          </cell>
          <cell r="AC356" t="str">
            <v/>
          </cell>
          <cell r="AD356">
            <v>743</v>
          </cell>
          <cell r="AE356" t="str">
            <v>ZBTO</v>
          </cell>
        </row>
        <row r="357">
          <cell r="G357" t="str">
            <v>9519099563-10</v>
          </cell>
          <cell r="H357">
            <v>45912</v>
          </cell>
          <cell r="I357" t="str">
            <v>Shree Bajrang Steel Udyog</v>
          </cell>
          <cell r="J357">
            <v>2000</v>
          </cell>
          <cell r="K357" t="str">
            <v>Slitting/Trimming at</v>
          </cell>
          <cell r="L357">
            <v>4</v>
          </cell>
          <cell r="M357">
            <v>12</v>
          </cell>
          <cell r="N357" t="str">
            <v>GK09</v>
          </cell>
          <cell r="O357">
            <v>1178439</v>
          </cell>
          <cell r="P357" t="str">
            <v>GP COIL SOFT-TATXGP-GK09-0.4X900</v>
          </cell>
          <cell r="Q357">
            <v>0.4</v>
          </cell>
          <cell r="R357">
            <v>900</v>
          </cell>
          <cell r="S357">
            <v>105</v>
          </cell>
          <cell r="T357">
            <v>0</v>
          </cell>
          <cell r="U357">
            <v>105</v>
          </cell>
          <cell r="V357" t="str">
            <v>C02</v>
          </cell>
          <cell r="W357" t="str">
            <v>TATXGP</v>
          </cell>
          <cell r="X357" t="str">
            <v>GK09</v>
          </cell>
          <cell r="Y357">
            <v>0</v>
          </cell>
          <cell r="Z357" t="str">
            <v/>
          </cell>
          <cell r="AA357" t="str">
            <v/>
          </cell>
          <cell r="AB357" t="str">
            <v/>
          </cell>
          <cell r="AC357" t="str">
            <v/>
          </cell>
          <cell r="AD357">
            <v>743</v>
          </cell>
          <cell r="AE357" t="str">
            <v>ZBTO</v>
          </cell>
        </row>
        <row r="358">
          <cell r="G358" t="str">
            <v>9519099563-11</v>
          </cell>
          <cell r="H358">
            <v>45912</v>
          </cell>
          <cell r="I358" t="str">
            <v>Shree Bajrang Steel Udyog</v>
          </cell>
          <cell r="J358">
            <v>2000</v>
          </cell>
          <cell r="K358" t="str">
            <v>Slitting/Trimming at</v>
          </cell>
          <cell r="L358">
            <v>4</v>
          </cell>
          <cell r="M358">
            <v>12</v>
          </cell>
          <cell r="N358" t="str">
            <v>SOFT</v>
          </cell>
          <cell r="O358">
            <v>1854413</v>
          </cell>
          <cell r="P358" t="str">
            <v>GP COIL SOFT-TATXGP-GK09-0.45X900</v>
          </cell>
          <cell r="Q358">
            <v>0.45</v>
          </cell>
          <cell r="R358">
            <v>900</v>
          </cell>
          <cell r="S358">
            <v>42</v>
          </cell>
          <cell r="T358">
            <v>0</v>
          </cell>
          <cell r="U358">
            <v>42</v>
          </cell>
          <cell r="V358" t="str">
            <v>C02</v>
          </cell>
          <cell r="W358" t="str">
            <v>TATXGP</v>
          </cell>
          <cell r="X358" t="str">
            <v>GK09</v>
          </cell>
          <cell r="Y358">
            <v>0</v>
          </cell>
          <cell r="Z358" t="str">
            <v/>
          </cell>
          <cell r="AA358" t="str">
            <v/>
          </cell>
          <cell r="AB358" t="str">
            <v/>
          </cell>
          <cell r="AC358" t="str">
            <v/>
          </cell>
          <cell r="AD358">
            <v>743</v>
          </cell>
          <cell r="AE358" t="str">
            <v>ZBTO</v>
          </cell>
        </row>
        <row r="359">
          <cell r="G359" t="str">
            <v>9519099563-12</v>
          </cell>
          <cell r="H359">
            <v>45912</v>
          </cell>
          <cell r="I359" t="str">
            <v>Shree Bajrang Steel Udyog</v>
          </cell>
          <cell r="J359">
            <v>2000</v>
          </cell>
          <cell r="K359" t="str">
            <v>Slitting/Trimming at</v>
          </cell>
          <cell r="L359">
            <v>4</v>
          </cell>
          <cell r="M359">
            <v>12</v>
          </cell>
          <cell r="N359" t="str">
            <v>SOFT</v>
          </cell>
          <cell r="O359">
            <v>1854418</v>
          </cell>
          <cell r="P359" t="str">
            <v>GP COIL SOFT-TATXGP-GK09-0.5X900</v>
          </cell>
          <cell r="Q359">
            <v>0.5</v>
          </cell>
          <cell r="R359">
            <v>900</v>
          </cell>
          <cell r="S359">
            <v>126</v>
          </cell>
          <cell r="T359">
            <v>0</v>
          </cell>
          <cell r="U359">
            <v>126</v>
          </cell>
          <cell r="V359" t="str">
            <v>C02</v>
          </cell>
          <cell r="W359" t="str">
            <v>TATXGP</v>
          </cell>
          <cell r="X359" t="str">
            <v>GK09</v>
          </cell>
          <cell r="Y359">
            <v>0</v>
          </cell>
          <cell r="Z359" t="str">
            <v/>
          </cell>
          <cell r="AA359" t="str">
            <v/>
          </cell>
          <cell r="AB359" t="str">
            <v/>
          </cell>
          <cell r="AC359" t="str">
            <v/>
          </cell>
          <cell r="AD359">
            <v>743</v>
          </cell>
          <cell r="AE359" t="str">
            <v>ZBTO</v>
          </cell>
        </row>
        <row r="360">
          <cell r="G360" t="str">
            <v>9519099563-13</v>
          </cell>
          <cell r="H360">
            <v>45912</v>
          </cell>
          <cell r="I360" t="str">
            <v>Shree Bajrang Steel Udyog</v>
          </cell>
          <cell r="J360">
            <v>2000</v>
          </cell>
          <cell r="K360" t="str">
            <v>Slitting/Trimming at</v>
          </cell>
          <cell r="L360">
            <v>4</v>
          </cell>
          <cell r="M360">
            <v>12</v>
          </cell>
          <cell r="N360" t="str">
            <v>SOFT</v>
          </cell>
          <cell r="O360">
            <v>1854418</v>
          </cell>
          <cell r="P360" t="str">
            <v>GP COIL SOFT-TATXGP-GK09-0.5X900</v>
          </cell>
          <cell r="Q360">
            <v>0.5</v>
          </cell>
          <cell r="R360">
            <v>900</v>
          </cell>
          <cell r="S360">
            <v>126</v>
          </cell>
          <cell r="T360">
            <v>0</v>
          </cell>
          <cell r="U360">
            <v>126</v>
          </cell>
          <cell r="V360" t="str">
            <v>C02</v>
          </cell>
          <cell r="W360" t="str">
            <v>TATXGP</v>
          </cell>
          <cell r="X360" t="str">
            <v>GK09</v>
          </cell>
          <cell r="Y360">
            <v>0</v>
          </cell>
          <cell r="Z360" t="str">
            <v/>
          </cell>
          <cell r="AA360" t="str">
            <v/>
          </cell>
          <cell r="AB360" t="str">
            <v/>
          </cell>
          <cell r="AC360" t="str">
            <v/>
          </cell>
          <cell r="AD360">
            <v>743</v>
          </cell>
          <cell r="AE360" t="str">
            <v>ZBTO</v>
          </cell>
        </row>
        <row r="361">
          <cell r="G361" t="str">
            <v>9519099563-14</v>
          </cell>
          <cell r="H361">
            <v>45912</v>
          </cell>
          <cell r="I361" t="str">
            <v>Shree Bajrang Steel Udyog</v>
          </cell>
          <cell r="J361">
            <v>2000</v>
          </cell>
          <cell r="K361" t="str">
            <v>Slitting/Trimming at</v>
          </cell>
          <cell r="L361">
            <v>4</v>
          </cell>
          <cell r="M361">
            <v>12</v>
          </cell>
          <cell r="N361" t="str">
            <v/>
          </cell>
          <cell r="O361">
            <v>1854424</v>
          </cell>
          <cell r="P361" t="str">
            <v>GP COIL SOFT-TATXGP-GK09-0.6X900</v>
          </cell>
          <cell r="Q361">
            <v>0.6</v>
          </cell>
          <cell r="R361">
            <v>900</v>
          </cell>
          <cell r="S361">
            <v>126</v>
          </cell>
          <cell r="T361">
            <v>0</v>
          </cell>
          <cell r="U361">
            <v>126</v>
          </cell>
          <cell r="V361" t="str">
            <v>C02</v>
          </cell>
          <cell r="W361" t="str">
            <v>TATXGP</v>
          </cell>
          <cell r="X361" t="str">
            <v>GK09</v>
          </cell>
          <cell r="Y361">
            <v>0</v>
          </cell>
          <cell r="Z361" t="str">
            <v/>
          </cell>
          <cell r="AA361" t="str">
            <v/>
          </cell>
          <cell r="AB361" t="str">
            <v/>
          </cell>
          <cell r="AC361" t="str">
            <v/>
          </cell>
          <cell r="AD361">
            <v>743</v>
          </cell>
          <cell r="AE361" t="str">
            <v>ZBTO</v>
          </cell>
        </row>
        <row r="362">
          <cell r="G362" t="str">
            <v>9519099563-15</v>
          </cell>
          <cell r="H362">
            <v>45912</v>
          </cell>
          <cell r="I362" t="str">
            <v>Shree Bajrang Steel Udyog</v>
          </cell>
          <cell r="J362">
            <v>2000</v>
          </cell>
          <cell r="K362" t="str">
            <v>Slitting/Trimming at</v>
          </cell>
          <cell r="L362">
            <v>4</v>
          </cell>
          <cell r="M362">
            <v>12</v>
          </cell>
          <cell r="N362" t="str">
            <v/>
          </cell>
          <cell r="O362">
            <v>1854424</v>
          </cell>
          <cell r="P362" t="str">
            <v>GP COIL SOFT-TATXGP-GK09-0.6X900</v>
          </cell>
          <cell r="Q362">
            <v>0.6</v>
          </cell>
          <cell r="R362">
            <v>900</v>
          </cell>
          <cell r="S362">
            <v>126</v>
          </cell>
          <cell r="T362">
            <v>0</v>
          </cell>
          <cell r="U362">
            <v>126</v>
          </cell>
          <cell r="V362" t="str">
            <v>C02</v>
          </cell>
          <cell r="W362" t="str">
            <v>TATXGP</v>
          </cell>
          <cell r="X362" t="str">
            <v>GK09</v>
          </cell>
          <cell r="Y362">
            <v>0</v>
          </cell>
          <cell r="Z362" t="str">
            <v/>
          </cell>
          <cell r="AA362" t="str">
            <v/>
          </cell>
          <cell r="AB362" t="str">
            <v/>
          </cell>
          <cell r="AC362" t="str">
            <v/>
          </cell>
          <cell r="AD362">
            <v>743</v>
          </cell>
          <cell r="AE362" t="str">
            <v>ZBTO</v>
          </cell>
        </row>
        <row r="363">
          <cell r="G363" t="str">
            <v>9519101481-1</v>
          </cell>
          <cell r="H363">
            <v>45913</v>
          </cell>
          <cell r="I363" t="str">
            <v>TATA BLUESCOPE STEEL PRIVATE L</v>
          </cell>
          <cell r="J363">
            <v>1000</v>
          </cell>
          <cell r="K363" t="str">
            <v>Trimming only at RCL</v>
          </cell>
          <cell r="L363">
            <v>3</v>
          </cell>
          <cell r="M363">
            <v>5</v>
          </cell>
          <cell r="N363" t="str">
            <v>FULLHARD</v>
          </cell>
          <cell r="O363">
            <v>1881969</v>
          </cell>
          <cell r="P363" t="str">
            <v>GL C YS550 H6GL 0.45BMT(0.50TCT)X1220</v>
          </cell>
          <cell r="Q363">
            <v>0.45</v>
          </cell>
          <cell r="R363">
            <v>1220</v>
          </cell>
          <cell r="S363">
            <v>196</v>
          </cell>
          <cell r="T363">
            <v>0</v>
          </cell>
          <cell r="U363">
            <v>196</v>
          </cell>
          <cell r="V363" t="str">
            <v>B04</v>
          </cell>
          <cell r="W363" t="str">
            <v>Y550GL</v>
          </cell>
          <cell r="X363" t="str">
            <v>H6GL</v>
          </cell>
          <cell r="Y363">
            <v>0</v>
          </cell>
          <cell r="Z363" t="str">
            <v/>
          </cell>
          <cell r="AA363" t="str">
            <v/>
          </cell>
          <cell r="AB363" t="str">
            <v/>
          </cell>
          <cell r="AC363" t="str">
            <v/>
          </cell>
          <cell r="AD363">
            <v>743</v>
          </cell>
          <cell r="AE363" t="str">
            <v>ZBTO</v>
          </cell>
        </row>
        <row r="364">
          <cell r="G364" t="str">
            <v>9519101481-2</v>
          </cell>
          <cell r="H364">
            <v>45913</v>
          </cell>
          <cell r="I364" t="str">
            <v>TATA BLUESCOPE STEEL PRIVATE L</v>
          </cell>
          <cell r="J364">
            <v>1000</v>
          </cell>
          <cell r="K364" t="str">
            <v>Trimming only at RCL</v>
          </cell>
          <cell r="L364">
            <v>3</v>
          </cell>
          <cell r="M364">
            <v>5</v>
          </cell>
          <cell r="N364" t="str">
            <v>FULLHARD</v>
          </cell>
          <cell r="O364">
            <v>1882004</v>
          </cell>
          <cell r="P364" t="str">
            <v>GL C YS550 H6GL 0.55BMT(0.60TCT)X1220</v>
          </cell>
          <cell r="Q364">
            <v>0.55000000000000004</v>
          </cell>
          <cell r="R364">
            <v>1220</v>
          </cell>
          <cell r="S364">
            <v>56</v>
          </cell>
          <cell r="T364">
            <v>0</v>
          </cell>
          <cell r="U364">
            <v>56</v>
          </cell>
          <cell r="V364" t="str">
            <v>B04</v>
          </cell>
          <cell r="W364" t="str">
            <v>Y550GL</v>
          </cell>
          <cell r="X364" t="str">
            <v>H6GL</v>
          </cell>
          <cell r="Y364">
            <v>0</v>
          </cell>
          <cell r="Z364" t="str">
            <v/>
          </cell>
          <cell r="AA364" t="str">
            <v/>
          </cell>
          <cell r="AB364" t="str">
            <v/>
          </cell>
          <cell r="AC364" t="str">
            <v/>
          </cell>
          <cell r="AD364">
            <v>743</v>
          </cell>
          <cell r="AE364" t="str">
            <v>ZBTO</v>
          </cell>
        </row>
        <row r="365">
          <cell r="G365" t="str">
            <v>9519101481-3</v>
          </cell>
          <cell r="H365">
            <v>45913</v>
          </cell>
          <cell r="I365" t="str">
            <v>TATA BLUESCOPE STEEL PRIVATE L</v>
          </cell>
          <cell r="J365">
            <v>1000</v>
          </cell>
          <cell r="K365" t="str">
            <v>Trimming only at RCL</v>
          </cell>
          <cell r="L365">
            <v>3</v>
          </cell>
          <cell r="M365">
            <v>5</v>
          </cell>
          <cell r="N365" t="str">
            <v>FULLHARD</v>
          </cell>
          <cell r="O365">
            <v>1881988</v>
          </cell>
          <cell r="P365" t="str">
            <v>GL C YS550 H6GL 0.50BMT(0.55TCT)X1220</v>
          </cell>
          <cell r="Q365">
            <v>0.5</v>
          </cell>
          <cell r="R365">
            <v>1220</v>
          </cell>
          <cell r="S365">
            <v>28</v>
          </cell>
          <cell r="T365">
            <v>0</v>
          </cell>
          <cell r="U365">
            <v>28</v>
          </cell>
          <cell r="V365" t="str">
            <v>B04</v>
          </cell>
          <cell r="W365" t="str">
            <v>Y550GL</v>
          </cell>
          <cell r="X365" t="str">
            <v>H6GL</v>
          </cell>
          <cell r="Y365">
            <v>0</v>
          </cell>
          <cell r="Z365" t="str">
            <v/>
          </cell>
          <cell r="AA365" t="str">
            <v/>
          </cell>
          <cell r="AB365" t="str">
            <v/>
          </cell>
          <cell r="AC365" t="str">
            <v/>
          </cell>
          <cell r="AD365">
            <v>743</v>
          </cell>
          <cell r="AE365" t="str">
            <v>ZBTO</v>
          </cell>
        </row>
        <row r="366">
          <cell r="G366" t="str">
            <v>9519104694-1</v>
          </cell>
          <cell r="H366">
            <v>45915</v>
          </cell>
          <cell r="I366" t="str">
            <v>R. S. BOKARO METAL (P) LTD.</v>
          </cell>
          <cell r="J366">
            <v>2000</v>
          </cell>
          <cell r="K366" t="str">
            <v>Slitting/Trimming at</v>
          </cell>
          <cell r="L366">
            <v>4</v>
          </cell>
          <cell r="M366">
            <v>12</v>
          </cell>
          <cell r="N366" t="str">
            <v>SOFT</v>
          </cell>
          <cell r="O366">
            <v>1851065</v>
          </cell>
          <cell r="P366" t="str">
            <v>GP COIL SOFT-TATXGP-GK09-0.25X900</v>
          </cell>
          <cell r="Q366">
            <v>0.25</v>
          </cell>
          <cell r="R366">
            <v>900</v>
          </cell>
          <cell r="S366">
            <v>21</v>
          </cell>
          <cell r="T366">
            <v>0</v>
          </cell>
          <cell r="U366">
            <v>21</v>
          </cell>
          <cell r="V366" t="str">
            <v>C02</v>
          </cell>
          <cell r="W366" t="str">
            <v>TATXGP</v>
          </cell>
          <cell r="X366" t="str">
            <v>GK09</v>
          </cell>
          <cell r="Y366">
            <v>0</v>
          </cell>
          <cell r="Z366" t="str">
            <v/>
          </cell>
          <cell r="AA366" t="str">
            <v/>
          </cell>
          <cell r="AB366" t="str">
            <v/>
          </cell>
          <cell r="AC366" t="str">
            <v/>
          </cell>
          <cell r="AD366">
            <v>743</v>
          </cell>
          <cell r="AE366" t="str">
            <v>ZBTO</v>
          </cell>
        </row>
        <row r="367">
          <cell r="G367" t="str">
            <v>9519104694-2</v>
          </cell>
          <cell r="H367">
            <v>45915</v>
          </cell>
          <cell r="I367" t="str">
            <v>R. S. BOKARO METAL (P) LTD.</v>
          </cell>
          <cell r="J367">
            <v>2000</v>
          </cell>
          <cell r="K367" t="str">
            <v>Slitting/Trimming at</v>
          </cell>
          <cell r="L367">
            <v>4</v>
          </cell>
          <cell r="M367">
            <v>12</v>
          </cell>
          <cell r="N367" t="str">
            <v>SOFT</v>
          </cell>
          <cell r="O367">
            <v>1191955</v>
          </cell>
          <cell r="P367" t="str">
            <v>GP COIL SOFT-TATXGP-GK09-0.3X900</v>
          </cell>
          <cell r="Q367">
            <v>0.3</v>
          </cell>
          <cell r="R367">
            <v>900</v>
          </cell>
          <cell r="S367">
            <v>168</v>
          </cell>
          <cell r="T367">
            <v>0</v>
          </cell>
          <cell r="U367">
            <v>168</v>
          </cell>
          <cell r="V367" t="str">
            <v>C02</v>
          </cell>
          <cell r="W367" t="str">
            <v>TATXGP</v>
          </cell>
          <cell r="X367" t="str">
            <v>GK09</v>
          </cell>
          <cell r="Y367">
            <v>0</v>
          </cell>
          <cell r="Z367" t="str">
            <v/>
          </cell>
          <cell r="AA367" t="str">
            <v/>
          </cell>
          <cell r="AB367" t="str">
            <v/>
          </cell>
          <cell r="AC367" t="str">
            <v/>
          </cell>
          <cell r="AD367">
            <v>743</v>
          </cell>
          <cell r="AE367" t="str">
            <v>ZBTO</v>
          </cell>
        </row>
        <row r="368">
          <cell r="G368" t="str">
            <v>9519104694-3</v>
          </cell>
          <cell r="H368">
            <v>45915</v>
          </cell>
          <cell r="I368" t="str">
            <v>R. S. BOKARO METAL (P) LTD.</v>
          </cell>
          <cell r="J368">
            <v>2000</v>
          </cell>
          <cell r="K368" t="str">
            <v>Slitting/Trimming at</v>
          </cell>
          <cell r="L368">
            <v>4</v>
          </cell>
          <cell r="M368">
            <v>12</v>
          </cell>
          <cell r="N368" t="str">
            <v>SOFT</v>
          </cell>
          <cell r="O368">
            <v>1191956</v>
          </cell>
          <cell r="P368" t="str">
            <v>GP COIL SOFT-TATXGP-GK09-0.35X900</v>
          </cell>
          <cell r="Q368">
            <v>0.35</v>
          </cell>
          <cell r="R368">
            <v>900</v>
          </cell>
          <cell r="S368">
            <v>168</v>
          </cell>
          <cell r="T368">
            <v>0</v>
          </cell>
          <cell r="U368">
            <v>168</v>
          </cell>
          <cell r="V368" t="str">
            <v>C02</v>
          </cell>
          <cell r="W368" t="str">
            <v>TATXGP</v>
          </cell>
          <cell r="X368" t="str">
            <v>GK09</v>
          </cell>
          <cell r="Y368">
            <v>0</v>
          </cell>
          <cell r="Z368" t="str">
            <v/>
          </cell>
          <cell r="AA368" t="str">
            <v/>
          </cell>
          <cell r="AB368" t="str">
            <v/>
          </cell>
          <cell r="AC368" t="str">
            <v/>
          </cell>
          <cell r="AD368">
            <v>743</v>
          </cell>
          <cell r="AE368" t="str">
            <v>ZBTO</v>
          </cell>
        </row>
        <row r="369">
          <cell r="G369" t="str">
            <v>9519104694-4</v>
          </cell>
          <cell r="H369">
            <v>45915</v>
          </cell>
          <cell r="I369" t="str">
            <v>R. S. BOKARO METAL (P) LTD.</v>
          </cell>
          <cell r="J369">
            <v>2000</v>
          </cell>
          <cell r="K369" t="str">
            <v>Slitting/Trimming at</v>
          </cell>
          <cell r="L369">
            <v>4</v>
          </cell>
          <cell r="M369">
            <v>12</v>
          </cell>
          <cell r="N369" t="str">
            <v>GK09</v>
          </cell>
          <cell r="O369">
            <v>1178439</v>
          </cell>
          <cell r="P369" t="str">
            <v>GP COIL SOFT-TATXGP-GK09-0.4X900</v>
          </cell>
          <cell r="Q369">
            <v>0.4</v>
          </cell>
          <cell r="R369">
            <v>900</v>
          </cell>
          <cell r="S369">
            <v>168</v>
          </cell>
          <cell r="T369">
            <v>0</v>
          </cell>
          <cell r="U369">
            <v>168</v>
          </cell>
          <cell r="V369" t="str">
            <v>C02</v>
          </cell>
          <cell r="W369" t="str">
            <v>TATXGP</v>
          </cell>
          <cell r="X369" t="str">
            <v>GK09</v>
          </cell>
          <cell r="Y369">
            <v>0</v>
          </cell>
          <cell r="Z369" t="str">
            <v/>
          </cell>
          <cell r="AA369" t="str">
            <v/>
          </cell>
          <cell r="AB369" t="str">
            <v/>
          </cell>
          <cell r="AC369" t="str">
            <v/>
          </cell>
          <cell r="AD369">
            <v>743</v>
          </cell>
          <cell r="AE369" t="str">
            <v>ZBTO</v>
          </cell>
        </row>
        <row r="370">
          <cell r="G370" t="str">
            <v>9519104694-5</v>
          </cell>
          <cell r="H370">
            <v>45915</v>
          </cell>
          <cell r="I370" t="str">
            <v>R. S. BOKARO METAL (P) LTD.</v>
          </cell>
          <cell r="J370">
            <v>2000</v>
          </cell>
          <cell r="K370" t="str">
            <v>Slitting/Trimming at</v>
          </cell>
          <cell r="L370">
            <v>4</v>
          </cell>
          <cell r="M370">
            <v>12</v>
          </cell>
          <cell r="N370" t="str">
            <v>SOFT</v>
          </cell>
          <cell r="O370">
            <v>1854418</v>
          </cell>
          <cell r="P370" t="str">
            <v>GP COIL SOFT-TATXGP-GK09-0.5X900</v>
          </cell>
          <cell r="Q370">
            <v>0.5</v>
          </cell>
          <cell r="R370">
            <v>900</v>
          </cell>
          <cell r="S370">
            <v>168</v>
          </cell>
          <cell r="T370">
            <v>0</v>
          </cell>
          <cell r="U370">
            <v>168</v>
          </cell>
          <cell r="V370" t="str">
            <v>C02</v>
          </cell>
          <cell r="W370" t="str">
            <v>TATXGP</v>
          </cell>
          <cell r="X370" t="str">
            <v>GK09</v>
          </cell>
          <cell r="Y370">
            <v>0</v>
          </cell>
          <cell r="Z370" t="str">
            <v/>
          </cell>
          <cell r="AA370" t="str">
            <v/>
          </cell>
          <cell r="AB370" t="str">
            <v/>
          </cell>
          <cell r="AC370" t="str">
            <v/>
          </cell>
          <cell r="AD370">
            <v>743</v>
          </cell>
          <cell r="AE370" t="str">
            <v>ZBTO</v>
          </cell>
        </row>
        <row r="371">
          <cell r="G371" t="str">
            <v>9519104694-6</v>
          </cell>
          <cell r="H371">
            <v>45915</v>
          </cell>
          <cell r="I371" t="str">
            <v>R. S. BOKARO METAL (P) LTD.</v>
          </cell>
          <cell r="J371">
            <v>2000</v>
          </cell>
          <cell r="K371" t="str">
            <v>Slitting/Trimming at</v>
          </cell>
          <cell r="L371">
            <v>4</v>
          </cell>
          <cell r="M371">
            <v>12</v>
          </cell>
          <cell r="N371" t="str">
            <v/>
          </cell>
          <cell r="O371">
            <v>1854424</v>
          </cell>
          <cell r="P371" t="str">
            <v>GP COIL SOFT-TATXGP-GK09-0.6X900</v>
          </cell>
          <cell r="Q371">
            <v>0.6</v>
          </cell>
          <cell r="R371">
            <v>900</v>
          </cell>
          <cell r="S371">
            <v>126</v>
          </cell>
          <cell r="T371">
            <v>0</v>
          </cell>
          <cell r="U371">
            <v>126</v>
          </cell>
          <cell r="V371" t="str">
            <v>C02</v>
          </cell>
          <cell r="W371" t="str">
            <v>TATXGP</v>
          </cell>
          <cell r="X371" t="str">
            <v>GK09</v>
          </cell>
          <cell r="Y371">
            <v>0</v>
          </cell>
          <cell r="Z371" t="str">
            <v/>
          </cell>
          <cell r="AA371" t="str">
            <v/>
          </cell>
          <cell r="AB371" t="str">
            <v/>
          </cell>
          <cell r="AC371" t="str">
            <v/>
          </cell>
          <cell r="AD371">
            <v>743</v>
          </cell>
          <cell r="AE371" t="str">
            <v>ZBTO</v>
          </cell>
        </row>
        <row r="372">
          <cell r="G372" t="str">
            <v>9519104694-7</v>
          </cell>
          <cell r="H372">
            <v>45915</v>
          </cell>
          <cell r="I372" t="str">
            <v>R. S. BOKARO METAL (P) LTD.</v>
          </cell>
          <cell r="J372">
            <v>2000</v>
          </cell>
          <cell r="K372" t="str">
            <v>Slitting/Trimming at</v>
          </cell>
          <cell r="L372">
            <v>4</v>
          </cell>
          <cell r="M372">
            <v>12</v>
          </cell>
          <cell r="N372" t="str">
            <v>SOFT</v>
          </cell>
          <cell r="O372">
            <v>1300229</v>
          </cell>
          <cell r="P372" t="str">
            <v>GP COIL SOFT-TATXGP-GLK1-0.4X1220</v>
          </cell>
          <cell r="Q372">
            <v>0.4</v>
          </cell>
          <cell r="R372">
            <v>1220</v>
          </cell>
          <cell r="S372">
            <v>28</v>
          </cell>
          <cell r="T372">
            <v>0</v>
          </cell>
          <cell r="U372">
            <v>28</v>
          </cell>
          <cell r="V372" t="str">
            <v>C02</v>
          </cell>
          <cell r="W372" t="str">
            <v>TATXGP</v>
          </cell>
          <cell r="X372" t="str">
            <v>GLK1</v>
          </cell>
          <cell r="Y372">
            <v>0</v>
          </cell>
          <cell r="Z372" t="str">
            <v/>
          </cell>
          <cell r="AA372" t="str">
            <v/>
          </cell>
          <cell r="AB372" t="str">
            <v/>
          </cell>
          <cell r="AC372" t="str">
            <v/>
          </cell>
          <cell r="AD372">
            <v>743</v>
          </cell>
          <cell r="AE372" t="str">
            <v>ZBTO</v>
          </cell>
        </row>
        <row r="373">
          <cell r="G373" t="str">
            <v>9519104694-8</v>
          </cell>
          <cell r="H373">
            <v>45915</v>
          </cell>
          <cell r="I373" t="str">
            <v>R. S. BOKARO METAL (P) LTD.</v>
          </cell>
          <cell r="J373">
            <v>2000</v>
          </cell>
          <cell r="K373" t="str">
            <v>Slitting/Trimming at</v>
          </cell>
          <cell r="L373">
            <v>4</v>
          </cell>
          <cell r="M373">
            <v>12</v>
          </cell>
          <cell r="N373" t="str">
            <v>SOFT</v>
          </cell>
          <cell r="O373">
            <v>1854416</v>
          </cell>
          <cell r="P373" t="str">
            <v>GP COIL SOFT-TATXGP-GLK1-0.45X1220</v>
          </cell>
          <cell r="Q373">
            <v>0.45</v>
          </cell>
          <cell r="R373">
            <v>1220</v>
          </cell>
          <cell r="S373">
            <v>28</v>
          </cell>
          <cell r="T373">
            <v>0</v>
          </cell>
          <cell r="U373">
            <v>28</v>
          </cell>
          <cell r="V373" t="str">
            <v>C02</v>
          </cell>
          <cell r="W373" t="str">
            <v>TATXGP</v>
          </cell>
          <cell r="X373" t="str">
            <v>GLK1</v>
          </cell>
          <cell r="Y373">
            <v>0</v>
          </cell>
          <cell r="Z373" t="str">
            <v/>
          </cell>
          <cell r="AA373" t="str">
            <v/>
          </cell>
          <cell r="AB373" t="str">
            <v/>
          </cell>
          <cell r="AC373" t="str">
            <v/>
          </cell>
          <cell r="AD373">
            <v>743</v>
          </cell>
          <cell r="AE373" t="str">
            <v>ZBTO</v>
          </cell>
        </row>
        <row r="374">
          <cell r="G374" t="str">
            <v>9519104694-9</v>
          </cell>
          <cell r="H374">
            <v>45915</v>
          </cell>
          <cell r="I374" t="str">
            <v>R. S. BOKARO METAL (P) LTD.</v>
          </cell>
          <cell r="J374">
            <v>2000</v>
          </cell>
          <cell r="K374" t="str">
            <v>Slitting/Trimming at</v>
          </cell>
          <cell r="L374">
            <v>4</v>
          </cell>
          <cell r="M374">
            <v>12</v>
          </cell>
          <cell r="N374" t="str">
            <v>SOFT</v>
          </cell>
          <cell r="O374">
            <v>1300228</v>
          </cell>
          <cell r="P374" t="str">
            <v>GP COIL SOFT-TATXGP-GLK1-0.5X1220</v>
          </cell>
          <cell r="Q374">
            <v>0.5</v>
          </cell>
          <cell r="R374">
            <v>1220</v>
          </cell>
          <cell r="S374">
            <v>84</v>
          </cell>
          <cell r="T374">
            <v>0</v>
          </cell>
          <cell r="U374">
            <v>84</v>
          </cell>
          <cell r="V374" t="str">
            <v>C02</v>
          </cell>
          <cell r="W374" t="str">
            <v>TATXGP</v>
          </cell>
          <cell r="X374" t="str">
            <v>GLK1</v>
          </cell>
          <cell r="Y374">
            <v>0</v>
          </cell>
          <cell r="Z374" t="str">
            <v/>
          </cell>
          <cell r="AA374" t="str">
            <v/>
          </cell>
          <cell r="AB374" t="str">
            <v/>
          </cell>
          <cell r="AC374" t="str">
            <v/>
          </cell>
          <cell r="AD374">
            <v>743</v>
          </cell>
          <cell r="AE374" t="str">
            <v>ZBTO</v>
          </cell>
        </row>
        <row r="375">
          <cell r="G375" t="str">
            <v>9519104694-10</v>
          </cell>
          <cell r="H375">
            <v>45915</v>
          </cell>
          <cell r="I375" t="str">
            <v>R. S. BOKARO METAL (P) LTD.</v>
          </cell>
          <cell r="J375">
            <v>2000</v>
          </cell>
          <cell r="K375" t="str">
            <v>Slitting/Trimming at</v>
          </cell>
          <cell r="L375">
            <v>4</v>
          </cell>
          <cell r="M375">
            <v>12</v>
          </cell>
          <cell r="N375" t="str">
            <v>SOFT</v>
          </cell>
          <cell r="O375">
            <v>1300227</v>
          </cell>
          <cell r="P375" t="str">
            <v>GP COIL SOFT-TATXGP-GLK1-0.6X1220</v>
          </cell>
          <cell r="Q375">
            <v>0.6</v>
          </cell>
          <cell r="R375">
            <v>1220</v>
          </cell>
          <cell r="S375">
            <v>56</v>
          </cell>
          <cell r="T375">
            <v>0</v>
          </cell>
          <cell r="U375">
            <v>56</v>
          </cell>
          <cell r="V375" t="str">
            <v>C02</v>
          </cell>
          <cell r="W375" t="str">
            <v>TATXGP</v>
          </cell>
          <cell r="X375" t="str">
            <v>GLK1</v>
          </cell>
          <cell r="Y375">
            <v>0</v>
          </cell>
          <cell r="Z375" t="str">
            <v/>
          </cell>
          <cell r="AA375" t="str">
            <v/>
          </cell>
          <cell r="AB375" t="str">
            <v/>
          </cell>
          <cell r="AC375" t="str">
            <v/>
          </cell>
          <cell r="AD375">
            <v>743</v>
          </cell>
          <cell r="AE375" t="str">
            <v>ZBTO</v>
          </cell>
        </row>
        <row r="376">
          <cell r="G376" t="str">
            <v>9519105467-1</v>
          </cell>
          <cell r="H376">
            <v>45915</v>
          </cell>
          <cell r="I376" t="str">
            <v>BMW VENTURES LIMITED</v>
          </cell>
          <cell r="J376">
            <v>2000</v>
          </cell>
          <cell r="K376" t="str">
            <v>Trimming ( for CRC</v>
          </cell>
          <cell r="L376">
            <v>2</v>
          </cell>
          <cell r="M376">
            <v>3</v>
          </cell>
          <cell r="N376" t="str">
            <v>CQ</v>
          </cell>
          <cell r="O376">
            <v>3239408</v>
          </cell>
          <cell r="P376" t="str">
            <v>CRCA SHEET TATCRC SR16 0.300X900X2500</v>
          </cell>
          <cell r="Q376">
            <v>0.3</v>
          </cell>
          <cell r="R376">
            <v>900</v>
          </cell>
          <cell r="S376">
            <v>21</v>
          </cell>
          <cell r="T376">
            <v>0</v>
          </cell>
          <cell r="U376">
            <v>21</v>
          </cell>
          <cell r="V376" t="str">
            <v>C06</v>
          </cell>
          <cell r="W376" t="str">
            <v>TATCRC</v>
          </cell>
          <cell r="X376" t="str">
            <v>SR16</v>
          </cell>
          <cell r="Y376">
            <v>0</v>
          </cell>
          <cell r="Z376" t="str">
            <v/>
          </cell>
          <cell r="AA376" t="str">
            <v/>
          </cell>
          <cell r="AB376" t="str">
            <v/>
          </cell>
          <cell r="AC376" t="str">
            <v/>
          </cell>
          <cell r="AD376">
            <v>742</v>
          </cell>
          <cell r="AE376" t="str">
            <v>ZBTO</v>
          </cell>
        </row>
        <row r="377">
          <cell r="G377" t="str">
            <v>9519105467-2</v>
          </cell>
          <cell r="H377">
            <v>45915</v>
          </cell>
          <cell r="I377" t="str">
            <v>BMW VENTURES LIMITED</v>
          </cell>
          <cell r="J377">
            <v>2000</v>
          </cell>
          <cell r="K377" t="str">
            <v>Trimming ( for CRC</v>
          </cell>
          <cell r="L377">
            <v>2</v>
          </cell>
          <cell r="M377">
            <v>3</v>
          </cell>
          <cell r="N377" t="str">
            <v>CQ</v>
          </cell>
          <cell r="O377">
            <v>2440959</v>
          </cell>
          <cell r="P377" t="str">
            <v>CRCA SHEET TATCRC SR16 0.330X900X2500</v>
          </cell>
          <cell r="Q377">
            <v>0.33</v>
          </cell>
          <cell r="R377">
            <v>900</v>
          </cell>
          <cell r="S377">
            <v>21</v>
          </cell>
          <cell r="T377">
            <v>0</v>
          </cell>
          <cell r="U377">
            <v>21</v>
          </cell>
          <cell r="V377" t="str">
            <v>C06</v>
          </cell>
          <cell r="W377" t="str">
            <v>TATCRC</v>
          </cell>
          <cell r="X377" t="str">
            <v>SR16</v>
          </cell>
          <cell r="Y377">
            <v>0</v>
          </cell>
          <cell r="Z377" t="str">
            <v/>
          </cell>
          <cell r="AA377" t="str">
            <v/>
          </cell>
          <cell r="AB377" t="str">
            <v/>
          </cell>
          <cell r="AC377" t="str">
            <v/>
          </cell>
          <cell r="AD377">
            <v>742</v>
          </cell>
          <cell r="AE377" t="str">
            <v>ZBTO</v>
          </cell>
        </row>
        <row r="378">
          <cell r="G378" t="str">
            <v>9519105467-3</v>
          </cell>
          <cell r="H378">
            <v>45915</v>
          </cell>
          <cell r="I378" t="str">
            <v>BMW VENTURES LIMITED</v>
          </cell>
          <cell r="J378">
            <v>2000</v>
          </cell>
          <cell r="K378" t="str">
            <v>Trimming ( for CRC</v>
          </cell>
          <cell r="L378">
            <v>2</v>
          </cell>
          <cell r="M378">
            <v>3</v>
          </cell>
          <cell r="N378" t="str">
            <v>CQ</v>
          </cell>
          <cell r="O378">
            <v>3239536</v>
          </cell>
          <cell r="P378" t="str">
            <v>CRCA SHEET TATCRC SR16 0.350X900X2500</v>
          </cell>
          <cell r="Q378">
            <v>0.35</v>
          </cell>
          <cell r="R378">
            <v>900</v>
          </cell>
          <cell r="S378">
            <v>21</v>
          </cell>
          <cell r="T378">
            <v>0</v>
          </cell>
          <cell r="U378">
            <v>21</v>
          </cell>
          <cell r="V378" t="str">
            <v>C06</v>
          </cell>
          <cell r="W378" t="str">
            <v>TATCRC</v>
          </cell>
          <cell r="X378" t="str">
            <v>SR16</v>
          </cell>
          <cell r="Y378">
            <v>0</v>
          </cell>
          <cell r="Z378" t="str">
            <v/>
          </cell>
          <cell r="AA378" t="str">
            <v/>
          </cell>
          <cell r="AB378" t="str">
            <v/>
          </cell>
          <cell r="AC378" t="str">
            <v/>
          </cell>
          <cell r="AD378">
            <v>742</v>
          </cell>
          <cell r="AE378" t="str">
            <v>ZBTO</v>
          </cell>
        </row>
        <row r="379">
          <cell r="G379" t="str">
            <v>9519105467-4</v>
          </cell>
          <cell r="H379">
            <v>45915</v>
          </cell>
          <cell r="I379" t="str">
            <v>BMW VENTURES LIMITED</v>
          </cell>
          <cell r="J379">
            <v>2000</v>
          </cell>
          <cell r="K379" t="str">
            <v>Trimming ( for CRC</v>
          </cell>
          <cell r="L379">
            <v>2</v>
          </cell>
          <cell r="M379">
            <v>3</v>
          </cell>
          <cell r="N379" t="str">
            <v>CQ</v>
          </cell>
          <cell r="O379">
            <v>3539045</v>
          </cell>
          <cell r="P379" t="str">
            <v>CRCA SHEET TATCRC SR16 0.380X1000X2500</v>
          </cell>
          <cell r="Q379">
            <v>0.38</v>
          </cell>
          <cell r="R379">
            <v>1000</v>
          </cell>
          <cell r="S379">
            <v>23</v>
          </cell>
          <cell r="T379">
            <v>0</v>
          </cell>
          <cell r="U379">
            <v>23</v>
          </cell>
          <cell r="V379" t="str">
            <v>C06</v>
          </cell>
          <cell r="W379" t="str">
            <v>TATCRC</v>
          </cell>
          <cell r="X379" t="str">
            <v>SR16</v>
          </cell>
          <cell r="Y379">
            <v>0</v>
          </cell>
          <cell r="Z379" t="str">
            <v/>
          </cell>
          <cell r="AA379" t="str">
            <v/>
          </cell>
          <cell r="AB379" t="str">
            <v/>
          </cell>
          <cell r="AC379" t="str">
            <v/>
          </cell>
          <cell r="AD379">
            <v>742</v>
          </cell>
          <cell r="AE379" t="str">
            <v>ZBTO</v>
          </cell>
        </row>
        <row r="380">
          <cell r="G380" t="str">
            <v>9519105467-5</v>
          </cell>
          <cell r="H380">
            <v>45915</v>
          </cell>
          <cell r="I380" t="str">
            <v>BMW VENTURES LIMITED</v>
          </cell>
          <cell r="J380">
            <v>2000</v>
          </cell>
          <cell r="K380" t="str">
            <v>Trimming ( for CRC</v>
          </cell>
          <cell r="L380">
            <v>2</v>
          </cell>
          <cell r="M380">
            <v>3</v>
          </cell>
          <cell r="N380" t="str">
            <v>CQ</v>
          </cell>
          <cell r="O380">
            <v>2441002</v>
          </cell>
          <cell r="P380" t="str">
            <v>CRCA SHEET TATCRC SR16 0.380X1250X2500</v>
          </cell>
          <cell r="Q380">
            <v>0.38</v>
          </cell>
          <cell r="R380">
            <v>1250</v>
          </cell>
          <cell r="S380">
            <v>29</v>
          </cell>
          <cell r="T380">
            <v>0</v>
          </cell>
          <cell r="U380">
            <v>29</v>
          </cell>
          <cell r="V380" t="str">
            <v>C06</v>
          </cell>
          <cell r="W380" t="str">
            <v>TATCRC</v>
          </cell>
          <cell r="X380" t="str">
            <v>SR16</v>
          </cell>
          <cell r="Y380">
            <v>0</v>
          </cell>
          <cell r="Z380" t="str">
            <v/>
          </cell>
          <cell r="AA380" t="str">
            <v/>
          </cell>
          <cell r="AB380" t="str">
            <v/>
          </cell>
          <cell r="AC380" t="str">
            <v/>
          </cell>
          <cell r="AD380">
            <v>742</v>
          </cell>
          <cell r="AE380" t="str">
            <v>ZBTO</v>
          </cell>
        </row>
        <row r="381">
          <cell r="G381" t="str">
            <v>9519105467-6</v>
          </cell>
          <cell r="H381">
            <v>45915</v>
          </cell>
          <cell r="I381" t="str">
            <v>BMW VENTURES LIMITED</v>
          </cell>
          <cell r="J381">
            <v>2000</v>
          </cell>
          <cell r="K381" t="str">
            <v>Trimming ( for CRC</v>
          </cell>
          <cell r="L381">
            <v>2</v>
          </cell>
          <cell r="M381">
            <v>3</v>
          </cell>
          <cell r="N381" t="str">
            <v>SR16</v>
          </cell>
          <cell r="O381">
            <v>3239557</v>
          </cell>
          <cell r="P381" t="str">
            <v>CRCA SHEET TATCRC SR16 0.400X1250X2500</v>
          </cell>
          <cell r="Q381">
            <v>0.4</v>
          </cell>
          <cell r="R381">
            <v>1250</v>
          </cell>
          <cell r="S381">
            <v>29</v>
          </cell>
          <cell r="T381">
            <v>0</v>
          </cell>
          <cell r="U381">
            <v>29</v>
          </cell>
          <cell r="V381" t="str">
            <v>C06</v>
          </cell>
          <cell r="W381" t="str">
            <v>TATCRC</v>
          </cell>
          <cell r="X381" t="str">
            <v>SR16</v>
          </cell>
          <cell r="Y381">
            <v>0</v>
          </cell>
          <cell r="Z381" t="str">
            <v/>
          </cell>
          <cell r="AA381" t="str">
            <v/>
          </cell>
          <cell r="AB381" t="str">
            <v/>
          </cell>
          <cell r="AC381" t="str">
            <v/>
          </cell>
          <cell r="AD381">
            <v>742</v>
          </cell>
          <cell r="AE381" t="str">
            <v>ZBTO</v>
          </cell>
        </row>
        <row r="382">
          <cell r="G382" t="str">
            <v>9519105467-7</v>
          </cell>
          <cell r="H382">
            <v>45915</v>
          </cell>
          <cell r="I382" t="str">
            <v>BMW VENTURES LIMITED</v>
          </cell>
          <cell r="J382">
            <v>2000</v>
          </cell>
          <cell r="K382" t="str">
            <v>Trimming ( for CRC</v>
          </cell>
          <cell r="L382">
            <v>2</v>
          </cell>
          <cell r="M382">
            <v>3</v>
          </cell>
          <cell r="N382" t="str">
            <v>CQ</v>
          </cell>
          <cell r="O382">
            <v>3239568</v>
          </cell>
          <cell r="P382" t="str">
            <v>CRCA SHEET TATCRC SR16 0.450X1250X2500</v>
          </cell>
          <cell r="Q382">
            <v>0.45</v>
          </cell>
          <cell r="R382">
            <v>1250</v>
          </cell>
          <cell r="S382">
            <v>29</v>
          </cell>
          <cell r="T382">
            <v>0</v>
          </cell>
          <cell r="U382">
            <v>29</v>
          </cell>
          <cell r="V382" t="str">
            <v>C06</v>
          </cell>
          <cell r="W382" t="str">
            <v>TATCRC</v>
          </cell>
          <cell r="X382" t="str">
            <v>SR16</v>
          </cell>
          <cell r="Y382">
            <v>0</v>
          </cell>
          <cell r="Z382" t="str">
            <v/>
          </cell>
          <cell r="AA382" t="str">
            <v/>
          </cell>
          <cell r="AB382" t="str">
            <v/>
          </cell>
          <cell r="AC382" t="str">
            <v/>
          </cell>
          <cell r="AD382">
            <v>742</v>
          </cell>
          <cell r="AE382" t="str">
            <v>ZBTO</v>
          </cell>
        </row>
        <row r="383">
          <cell r="G383" t="str">
            <v>9519105467-8</v>
          </cell>
          <cell r="H383">
            <v>45915</v>
          </cell>
          <cell r="I383" t="str">
            <v>BMW VENTURES LIMITED</v>
          </cell>
          <cell r="J383">
            <v>2000</v>
          </cell>
          <cell r="K383" t="str">
            <v>Trimming ( for CRC</v>
          </cell>
          <cell r="L383">
            <v>2</v>
          </cell>
          <cell r="M383">
            <v>3</v>
          </cell>
          <cell r="N383" t="str">
            <v>SR15</v>
          </cell>
          <cell r="O383">
            <v>3240765</v>
          </cell>
          <cell r="P383" t="str">
            <v>CRCA SHEET TSBCRC SR15 0.500X1250X2500</v>
          </cell>
          <cell r="Q383">
            <v>0.5</v>
          </cell>
          <cell r="R383">
            <v>1250</v>
          </cell>
          <cell r="S383">
            <v>29</v>
          </cell>
          <cell r="T383">
            <v>0</v>
          </cell>
          <cell r="U383">
            <v>29</v>
          </cell>
          <cell r="V383" t="str">
            <v>C06</v>
          </cell>
          <cell r="W383" t="str">
            <v>TSBCRC</v>
          </cell>
          <cell r="X383" t="str">
            <v>SR15</v>
          </cell>
          <cell r="Y383">
            <v>0</v>
          </cell>
          <cell r="Z383" t="str">
            <v/>
          </cell>
          <cell r="AA383" t="str">
            <v/>
          </cell>
          <cell r="AB383" t="str">
            <v/>
          </cell>
          <cell r="AC383" t="str">
            <v/>
          </cell>
          <cell r="AD383">
            <v>742</v>
          </cell>
          <cell r="AE383" t="str">
            <v>ZBTO</v>
          </cell>
        </row>
        <row r="384">
          <cell r="G384" t="str">
            <v>9519105467-9</v>
          </cell>
          <cell r="H384">
            <v>45915</v>
          </cell>
          <cell r="I384" t="str">
            <v>BMW VENTURES LIMITED</v>
          </cell>
          <cell r="J384">
            <v>2000</v>
          </cell>
          <cell r="K384" t="str">
            <v>Trimming ( for CRC</v>
          </cell>
          <cell r="L384">
            <v>2</v>
          </cell>
          <cell r="M384">
            <v>3</v>
          </cell>
          <cell r="N384" t="str">
            <v>CQ</v>
          </cell>
          <cell r="O384">
            <v>3240778</v>
          </cell>
          <cell r="P384" t="str">
            <v>CRCA SHEET TSBCRC SR15 0.600X1000X2500</v>
          </cell>
          <cell r="Q384">
            <v>0.6</v>
          </cell>
          <cell r="R384">
            <v>1000</v>
          </cell>
          <cell r="S384">
            <v>23</v>
          </cell>
          <cell r="T384">
            <v>0</v>
          </cell>
          <cell r="U384">
            <v>23</v>
          </cell>
          <cell r="V384" t="str">
            <v>C06</v>
          </cell>
          <cell r="W384" t="str">
            <v>TSBCRC</v>
          </cell>
          <cell r="X384" t="str">
            <v>SR15</v>
          </cell>
          <cell r="Y384">
            <v>0</v>
          </cell>
          <cell r="Z384" t="str">
            <v/>
          </cell>
          <cell r="AA384" t="str">
            <v/>
          </cell>
          <cell r="AB384" t="str">
            <v/>
          </cell>
          <cell r="AC384" t="str">
            <v/>
          </cell>
          <cell r="AD384">
            <v>742</v>
          </cell>
          <cell r="AE384" t="str">
            <v>ZBTO</v>
          </cell>
        </row>
        <row r="385">
          <cell r="G385" t="str">
            <v>9519105467-10</v>
          </cell>
          <cell r="H385">
            <v>45915</v>
          </cell>
          <cell r="I385" t="str">
            <v>BMW VENTURES LIMITED</v>
          </cell>
          <cell r="J385">
            <v>2000</v>
          </cell>
          <cell r="K385" t="str">
            <v>Trimming ( for CRC</v>
          </cell>
          <cell r="L385">
            <v>2</v>
          </cell>
          <cell r="M385">
            <v>3</v>
          </cell>
          <cell r="N385" t="str">
            <v>SR15</v>
          </cell>
          <cell r="O385">
            <v>3240785</v>
          </cell>
          <cell r="P385" t="str">
            <v>CRCA SHEET TSBCRC SR15 0.600X1250X2500</v>
          </cell>
          <cell r="Q385">
            <v>0.6</v>
          </cell>
          <cell r="R385">
            <v>1250</v>
          </cell>
          <cell r="S385">
            <v>29</v>
          </cell>
          <cell r="T385">
            <v>0</v>
          </cell>
          <cell r="U385">
            <v>29</v>
          </cell>
          <cell r="V385" t="str">
            <v>C06</v>
          </cell>
          <cell r="W385" t="str">
            <v>TSBCRC</v>
          </cell>
          <cell r="X385" t="str">
            <v>SR15</v>
          </cell>
          <cell r="Y385">
            <v>0</v>
          </cell>
          <cell r="Z385" t="str">
            <v/>
          </cell>
          <cell r="AA385" t="str">
            <v/>
          </cell>
          <cell r="AB385" t="str">
            <v/>
          </cell>
          <cell r="AC385" t="str">
            <v/>
          </cell>
          <cell r="AD385">
            <v>742</v>
          </cell>
          <cell r="AE385" t="str">
            <v>ZBTO</v>
          </cell>
        </row>
        <row r="386">
          <cell r="G386" t="str">
            <v>9519105467-11</v>
          </cell>
          <cell r="H386">
            <v>45915</v>
          </cell>
          <cell r="I386" t="str">
            <v>BMW VENTURES LIMITED</v>
          </cell>
          <cell r="J386">
            <v>2000</v>
          </cell>
          <cell r="K386" t="str">
            <v>Trimming ( for CRC</v>
          </cell>
          <cell r="L386">
            <v>2</v>
          </cell>
          <cell r="M386">
            <v>3</v>
          </cell>
          <cell r="N386" t="str">
            <v>CQ</v>
          </cell>
          <cell r="O386">
            <v>3240842</v>
          </cell>
          <cell r="P386" t="str">
            <v>CRCA SHEET TSBCRC SR15 1X1250X2500</v>
          </cell>
          <cell r="Q386">
            <v>1</v>
          </cell>
          <cell r="R386">
            <v>1250</v>
          </cell>
          <cell r="S386">
            <v>29</v>
          </cell>
          <cell r="T386">
            <v>0</v>
          </cell>
          <cell r="U386">
            <v>29</v>
          </cell>
          <cell r="V386" t="str">
            <v>C06</v>
          </cell>
          <cell r="W386" t="str">
            <v>TSBCRC</v>
          </cell>
          <cell r="X386" t="str">
            <v>SR15</v>
          </cell>
          <cell r="Y386">
            <v>0</v>
          </cell>
          <cell r="Z386" t="str">
            <v/>
          </cell>
          <cell r="AA386" t="str">
            <v/>
          </cell>
          <cell r="AB386" t="str">
            <v/>
          </cell>
          <cell r="AC386" t="str">
            <v/>
          </cell>
          <cell r="AD386">
            <v>742</v>
          </cell>
          <cell r="AE386" t="str">
            <v>ZBTO</v>
          </cell>
        </row>
        <row r="387">
          <cell r="G387" t="str">
            <v>9519105467-12</v>
          </cell>
          <cell r="H387">
            <v>45915</v>
          </cell>
          <cell r="I387" t="str">
            <v>BMW VENTURES LIMITED</v>
          </cell>
          <cell r="J387">
            <v>2000</v>
          </cell>
          <cell r="K387" t="str">
            <v>Trimming ( for CRC</v>
          </cell>
          <cell r="L387">
            <v>2</v>
          </cell>
          <cell r="M387">
            <v>3</v>
          </cell>
          <cell r="N387" t="str">
            <v>SR15</v>
          </cell>
          <cell r="O387">
            <v>3240849</v>
          </cell>
          <cell r="P387" t="str">
            <v>CRCA SHEET TSBCRC SR15 1.200X1250X2500</v>
          </cell>
          <cell r="Q387">
            <v>1.2</v>
          </cell>
          <cell r="R387">
            <v>1250</v>
          </cell>
          <cell r="S387">
            <v>29</v>
          </cell>
          <cell r="T387">
            <v>0</v>
          </cell>
          <cell r="U387">
            <v>29</v>
          </cell>
          <cell r="V387" t="str">
            <v>C06</v>
          </cell>
          <cell r="W387" t="str">
            <v>TSBCRC</v>
          </cell>
          <cell r="X387" t="str">
            <v>SR15</v>
          </cell>
          <cell r="Y387">
            <v>0</v>
          </cell>
          <cell r="Z387" t="str">
            <v/>
          </cell>
          <cell r="AA387" t="str">
            <v/>
          </cell>
          <cell r="AB387" t="str">
            <v/>
          </cell>
          <cell r="AC387" t="str">
            <v/>
          </cell>
          <cell r="AD387">
            <v>742</v>
          </cell>
          <cell r="AE387" t="str">
            <v>ZBTO</v>
          </cell>
        </row>
        <row r="388">
          <cell r="G388" t="str">
            <v>9519105467-13</v>
          </cell>
          <cell r="H388">
            <v>45915</v>
          </cell>
          <cell r="I388" t="str">
            <v>BMW VENTURES LIMITED</v>
          </cell>
          <cell r="J388">
            <v>2000</v>
          </cell>
          <cell r="K388" t="str">
            <v>Trimming ( for CRC</v>
          </cell>
          <cell r="L388">
            <v>2</v>
          </cell>
          <cell r="M388">
            <v>3</v>
          </cell>
          <cell r="N388" t="str">
            <v>CQ</v>
          </cell>
          <cell r="O388">
            <v>3239542</v>
          </cell>
          <cell r="P388" t="str">
            <v>CRCA SHEET TATCRC SR16 0.350X1000X2500</v>
          </cell>
          <cell r="Q388">
            <v>0.35</v>
          </cell>
          <cell r="R388">
            <v>1000</v>
          </cell>
          <cell r="S388">
            <v>23</v>
          </cell>
          <cell r="T388">
            <v>0</v>
          </cell>
          <cell r="U388">
            <v>23</v>
          </cell>
          <cell r="V388" t="str">
            <v>C06</v>
          </cell>
          <cell r="W388" t="str">
            <v>TATCRC</v>
          </cell>
          <cell r="X388" t="str">
            <v>SR16</v>
          </cell>
          <cell r="Y388">
            <v>0</v>
          </cell>
          <cell r="Z388" t="str">
            <v/>
          </cell>
          <cell r="AA388" t="str">
            <v/>
          </cell>
          <cell r="AB388" t="str">
            <v/>
          </cell>
          <cell r="AC388" t="str">
            <v/>
          </cell>
          <cell r="AD388">
            <v>742</v>
          </cell>
          <cell r="AE388" t="str">
            <v>ZBTO</v>
          </cell>
        </row>
        <row r="389">
          <cell r="G389" t="str">
            <v>9519105467-14</v>
          </cell>
          <cell r="H389">
            <v>45915</v>
          </cell>
          <cell r="I389" t="str">
            <v>BMW VENTURES LIMITED</v>
          </cell>
          <cell r="J389">
            <v>2000</v>
          </cell>
          <cell r="K389" t="str">
            <v>Trimming ( for CRC</v>
          </cell>
          <cell r="L389">
            <v>2</v>
          </cell>
          <cell r="M389">
            <v>3</v>
          </cell>
          <cell r="N389" t="str">
            <v>CQ</v>
          </cell>
          <cell r="O389">
            <v>3239554</v>
          </cell>
          <cell r="P389" t="str">
            <v>CRCA SHEET TATCRC SR16 0.400X1000X2500</v>
          </cell>
          <cell r="Q389">
            <v>0.4</v>
          </cell>
          <cell r="R389">
            <v>1000</v>
          </cell>
          <cell r="S389">
            <v>23</v>
          </cell>
          <cell r="T389">
            <v>0</v>
          </cell>
          <cell r="U389">
            <v>23</v>
          </cell>
          <cell r="V389" t="str">
            <v>C06</v>
          </cell>
          <cell r="W389" t="str">
            <v>TATCRC</v>
          </cell>
          <cell r="X389" t="str">
            <v>SR16</v>
          </cell>
          <cell r="Y389">
            <v>0</v>
          </cell>
          <cell r="Z389" t="str">
            <v/>
          </cell>
          <cell r="AA389" t="str">
            <v/>
          </cell>
          <cell r="AB389" t="str">
            <v/>
          </cell>
          <cell r="AC389" t="str">
            <v/>
          </cell>
          <cell r="AD389">
            <v>742</v>
          </cell>
          <cell r="AE389" t="str">
            <v>ZBTO</v>
          </cell>
        </row>
        <row r="390">
          <cell r="G390" t="str">
            <v>9519105467-15</v>
          </cell>
          <cell r="H390">
            <v>45915</v>
          </cell>
          <cell r="I390" t="str">
            <v>BMW VENTURES LIMITED</v>
          </cell>
          <cell r="J390">
            <v>2000</v>
          </cell>
          <cell r="K390" t="str">
            <v>Trimming ( for CRC</v>
          </cell>
          <cell r="L390">
            <v>2</v>
          </cell>
          <cell r="M390">
            <v>3</v>
          </cell>
          <cell r="N390" t="str">
            <v>CQ</v>
          </cell>
          <cell r="O390">
            <v>3240760</v>
          </cell>
          <cell r="P390" t="str">
            <v>CRCA SHEET TSBCRC SR15 0.500X1000X2500</v>
          </cell>
          <cell r="Q390">
            <v>0.5</v>
          </cell>
          <cell r="R390">
            <v>1000</v>
          </cell>
          <cell r="S390">
            <v>23</v>
          </cell>
          <cell r="T390">
            <v>0</v>
          </cell>
          <cell r="U390">
            <v>23</v>
          </cell>
          <cell r="V390" t="str">
            <v>C06</v>
          </cell>
          <cell r="W390" t="str">
            <v>TSBCRC</v>
          </cell>
          <cell r="X390" t="str">
            <v>SR15</v>
          </cell>
          <cell r="Y390">
            <v>0</v>
          </cell>
          <cell r="Z390" t="str">
            <v/>
          </cell>
          <cell r="AA390" t="str">
            <v/>
          </cell>
          <cell r="AB390" t="str">
            <v/>
          </cell>
          <cell r="AC390" t="str">
            <v/>
          </cell>
          <cell r="AD390">
            <v>742</v>
          </cell>
          <cell r="AE390" t="str">
            <v>ZBTO</v>
          </cell>
        </row>
        <row r="391">
          <cell r="G391" t="str">
            <v>9519105467-16</v>
          </cell>
          <cell r="H391">
            <v>45915</v>
          </cell>
          <cell r="I391" t="str">
            <v>BMW VENTURES LIMITED</v>
          </cell>
          <cell r="J391">
            <v>2000</v>
          </cell>
          <cell r="K391" t="str">
            <v>Trimming ( for CRC</v>
          </cell>
          <cell r="L391">
            <v>2</v>
          </cell>
          <cell r="M391">
            <v>3</v>
          </cell>
          <cell r="N391" t="str">
            <v>CQ</v>
          </cell>
          <cell r="O391">
            <v>3240786</v>
          </cell>
          <cell r="P391" t="str">
            <v>CRCA SHEET TSBCRC SR15 0.700X1250X2500</v>
          </cell>
          <cell r="Q391">
            <v>0.7</v>
          </cell>
          <cell r="R391">
            <v>1250</v>
          </cell>
          <cell r="S391">
            <v>29</v>
          </cell>
          <cell r="T391">
            <v>0</v>
          </cell>
          <cell r="U391">
            <v>29</v>
          </cell>
          <cell r="V391" t="str">
            <v>C06</v>
          </cell>
          <cell r="W391" t="str">
            <v>TSBCRC</v>
          </cell>
          <cell r="X391" t="str">
            <v>SR15</v>
          </cell>
          <cell r="Y391">
            <v>0</v>
          </cell>
          <cell r="Z391" t="str">
            <v/>
          </cell>
          <cell r="AA391" t="str">
            <v/>
          </cell>
          <cell r="AB391" t="str">
            <v/>
          </cell>
          <cell r="AC391" t="str">
            <v/>
          </cell>
          <cell r="AD391">
            <v>742</v>
          </cell>
          <cell r="AE391" t="str">
            <v>ZBTO</v>
          </cell>
        </row>
        <row r="392">
          <cell r="G392" t="str">
            <v>9519107868-1</v>
          </cell>
          <cell r="H392">
            <v>45916</v>
          </cell>
          <cell r="I392" t="str">
            <v>VIJAY VENKAT STEELS PRIVATE LI</v>
          </cell>
          <cell r="J392">
            <v>2000</v>
          </cell>
          <cell r="K392" t="str">
            <v>Trimming at PLTCM</v>
          </cell>
          <cell r="L392">
            <v>2</v>
          </cell>
          <cell r="M392">
            <v>3</v>
          </cell>
          <cell r="N392" t="str">
            <v>O/D GRADES</v>
          </cell>
          <cell r="O392">
            <v>3241665</v>
          </cell>
          <cell r="P392" t="str">
            <v>CRCA SHEET TATCRC TR15 0.450X900X2440</v>
          </cell>
          <cell r="Q392">
            <v>0.45</v>
          </cell>
          <cell r="R392">
            <v>900</v>
          </cell>
          <cell r="S392">
            <v>21</v>
          </cell>
          <cell r="T392">
            <v>0</v>
          </cell>
          <cell r="U392">
            <v>21</v>
          </cell>
          <cell r="V392" t="str">
            <v>C06</v>
          </cell>
          <cell r="W392" t="str">
            <v>TATCRC</v>
          </cell>
          <cell r="X392" t="str">
            <v>TR15</v>
          </cell>
          <cell r="Y392">
            <v>0</v>
          </cell>
          <cell r="Z392" t="str">
            <v/>
          </cell>
          <cell r="AA392" t="str">
            <v/>
          </cell>
          <cell r="AB392" t="str">
            <v/>
          </cell>
          <cell r="AC392" t="str">
            <v/>
          </cell>
          <cell r="AD392">
            <v>742</v>
          </cell>
          <cell r="AE392" t="str">
            <v>ZBTO</v>
          </cell>
        </row>
        <row r="393">
          <cell r="G393" t="str">
            <v>9519107868-4</v>
          </cell>
          <cell r="H393">
            <v>45916</v>
          </cell>
          <cell r="I393" t="str">
            <v>VIJAY VENKAT STEELS PRIVATE LI</v>
          </cell>
          <cell r="J393">
            <v>2000</v>
          </cell>
          <cell r="K393" t="str">
            <v>C</v>
          </cell>
          <cell r="L393">
            <v>6</v>
          </cell>
          <cell r="M393">
            <v>18</v>
          </cell>
          <cell r="N393" t="str">
            <v>AU03</v>
          </cell>
          <cell r="O393">
            <v>187538</v>
          </cell>
          <cell r="P393" t="str">
            <v>CR COIL-ICF TATXXD AU03 1.60X1250</v>
          </cell>
          <cell r="Q393">
            <v>1.6</v>
          </cell>
          <cell r="R393">
            <v>1250</v>
          </cell>
          <cell r="S393">
            <v>29</v>
          </cell>
          <cell r="T393">
            <v>0</v>
          </cell>
          <cell r="U393">
            <v>29</v>
          </cell>
          <cell r="V393" t="str">
            <v>C01</v>
          </cell>
          <cell r="W393" t="str">
            <v>TATXXD</v>
          </cell>
          <cell r="X393" t="str">
            <v>AU03</v>
          </cell>
          <cell r="Y393">
            <v>0</v>
          </cell>
          <cell r="Z393" t="str">
            <v/>
          </cell>
          <cell r="AA393" t="str">
            <v/>
          </cell>
          <cell r="AB393" t="str">
            <v/>
          </cell>
          <cell r="AC393" t="str">
            <v/>
          </cell>
          <cell r="AD393">
            <v>742</v>
          </cell>
          <cell r="AE393" t="str">
            <v>ZBTO</v>
          </cell>
        </row>
        <row r="394">
          <cell r="G394" t="str">
            <v>9519107868-5</v>
          </cell>
          <cell r="H394">
            <v>45916</v>
          </cell>
          <cell r="I394" t="str">
            <v>VIJAY VENKAT STEELS PRIVATE LI</v>
          </cell>
          <cell r="J394">
            <v>2000</v>
          </cell>
          <cell r="K394" t="str">
            <v>C</v>
          </cell>
          <cell r="L394">
            <v>6</v>
          </cell>
          <cell r="M394">
            <v>18</v>
          </cell>
          <cell r="N394" t="str">
            <v>AU03</v>
          </cell>
          <cell r="O394">
            <v>1884117</v>
          </cell>
          <cell r="P394" t="str">
            <v>CRCA COIL-TATXXD-AU03-2X1250</v>
          </cell>
          <cell r="Q394">
            <v>2</v>
          </cell>
          <cell r="R394">
            <v>1250</v>
          </cell>
          <cell r="S394">
            <v>29</v>
          </cell>
          <cell r="T394">
            <v>0</v>
          </cell>
          <cell r="U394">
            <v>29</v>
          </cell>
          <cell r="V394" t="str">
            <v>C01</v>
          </cell>
          <cell r="W394" t="str">
            <v>TATXXD</v>
          </cell>
          <cell r="X394" t="str">
            <v>AU03</v>
          </cell>
          <cell r="Y394">
            <v>0</v>
          </cell>
          <cell r="Z394" t="str">
            <v/>
          </cell>
          <cell r="AA394" t="str">
            <v/>
          </cell>
          <cell r="AB394" t="str">
            <v/>
          </cell>
          <cell r="AC394" t="str">
            <v/>
          </cell>
          <cell r="AD394">
            <v>742</v>
          </cell>
          <cell r="AE394" t="str">
            <v>ZBTO</v>
          </cell>
        </row>
        <row r="395">
          <cell r="G395" t="str">
            <v>9519107868-6</v>
          </cell>
          <cell r="H395">
            <v>45916</v>
          </cell>
          <cell r="I395" t="str">
            <v>VIJAY VENKAT STEELS PRIVATE LI</v>
          </cell>
          <cell r="J395">
            <v>2000</v>
          </cell>
          <cell r="K395" t="str">
            <v>C</v>
          </cell>
          <cell r="L395">
            <v>6</v>
          </cell>
          <cell r="M395">
            <v>18</v>
          </cell>
          <cell r="N395" t="str">
            <v>DQ</v>
          </cell>
          <cell r="O395">
            <v>292577</v>
          </cell>
          <cell r="P395" t="str">
            <v>CR COIL-ICF  DQ TATXXD AU03 2.02X1250</v>
          </cell>
          <cell r="Q395">
            <v>2.02</v>
          </cell>
          <cell r="R395">
            <v>1250</v>
          </cell>
          <cell r="S395">
            <v>29</v>
          </cell>
          <cell r="T395">
            <v>0</v>
          </cell>
          <cell r="U395">
            <v>29</v>
          </cell>
          <cell r="V395" t="str">
            <v>C01</v>
          </cell>
          <cell r="W395" t="str">
            <v>TATXXD</v>
          </cell>
          <cell r="X395" t="str">
            <v>AU03</v>
          </cell>
          <cell r="Y395">
            <v>0</v>
          </cell>
          <cell r="Z395" t="str">
            <v/>
          </cell>
          <cell r="AA395" t="str">
            <v/>
          </cell>
          <cell r="AB395" t="str">
            <v/>
          </cell>
          <cell r="AC395" t="str">
            <v/>
          </cell>
          <cell r="AD395">
            <v>742</v>
          </cell>
          <cell r="AE395" t="str">
            <v>ZBTO</v>
          </cell>
        </row>
        <row r="396">
          <cell r="G396" t="str">
            <v>9519107868-7</v>
          </cell>
          <cell r="H396">
            <v>45916</v>
          </cell>
          <cell r="I396" t="str">
            <v>VIJAY VENKAT STEELS PRIVATE LI</v>
          </cell>
          <cell r="J396">
            <v>2000</v>
          </cell>
          <cell r="K396" t="str">
            <v>C</v>
          </cell>
          <cell r="L396">
            <v>10</v>
          </cell>
          <cell r="M396">
            <v>30</v>
          </cell>
          <cell r="N396" t="str">
            <v>O/D GRADES</v>
          </cell>
          <cell r="O396">
            <v>2396818</v>
          </cell>
          <cell r="P396" t="str">
            <v>CRCA COIL TATCRC TR15 0.700X1120</v>
          </cell>
          <cell r="Q396">
            <v>0.7</v>
          </cell>
          <cell r="R396">
            <v>1120</v>
          </cell>
          <cell r="S396">
            <v>26</v>
          </cell>
          <cell r="T396">
            <v>0</v>
          </cell>
          <cell r="U396">
            <v>26</v>
          </cell>
          <cell r="V396" t="str">
            <v>C01</v>
          </cell>
          <cell r="W396" t="str">
            <v>TATCRC</v>
          </cell>
          <cell r="X396" t="str">
            <v>TR15</v>
          </cell>
          <cell r="Y396">
            <v>0</v>
          </cell>
          <cell r="Z396" t="str">
            <v/>
          </cell>
          <cell r="AA396" t="str">
            <v/>
          </cell>
          <cell r="AB396" t="str">
            <v/>
          </cell>
          <cell r="AC396" t="str">
            <v/>
          </cell>
          <cell r="AD396">
            <v>742</v>
          </cell>
          <cell r="AE396" t="str">
            <v>ZBTO</v>
          </cell>
        </row>
        <row r="397">
          <cell r="G397" t="str">
            <v>9519109751-1</v>
          </cell>
          <cell r="H397">
            <v>45916</v>
          </cell>
          <cell r="I397" t="str">
            <v>G K ISPAT PRIVATE LIMITED</v>
          </cell>
          <cell r="J397">
            <v>2000</v>
          </cell>
          <cell r="K397" t="str">
            <v/>
          </cell>
          <cell r="L397">
            <v>17</v>
          </cell>
          <cell r="M397">
            <v>27.5</v>
          </cell>
          <cell r="N397" t="str">
            <v/>
          </cell>
          <cell r="O397">
            <v>1434858</v>
          </cell>
          <cell r="P397" t="str">
            <v>HR COILS-PO IS 1079 HR2 2.01X1500</v>
          </cell>
          <cell r="Q397">
            <v>2.0099999999999998</v>
          </cell>
          <cell r="R397">
            <v>1500</v>
          </cell>
          <cell r="S397">
            <v>60</v>
          </cell>
          <cell r="T397">
            <v>0</v>
          </cell>
          <cell r="U397">
            <v>60</v>
          </cell>
          <cell r="V397">
            <v>768</v>
          </cell>
          <cell r="W397" t="str">
            <v>THR099</v>
          </cell>
          <cell r="X397" t="str">
            <v>HR99</v>
          </cell>
          <cell r="Y397">
            <v>0</v>
          </cell>
          <cell r="Z397" t="str">
            <v/>
          </cell>
          <cell r="AA397" t="str">
            <v/>
          </cell>
          <cell r="AB397" t="str">
            <v/>
          </cell>
          <cell r="AC397" t="str">
            <v/>
          </cell>
          <cell r="AD397">
            <v>742</v>
          </cell>
          <cell r="AE397" t="str">
            <v>ZBTO</v>
          </cell>
        </row>
        <row r="398">
          <cell r="G398" t="str">
            <v>9519109787-1</v>
          </cell>
          <cell r="H398">
            <v>45916</v>
          </cell>
          <cell r="I398" t="str">
            <v>BMW VENTURES LIMITED</v>
          </cell>
          <cell r="J398">
            <v>2000</v>
          </cell>
          <cell r="K398" t="str">
            <v>Trimming ( for CRC</v>
          </cell>
          <cell r="L398">
            <v>2</v>
          </cell>
          <cell r="M398">
            <v>3</v>
          </cell>
          <cell r="N398" t="str">
            <v>CQ</v>
          </cell>
          <cell r="O398">
            <v>3239408</v>
          </cell>
          <cell r="P398" t="str">
            <v>CRCA SHEET TATCRC SR16 0.300X900X2500</v>
          </cell>
          <cell r="Q398">
            <v>0.3</v>
          </cell>
          <cell r="R398">
            <v>900</v>
          </cell>
          <cell r="S398">
            <v>21</v>
          </cell>
          <cell r="T398">
            <v>0</v>
          </cell>
          <cell r="U398">
            <v>21</v>
          </cell>
          <cell r="V398" t="str">
            <v>C06</v>
          </cell>
          <cell r="W398" t="str">
            <v>TATCRC</v>
          </cell>
          <cell r="X398" t="str">
            <v>SR16</v>
          </cell>
          <cell r="Y398">
            <v>0</v>
          </cell>
          <cell r="Z398" t="str">
            <v/>
          </cell>
          <cell r="AA398" t="str">
            <v/>
          </cell>
          <cell r="AB398" t="str">
            <v/>
          </cell>
          <cell r="AC398" t="str">
            <v/>
          </cell>
          <cell r="AD398">
            <v>742</v>
          </cell>
          <cell r="AE398" t="str">
            <v>ZBTO</v>
          </cell>
        </row>
        <row r="399">
          <cell r="G399" t="str">
            <v>9519109787-2</v>
          </cell>
          <cell r="H399">
            <v>45916</v>
          </cell>
          <cell r="I399" t="str">
            <v>BMW VENTURES LIMITED</v>
          </cell>
          <cell r="J399">
            <v>2000</v>
          </cell>
          <cell r="K399" t="str">
            <v>Trimming ( for CRC</v>
          </cell>
          <cell r="L399">
            <v>2</v>
          </cell>
          <cell r="M399">
            <v>3</v>
          </cell>
          <cell r="N399" t="str">
            <v>CQ</v>
          </cell>
          <cell r="O399">
            <v>2440959</v>
          </cell>
          <cell r="P399" t="str">
            <v>CRCA SHEET TATCRC SR16 0.330X900X2500</v>
          </cell>
          <cell r="Q399">
            <v>0.33</v>
          </cell>
          <cell r="R399">
            <v>900</v>
          </cell>
          <cell r="S399">
            <v>21</v>
          </cell>
          <cell r="T399">
            <v>0</v>
          </cell>
          <cell r="U399">
            <v>21</v>
          </cell>
          <cell r="V399" t="str">
            <v>C06</v>
          </cell>
          <cell r="W399" t="str">
            <v>TATCRC</v>
          </cell>
          <cell r="X399" t="str">
            <v>SR16</v>
          </cell>
          <cell r="Y399">
            <v>0</v>
          </cell>
          <cell r="Z399" t="str">
            <v/>
          </cell>
          <cell r="AA399" t="str">
            <v/>
          </cell>
          <cell r="AB399" t="str">
            <v/>
          </cell>
          <cell r="AC399" t="str">
            <v/>
          </cell>
          <cell r="AD399">
            <v>742</v>
          </cell>
          <cell r="AE399" t="str">
            <v>ZBTO</v>
          </cell>
        </row>
        <row r="400">
          <cell r="G400" t="str">
            <v>9519109787-3</v>
          </cell>
          <cell r="H400">
            <v>45916</v>
          </cell>
          <cell r="I400" t="str">
            <v>BMW VENTURES LIMITED</v>
          </cell>
          <cell r="J400">
            <v>2000</v>
          </cell>
          <cell r="K400" t="str">
            <v>Trimming ( for CRC</v>
          </cell>
          <cell r="L400">
            <v>2</v>
          </cell>
          <cell r="M400">
            <v>3</v>
          </cell>
          <cell r="N400" t="str">
            <v>CQ</v>
          </cell>
          <cell r="O400">
            <v>3239536</v>
          </cell>
          <cell r="P400" t="str">
            <v>CRCA SHEET TATCRC SR16 0.350X900X2500</v>
          </cell>
          <cell r="Q400">
            <v>0.35</v>
          </cell>
          <cell r="R400">
            <v>900</v>
          </cell>
          <cell r="S400">
            <v>21</v>
          </cell>
          <cell r="T400">
            <v>0</v>
          </cell>
          <cell r="U400">
            <v>21</v>
          </cell>
          <cell r="V400" t="str">
            <v>C06</v>
          </cell>
          <cell r="W400" t="str">
            <v>TATCRC</v>
          </cell>
          <cell r="X400" t="str">
            <v>SR16</v>
          </cell>
          <cell r="Y400">
            <v>0</v>
          </cell>
          <cell r="Z400" t="str">
            <v/>
          </cell>
          <cell r="AA400" t="str">
            <v/>
          </cell>
          <cell r="AB400" t="str">
            <v/>
          </cell>
          <cell r="AC400" t="str">
            <v/>
          </cell>
          <cell r="AD400">
            <v>742</v>
          </cell>
          <cell r="AE400" t="str">
            <v>ZBTO</v>
          </cell>
        </row>
        <row r="401">
          <cell r="G401" t="str">
            <v>9519109787-4</v>
          </cell>
          <cell r="H401">
            <v>45916</v>
          </cell>
          <cell r="I401" t="str">
            <v>BMW VENTURES LIMITED</v>
          </cell>
          <cell r="J401">
            <v>2000</v>
          </cell>
          <cell r="K401" t="str">
            <v>Trimming ( for CRC</v>
          </cell>
          <cell r="L401">
            <v>2</v>
          </cell>
          <cell r="M401">
            <v>3</v>
          </cell>
          <cell r="N401" t="str">
            <v>CQ</v>
          </cell>
          <cell r="O401">
            <v>3539045</v>
          </cell>
          <cell r="P401" t="str">
            <v>CRCA SHEET TATCRC SR16 0.380X1000X2500</v>
          </cell>
          <cell r="Q401">
            <v>0.38</v>
          </cell>
          <cell r="R401">
            <v>1000</v>
          </cell>
          <cell r="S401">
            <v>23</v>
          </cell>
          <cell r="T401">
            <v>0</v>
          </cell>
          <cell r="U401">
            <v>23</v>
          </cell>
          <cell r="V401" t="str">
            <v>C06</v>
          </cell>
          <cell r="W401" t="str">
            <v>TATCRC</v>
          </cell>
          <cell r="X401" t="str">
            <v>SR16</v>
          </cell>
          <cell r="Y401">
            <v>0</v>
          </cell>
          <cell r="Z401" t="str">
            <v/>
          </cell>
          <cell r="AA401" t="str">
            <v/>
          </cell>
          <cell r="AB401" t="str">
            <v/>
          </cell>
          <cell r="AC401" t="str">
            <v/>
          </cell>
          <cell r="AD401">
            <v>742</v>
          </cell>
          <cell r="AE401" t="str">
            <v>ZBTO</v>
          </cell>
        </row>
        <row r="402">
          <cell r="G402" t="str">
            <v>9519109787-5</v>
          </cell>
          <cell r="H402">
            <v>45916</v>
          </cell>
          <cell r="I402" t="str">
            <v>BMW VENTURES LIMITED</v>
          </cell>
          <cell r="J402">
            <v>2000</v>
          </cell>
          <cell r="K402" t="str">
            <v>Trimming ( for CRC</v>
          </cell>
          <cell r="L402">
            <v>2</v>
          </cell>
          <cell r="M402">
            <v>3</v>
          </cell>
          <cell r="N402" t="str">
            <v>CQ</v>
          </cell>
          <cell r="O402">
            <v>2441002</v>
          </cell>
          <cell r="P402" t="str">
            <v>CRCA SHEET TATCRC SR16 0.380X1250X2500</v>
          </cell>
          <cell r="Q402">
            <v>0.38</v>
          </cell>
          <cell r="R402">
            <v>1250</v>
          </cell>
          <cell r="S402">
            <v>29</v>
          </cell>
          <cell r="T402">
            <v>0</v>
          </cell>
          <cell r="U402">
            <v>29</v>
          </cell>
          <cell r="V402" t="str">
            <v>C06</v>
          </cell>
          <cell r="W402" t="str">
            <v>TATCRC</v>
          </cell>
          <cell r="X402" t="str">
            <v>SR16</v>
          </cell>
          <cell r="Y402">
            <v>0</v>
          </cell>
          <cell r="Z402" t="str">
            <v/>
          </cell>
          <cell r="AA402" t="str">
            <v/>
          </cell>
          <cell r="AB402" t="str">
            <v/>
          </cell>
          <cell r="AC402" t="str">
            <v/>
          </cell>
          <cell r="AD402">
            <v>742</v>
          </cell>
          <cell r="AE402" t="str">
            <v>ZBTO</v>
          </cell>
        </row>
        <row r="403">
          <cell r="G403" t="str">
            <v>9519109787-6</v>
          </cell>
          <cell r="H403">
            <v>45916</v>
          </cell>
          <cell r="I403" t="str">
            <v>BMW VENTURES LIMITED</v>
          </cell>
          <cell r="J403">
            <v>2000</v>
          </cell>
          <cell r="K403" t="str">
            <v>Trimming ( for CRC</v>
          </cell>
          <cell r="L403">
            <v>2</v>
          </cell>
          <cell r="M403">
            <v>3</v>
          </cell>
          <cell r="N403" t="str">
            <v>SR16</v>
          </cell>
          <cell r="O403">
            <v>3239557</v>
          </cell>
          <cell r="P403" t="str">
            <v>CRCA SHEET TATCRC SR16 0.400X1250X2500</v>
          </cell>
          <cell r="Q403">
            <v>0.4</v>
          </cell>
          <cell r="R403">
            <v>1250</v>
          </cell>
          <cell r="S403">
            <v>29</v>
          </cell>
          <cell r="T403">
            <v>0</v>
          </cell>
          <cell r="U403">
            <v>29</v>
          </cell>
          <cell r="V403" t="str">
            <v>C06</v>
          </cell>
          <cell r="W403" t="str">
            <v>TATCRC</v>
          </cell>
          <cell r="X403" t="str">
            <v>SR16</v>
          </cell>
          <cell r="Y403">
            <v>0</v>
          </cell>
          <cell r="Z403" t="str">
            <v/>
          </cell>
          <cell r="AA403" t="str">
            <v/>
          </cell>
          <cell r="AB403" t="str">
            <v/>
          </cell>
          <cell r="AC403" t="str">
            <v/>
          </cell>
          <cell r="AD403">
            <v>742</v>
          </cell>
          <cell r="AE403" t="str">
            <v>ZBTO</v>
          </cell>
        </row>
        <row r="404">
          <cell r="G404" t="str">
            <v>9519109787-7</v>
          </cell>
          <cell r="H404">
            <v>45916</v>
          </cell>
          <cell r="I404" t="str">
            <v>BMW VENTURES LIMITED</v>
          </cell>
          <cell r="J404">
            <v>2000</v>
          </cell>
          <cell r="K404" t="str">
            <v>Trimming ( for CRC</v>
          </cell>
          <cell r="L404">
            <v>2</v>
          </cell>
          <cell r="M404">
            <v>3</v>
          </cell>
          <cell r="N404" t="str">
            <v>CQ</v>
          </cell>
          <cell r="O404">
            <v>3239568</v>
          </cell>
          <cell r="P404" t="str">
            <v>CRCA SHEET TATCRC SR16 0.450X1250X2500</v>
          </cell>
          <cell r="Q404">
            <v>0.45</v>
          </cell>
          <cell r="R404">
            <v>1250</v>
          </cell>
          <cell r="S404">
            <v>29</v>
          </cell>
          <cell r="T404">
            <v>0</v>
          </cell>
          <cell r="U404">
            <v>29</v>
          </cell>
          <cell r="V404" t="str">
            <v>C06</v>
          </cell>
          <cell r="W404" t="str">
            <v>TATCRC</v>
          </cell>
          <cell r="X404" t="str">
            <v>SR16</v>
          </cell>
          <cell r="Y404">
            <v>0</v>
          </cell>
          <cell r="Z404" t="str">
            <v/>
          </cell>
          <cell r="AA404" t="str">
            <v/>
          </cell>
          <cell r="AB404" t="str">
            <v/>
          </cell>
          <cell r="AC404" t="str">
            <v/>
          </cell>
          <cell r="AD404">
            <v>742</v>
          </cell>
          <cell r="AE404" t="str">
            <v>ZBTO</v>
          </cell>
        </row>
        <row r="405">
          <cell r="G405" t="str">
            <v>9519109787-8</v>
          </cell>
          <cell r="H405">
            <v>45916</v>
          </cell>
          <cell r="I405" t="str">
            <v>BMW VENTURES LIMITED</v>
          </cell>
          <cell r="J405">
            <v>2000</v>
          </cell>
          <cell r="K405" t="str">
            <v>Trimming ( for CRC</v>
          </cell>
          <cell r="L405">
            <v>2</v>
          </cell>
          <cell r="M405">
            <v>3</v>
          </cell>
          <cell r="N405" t="str">
            <v>SR15</v>
          </cell>
          <cell r="O405">
            <v>3240765</v>
          </cell>
          <cell r="P405" t="str">
            <v>CRCA SHEET TSBCRC SR15 0.500X1250X2500</v>
          </cell>
          <cell r="Q405">
            <v>0.5</v>
          </cell>
          <cell r="R405">
            <v>1250</v>
          </cell>
          <cell r="S405">
            <v>29</v>
          </cell>
          <cell r="T405">
            <v>0</v>
          </cell>
          <cell r="U405">
            <v>29</v>
          </cell>
          <cell r="V405" t="str">
            <v>C06</v>
          </cell>
          <cell r="W405" t="str">
            <v>TSBCRC</v>
          </cell>
          <cell r="X405" t="str">
            <v>SR15</v>
          </cell>
          <cell r="Y405">
            <v>0</v>
          </cell>
          <cell r="Z405" t="str">
            <v/>
          </cell>
          <cell r="AA405" t="str">
            <v/>
          </cell>
          <cell r="AB405" t="str">
            <v/>
          </cell>
          <cell r="AC405" t="str">
            <v/>
          </cell>
          <cell r="AD405">
            <v>742</v>
          </cell>
          <cell r="AE405" t="str">
            <v>ZBTO</v>
          </cell>
        </row>
        <row r="406">
          <cell r="G406" t="str">
            <v>9519109787-9</v>
          </cell>
          <cell r="H406">
            <v>45916</v>
          </cell>
          <cell r="I406" t="str">
            <v>BMW VENTURES LIMITED</v>
          </cell>
          <cell r="J406">
            <v>2000</v>
          </cell>
          <cell r="K406" t="str">
            <v>Trimming ( for CRC</v>
          </cell>
          <cell r="L406">
            <v>2</v>
          </cell>
          <cell r="M406">
            <v>3</v>
          </cell>
          <cell r="N406" t="str">
            <v>CQ</v>
          </cell>
          <cell r="O406">
            <v>3240778</v>
          </cell>
          <cell r="P406" t="str">
            <v>CRCA SHEET TSBCRC SR15 0.600X1000X2500</v>
          </cell>
          <cell r="Q406">
            <v>0.6</v>
          </cell>
          <cell r="R406">
            <v>1000</v>
          </cell>
          <cell r="S406">
            <v>23</v>
          </cell>
          <cell r="T406">
            <v>0</v>
          </cell>
          <cell r="U406">
            <v>23</v>
          </cell>
          <cell r="V406" t="str">
            <v>C06</v>
          </cell>
          <cell r="W406" t="str">
            <v>TSBCRC</v>
          </cell>
          <cell r="X406" t="str">
            <v>SR15</v>
          </cell>
          <cell r="Y406">
            <v>0</v>
          </cell>
          <cell r="Z406" t="str">
            <v/>
          </cell>
          <cell r="AA406" t="str">
            <v/>
          </cell>
          <cell r="AB406" t="str">
            <v/>
          </cell>
          <cell r="AC406" t="str">
            <v/>
          </cell>
          <cell r="AD406">
            <v>742</v>
          </cell>
          <cell r="AE406" t="str">
            <v>ZBTO</v>
          </cell>
        </row>
        <row r="407">
          <cell r="G407" t="str">
            <v>9519109787-10</v>
          </cell>
          <cell r="H407">
            <v>45916</v>
          </cell>
          <cell r="I407" t="str">
            <v>BMW VENTURES LIMITED</v>
          </cell>
          <cell r="J407">
            <v>2000</v>
          </cell>
          <cell r="K407" t="str">
            <v>Trimming ( for CRC</v>
          </cell>
          <cell r="L407">
            <v>2</v>
          </cell>
          <cell r="M407">
            <v>3</v>
          </cell>
          <cell r="N407" t="str">
            <v>SR15</v>
          </cell>
          <cell r="O407">
            <v>3240785</v>
          </cell>
          <cell r="P407" t="str">
            <v>CRCA SHEET TSBCRC SR15 0.600X1250X2500</v>
          </cell>
          <cell r="Q407">
            <v>0.6</v>
          </cell>
          <cell r="R407">
            <v>1250</v>
          </cell>
          <cell r="S407">
            <v>29</v>
          </cell>
          <cell r="T407">
            <v>0</v>
          </cell>
          <cell r="U407">
            <v>29</v>
          </cell>
          <cell r="V407" t="str">
            <v>C06</v>
          </cell>
          <cell r="W407" t="str">
            <v>TSBCRC</v>
          </cell>
          <cell r="X407" t="str">
            <v>SR15</v>
          </cell>
          <cell r="Y407">
            <v>0</v>
          </cell>
          <cell r="Z407" t="str">
            <v/>
          </cell>
          <cell r="AA407" t="str">
            <v/>
          </cell>
          <cell r="AB407" t="str">
            <v/>
          </cell>
          <cell r="AC407" t="str">
            <v/>
          </cell>
          <cell r="AD407">
            <v>742</v>
          </cell>
          <cell r="AE407" t="str">
            <v>ZBTO</v>
          </cell>
        </row>
        <row r="408">
          <cell r="G408" t="str">
            <v>9519109787-11</v>
          </cell>
          <cell r="H408">
            <v>45916</v>
          </cell>
          <cell r="I408" t="str">
            <v>BMW VENTURES LIMITED</v>
          </cell>
          <cell r="J408">
            <v>2000</v>
          </cell>
          <cell r="K408" t="str">
            <v>Trimming ( for CRC</v>
          </cell>
          <cell r="L408">
            <v>2</v>
          </cell>
          <cell r="M408">
            <v>3</v>
          </cell>
          <cell r="N408" t="str">
            <v>CQ</v>
          </cell>
          <cell r="O408">
            <v>3240842</v>
          </cell>
          <cell r="P408" t="str">
            <v>CRCA SHEET TSBCRC SR15 1X1250X2500</v>
          </cell>
          <cell r="Q408">
            <v>1</v>
          </cell>
          <cell r="R408">
            <v>1250</v>
          </cell>
          <cell r="S408">
            <v>29</v>
          </cell>
          <cell r="T408">
            <v>0</v>
          </cell>
          <cell r="U408">
            <v>29</v>
          </cell>
          <cell r="V408" t="str">
            <v>C06</v>
          </cell>
          <cell r="W408" t="str">
            <v>TSBCRC</v>
          </cell>
          <cell r="X408" t="str">
            <v>SR15</v>
          </cell>
          <cell r="Y408">
            <v>0</v>
          </cell>
          <cell r="Z408" t="str">
            <v/>
          </cell>
          <cell r="AA408" t="str">
            <v/>
          </cell>
          <cell r="AB408" t="str">
            <v/>
          </cell>
          <cell r="AC408" t="str">
            <v/>
          </cell>
          <cell r="AD408">
            <v>742</v>
          </cell>
          <cell r="AE408" t="str">
            <v>ZBTO</v>
          </cell>
        </row>
        <row r="409">
          <cell r="G409" t="str">
            <v>9519109787-12</v>
          </cell>
          <cell r="H409">
            <v>45916</v>
          </cell>
          <cell r="I409" t="str">
            <v>BMW VENTURES LIMITED</v>
          </cell>
          <cell r="J409">
            <v>2000</v>
          </cell>
          <cell r="K409" t="str">
            <v>Trimming ( for CRC</v>
          </cell>
          <cell r="L409">
            <v>2</v>
          </cell>
          <cell r="M409">
            <v>3</v>
          </cell>
          <cell r="N409" t="str">
            <v>SR15</v>
          </cell>
          <cell r="O409">
            <v>3240849</v>
          </cell>
          <cell r="P409" t="str">
            <v>CRCA SHEET TSBCRC SR15 1.200X1250X2500</v>
          </cell>
          <cell r="Q409">
            <v>1.2</v>
          </cell>
          <cell r="R409">
            <v>1250</v>
          </cell>
          <cell r="S409">
            <v>29</v>
          </cell>
          <cell r="T409">
            <v>0</v>
          </cell>
          <cell r="U409">
            <v>29</v>
          </cell>
          <cell r="V409" t="str">
            <v>C06</v>
          </cell>
          <cell r="W409" t="str">
            <v>TSBCRC</v>
          </cell>
          <cell r="X409" t="str">
            <v>SR15</v>
          </cell>
          <cell r="Y409">
            <v>0</v>
          </cell>
          <cell r="Z409" t="str">
            <v/>
          </cell>
          <cell r="AA409" t="str">
            <v/>
          </cell>
          <cell r="AB409" t="str">
            <v/>
          </cell>
          <cell r="AC409" t="str">
            <v/>
          </cell>
          <cell r="AD409">
            <v>742</v>
          </cell>
          <cell r="AE409" t="str">
            <v>ZBTO</v>
          </cell>
        </row>
        <row r="410">
          <cell r="G410" t="str">
            <v>9519109787-13</v>
          </cell>
          <cell r="H410">
            <v>45916</v>
          </cell>
          <cell r="I410" t="str">
            <v>BMW VENTURES LIMITED</v>
          </cell>
          <cell r="J410">
            <v>2000</v>
          </cell>
          <cell r="K410" t="str">
            <v>Trimming ( for CRC</v>
          </cell>
          <cell r="L410">
            <v>2</v>
          </cell>
          <cell r="M410">
            <v>3</v>
          </cell>
          <cell r="N410" t="str">
            <v>CQ</v>
          </cell>
          <cell r="O410">
            <v>3239542</v>
          </cell>
          <cell r="P410" t="str">
            <v>CRCA SHEET TATCRC SR16 0.350X1000X2500</v>
          </cell>
          <cell r="Q410">
            <v>0.35</v>
          </cell>
          <cell r="R410">
            <v>1000</v>
          </cell>
          <cell r="S410">
            <v>23</v>
          </cell>
          <cell r="T410">
            <v>0</v>
          </cell>
          <cell r="U410">
            <v>23</v>
          </cell>
          <cell r="V410" t="str">
            <v>C06</v>
          </cell>
          <cell r="W410" t="str">
            <v>TATCRC</v>
          </cell>
          <cell r="X410" t="str">
            <v>SR16</v>
          </cell>
          <cell r="Y410">
            <v>0</v>
          </cell>
          <cell r="Z410" t="str">
            <v/>
          </cell>
          <cell r="AA410" t="str">
            <v/>
          </cell>
          <cell r="AB410" t="str">
            <v/>
          </cell>
          <cell r="AC410" t="str">
            <v/>
          </cell>
          <cell r="AD410">
            <v>742</v>
          </cell>
          <cell r="AE410" t="str">
            <v>ZBTO</v>
          </cell>
        </row>
        <row r="411">
          <cell r="G411" t="str">
            <v>9519109787-14</v>
          </cell>
          <cell r="H411">
            <v>45916</v>
          </cell>
          <cell r="I411" t="str">
            <v>BMW VENTURES LIMITED</v>
          </cell>
          <cell r="J411">
            <v>2000</v>
          </cell>
          <cell r="K411" t="str">
            <v>Trimming ( for CRC</v>
          </cell>
          <cell r="L411">
            <v>2</v>
          </cell>
          <cell r="M411">
            <v>3</v>
          </cell>
          <cell r="N411" t="str">
            <v>CQ</v>
          </cell>
          <cell r="O411">
            <v>3239554</v>
          </cell>
          <cell r="P411" t="str">
            <v>CRCA SHEET TATCRC SR16 0.400X1000X2500</v>
          </cell>
          <cell r="Q411">
            <v>0.4</v>
          </cell>
          <cell r="R411">
            <v>1000</v>
          </cell>
          <cell r="S411">
            <v>23</v>
          </cell>
          <cell r="T411">
            <v>0</v>
          </cell>
          <cell r="U411">
            <v>23</v>
          </cell>
          <cell r="V411" t="str">
            <v>C06</v>
          </cell>
          <cell r="W411" t="str">
            <v>TATCRC</v>
          </cell>
          <cell r="X411" t="str">
            <v>SR16</v>
          </cell>
          <cell r="Y411">
            <v>0</v>
          </cell>
          <cell r="Z411" t="str">
            <v/>
          </cell>
          <cell r="AA411" t="str">
            <v/>
          </cell>
          <cell r="AB411" t="str">
            <v/>
          </cell>
          <cell r="AC411" t="str">
            <v/>
          </cell>
          <cell r="AD411">
            <v>742</v>
          </cell>
          <cell r="AE411" t="str">
            <v>ZBTO</v>
          </cell>
        </row>
        <row r="412">
          <cell r="G412" t="str">
            <v>9519109787-15</v>
          </cell>
          <cell r="H412">
            <v>45916</v>
          </cell>
          <cell r="I412" t="str">
            <v>BMW VENTURES LIMITED</v>
          </cell>
          <cell r="J412">
            <v>2000</v>
          </cell>
          <cell r="K412" t="str">
            <v>Trimming ( for CRC</v>
          </cell>
          <cell r="L412">
            <v>2</v>
          </cell>
          <cell r="M412">
            <v>3</v>
          </cell>
          <cell r="N412" t="str">
            <v>CQ</v>
          </cell>
          <cell r="O412">
            <v>3240760</v>
          </cell>
          <cell r="P412" t="str">
            <v>CRCA SHEET TSBCRC SR15 0.500X1000X2500</v>
          </cell>
          <cell r="Q412">
            <v>0.5</v>
          </cell>
          <cell r="R412">
            <v>1000</v>
          </cell>
          <cell r="S412">
            <v>23</v>
          </cell>
          <cell r="T412">
            <v>0</v>
          </cell>
          <cell r="U412">
            <v>23</v>
          </cell>
          <cell r="V412" t="str">
            <v>C06</v>
          </cell>
          <cell r="W412" t="str">
            <v>TSBCRC</v>
          </cell>
          <cell r="X412" t="str">
            <v>SR15</v>
          </cell>
          <cell r="Y412">
            <v>0</v>
          </cell>
          <cell r="Z412" t="str">
            <v/>
          </cell>
          <cell r="AA412" t="str">
            <v/>
          </cell>
          <cell r="AB412" t="str">
            <v/>
          </cell>
          <cell r="AC412" t="str">
            <v/>
          </cell>
          <cell r="AD412">
            <v>742</v>
          </cell>
          <cell r="AE412" t="str">
            <v>ZBTO</v>
          </cell>
        </row>
        <row r="413">
          <cell r="G413" t="str">
            <v>9519109787-16</v>
          </cell>
          <cell r="H413">
            <v>45916</v>
          </cell>
          <cell r="I413" t="str">
            <v>BMW VENTURES LIMITED</v>
          </cell>
          <cell r="J413">
            <v>2000</v>
          </cell>
          <cell r="K413" t="str">
            <v>Trimming ( for CRC</v>
          </cell>
          <cell r="L413">
            <v>2</v>
          </cell>
          <cell r="M413">
            <v>3</v>
          </cell>
          <cell r="N413" t="str">
            <v>CQ</v>
          </cell>
          <cell r="O413">
            <v>3240786</v>
          </cell>
          <cell r="P413" t="str">
            <v>CRCA SHEET TSBCRC SR15 0.700X1250X2500</v>
          </cell>
          <cell r="Q413">
            <v>0.7</v>
          </cell>
          <cell r="R413">
            <v>1250</v>
          </cell>
          <cell r="S413">
            <v>29</v>
          </cell>
          <cell r="T413">
            <v>0</v>
          </cell>
          <cell r="U413">
            <v>29</v>
          </cell>
          <cell r="V413" t="str">
            <v>C06</v>
          </cell>
          <cell r="W413" t="str">
            <v>TSBCRC</v>
          </cell>
          <cell r="X413" t="str">
            <v>SR15</v>
          </cell>
          <cell r="Y413">
            <v>0</v>
          </cell>
          <cell r="Z413" t="str">
            <v/>
          </cell>
          <cell r="AA413" t="str">
            <v/>
          </cell>
          <cell r="AB413" t="str">
            <v/>
          </cell>
          <cell r="AC413" t="str">
            <v/>
          </cell>
          <cell r="AD413">
            <v>742</v>
          </cell>
          <cell r="AE413" t="str">
            <v>ZBTO</v>
          </cell>
        </row>
        <row r="414">
          <cell r="G414" t="str">
            <v>9519109856-1</v>
          </cell>
          <cell r="H414">
            <v>45916</v>
          </cell>
          <cell r="I414" t="str">
            <v>SAGAR STEELS</v>
          </cell>
          <cell r="J414">
            <v>2000</v>
          </cell>
          <cell r="K414" t="str">
            <v>Trimming ( for CRC</v>
          </cell>
          <cell r="L414">
            <v>2</v>
          </cell>
          <cell r="M414">
            <v>3</v>
          </cell>
          <cell r="N414" t="str">
            <v>O/D GRADES</v>
          </cell>
          <cell r="O414">
            <v>3903882</v>
          </cell>
          <cell r="P414" t="str">
            <v>CRCA SHEET TATCRC SR16 0.250X1250X2500</v>
          </cell>
          <cell r="Q414">
            <v>0.25</v>
          </cell>
          <cell r="R414">
            <v>1250</v>
          </cell>
          <cell r="S414">
            <v>29</v>
          </cell>
          <cell r="T414">
            <v>0</v>
          </cell>
          <cell r="U414">
            <v>29</v>
          </cell>
          <cell r="V414" t="str">
            <v>C06</v>
          </cell>
          <cell r="W414" t="str">
            <v>TATCRC</v>
          </cell>
          <cell r="X414" t="str">
            <v>SR16</v>
          </cell>
          <cell r="Y414">
            <v>0</v>
          </cell>
          <cell r="Z414" t="str">
            <v/>
          </cell>
          <cell r="AA414" t="str">
            <v/>
          </cell>
          <cell r="AB414" t="str">
            <v/>
          </cell>
          <cell r="AC414" t="str">
            <v/>
          </cell>
          <cell r="AD414">
            <v>742</v>
          </cell>
          <cell r="AE414" t="str">
            <v>ZBTO</v>
          </cell>
        </row>
        <row r="415">
          <cell r="G415" t="str">
            <v>9519109856-2</v>
          </cell>
          <cell r="H415">
            <v>45916</v>
          </cell>
          <cell r="I415" t="str">
            <v>SAGAR STEELS</v>
          </cell>
          <cell r="J415">
            <v>2000</v>
          </cell>
          <cell r="K415" t="str">
            <v>Trimming ( for CRC</v>
          </cell>
          <cell r="L415">
            <v>2</v>
          </cell>
          <cell r="M415">
            <v>3</v>
          </cell>
          <cell r="N415" t="str">
            <v>O/D GRADES</v>
          </cell>
          <cell r="O415">
            <v>3239533</v>
          </cell>
          <cell r="P415" t="str">
            <v>CRCA SHEET TATCRC SR16 0.300X1000X2500</v>
          </cell>
          <cell r="Q415">
            <v>0.3</v>
          </cell>
          <cell r="R415">
            <v>1000</v>
          </cell>
          <cell r="S415">
            <v>23</v>
          </cell>
          <cell r="T415">
            <v>0</v>
          </cell>
          <cell r="U415">
            <v>23</v>
          </cell>
          <cell r="V415" t="str">
            <v>C06</v>
          </cell>
          <cell r="W415" t="str">
            <v>TATCRC</v>
          </cell>
          <cell r="X415" t="str">
            <v>SR16</v>
          </cell>
          <cell r="Y415">
            <v>0</v>
          </cell>
          <cell r="Z415" t="str">
            <v/>
          </cell>
          <cell r="AA415" t="str">
            <v/>
          </cell>
          <cell r="AB415" t="str">
            <v/>
          </cell>
          <cell r="AC415" t="str">
            <v/>
          </cell>
          <cell r="AD415">
            <v>742</v>
          </cell>
          <cell r="AE415" t="str">
            <v>ZBTO</v>
          </cell>
        </row>
        <row r="416">
          <cell r="G416" t="str">
            <v>9519109856-3</v>
          </cell>
          <cell r="H416">
            <v>45916</v>
          </cell>
          <cell r="I416" t="str">
            <v>SAGAR STEELS</v>
          </cell>
          <cell r="J416">
            <v>2000</v>
          </cell>
          <cell r="K416" t="str">
            <v>Trimming ( for CRC</v>
          </cell>
          <cell r="L416">
            <v>2</v>
          </cell>
          <cell r="M416">
            <v>3</v>
          </cell>
          <cell r="N416" t="str">
            <v>O/D GRADES</v>
          </cell>
          <cell r="O416">
            <v>3839276</v>
          </cell>
          <cell r="P416" t="str">
            <v>CRCA SHEET TATCRC SR16 0.300X1250X2500</v>
          </cell>
          <cell r="Q416">
            <v>0.3</v>
          </cell>
          <cell r="R416">
            <v>1250</v>
          </cell>
          <cell r="S416">
            <v>58</v>
          </cell>
          <cell r="T416">
            <v>0</v>
          </cell>
          <cell r="U416">
            <v>58</v>
          </cell>
          <cell r="V416" t="str">
            <v>C06</v>
          </cell>
          <cell r="W416" t="str">
            <v>TATCRC</v>
          </cell>
          <cell r="X416" t="str">
            <v>SR16</v>
          </cell>
          <cell r="Y416">
            <v>0</v>
          </cell>
          <cell r="Z416" t="str">
            <v/>
          </cell>
          <cell r="AA416" t="str">
            <v/>
          </cell>
          <cell r="AB416" t="str">
            <v/>
          </cell>
          <cell r="AC416" t="str">
            <v/>
          </cell>
          <cell r="AD416">
            <v>742</v>
          </cell>
          <cell r="AE416" t="str">
            <v>ZBTO</v>
          </cell>
        </row>
        <row r="417">
          <cell r="G417" t="str">
            <v>9519109856-4</v>
          </cell>
          <cell r="H417">
            <v>45916</v>
          </cell>
          <cell r="I417" t="str">
            <v>SAGAR STEELS</v>
          </cell>
          <cell r="J417">
            <v>2000</v>
          </cell>
          <cell r="K417" t="str">
            <v>Trimming ( for CRC</v>
          </cell>
          <cell r="L417">
            <v>2</v>
          </cell>
          <cell r="M417">
            <v>3</v>
          </cell>
          <cell r="N417" t="str">
            <v>O/D GRADES</v>
          </cell>
          <cell r="O417">
            <v>3240786</v>
          </cell>
          <cell r="P417" t="str">
            <v>CRCA SHEET TSBCRC SR15 0.700X1250X2500</v>
          </cell>
          <cell r="Q417">
            <v>0.7</v>
          </cell>
          <cell r="R417">
            <v>1250</v>
          </cell>
          <cell r="S417">
            <v>29</v>
          </cell>
          <cell r="T417">
            <v>0</v>
          </cell>
          <cell r="U417">
            <v>29</v>
          </cell>
          <cell r="V417" t="str">
            <v>C06</v>
          </cell>
          <cell r="W417" t="str">
            <v>TSBCRC</v>
          </cell>
          <cell r="X417" t="str">
            <v>SR15</v>
          </cell>
          <cell r="Y417">
            <v>0</v>
          </cell>
          <cell r="Z417" t="str">
            <v/>
          </cell>
          <cell r="AA417" t="str">
            <v/>
          </cell>
          <cell r="AB417" t="str">
            <v/>
          </cell>
          <cell r="AC417" t="str">
            <v/>
          </cell>
          <cell r="AD417">
            <v>742</v>
          </cell>
          <cell r="AE417" t="str">
            <v>ZBTO</v>
          </cell>
        </row>
        <row r="418">
          <cell r="G418" t="str">
            <v>9519110359-1</v>
          </cell>
          <cell r="H418">
            <v>45916</v>
          </cell>
          <cell r="I418" t="str">
            <v>SITARAM IRON AND STEEL PVT LTD</v>
          </cell>
          <cell r="J418">
            <v>2000</v>
          </cell>
          <cell r="K418" t="str">
            <v>Trimming at PLTCM</v>
          </cell>
          <cell r="L418">
            <v>2</v>
          </cell>
          <cell r="M418">
            <v>3</v>
          </cell>
          <cell r="N418" t="str">
            <v>O/D GRADES</v>
          </cell>
          <cell r="O418">
            <v>3239535</v>
          </cell>
          <cell r="P418" t="str">
            <v>CRCA SHEET TATCRC SR16 0.350X900X2440</v>
          </cell>
          <cell r="Q418">
            <v>0.35</v>
          </cell>
          <cell r="R418">
            <v>900</v>
          </cell>
          <cell r="S418">
            <v>42</v>
          </cell>
          <cell r="T418">
            <v>0</v>
          </cell>
          <cell r="U418">
            <v>42</v>
          </cell>
          <cell r="V418" t="str">
            <v>C06</v>
          </cell>
          <cell r="W418" t="str">
            <v>TATCRC</v>
          </cell>
          <cell r="X418" t="str">
            <v>SR16</v>
          </cell>
          <cell r="Y418">
            <v>0</v>
          </cell>
          <cell r="Z418" t="str">
            <v/>
          </cell>
          <cell r="AA418" t="str">
            <v/>
          </cell>
          <cell r="AB418" t="str">
            <v/>
          </cell>
          <cell r="AC418" t="str">
            <v/>
          </cell>
          <cell r="AD418">
            <v>742</v>
          </cell>
          <cell r="AE418" t="str">
            <v>ZBTO</v>
          </cell>
        </row>
        <row r="419">
          <cell r="G419" t="str">
            <v>9519110359-2</v>
          </cell>
          <cell r="H419">
            <v>45916</v>
          </cell>
          <cell r="I419" t="str">
            <v>SITARAM IRON AND STEEL PVT LTD</v>
          </cell>
          <cell r="J419">
            <v>2000</v>
          </cell>
          <cell r="K419" t="str">
            <v>Trimming at PLTCM</v>
          </cell>
          <cell r="L419">
            <v>2</v>
          </cell>
          <cell r="M419">
            <v>3</v>
          </cell>
          <cell r="N419" t="str">
            <v>O/D GRADES</v>
          </cell>
          <cell r="O419">
            <v>3239559</v>
          </cell>
          <cell r="P419" t="str">
            <v>CRCA SHEET TATCRC SR16 0.450X900X2440</v>
          </cell>
          <cell r="Q419">
            <v>0.45</v>
          </cell>
          <cell r="R419">
            <v>900</v>
          </cell>
          <cell r="S419">
            <v>42</v>
          </cell>
          <cell r="T419">
            <v>0</v>
          </cell>
          <cell r="U419">
            <v>42</v>
          </cell>
          <cell r="V419" t="str">
            <v>C06</v>
          </cell>
          <cell r="W419" t="str">
            <v>TATCRC</v>
          </cell>
          <cell r="X419" t="str">
            <v>SR16</v>
          </cell>
          <cell r="Y419">
            <v>0</v>
          </cell>
          <cell r="Z419" t="str">
            <v/>
          </cell>
          <cell r="AA419" t="str">
            <v/>
          </cell>
          <cell r="AB419" t="str">
            <v/>
          </cell>
          <cell r="AC419" t="str">
            <v/>
          </cell>
          <cell r="AD419">
            <v>742</v>
          </cell>
          <cell r="AE419" t="str">
            <v>ZBTO</v>
          </cell>
        </row>
        <row r="420">
          <cell r="G420" t="str">
            <v>9519110359-3</v>
          </cell>
          <cell r="H420">
            <v>45916</v>
          </cell>
          <cell r="I420" t="str">
            <v>SITARAM IRON AND STEEL PVT LTD</v>
          </cell>
          <cell r="J420">
            <v>2000</v>
          </cell>
          <cell r="K420" t="str">
            <v>Trimming at PLTCM</v>
          </cell>
          <cell r="L420">
            <v>2</v>
          </cell>
          <cell r="M420">
            <v>3</v>
          </cell>
          <cell r="N420" t="str">
            <v>O/D GRADES</v>
          </cell>
          <cell r="O420">
            <v>3411571</v>
          </cell>
          <cell r="P420" t="str">
            <v>CRCA SHEET TSBCRC SR15 0.500X900X2440</v>
          </cell>
          <cell r="Q420">
            <v>0.5</v>
          </cell>
          <cell r="R420">
            <v>900</v>
          </cell>
          <cell r="S420">
            <v>42</v>
          </cell>
          <cell r="T420">
            <v>0</v>
          </cell>
          <cell r="U420">
            <v>42</v>
          </cell>
          <cell r="V420" t="str">
            <v>C06</v>
          </cell>
          <cell r="W420" t="str">
            <v>TSBCRC</v>
          </cell>
          <cell r="X420" t="str">
            <v>SR15</v>
          </cell>
          <cell r="Y420">
            <v>0</v>
          </cell>
          <cell r="Z420" t="str">
            <v/>
          </cell>
          <cell r="AA420" t="str">
            <v/>
          </cell>
          <cell r="AB420" t="str">
            <v/>
          </cell>
          <cell r="AC420" t="str">
            <v/>
          </cell>
          <cell r="AD420">
            <v>742</v>
          </cell>
          <cell r="AE420" t="str">
            <v>ZBTO</v>
          </cell>
        </row>
        <row r="421">
          <cell r="G421" t="str">
            <v>9519110359-4</v>
          </cell>
          <cell r="H421">
            <v>45916</v>
          </cell>
          <cell r="I421" t="str">
            <v>SITARAM IRON AND STEEL PVT LTD</v>
          </cell>
          <cell r="J421">
            <v>2000</v>
          </cell>
          <cell r="K421" t="str">
            <v>Trimming at PLTCM</v>
          </cell>
          <cell r="L421">
            <v>2</v>
          </cell>
          <cell r="M421">
            <v>3</v>
          </cell>
          <cell r="N421" t="str">
            <v>SR15</v>
          </cell>
          <cell r="O421">
            <v>3240785</v>
          </cell>
          <cell r="P421" t="str">
            <v>CRCA SHEET TSBCRC SR15 0.600X1250X2500</v>
          </cell>
          <cell r="Q421">
            <v>0.6</v>
          </cell>
          <cell r="R421">
            <v>1250</v>
          </cell>
          <cell r="S421">
            <v>29</v>
          </cell>
          <cell r="T421">
            <v>0</v>
          </cell>
          <cell r="U421">
            <v>29</v>
          </cell>
          <cell r="V421" t="str">
            <v>C06</v>
          </cell>
          <cell r="W421" t="str">
            <v>TSBCRC</v>
          </cell>
          <cell r="X421" t="str">
            <v>SR15</v>
          </cell>
          <cell r="Y421">
            <v>0</v>
          </cell>
          <cell r="Z421" t="str">
            <v/>
          </cell>
          <cell r="AA421" t="str">
            <v/>
          </cell>
          <cell r="AB421" t="str">
            <v/>
          </cell>
          <cell r="AC421" t="str">
            <v/>
          </cell>
          <cell r="AD421">
            <v>742</v>
          </cell>
          <cell r="AE421" t="str">
            <v>ZBTO</v>
          </cell>
        </row>
        <row r="422">
          <cell r="G422" t="str">
            <v>9519110359-5</v>
          </cell>
          <cell r="H422">
            <v>45916</v>
          </cell>
          <cell r="I422" t="str">
            <v>SITARAM IRON AND STEEL PVT LTD</v>
          </cell>
          <cell r="J422">
            <v>2000</v>
          </cell>
          <cell r="K422" t="str">
            <v>Trimming at PLTCM</v>
          </cell>
          <cell r="L422">
            <v>2</v>
          </cell>
          <cell r="M422">
            <v>3</v>
          </cell>
          <cell r="N422" t="str">
            <v>SR15</v>
          </cell>
          <cell r="O422">
            <v>3240765</v>
          </cell>
          <cell r="P422" t="str">
            <v>CRCA SHEET TSBCRC SR15 0.500X1250X2500</v>
          </cell>
          <cell r="Q422">
            <v>0.5</v>
          </cell>
          <cell r="R422">
            <v>1250</v>
          </cell>
          <cell r="S422">
            <v>29</v>
          </cell>
          <cell r="T422">
            <v>0</v>
          </cell>
          <cell r="U422">
            <v>29</v>
          </cell>
          <cell r="V422" t="str">
            <v>C06</v>
          </cell>
          <cell r="W422" t="str">
            <v>TSBCRC</v>
          </cell>
          <cell r="X422" t="str">
            <v>SR15</v>
          </cell>
          <cell r="Y422">
            <v>0</v>
          </cell>
          <cell r="Z422" t="str">
            <v/>
          </cell>
          <cell r="AA422" t="str">
            <v/>
          </cell>
          <cell r="AB422" t="str">
            <v/>
          </cell>
          <cell r="AC422" t="str">
            <v/>
          </cell>
          <cell r="AD422">
            <v>742</v>
          </cell>
          <cell r="AE422" t="str">
            <v>ZBTO</v>
          </cell>
        </row>
        <row r="423">
          <cell r="G423" t="str">
            <v>9519110359-6</v>
          </cell>
          <cell r="H423">
            <v>45916</v>
          </cell>
          <cell r="I423" t="str">
            <v>SITARAM IRON AND STEEL PVT LTD</v>
          </cell>
          <cell r="J423">
            <v>2000</v>
          </cell>
          <cell r="K423" t="str">
            <v>Trimming at PLTCM</v>
          </cell>
          <cell r="L423">
            <v>2</v>
          </cell>
          <cell r="M423">
            <v>3</v>
          </cell>
          <cell r="N423" t="str">
            <v>D FOR CRCA</v>
          </cell>
          <cell r="O423">
            <v>1206324</v>
          </cell>
          <cell r="P423" t="str">
            <v>CRCA SHEET TATXXD AU03 0.750X1250X2500</v>
          </cell>
          <cell r="Q423">
            <v>0.75</v>
          </cell>
          <cell r="R423">
            <v>1250</v>
          </cell>
          <cell r="S423">
            <v>29</v>
          </cell>
          <cell r="T423">
            <v>0</v>
          </cell>
          <cell r="U423">
            <v>29</v>
          </cell>
          <cell r="V423" t="str">
            <v>C06</v>
          </cell>
          <cell r="W423" t="str">
            <v>TATXXD</v>
          </cell>
          <cell r="X423" t="str">
            <v>AU03</v>
          </cell>
          <cell r="Y423">
            <v>0</v>
          </cell>
          <cell r="Z423" t="str">
            <v/>
          </cell>
          <cell r="AA423" t="str">
            <v/>
          </cell>
          <cell r="AB423" t="str">
            <v/>
          </cell>
          <cell r="AC423" t="str">
            <v/>
          </cell>
          <cell r="AD423">
            <v>742</v>
          </cell>
          <cell r="AE423" t="str">
            <v>ZBTO</v>
          </cell>
        </row>
        <row r="424">
          <cell r="G424" t="str">
            <v>9519110359-7</v>
          </cell>
          <cell r="H424">
            <v>45916</v>
          </cell>
          <cell r="I424" t="str">
            <v>SITARAM IRON AND STEEL PVT LTD</v>
          </cell>
          <cell r="J424">
            <v>2000</v>
          </cell>
          <cell r="K424" t="str">
            <v>Trimming at PLTCM</v>
          </cell>
          <cell r="L424">
            <v>2</v>
          </cell>
          <cell r="M424">
            <v>3</v>
          </cell>
          <cell r="N424" t="str">
            <v>D FOR CRCA</v>
          </cell>
          <cell r="O424">
            <v>353957</v>
          </cell>
          <cell r="P424" t="str">
            <v>CRCA SHEET TATXXD AU03 0.80X1250X2500</v>
          </cell>
          <cell r="Q424">
            <v>0.8</v>
          </cell>
          <cell r="R424">
            <v>1250</v>
          </cell>
          <cell r="S424">
            <v>29</v>
          </cell>
          <cell r="T424">
            <v>0</v>
          </cell>
          <cell r="U424">
            <v>29</v>
          </cell>
          <cell r="V424" t="str">
            <v>C06</v>
          </cell>
          <cell r="W424" t="str">
            <v>TATXXD</v>
          </cell>
          <cell r="X424" t="str">
            <v>AU03</v>
          </cell>
          <cell r="Y424">
            <v>0</v>
          </cell>
          <cell r="Z424" t="str">
            <v/>
          </cell>
          <cell r="AA424" t="str">
            <v/>
          </cell>
          <cell r="AB424" t="str">
            <v/>
          </cell>
          <cell r="AC424" t="str">
            <v/>
          </cell>
          <cell r="AD424">
            <v>742</v>
          </cell>
          <cell r="AE424" t="str">
            <v>ZBTO</v>
          </cell>
        </row>
        <row r="425">
          <cell r="G425" t="str">
            <v>9519110359-8</v>
          </cell>
          <cell r="H425">
            <v>45916</v>
          </cell>
          <cell r="I425" t="str">
            <v>SITARAM IRON AND STEEL PVT LTD</v>
          </cell>
          <cell r="J425">
            <v>2000</v>
          </cell>
          <cell r="K425" t="str">
            <v>Trimming at PLTCM</v>
          </cell>
          <cell r="L425">
            <v>2</v>
          </cell>
          <cell r="M425">
            <v>3</v>
          </cell>
          <cell r="N425" t="str">
            <v>D FOR CRCA</v>
          </cell>
          <cell r="O425">
            <v>1406015</v>
          </cell>
          <cell r="P425" t="str">
            <v>CRCA SHEET TATXXD AU03 0.950X1250X2500</v>
          </cell>
          <cell r="Q425">
            <v>0.95</v>
          </cell>
          <cell r="R425">
            <v>1250</v>
          </cell>
          <cell r="S425">
            <v>29</v>
          </cell>
          <cell r="T425">
            <v>0</v>
          </cell>
          <cell r="U425">
            <v>29</v>
          </cell>
          <cell r="V425" t="str">
            <v>C06</v>
          </cell>
          <cell r="W425" t="str">
            <v>TATXXD</v>
          </cell>
          <cell r="X425" t="str">
            <v>AU03</v>
          </cell>
          <cell r="Y425">
            <v>0</v>
          </cell>
          <cell r="Z425" t="str">
            <v/>
          </cell>
          <cell r="AA425" t="str">
            <v/>
          </cell>
          <cell r="AB425" t="str">
            <v/>
          </cell>
          <cell r="AC425" t="str">
            <v/>
          </cell>
          <cell r="AD425">
            <v>742</v>
          </cell>
          <cell r="AE425" t="str">
            <v>ZBTO</v>
          </cell>
        </row>
        <row r="426">
          <cell r="G426" t="str">
            <v>9519110359-9</v>
          </cell>
          <cell r="H426">
            <v>45916</v>
          </cell>
          <cell r="I426" t="str">
            <v>SITARAM IRON AND STEEL PVT LTD</v>
          </cell>
          <cell r="J426">
            <v>2000</v>
          </cell>
          <cell r="K426" t="str">
            <v>Trimming at PLTCM</v>
          </cell>
          <cell r="L426">
            <v>2</v>
          </cell>
          <cell r="M426">
            <v>3</v>
          </cell>
          <cell r="N426" t="str">
            <v>D FOR CRCA</v>
          </cell>
          <cell r="O426">
            <v>189865</v>
          </cell>
          <cell r="P426" t="str">
            <v>CRSHEET TATXXD AU03 1.0X1250X2500</v>
          </cell>
          <cell r="Q426">
            <v>1</v>
          </cell>
          <cell r="R426">
            <v>1250</v>
          </cell>
          <cell r="S426">
            <v>29</v>
          </cell>
          <cell r="T426">
            <v>0</v>
          </cell>
          <cell r="U426">
            <v>29</v>
          </cell>
          <cell r="V426" t="str">
            <v>C06</v>
          </cell>
          <cell r="W426" t="str">
            <v>TATXXD</v>
          </cell>
          <cell r="X426" t="str">
            <v>AU03</v>
          </cell>
          <cell r="Y426">
            <v>0</v>
          </cell>
          <cell r="Z426" t="str">
            <v/>
          </cell>
          <cell r="AA426" t="str">
            <v/>
          </cell>
          <cell r="AB426" t="str">
            <v/>
          </cell>
          <cell r="AC426" t="str">
            <v/>
          </cell>
          <cell r="AD426">
            <v>742</v>
          </cell>
          <cell r="AE426" t="str">
            <v>ZBTO</v>
          </cell>
        </row>
        <row r="427">
          <cell r="G427" t="str">
            <v>9519110359-10</v>
          </cell>
          <cell r="H427">
            <v>45916</v>
          </cell>
          <cell r="I427" t="str">
            <v>SITARAM IRON AND STEEL PVT LTD</v>
          </cell>
          <cell r="J427">
            <v>2000</v>
          </cell>
          <cell r="K427" t="str">
            <v>Trimming at PLTCM</v>
          </cell>
          <cell r="L427">
            <v>2</v>
          </cell>
          <cell r="M427">
            <v>3</v>
          </cell>
          <cell r="N427" t="str">
            <v>D FOR CRCA</v>
          </cell>
          <cell r="O427">
            <v>194544</v>
          </cell>
          <cell r="P427" t="str">
            <v>CRSHEET TATXXD AU03 1.50X1250X2500</v>
          </cell>
          <cell r="Q427">
            <v>1.5</v>
          </cell>
          <cell r="R427">
            <v>1250</v>
          </cell>
          <cell r="S427">
            <v>29</v>
          </cell>
          <cell r="T427">
            <v>0</v>
          </cell>
          <cell r="U427">
            <v>29</v>
          </cell>
          <cell r="V427" t="str">
            <v>C06</v>
          </cell>
          <cell r="W427" t="str">
            <v>TATXXD</v>
          </cell>
          <cell r="X427" t="str">
            <v>AU03</v>
          </cell>
          <cell r="Y427">
            <v>0</v>
          </cell>
          <cell r="Z427" t="str">
            <v/>
          </cell>
          <cell r="AA427" t="str">
            <v/>
          </cell>
          <cell r="AB427" t="str">
            <v/>
          </cell>
          <cell r="AC427" t="str">
            <v/>
          </cell>
          <cell r="AD427">
            <v>742</v>
          </cell>
          <cell r="AE427" t="str">
            <v>ZBTO</v>
          </cell>
        </row>
        <row r="428">
          <cell r="G428" t="str">
            <v>9519112644-1</v>
          </cell>
          <cell r="H428">
            <v>45917</v>
          </cell>
          <cell r="I428" t="str">
            <v>PASA ASSOCIATES PRIVATE LIMITE</v>
          </cell>
          <cell r="J428">
            <v>2000</v>
          </cell>
          <cell r="K428" t="str">
            <v>Trimming only at RCL</v>
          </cell>
          <cell r="L428">
            <v>2</v>
          </cell>
          <cell r="M428">
            <v>3</v>
          </cell>
          <cell r="N428" t="str">
            <v>O/D GRADES</v>
          </cell>
          <cell r="O428">
            <v>3239548</v>
          </cell>
          <cell r="P428" t="str">
            <v>CRCA SHEET TATCRC SR16 0.400X900X2500</v>
          </cell>
          <cell r="Q428">
            <v>0.4</v>
          </cell>
          <cell r="R428">
            <v>900</v>
          </cell>
          <cell r="S428">
            <v>21</v>
          </cell>
          <cell r="T428">
            <v>0</v>
          </cell>
          <cell r="U428">
            <v>21</v>
          </cell>
          <cell r="V428" t="str">
            <v>C06</v>
          </cell>
          <cell r="W428" t="str">
            <v>TATCRC</v>
          </cell>
          <cell r="X428" t="str">
            <v>SR16</v>
          </cell>
          <cell r="Y428">
            <v>0</v>
          </cell>
          <cell r="Z428" t="str">
            <v/>
          </cell>
          <cell r="AA428" t="str">
            <v/>
          </cell>
          <cell r="AB428" t="str">
            <v/>
          </cell>
          <cell r="AC428" t="str">
            <v/>
          </cell>
          <cell r="AD428">
            <v>742</v>
          </cell>
          <cell r="AE428" t="str">
            <v>ZBTO</v>
          </cell>
        </row>
        <row r="429">
          <cell r="G429" t="str">
            <v>9519112644-2</v>
          </cell>
          <cell r="H429">
            <v>45917</v>
          </cell>
          <cell r="I429" t="str">
            <v>PASA ASSOCIATES PRIVATE LIMITE</v>
          </cell>
          <cell r="J429">
            <v>2000</v>
          </cell>
          <cell r="K429" t="str">
            <v>Trimming only at RCL</v>
          </cell>
          <cell r="L429">
            <v>2</v>
          </cell>
          <cell r="M429">
            <v>3</v>
          </cell>
          <cell r="N429" t="str">
            <v>SR15</v>
          </cell>
          <cell r="O429">
            <v>3240772</v>
          </cell>
          <cell r="P429" t="str">
            <v>CRCA SHEET TSBCRC SR15 0.600X900X2500</v>
          </cell>
          <cell r="Q429">
            <v>0.6</v>
          </cell>
          <cell r="R429">
            <v>900</v>
          </cell>
          <cell r="S429">
            <v>21</v>
          </cell>
          <cell r="T429">
            <v>0</v>
          </cell>
          <cell r="U429">
            <v>21</v>
          </cell>
          <cell r="V429" t="str">
            <v>C06</v>
          </cell>
          <cell r="W429" t="str">
            <v>TSBCRC</v>
          </cell>
          <cell r="X429" t="str">
            <v>SR15</v>
          </cell>
          <cell r="Y429">
            <v>0</v>
          </cell>
          <cell r="Z429" t="str">
            <v/>
          </cell>
          <cell r="AA429" t="str">
            <v/>
          </cell>
          <cell r="AB429" t="str">
            <v/>
          </cell>
          <cell r="AC429" t="str">
            <v/>
          </cell>
          <cell r="AD429">
            <v>742</v>
          </cell>
          <cell r="AE429" t="str">
            <v>ZBTO</v>
          </cell>
        </row>
        <row r="430">
          <cell r="G430" t="str">
            <v>9519114756-1</v>
          </cell>
          <cell r="H430">
            <v>45918</v>
          </cell>
          <cell r="I430" t="str">
            <v>SITARAM IRON AND STEEL PVT LTD</v>
          </cell>
          <cell r="J430">
            <v>2000</v>
          </cell>
          <cell r="K430" t="str">
            <v>Trimming at PLTCM</v>
          </cell>
          <cell r="L430">
            <v>2</v>
          </cell>
          <cell r="M430">
            <v>3</v>
          </cell>
          <cell r="N430" t="str">
            <v>O/D GRADES</v>
          </cell>
          <cell r="O430">
            <v>3239535</v>
          </cell>
          <cell r="P430" t="str">
            <v>CRCA SHEET TATCRC SR16 0.350X900X2440</v>
          </cell>
          <cell r="Q430">
            <v>0.35</v>
          </cell>
          <cell r="R430">
            <v>900</v>
          </cell>
          <cell r="S430">
            <v>42</v>
          </cell>
          <cell r="T430">
            <v>0</v>
          </cell>
          <cell r="U430">
            <v>42</v>
          </cell>
          <cell r="V430" t="str">
            <v>C06</v>
          </cell>
          <cell r="W430" t="str">
            <v>TATCRC</v>
          </cell>
          <cell r="X430" t="str">
            <v>SR16</v>
          </cell>
          <cell r="Y430">
            <v>0</v>
          </cell>
          <cell r="Z430" t="str">
            <v/>
          </cell>
          <cell r="AA430" t="str">
            <v/>
          </cell>
          <cell r="AB430" t="str">
            <v/>
          </cell>
          <cell r="AC430" t="str">
            <v/>
          </cell>
          <cell r="AD430">
            <v>742</v>
          </cell>
          <cell r="AE430" t="str">
            <v>ZBTO</v>
          </cell>
        </row>
        <row r="431">
          <cell r="G431" t="str">
            <v>9519114756-2</v>
          </cell>
          <cell r="H431">
            <v>45918</v>
          </cell>
          <cell r="I431" t="str">
            <v>SITARAM IRON AND STEEL PVT LTD</v>
          </cell>
          <cell r="J431">
            <v>2000</v>
          </cell>
          <cell r="K431" t="str">
            <v>Trimming at PLTCM</v>
          </cell>
          <cell r="L431">
            <v>2</v>
          </cell>
          <cell r="M431">
            <v>3</v>
          </cell>
          <cell r="N431" t="str">
            <v>O/D GRADES</v>
          </cell>
          <cell r="O431">
            <v>3411571</v>
          </cell>
          <cell r="P431" t="str">
            <v>CRCA SHEET TSBCRC SR15 0.500X900X2440</v>
          </cell>
          <cell r="Q431">
            <v>0.5</v>
          </cell>
          <cell r="R431">
            <v>900</v>
          </cell>
          <cell r="S431">
            <v>63</v>
          </cell>
          <cell r="T431">
            <v>0</v>
          </cell>
          <cell r="U431">
            <v>63</v>
          </cell>
          <cell r="V431" t="str">
            <v>C06</v>
          </cell>
          <cell r="W431" t="str">
            <v>TSBCRC</v>
          </cell>
          <cell r="X431" t="str">
            <v>SR15</v>
          </cell>
          <cell r="Y431">
            <v>0</v>
          </cell>
          <cell r="Z431" t="str">
            <v/>
          </cell>
          <cell r="AA431" t="str">
            <v/>
          </cell>
          <cell r="AB431" t="str">
            <v/>
          </cell>
          <cell r="AC431" t="str">
            <v/>
          </cell>
          <cell r="AD431">
            <v>742</v>
          </cell>
          <cell r="AE431" t="str">
            <v>ZBTO</v>
          </cell>
        </row>
        <row r="432">
          <cell r="G432" t="str">
            <v>9519114756-3</v>
          </cell>
          <cell r="H432">
            <v>45918</v>
          </cell>
          <cell r="I432" t="str">
            <v>SITARAM IRON AND STEEL PVT LTD</v>
          </cell>
          <cell r="J432">
            <v>2000</v>
          </cell>
          <cell r="K432" t="str">
            <v>Trimming at PLTCM</v>
          </cell>
          <cell r="L432">
            <v>2</v>
          </cell>
          <cell r="M432">
            <v>3</v>
          </cell>
          <cell r="N432" t="str">
            <v>SR15</v>
          </cell>
          <cell r="O432">
            <v>3240771</v>
          </cell>
          <cell r="P432" t="str">
            <v>CRCA SHEET TSBCRC SR15 0.600X900X2440</v>
          </cell>
          <cell r="Q432">
            <v>0.6</v>
          </cell>
          <cell r="R432">
            <v>900</v>
          </cell>
          <cell r="S432">
            <v>63</v>
          </cell>
          <cell r="T432">
            <v>0</v>
          </cell>
          <cell r="U432">
            <v>63</v>
          </cell>
          <cell r="V432" t="str">
            <v>C06</v>
          </cell>
          <cell r="W432" t="str">
            <v>TSBCRC</v>
          </cell>
          <cell r="X432" t="str">
            <v>SR15</v>
          </cell>
          <cell r="Y432">
            <v>0</v>
          </cell>
          <cell r="Z432" t="str">
            <v/>
          </cell>
          <cell r="AA432" t="str">
            <v/>
          </cell>
          <cell r="AB432" t="str">
            <v/>
          </cell>
          <cell r="AC432" t="str">
            <v/>
          </cell>
          <cell r="AD432">
            <v>742</v>
          </cell>
          <cell r="AE432" t="str">
            <v>ZBTO</v>
          </cell>
        </row>
        <row r="433">
          <cell r="G433" t="str">
            <v>9519116020-1</v>
          </cell>
          <cell r="H433">
            <v>45918</v>
          </cell>
          <cell r="I433" t="str">
            <v>BUBNA COMMERCIAL COMPANY</v>
          </cell>
          <cell r="J433">
            <v>2000</v>
          </cell>
          <cell r="K433" t="str">
            <v>Trimming only at RCL</v>
          </cell>
          <cell r="L433">
            <v>5</v>
          </cell>
          <cell r="M433">
            <v>15</v>
          </cell>
          <cell r="N433" t="str">
            <v>O/D GRADES</v>
          </cell>
          <cell r="O433">
            <v>1191955</v>
          </cell>
          <cell r="P433" t="str">
            <v>GP COIL SOFT-TATXGP-GK09-0.3X900</v>
          </cell>
          <cell r="Q433">
            <v>0.3</v>
          </cell>
          <cell r="R433">
            <v>900</v>
          </cell>
          <cell r="S433">
            <v>63</v>
          </cell>
          <cell r="T433">
            <v>0</v>
          </cell>
          <cell r="U433">
            <v>63</v>
          </cell>
          <cell r="V433" t="str">
            <v>C02</v>
          </cell>
          <cell r="W433" t="str">
            <v>TATXGP</v>
          </cell>
          <cell r="X433" t="str">
            <v>GK09</v>
          </cell>
          <cell r="Y433">
            <v>0</v>
          </cell>
          <cell r="Z433" t="str">
            <v/>
          </cell>
          <cell r="AA433" t="str">
            <v/>
          </cell>
          <cell r="AB433" t="str">
            <v/>
          </cell>
          <cell r="AC433" t="str">
            <v/>
          </cell>
          <cell r="AD433">
            <v>743</v>
          </cell>
          <cell r="AE433" t="str">
            <v>ZBTO</v>
          </cell>
        </row>
        <row r="434">
          <cell r="G434" t="str">
            <v>9519116020-2</v>
          </cell>
          <cell r="H434">
            <v>45918</v>
          </cell>
          <cell r="I434" t="str">
            <v>BUBNA COMMERCIAL COMPANY</v>
          </cell>
          <cell r="J434">
            <v>2000</v>
          </cell>
          <cell r="K434" t="str">
            <v>Trimming only at RCL</v>
          </cell>
          <cell r="L434">
            <v>5</v>
          </cell>
          <cell r="M434">
            <v>15</v>
          </cell>
          <cell r="N434" t="str">
            <v>O/D GRADES</v>
          </cell>
          <cell r="O434">
            <v>1191956</v>
          </cell>
          <cell r="P434" t="str">
            <v>GP COIL SOFT-TATXGP-GK09-0.35X900</v>
          </cell>
          <cell r="Q434">
            <v>0.35</v>
          </cell>
          <cell r="R434">
            <v>900</v>
          </cell>
          <cell r="S434">
            <v>63</v>
          </cell>
          <cell r="T434">
            <v>0</v>
          </cell>
          <cell r="U434">
            <v>63</v>
          </cell>
          <cell r="V434" t="str">
            <v>C02</v>
          </cell>
          <cell r="W434" t="str">
            <v>TATXGP</v>
          </cell>
          <cell r="X434" t="str">
            <v>GK09</v>
          </cell>
          <cell r="Y434">
            <v>0</v>
          </cell>
          <cell r="Z434" t="str">
            <v/>
          </cell>
          <cell r="AA434" t="str">
            <v/>
          </cell>
          <cell r="AB434" t="str">
            <v/>
          </cell>
          <cell r="AC434" t="str">
            <v/>
          </cell>
          <cell r="AD434">
            <v>743</v>
          </cell>
          <cell r="AE434" t="str">
            <v>ZBTO</v>
          </cell>
        </row>
        <row r="435">
          <cell r="G435" t="str">
            <v>9519116020-3</v>
          </cell>
          <cell r="H435">
            <v>45918</v>
          </cell>
          <cell r="I435" t="str">
            <v>BUBNA COMMERCIAL COMPANY</v>
          </cell>
          <cell r="J435">
            <v>2000</v>
          </cell>
          <cell r="K435" t="str">
            <v>Trimming only at RCL</v>
          </cell>
          <cell r="L435">
            <v>5</v>
          </cell>
          <cell r="M435">
            <v>15</v>
          </cell>
          <cell r="N435" t="str">
            <v>GK09</v>
          </cell>
          <cell r="O435">
            <v>1178439</v>
          </cell>
          <cell r="P435" t="str">
            <v>GP COIL SOFT-TATXGP-GK09-0.4X900</v>
          </cell>
          <cell r="Q435">
            <v>0.4</v>
          </cell>
          <cell r="R435">
            <v>900</v>
          </cell>
          <cell r="S435">
            <v>63</v>
          </cell>
          <cell r="T435">
            <v>0</v>
          </cell>
          <cell r="U435">
            <v>63</v>
          </cell>
          <cell r="V435" t="str">
            <v>C02</v>
          </cell>
          <cell r="W435" t="str">
            <v>TATXGP</v>
          </cell>
          <cell r="X435" t="str">
            <v>GK09</v>
          </cell>
          <cell r="Y435">
            <v>0</v>
          </cell>
          <cell r="Z435" t="str">
            <v/>
          </cell>
          <cell r="AA435" t="str">
            <v/>
          </cell>
          <cell r="AB435" t="str">
            <v/>
          </cell>
          <cell r="AC435" t="str">
            <v/>
          </cell>
          <cell r="AD435">
            <v>743</v>
          </cell>
          <cell r="AE435" t="str">
            <v>ZBTO</v>
          </cell>
        </row>
        <row r="436">
          <cell r="G436" t="str">
            <v>9519116020-4</v>
          </cell>
          <cell r="H436">
            <v>45918</v>
          </cell>
          <cell r="I436" t="str">
            <v>BUBNA COMMERCIAL COMPANY</v>
          </cell>
          <cell r="J436">
            <v>2000</v>
          </cell>
          <cell r="K436" t="str">
            <v>Trimming only at RCL</v>
          </cell>
          <cell r="L436">
            <v>5</v>
          </cell>
          <cell r="M436">
            <v>15</v>
          </cell>
          <cell r="N436" t="str">
            <v>O/D GRADES</v>
          </cell>
          <cell r="O436">
            <v>1353179</v>
          </cell>
          <cell r="P436" t="str">
            <v>GP COIL TATXGP GK09 0.500X900</v>
          </cell>
          <cell r="Q436">
            <v>0.5</v>
          </cell>
          <cell r="R436">
            <v>900</v>
          </cell>
          <cell r="S436">
            <v>84</v>
          </cell>
          <cell r="T436">
            <v>0</v>
          </cell>
          <cell r="U436">
            <v>84</v>
          </cell>
          <cell r="V436" t="str">
            <v>C02</v>
          </cell>
          <cell r="W436" t="str">
            <v>TATXGP</v>
          </cell>
          <cell r="X436" t="str">
            <v>GK09</v>
          </cell>
          <cell r="Y436">
            <v>0</v>
          </cell>
          <cell r="Z436" t="str">
            <v/>
          </cell>
          <cell r="AA436" t="str">
            <v/>
          </cell>
          <cell r="AB436" t="str">
            <v/>
          </cell>
          <cell r="AC436" t="str">
            <v/>
          </cell>
          <cell r="AD436">
            <v>743</v>
          </cell>
          <cell r="AE436" t="str">
            <v>ZBTO</v>
          </cell>
        </row>
        <row r="437">
          <cell r="G437" t="str">
            <v>9519116020-5</v>
          </cell>
          <cell r="H437">
            <v>45918</v>
          </cell>
          <cell r="I437" t="str">
            <v>BUBNA COMMERCIAL COMPANY</v>
          </cell>
          <cell r="J437">
            <v>2000</v>
          </cell>
          <cell r="K437" t="str">
            <v>Trimming only at RCL</v>
          </cell>
          <cell r="L437">
            <v>5</v>
          </cell>
          <cell r="M437">
            <v>15</v>
          </cell>
          <cell r="N437" t="str">
            <v/>
          </cell>
          <cell r="O437">
            <v>1854424</v>
          </cell>
          <cell r="P437" t="str">
            <v>GP COIL SOFT-TATXGP-GK09-0.6X900</v>
          </cell>
          <cell r="Q437">
            <v>0.6</v>
          </cell>
          <cell r="R437">
            <v>900</v>
          </cell>
          <cell r="S437">
            <v>84</v>
          </cell>
          <cell r="T437">
            <v>0</v>
          </cell>
          <cell r="U437">
            <v>84</v>
          </cell>
          <cell r="V437" t="str">
            <v>C02</v>
          </cell>
          <cell r="W437" t="str">
            <v>TATXGP</v>
          </cell>
          <cell r="X437" t="str">
            <v>GK09</v>
          </cell>
          <cell r="Y437">
            <v>0</v>
          </cell>
          <cell r="Z437" t="str">
            <v/>
          </cell>
          <cell r="AA437" t="str">
            <v/>
          </cell>
          <cell r="AB437" t="str">
            <v/>
          </cell>
          <cell r="AC437" t="str">
            <v/>
          </cell>
          <cell r="AD437">
            <v>743</v>
          </cell>
          <cell r="AE437" t="str">
            <v>ZBTO</v>
          </cell>
        </row>
        <row r="438">
          <cell r="G438" t="str">
            <v>9519116344-1</v>
          </cell>
          <cell r="H438">
            <v>45918</v>
          </cell>
          <cell r="I438" t="str">
            <v>BASEER AND CO</v>
          </cell>
          <cell r="J438">
            <v>2000</v>
          </cell>
          <cell r="K438" t="str">
            <v>Trimming only at RCL</v>
          </cell>
          <cell r="L438">
            <v>6</v>
          </cell>
          <cell r="M438">
            <v>18</v>
          </cell>
          <cell r="N438" t="str">
            <v>CQ</v>
          </cell>
          <cell r="O438">
            <v>2165170</v>
          </cell>
          <cell r="P438" t="str">
            <v>CRCA COIL TATCRC TR15 0.400X900</v>
          </cell>
          <cell r="Q438">
            <v>0.4</v>
          </cell>
          <cell r="R438">
            <v>900</v>
          </cell>
          <cell r="S438">
            <v>42</v>
          </cell>
          <cell r="T438">
            <v>0</v>
          </cell>
          <cell r="U438">
            <v>42</v>
          </cell>
          <cell r="V438" t="str">
            <v>C01</v>
          </cell>
          <cell r="W438" t="str">
            <v>TATCRC</v>
          </cell>
          <cell r="X438" t="str">
            <v>TR15</v>
          </cell>
          <cell r="Y438">
            <v>0</v>
          </cell>
          <cell r="Z438" t="str">
            <v/>
          </cell>
          <cell r="AA438" t="str">
            <v/>
          </cell>
          <cell r="AB438" t="str">
            <v/>
          </cell>
          <cell r="AC438" t="str">
            <v/>
          </cell>
          <cell r="AD438">
            <v>742</v>
          </cell>
          <cell r="AE438" t="str">
            <v>ZBTO</v>
          </cell>
        </row>
        <row r="439">
          <cell r="G439" t="str">
            <v>9519116344-2</v>
          </cell>
          <cell r="H439">
            <v>45918</v>
          </cell>
          <cell r="I439" t="str">
            <v>BASEER AND CO</v>
          </cell>
          <cell r="J439">
            <v>2000</v>
          </cell>
          <cell r="K439" t="str">
            <v>Trimming only at RCL</v>
          </cell>
          <cell r="L439">
            <v>6</v>
          </cell>
          <cell r="M439">
            <v>18</v>
          </cell>
          <cell r="N439" t="str">
            <v>CQ</v>
          </cell>
          <cell r="O439">
            <v>37862</v>
          </cell>
          <cell r="P439" t="str">
            <v>CRCA COIL TATCRC TR15 0.4X1250</v>
          </cell>
          <cell r="Q439">
            <v>0.4</v>
          </cell>
          <cell r="R439">
            <v>1250</v>
          </cell>
          <cell r="S439">
            <v>29</v>
          </cell>
          <cell r="T439">
            <v>0</v>
          </cell>
          <cell r="U439">
            <v>29</v>
          </cell>
          <cell r="V439" t="str">
            <v>C01</v>
          </cell>
          <cell r="W439" t="str">
            <v>TATCRC</v>
          </cell>
          <cell r="X439" t="str">
            <v>TR15</v>
          </cell>
          <cell r="Y439">
            <v>0</v>
          </cell>
          <cell r="Z439" t="str">
            <v/>
          </cell>
          <cell r="AA439" t="str">
            <v/>
          </cell>
          <cell r="AB439" t="str">
            <v/>
          </cell>
          <cell r="AC439" t="str">
            <v/>
          </cell>
          <cell r="AD439">
            <v>742</v>
          </cell>
          <cell r="AE439" t="str">
            <v>ZBTO</v>
          </cell>
        </row>
        <row r="440">
          <cell r="G440" t="str">
            <v>9519116344-3</v>
          </cell>
          <cell r="H440">
            <v>45918</v>
          </cell>
          <cell r="I440" t="str">
            <v>BASEER AND CO</v>
          </cell>
          <cell r="J440">
            <v>2000</v>
          </cell>
          <cell r="K440" t="str">
            <v>Trimming only at RCL</v>
          </cell>
          <cell r="L440">
            <v>6</v>
          </cell>
          <cell r="M440">
            <v>18</v>
          </cell>
          <cell r="N440" t="str">
            <v>CQ</v>
          </cell>
          <cell r="O440">
            <v>1804893</v>
          </cell>
          <cell r="P440" t="str">
            <v>CRCA COIL-TATCRC-TR15-0.45X900</v>
          </cell>
          <cell r="Q440">
            <v>0.45</v>
          </cell>
          <cell r="R440">
            <v>900</v>
          </cell>
          <cell r="S440">
            <v>42</v>
          </cell>
          <cell r="T440">
            <v>0</v>
          </cell>
          <cell r="U440">
            <v>42</v>
          </cell>
          <cell r="V440" t="str">
            <v>C01</v>
          </cell>
          <cell r="W440" t="str">
            <v>TATCRC</v>
          </cell>
          <cell r="X440" t="str">
            <v>TR15</v>
          </cell>
          <cell r="Y440">
            <v>0</v>
          </cell>
          <cell r="Z440" t="str">
            <v/>
          </cell>
          <cell r="AA440" t="str">
            <v/>
          </cell>
          <cell r="AB440" t="str">
            <v/>
          </cell>
          <cell r="AC440" t="str">
            <v/>
          </cell>
          <cell r="AD440">
            <v>742</v>
          </cell>
          <cell r="AE440" t="str">
            <v>ZBTO</v>
          </cell>
        </row>
        <row r="441">
          <cell r="G441" t="str">
            <v>9519116344-4</v>
          </cell>
          <cell r="H441">
            <v>45918</v>
          </cell>
          <cell r="I441" t="str">
            <v>BASEER AND CO</v>
          </cell>
          <cell r="J441">
            <v>2000</v>
          </cell>
          <cell r="K441" t="str">
            <v>Trimming only at RCL</v>
          </cell>
          <cell r="L441">
            <v>6</v>
          </cell>
          <cell r="M441">
            <v>18</v>
          </cell>
          <cell r="N441" t="str">
            <v>CQ</v>
          </cell>
          <cell r="O441">
            <v>1804905</v>
          </cell>
          <cell r="P441" t="str">
            <v>CRCA COIL-TATCRC-TR15-0.5X1000</v>
          </cell>
          <cell r="Q441">
            <v>0.5</v>
          </cell>
          <cell r="R441">
            <v>1000</v>
          </cell>
          <cell r="S441">
            <v>23</v>
          </cell>
          <cell r="T441">
            <v>0</v>
          </cell>
          <cell r="U441">
            <v>23</v>
          </cell>
          <cell r="V441" t="str">
            <v>C01</v>
          </cell>
          <cell r="W441" t="str">
            <v>TATCRC</v>
          </cell>
          <cell r="X441" t="str">
            <v>TR15</v>
          </cell>
          <cell r="Y441">
            <v>0</v>
          </cell>
          <cell r="Z441" t="str">
            <v/>
          </cell>
          <cell r="AA441" t="str">
            <v/>
          </cell>
          <cell r="AB441" t="str">
            <v/>
          </cell>
          <cell r="AC441" t="str">
            <v/>
          </cell>
          <cell r="AD441">
            <v>742</v>
          </cell>
          <cell r="AE441" t="str">
            <v>ZBTO</v>
          </cell>
        </row>
        <row r="442">
          <cell r="G442" t="str">
            <v>9519116344-5</v>
          </cell>
          <cell r="H442">
            <v>45918</v>
          </cell>
          <cell r="I442" t="str">
            <v>BASEER AND CO</v>
          </cell>
          <cell r="J442">
            <v>2000</v>
          </cell>
          <cell r="K442" t="str">
            <v>Trimming only at RCL</v>
          </cell>
          <cell r="L442">
            <v>6</v>
          </cell>
          <cell r="M442">
            <v>18</v>
          </cell>
          <cell r="N442" t="str">
            <v>CQ</v>
          </cell>
          <cell r="O442">
            <v>1804908</v>
          </cell>
          <cell r="P442" t="str">
            <v>CRCA COIL TATCRC TR15 0.5X1250</v>
          </cell>
          <cell r="Q442">
            <v>0.5</v>
          </cell>
          <cell r="R442">
            <v>1250</v>
          </cell>
          <cell r="S442">
            <v>29</v>
          </cell>
          <cell r="T442">
            <v>0</v>
          </cell>
          <cell r="U442">
            <v>29</v>
          </cell>
          <cell r="V442" t="str">
            <v>C01</v>
          </cell>
          <cell r="W442" t="str">
            <v>TATCRC</v>
          </cell>
          <cell r="X442" t="str">
            <v>TR15</v>
          </cell>
          <cell r="Y442">
            <v>0</v>
          </cell>
          <cell r="Z442" t="str">
            <v/>
          </cell>
          <cell r="AA442" t="str">
            <v/>
          </cell>
          <cell r="AB442" t="str">
            <v/>
          </cell>
          <cell r="AC442" t="str">
            <v/>
          </cell>
          <cell r="AD442">
            <v>742</v>
          </cell>
          <cell r="AE442" t="str">
            <v>ZBTO</v>
          </cell>
        </row>
        <row r="443">
          <cell r="G443" t="str">
            <v>9519116344-6</v>
          </cell>
          <cell r="H443">
            <v>45918</v>
          </cell>
          <cell r="I443" t="str">
            <v>BASEER AND CO</v>
          </cell>
          <cell r="J443">
            <v>2000</v>
          </cell>
          <cell r="K443" t="str">
            <v>Trimming at PLTCM</v>
          </cell>
          <cell r="L443">
            <v>2</v>
          </cell>
          <cell r="M443">
            <v>3</v>
          </cell>
          <cell r="N443" t="str">
            <v>O/D GRADES</v>
          </cell>
          <cell r="O443">
            <v>1805100</v>
          </cell>
          <cell r="P443" t="str">
            <v>CRCA SHEET-TATCRC-TR15-0.3X900X2500</v>
          </cell>
          <cell r="Q443">
            <v>0.3</v>
          </cell>
          <cell r="R443">
            <v>900</v>
          </cell>
          <cell r="S443">
            <v>21</v>
          </cell>
          <cell r="T443">
            <v>0</v>
          </cell>
          <cell r="U443">
            <v>21</v>
          </cell>
          <cell r="V443" t="str">
            <v>C06</v>
          </cell>
          <cell r="W443" t="str">
            <v>TATCRC</v>
          </cell>
          <cell r="X443" t="str">
            <v>TR15</v>
          </cell>
          <cell r="Y443">
            <v>0</v>
          </cell>
          <cell r="Z443" t="str">
            <v/>
          </cell>
          <cell r="AA443" t="str">
            <v/>
          </cell>
          <cell r="AB443" t="str">
            <v/>
          </cell>
          <cell r="AC443" t="str">
            <v/>
          </cell>
          <cell r="AD443">
            <v>742</v>
          </cell>
          <cell r="AE443" t="str">
            <v>ZBTO</v>
          </cell>
        </row>
        <row r="444">
          <cell r="G444" t="str">
            <v>9519116344-7</v>
          </cell>
          <cell r="H444">
            <v>45918</v>
          </cell>
          <cell r="I444" t="str">
            <v>BASEER AND CO</v>
          </cell>
          <cell r="J444">
            <v>2000</v>
          </cell>
          <cell r="K444" t="str">
            <v>Trimming at PLTCM</v>
          </cell>
          <cell r="L444">
            <v>2</v>
          </cell>
          <cell r="M444">
            <v>3</v>
          </cell>
          <cell r="N444" t="str">
            <v>O/D GRADES</v>
          </cell>
          <cell r="O444">
            <v>3239539</v>
          </cell>
          <cell r="P444" t="str">
            <v>CRCA SHEET TATCRC SR16 0.350X1000X1980</v>
          </cell>
          <cell r="Q444">
            <v>0.35</v>
          </cell>
          <cell r="R444">
            <v>1000</v>
          </cell>
          <cell r="S444">
            <v>46</v>
          </cell>
          <cell r="T444">
            <v>0</v>
          </cell>
          <cell r="U444">
            <v>46</v>
          </cell>
          <cell r="V444" t="str">
            <v>C06</v>
          </cell>
          <cell r="W444" t="str">
            <v>TATCRC</v>
          </cell>
          <cell r="X444" t="str">
            <v>SR16</v>
          </cell>
          <cell r="Y444">
            <v>0</v>
          </cell>
          <cell r="Z444" t="str">
            <v/>
          </cell>
          <cell r="AA444" t="str">
            <v/>
          </cell>
          <cell r="AB444" t="str">
            <v/>
          </cell>
          <cell r="AC444" t="str">
            <v/>
          </cell>
          <cell r="AD444">
            <v>742</v>
          </cell>
          <cell r="AE444" t="str">
            <v>ZBTO</v>
          </cell>
        </row>
        <row r="445">
          <cell r="G445" t="str">
            <v>9519116344-8</v>
          </cell>
          <cell r="H445">
            <v>45918</v>
          </cell>
          <cell r="I445" t="str">
            <v>BASEER AND CO</v>
          </cell>
          <cell r="J445">
            <v>2000</v>
          </cell>
          <cell r="K445" t="str">
            <v>Trimming at PLTCM</v>
          </cell>
          <cell r="L445">
            <v>2</v>
          </cell>
          <cell r="M445">
            <v>3</v>
          </cell>
          <cell r="N445" t="str">
            <v>O/D GRADES</v>
          </cell>
          <cell r="O445">
            <v>3241651</v>
          </cell>
          <cell r="P445" t="str">
            <v>CRCA SHEET TATCRC TR15 0.350X1250X2500</v>
          </cell>
          <cell r="Q445">
            <v>0.35</v>
          </cell>
          <cell r="R445">
            <v>1250</v>
          </cell>
          <cell r="S445">
            <v>58</v>
          </cell>
          <cell r="T445">
            <v>0</v>
          </cell>
          <cell r="U445">
            <v>58</v>
          </cell>
          <cell r="V445" t="str">
            <v>C06</v>
          </cell>
          <cell r="W445" t="str">
            <v>TATCRC</v>
          </cell>
          <cell r="X445" t="str">
            <v>TR15</v>
          </cell>
          <cell r="Y445">
            <v>0</v>
          </cell>
          <cell r="Z445" t="str">
            <v/>
          </cell>
          <cell r="AA445" t="str">
            <v/>
          </cell>
          <cell r="AB445" t="str">
            <v/>
          </cell>
          <cell r="AC445" t="str">
            <v/>
          </cell>
          <cell r="AD445">
            <v>742</v>
          </cell>
          <cell r="AE445" t="str">
            <v>ZBTO</v>
          </cell>
        </row>
        <row r="446">
          <cell r="G446" t="str">
            <v>9519116344-9</v>
          </cell>
          <cell r="H446">
            <v>45918</v>
          </cell>
          <cell r="I446" t="str">
            <v>BASEER AND CO</v>
          </cell>
          <cell r="J446">
            <v>2000</v>
          </cell>
          <cell r="K446" t="str">
            <v>Trimming at PLTCM</v>
          </cell>
          <cell r="L446">
            <v>2</v>
          </cell>
          <cell r="M446">
            <v>3</v>
          </cell>
          <cell r="N446" t="str">
            <v>SR16</v>
          </cell>
          <cell r="O446">
            <v>3239557</v>
          </cell>
          <cell r="P446" t="str">
            <v>CRCA SHEET TATCRC SR16 0.400X1250X2500</v>
          </cell>
          <cell r="Q446">
            <v>0.4</v>
          </cell>
          <cell r="R446">
            <v>1250</v>
          </cell>
          <cell r="S446">
            <v>58</v>
          </cell>
          <cell r="T446">
            <v>0</v>
          </cell>
          <cell r="U446">
            <v>58</v>
          </cell>
          <cell r="V446" t="str">
            <v>C06</v>
          </cell>
          <cell r="W446" t="str">
            <v>TATCRC</v>
          </cell>
          <cell r="X446" t="str">
            <v>SR16</v>
          </cell>
          <cell r="Y446">
            <v>0</v>
          </cell>
          <cell r="Z446" t="str">
            <v/>
          </cell>
          <cell r="AA446" t="str">
            <v/>
          </cell>
          <cell r="AB446" t="str">
            <v/>
          </cell>
          <cell r="AC446" t="str">
            <v/>
          </cell>
          <cell r="AD446">
            <v>742</v>
          </cell>
          <cell r="AE446" t="str">
            <v>ZBTO</v>
          </cell>
        </row>
        <row r="447">
          <cell r="G447" t="str">
            <v>9519116344-10</v>
          </cell>
          <cell r="H447">
            <v>45918</v>
          </cell>
          <cell r="I447" t="str">
            <v>BASEER AND CO</v>
          </cell>
          <cell r="J447">
            <v>2000</v>
          </cell>
          <cell r="K447" t="str">
            <v>Trimming at PLTCM</v>
          </cell>
          <cell r="L447">
            <v>2</v>
          </cell>
          <cell r="M447">
            <v>3</v>
          </cell>
          <cell r="N447" t="str">
            <v>AU03</v>
          </cell>
          <cell r="O447">
            <v>279229</v>
          </cell>
          <cell r="P447" t="str">
            <v>CRSHEET TATXXD AU03 0.50X1250X2500</v>
          </cell>
          <cell r="Q447">
            <v>0.5</v>
          </cell>
          <cell r="R447">
            <v>1250</v>
          </cell>
          <cell r="S447">
            <v>58</v>
          </cell>
          <cell r="T447">
            <v>0</v>
          </cell>
          <cell r="U447">
            <v>58</v>
          </cell>
          <cell r="V447" t="str">
            <v>C06</v>
          </cell>
          <cell r="W447" t="str">
            <v>TATXXD</v>
          </cell>
          <cell r="X447" t="str">
            <v>AU03</v>
          </cell>
          <cell r="Y447">
            <v>0</v>
          </cell>
          <cell r="Z447" t="str">
            <v/>
          </cell>
          <cell r="AA447" t="str">
            <v/>
          </cell>
          <cell r="AB447" t="str">
            <v/>
          </cell>
          <cell r="AC447" t="str">
            <v/>
          </cell>
          <cell r="AD447">
            <v>742</v>
          </cell>
          <cell r="AE447" t="str">
            <v>ZBTO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SO-ITEM</v>
          </cell>
          <cell r="M1" t="str">
            <v>Material</v>
          </cell>
          <cell r="N1" t="str">
            <v>MATERIAL DESC.</v>
          </cell>
          <cell r="O1" t="str">
            <v>THICKNESS</v>
          </cell>
          <cell r="P1" t="str">
            <v>WIDTH/OD</v>
          </cell>
          <cell r="Q1" t="str">
            <v>Order Qty in MT</v>
          </cell>
          <cell r="R1" t="str">
            <v>DESPATCH(MT)</v>
          </cell>
          <cell r="S1" t="str">
            <v>BAL FOR PROD/ROLL(MT)</v>
          </cell>
          <cell r="T1" t="str">
            <v>PCODE</v>
          </cell>
          <cell r="U1" t="str">
            <v>Q CODE</v>
          </cell>
        </row>
        <row r="2">
          <cell r="M2">
            <v>3215894</v>
          </cell>
          <cell r="N2" t="str">
            <v>GP COIL SOFT-TATXGP-GLK1-0.6X900</v>
          </cell>
          <cell r="O2">
            <v>0.6</v>
          </cell>
          <cell r="P2">
            <v>900</v>
          </cell>
          <cell r="Q2">
            <v>1E-3</v>
          </cell>
          <cell r="R2">
            <v>0</v>
          </cell>
          <cell r="S2">
            <v>1E-3</v>
          </cell>
          <cell r="T2" t="str">
            <v>C02</v>
          </cell>
          <cell r="U2" t="str">
            <v>TATXGP</v>
          </cell>
        </row>
        <row r="3">
          <cell r="M3">
            <v>1300228</v>
          </cell>
          <cell r="N3" t="str">
            <v>GP COIL SOFT-TATXGP-GLK1-0.5X1220</v>
          </cell>
          <cell r="O3">
            <v>0.5</v>
          </cell>
          <cell r="P3">
            <v>1220</v>
          </cell>
          <cell r="Q3">
            <v>28</v>
          </cell>
          <cell r="R3">
            <v>27.24</v>
          </cell>
          <cell r="S3">
            <v>0.76</v>
          </cell>
          <cell r="T3" t="str">
            <v>C02</v>
          </cell>
          <cell r="U3" t="str">
            <v>TATXGP</v>
          </cell>
        </row>
        <row r="4">
          <cell r="M4">
            <v>1854416</v>
          </cell>
          <cell r="N4" t="str">
            <v>GP COIL SOFT-TATXGP-GLK1-0.45X1220</v>
          </cell>
          <cell r="O4">
            <v>0.45</v>
          </cell>
          <cell r="P4">
            <v>1220</v>
          </cell>
          <cell r="Q4">
            <v>28</v>
          </cell>
          <cell r="R4">
            <v>27.164999999999999</v>
          </cell>
          <cell r="S4">
            <v>0.83499999999999996</v>
          </cell>
          <cell r="T4" t="str">
            <v>C02</v>
          </cell>
          <cell r="U4" t="str">
            <v>TATXGP</v>
          </cell>
        </row>
        <row r="5">
          <cell r="M5">
            <v>1142414</v>
          </cell>
          <cell r="N5" t="str">
            <v>GP COIL SOFT-TATXGP-GLK1-0.45X900</v>
          </cell>
          <cell r="O5">
            <v>0.45</v>
          </cell>
          <cell r="P5">
            <v>900</v>
          </cell>
          <cell r="Q5">
            <v>42</v>
          </cell>
          <cell r="R5">
            <v>0</v>
          </cell>
          <cell r="S5">
            <v>42</v>
          </cell>
          <cell r="T5" t="str">
            <v>C02</v>
          </cell>
          <cell r="U5" t="str">
            <v>TATXGP</v>
          </cell>
        </row>
        <row r="6">
          <cell r="M6">
            <v>1853143</v>
          </cell>
          <cell r="N6" t="str">
            <v>GP COIL SOFT-TATXGP-GLK1-0.4X900</v>
          </cell>
          <cell r="O6">
            <v>0.4</v>
          </cell>
          <cell r="P6">
            <v>900</v>
          </cell>
          <cell r="Q6">
            <v>42</v>
          </cell>
          <cell r="R6">
            <v>9.9649999999999999</v>
          </cell>
          <cell r="S6">
            <v>21.835000000000001</v>
          </cell>
          <cell r="T6" t="str">
            <v>C02</v>
          </cell>
          <cell r="U6" t="str">
            <v>TATXGP</v>
          </cell>
        </row>
        <row r="7">
          <cell r="M7">
            <v>1142893</v>
          </cell>
          <cell r="N7" t="str">
            <v>GP COIL SOFT-TATXGP-GLK1-0.35X900</v>
          </cell>
          <cell r="O7">
            <v>0.35</v>
          </cell>
          <cell r="P7">
            <v>900</v>
          </cell>
          <cell r="Q7">
            <v>42</v>
          </cell>
          <cell r="R7">
            <v>16.649999999999999</v>
          </cell>
          <cell r="S7">
            <v>25.35</v>
          </cell>
          <cell r="T7" t="str">
            <v>C02</v>
          </cell>
          <cell r="U7" t="str">
            <v>TATXGP</v>
          </cell>
        </row>
        <row r="8">
          <cell r="M8">
            <v>1300229</v>
          </cell>
          <cell r="N8" t="str">
            <v>GP COIL SOFT-TATXGP-GLK1-0.4X1220</v>
          </cell>
          <cell r="O8">
            <v>0.4</v>
          </cell>
          <cell r="P8">
            <v>1220</v>
          </cell>
          <cell r="Q8">
            <v>112</v>
          </cell>
          <cell r="R8">
            <v>109.395</v>
          </cell>
          <cell r="S8">
            <v>2.605</v>
          </cell>
          <cell r="T8" t="str">
            <v>C02</v>
          </cell>
          <cell r="U8" t="str">
            <v>TATXGP</v>
          </cell>
        </row>
        <row r="9">
          <cell r="M9">
            <v>2233645</v>
          </cell>
          <cell r="N9" t="str">
            <v>GP COIL SOFT TATXGP GLK1 0.35X1220</v>
          </cell>
          <cell r="O9">
            <v>0.35</v>
          </cell>
          <cell r="P9">
            <v>1220</v>
          </cell>
          <cell r="Q9">
            <v>84</v>
          </cell>
          <cell r="R9">
            <v>80.674999999999997</v>
          </cell>
          <cell r="S9">
            <v>3.3250000000000002</v>
          </cell>
          <cell r="T9" t="str">
            <v>C02</v>
          </cell>
          <cell r="U9" t="str">
            <v>TATXGP</v>
          </cell>
        </row>
        <row r="10">
          <cell r="M10">
            <v>1300230</v>
          </cell>
          <cell r="N10" t="str">
            <v>GP COIL SOFT-TATXGP-GLK1-0.3X1220</v>
          </cell>
          <cell r="O10">
            <v>0.3</v>
          </cell>
          <cell r="P10">
            <v>1220</v>
          </cell>
          <cell r="Q10">
            <v>112</v>
          </cell>
          <cell r="R10">
            <v>0</v>
          </cell>
          <cell r="S10">
            <v>112</v>
          </cell>
          <cell r="T10" t="str">
            <v>C02</v>
          </cell>
          <cell r="U10" t="str">
            <v>TATXGP</v>
          </cell>
        </row>
        <row r="11">
          <cell r="M11">
            <v>1851074</v>
          </cell>
          <cell r="N11" t="str">
            <v>GP COIL SOFT-TATXGP-GLK1-0.28X900</v>
          </cell>
          <cell r="O11">
            <v>0.28000000000000003</v>
          </cell>
          <cell r="P11">
            <v>900</v>
          </cell>
          <cell r="Q11">
            <v>105</v>
          </cell>
          <cell r="R11">
            <v>0</v>
          </cell>
          <cell r="S11">
            <v>105</v>
          </cell>
          <cell r="T11" t="str">
            <v>C02</v>
          </cell>
          <cell r="U11" t="str">
            <v>TATXGP</v>
          </cell>
        </row>
        <row r="12">
          <cell r="M12">
            <v>1851065</v>
          </cell>
          <cell r="N12" t="str">
            <v>GP COIL SOFT-TATXGP-GK09-0.25X900</v>
          </cell>
          <cell r="O12">
            <v>0.25</v>
          </cell>
          <cell r="P12">
            <v>900</v>
          </cell>
          <cell r="Q12">
            <v>21</v>
          </cell>
          <cell r="R12">
            <v>0</v>
          </cell>
          <cell r="S12">
            <v>21</v>
          </cell>
          <cell r="T12" t="str">
            <v>C02</v>
          </cell>
          <cell r="U12" t="str">
            <v>TATXGP</v>
          </cell>
        </row>
        <row r="13">
          <cell r="M13">
            <v>1854390</v>
          </cell>
          <cell r="N13" t="str">
            <v>GP COIL SOFT-TATXGP-GK09-0.3X1220</v>
          </cell>
          <cell r="O13">
            <v>0.3</v>
          </cell>
          <cell r="P13">
            <v>1220</v>
          </cell>
          <cell r="Q13">
            <v>28</v>
          </cell>
          <cell r="R13">
            <v>0</v>
          </cell>
          <cell r="S13">
            <v>28</v>
          </cell>
          <cell r="T13" t="str">
            <v>C02</v>
          </cell>
          <cell r="U13" t="str">
            <v>TATXGP</v>
          </cell>
        </row>
        <row r="14">
          <cell r="M14">
            <v>1854399</v>
          </cell>
          <cell r="N14" t="str">
            <v>GP COIL SOFT-TATXGP-GK09-0.35X1220</v>
          </cell>
          <cell r="O14">
            <v>0.35</v>
          </cell>
          <cell r="P14">
            <v>1220</v>
          </cell>
          <cell r="Q14">
            <v>28</v>
          </cell>
          <cell r="R14">
            <v>27.355</v>
          </cell>
          <cell r="S14">
            <v>0.64500000000000002</v>
          </cell>
          <cell r="T14" t="str">
            <v>C02</v>
          </cell>
          <cell r="U14" t="str">
            <v>TATXGP</v>
          </cell>
        </row>
        <row r="15">
          <cell r="M15">
            <v>1854410</v>
          </cell>
          <cell r="N15" t="str">
            <v>GP COIL SOFT-TATXGP-GK09-0.4X1220</v>
          </cell>
          <cell r="O15">
            <v>0.4</v>
          </cell>
          <cell r="P15">
            <v>1220</v>
          </cell>
          <cell r="Q15">
            <v>28</v>
          </cell>
          <cell r="R15">
            <v>26.914999999999999</v>
          </cell>
          <cell r="S15">
            <v>1.085</v>
          </cell>
          <cell r="T15" t="str">
            <v>C02</v>
          </cell>
          <cell r="U15" t="str">
            <v>TATXGP</v>
          </cell>
        </row>
        <row r="16">
          <cell r="M16">
            <v>1300228</v>
          </cell>
          <cell r="N16" t="str">
            <v>GP COIL SOFT-TATXGP-GLK1-0.5X1220</v>
          </cell>
          <cell r="O16">
            <v>0.5</v>
          </cell>
          <cell r="P16">
            <v>1220</v>
          </cell>
          <cell r="Q16">
            <v>28</v>
          </cell>
          <cell r="R16">
            <v>0</v>
          </cell>
          <cell r="S16">
            <v>28</v>
          </cell>
          <cell r="T16" t="str">
            <v>C02</v>
          </cell>
          <cell r="U16" t="str">
            <v>TATXGP</v>
          </cell>
        </row>
        <row r="17">
          <cell r="M17">
            <v>1801562</v>
          </cell>
          <cell r="N17" t="str">
            <v>CRCA COIL-TATXXD-AU03-0.8X1000</v>
          </cell>
          <cell r="O17">
            <v>0.8</v>
          </cell>
          <cell r="P17">
            <v>1000</v>
          </cell>
          <cell r="Q17">
            <v>23</v>
          </cell>
          <cell r="R17">
            <v>0</v>
          </cell>
          <cell r="S17">
            <v>23</v>
          </cell>
          <cell r="T17" t="str">
            <v>C01</v>
          </cell>
          <cell r="U17" t="str">
            <v>TATXXD</v>
          </cell>
        </row>
        <row r="18">
          <cell r="M18">
            <v>1804814</v>
          </cell>
          <cell r="N18" t="str">
            <v>CRCA COIL TATXXD AU03 0.8X1250</v>
          </cell>
          <cell r="O18">
            <v>0.8</v>
          </cell>
          <cell r="P18">
            <v>1250</v>
          </cell>
          <cell r="Q18">
            <v>58</v>
          </cell>
          <cell r="R18">
            <v>0</v>
          </cell>
          <cell r="S18">
            <v>58</v>
          </cell>
          <cell r="T18" t="str">
            <v>C01</v>
          </cell>
          <cell r="U18" t="str">
            <v>TATXXD</v>
          </cell>
        </row>
        <row r="19">
          <cell r="M19">
            <v>1804842</v>
          </cell>
          <cell r="N19" t="str">
            <v>CRCA COIL-TATXXD-AU03-1X1000</v>
          </cell>
          <cell r="O19">
            <v>1</v>
          </cell>
          <cell r="P19">
            <v>1000</v>
          </cell>
          <cell r="Q19">
            <v>23</v>
          </cell>
          <cell r="R19">
            <v>0</v>
          </cell>
          <cell r="S19">
            <v>23</v>
          </cell>
          <cell r="T19" t="str">
            <v>C01</v>
          </cell>
          <cell r="U19" t="str">
            <v>TATXXD</v>
          </cell>
        </row>
        <row r="20">
          <cell r="M20">
            <v>1343395</v>
          </cell>
          <cell r="N20" t="str">
            <v>CR COIL TATXXD AU03 1.200X914</v>
          </cell>
          <cell r="O20">
            <v>1.2</v>
          </cell>
          <cell r="P20">
            <v>914</v>
          </cell>
          <cell r="Q20">
            <v>21</v>
          </cell>
          <cell r="R20">
            <v>0</v>
          </cell>
          <cell r="S20">
            <v>21</v>
          </cell>
          <cell r="T20" t="str">
            <v>C01</v>
          </cell>
          <cell r="U20" t="str">
            <v>TATXXD</v>
          </cell>
        </row>
        <row r="21">
          <cell r="M21">
            <v>1804852</v>
          </cell>
          <cell r="N21" t="str">
            <v>CRCA COIL-TATXXD-AU03-1.2X1000</v>
          </cell>
          <cell r="O21">
            <v>1.2</v>
          </cell>
          <cell r="P21">
            <v>1000</v>
          </cell>
          <cell r="Q21">
            <v>23</v>
          </cell>
          <cell r="R21">
            <v>0</v>
          </cell>
          <cell r="S21">
            <v>23</v>
          </cell>
          <cell r="T21" t="str">
            <v>C01</v>
          </cell>
          <cell r="U21" t="str">
            <v>TATXXD</v>
          </cell>
        </row>
        <row r="22">
          <cell r="M22">
            <v>1804854</v>
          </cell>
          <cell r="N22" t="str">
            <v>CRCA COIL-TATXXD-AU03-1.2X1250</v>
          </cell>
          <cell r="O22">
            <v>1.2</v>
          </cell>
          <cell r="P22">
            <v>1250</v>
          </cell>
          <cell r="Q22">
            <v>29</v>
          </cell>
          <cell r="R22">
            <v>0</v>
          </cell>
          <cell r="S22">
            <v>29</v>
          </cell>
          <cell r="T22" t="str">
            <v>C01</v>
          </cell>
          <cell r="U22" t="str">
            <v>TATXXD</v>
          </cell>
        </row>
        <row r="23">
          <cell r="M23">
            <v>1884117</v>
          </cell>
          <cell r="N23" t="str">
            <v>CRCA COIL-TATXXD-AU03-2X1250</v>
          </cell>
          <cell r="O23">
            <v>2</v>
          </cell>
          <cell r="P23">
            <v>1250</v>
          </cell>
          <cell r="Q23">
            <v>29</v>
          </cell>
          <cell r="R23">
            <v>0</v>
          </cell>
          <cell r="S23">
            <v>29</v>
          </cell>
          <cell r="T23" t="str">
            <v>C01</v>
          </cell>
          <cell r="U23" t="str">
            <v>TATXXD</v>
          </cell>
        </row>
        <row r="24">
          <cell r="M24">
            <v>2155233</v>
          </cell>
          <cell r="N24" t="str">
            <v>CRCA COIL TATXXD AU03 2.5X1250</v>
          </cell>
          <cell r="O24">
            <v>2.5</v>
          </cell>
          <cell r="P24">
            <v>1250</v>
          </cell>
          <cell r="Q24">
            <v>29</v>
          </cell>
          <cell r="R24">
            <v>0</v>
          </cell>
          <cell r="S24">
            <v>29</v>
          </cell>
          <cell r="T24" t="str">
            <v>C01</v>
          </cell>
          <cell r="U24" t="str">
            <v>TATXXD</v>
          </cell>
        </row>
        <row r="25">
          <cell r="M25">
            <v>1801804</v>
          </cell>
          <cell r="N25" t="str">
            <v>CRCA COIL-TATXXD-AU03-1X1250</v>
          </cell>
          <cell r="O25">
            <v>1</v>
          </cell>
          <cell r="P25">
            <v>1250</v>
          </cell>
          <cell r="Q25">
            <v>116</v>
          </cell>
          <cell r="R25">
            <v>0</v>
          </cell>
          <cell r="S25">
            <v>116</v>
          </cell>
          <cell r="T25" t="str">
            <v>C01</v>
          </cell>
          <cell r="U25" t="str">
            <v>TATXXD</v>
          </cell>
        </row>
        <row r="26">
          <cell r="M26">
            <v>1884117</v>
          </cell>
          <cell r="N26" t="str">
            <v>CRCA COIL-TATXXD-AU03-2X1250</v>
          </cell>
          <cell r="O26">
            <v>2</v>
          </cell>
          <cell r="P26">
            <v>1250</v>
          </cell>
          <cell r="Q26">
            <v>116</v>
          </cell>
          <cell r="R26">
            <v>0</v>
          </cell>
          <cell r="S26">
            <v>116</v>
          </cell>
          <cell r="T26" t="str">
            <v>C01</v>
          </cell>
          <cell r="U26" t="str">
            <v>TATXXD</v>
          </cell>
        </row>
        <row r="27">
          <cell r="M27">
            <v>1802550</v>
          </cell>
          <cell r="N27" t="str">
            <v>CRCA COIL-TATXXD-AU03-2.3X1250</v>
          </cell>
          <cell r="O27">
            <v>2.2999999999999998</v>
          </cell>
          <cell r="P27">
            <v>1250</v>
          </cell>
          <cell r="Q27">
            <v>58</v>
          </cell>
          <cell r="R27">
            <v>0</v>
          </cell>
          <cell r="S27">
            <v>58</v>
          </cell>
          <cell r="T27" t="str">
            <v>C01</v>
          </cell>
          <cell r="U27" t="str">
            <v>TATXXD</v>
          </cell>
        </row>
        <row r="28">
          <cell r="M28">
            <v>1326486</v>
          </cell>
          <cell r="N28" t="str">
            <v>GP COIL SOFT-TATXGP-GK09-0.3X1000</v>
          </cell>
          <cell r="O28">
            <v>0.3</v>
          </cell>
          <cell r="P28">
            <v>1000</v>
          </cell>
          <cell r="Q28">
            <v>23</v>
          </cell>
          <cell r="R28">
            <v>0</v>
          </cell>
          <cell r="S28">
            <v>23</v>
          </cell>
          <cell r="T28" t="str">
            <v>C02</v>
          </cell>
          <cell r="U28" t="str">
            <v>TATXGP</v>
          </cell>
        </row>
        <row r="29">
          <cell r="M29">
            <v>1326487</v>
          </cell>
          <cell r="N29" t="str">
            <v>GP COIL SOFT-TATXGP-GK09-0.35X1000</v>
          </cell>
          <cell r="O29">
            <v>0.35</v>
          </cell>
          <cell r="P29">
            <v>1000</v>
          </cell>
          <cell r="Q29">
            <v>46</v>
          </cell>
          <cell r="R29">
            <v>0</v>
          </cell>
          <cell r="S29">
            <v>46</v>
          </cell>
          <cell r="T29" t="str">
            <v>C02</v>
          </cell>
          <cell r="U29" t="str">
            <v>TATXGP</v>
          </cell>
        </row>
        <row r="30">
          <cell r="M30">
            <v>1854390</v>
          </cell>
          <cell r="N30" t="str">
            <v>GP COIL SOFT-TATXGP-GK09-0.3X1220</v>
          </cell>
          <cell r="O30">
            <v>0.3</v>
          </cell>
          <cell r="P30">
            <v>1220</v>
          </cell>
          <cell r="Q30">
            <v>28</v>
          </cell>
          <cell r="R30">
            <v>0</v>
          </cell>
          <cell r="S30">
            <v>28</v>
          </cell>
          <cell r="T30" t="str">
            <v>C02</v>
          </cell>
          <cell r="U30" t="str">
            <v>TATXGP</v>
          </cell>
        </row>
        <row r="31">
          <cell r="M31">
            <v>1854399</v>
          </cell>
          <cell r="N31" t="str">
            <v>GP COIL SOFT-TATXGP-GK09-0.35X1220</v>
          </cell>
          <cell r="O31">
            <v>0.35</v>
          </cell>
          <cell r="P31">
            <v>1220</v>
          </cell>
          <cell r="Q31">
            <v>112</v>
          </cell>
          <cell r="R31">
            <v>0</v>
          </cell>
          <cell r="S31">
            <v>112</v>
          </cell>
          <cell r="T31" t="str">
            <v>C02</v>
          </cell>
          <cell r="U31" t="str">
            <v>TATXGP</v>
          </cell>
        </row>
        <row r="32">
          <cell r="M32">
            <v>1854410</v>
          </cell>
          <cell r="N32" t="str">
            <v>GP COIL SOFT-TATXGP-GK09-0.4X1220</v>
          </cell>
          <cell r="O32">
            <v>0.4</v>
          </cell>
          <cell r="P32">
            <v>1220</v>
          </cell>
          <cell r="Q32">
            <v>112</v>
          </cell>
          <cell r="R32">
            <v>0</v>
          </cell>
          <cell r="S32">
            <v>112</v>
          </cell>
          <cell r="T32" t="str">
            <v>C02</v>
          </cell>
          <cell r="U32" t="str">
            <v>TATXGP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K Summary"/>
      <sheetName val="Sheet1"/>
      <sheetName val="MES OB 0110"/>
      <sheetName val="FPCIS OB 0110"/>
      <sheetName val="CRCA Customer level"/>
      <sheetName val="Nov MSD"/>
    </sheetNames>
    <sheetDataSet>
      <sheetData sheetId="0"/>
      <sheetData sheetId="1">
        <row r="4">
          <cell r="A4" t="str">
            <v>SO/ Item</v>
          </cell>
          <cell r="B4">
            <v>202540</v>
          </cell>
          <cell r="C4">
            <v>202541</v>
          </cell>
          <cell r="D4">
            <v>202542</v>
          </cell>
          <cell r="E4">
            <v>202543</v>
          </cell>
          <cell r="F4">
            <v>202544</v>
          </cell>
        </row>
        <row r="5">
          <cell r="A5" t="str">
            <v>9518809011-1</v>
          </cell>
          <cell r="C5">
            <v>39.332999999999998</v>
          </cell>
        </row>
        <row r="6">
          <cell r="A6" t="str">
            <v>9518823199-2</v>
          </cell>
          <cell r="F6">
            <v>55.831000000000003</v>
          </cell>
        </row>
        <row r="7">
          <cell r="A7" t="str">
            <v>9518851597-1</v>
          </cell>
          <cell r="D7">
            <v>27.664999999999999</v>
          </cell>
        </row>
        <row r="8">
          <cell r="A8" t="str">
            <v>9518858355-1</v>
          </cell>
          <cell r="B8">
            <v>16.565000000000001</v>
          </cell>
        </row>
        <row r="9">
          <cell r="A9" t="str">
            <v>9518886012-2</v>
          </cell>
          <cell r="B9">
            <v>16.21</v>
          </cell>
        </row>
        <row r="10">
          <cell r="A10" t="str">
            <v>9518886012-3</v>
          </cell>
          <cell r="C10">
            <v>49.215000000000003</v>
          </cell>
        </row>
        <row r="11">
          <cell r="A11" t="str">
            <v>9518902661-1</v>
          </cell>
          <cell r="C11">
            <v>65.84</v>
          </cell>
        </row>
        <row r="12">
          <cell r="A12" t="str">
            <v>9518903517-2</v>
          </cell>
          <cell r="C12">
            <v>46.37</v>
          </cell>
        </row>
        <row r="13">
          <cell r="A13" t="str">
            <v>9518908638-1</v>
          </cell>
          <cell r="F13">
            <v>22.515000000000001</v>
          </cell>
        </row>
        <row r="14">
          <cell r="A14" t="str">
            <v>9518911415-8</v>
          </cell>
          <cell r="F14">
            <v>29</v>
          </cell>
        </row>
        <row r="15">
          <cell r="A15" t="str">
            <v>9518914422-1</v>
          </cell>
          <cell r="C15">
            <v>15.26</v>
          </cell>
        </row>
        <row r="16">
          <cell r="A16" t="str">
            <v>9518914458-1</v>
          </cell>
          <cell r="B16">
            <v>26.82</v>
          </cell>
        </row>
        <row r="17">
          <cell r="A17" t="str">
            <v>9518919381-1</v>
          </cell>
          <cell r="D17">
            <v>120</v>
          </cell>
        </row>
        <row r="18">
          <cell r="A18" t="str">
            <v>9518921586-5</v>
          </cell>
          <cell r="D18">
            <v>29</v>
          </cell>
        </row>
        <row r="19">
          <cell r="A19" t="str">
            <v>9518921586-8</v>
          </cell>
          <cell r="D19">
            <v>29</v>
          </cell>
        </row>
        <row r="20">
          <cell r="A20" t="str">
            <v>9518922956-2</v>
          </cell>
          <cell r="C20">
            <v>1.8140000000000001</v>
          </cell>
        </row>
        <row r="21">
          <cell r="A21" t="str">
            <v>9518930025-1</v>
          </cell>
          <cell r="C21">
            <v>21</v>
          </cell>
        </row>
        <row r="22">
          <cell r="A22" t="str">
            <v>9518930025-8</v>
          </cell>
          <cell r="B22">
            <v>98.86</v>
          </cell>
        </row>
        <row r="23">
          <cell r="A23" t="str">
            <v>9518931316-1</v>
          </cell>
          <cell r="B23">
            <v>1.51</v>
          </cell>
        </row>
        <row r="24">
          <cell r="A24" t="str">
            <v>9518938044-1</v>
          </cell>
          <cell r="B24">
            <v>21</v>
          </cell>
        </row>
        <row r="25">
          <cell r="A25" t="str">
            <v>9518938765-1</v>
          </cell>
          <cell r="B25">
            <v>17.995000000000001</v>
          </cell>
        </row>
        <row r="26">
          <cell r="A26" t="str">
            <v>9518938765-3</v>
          </cell>
          <cell r="F26">
            <v>21</v>
          </cell>
        </row>
        <row r="27">
          <cell r="A27" t="str">
            <v>9518938765-4</v>
          </cell>
          <cell r="B27">
            <v>4.5990000000000002</v>
          </cell>
        </row>
        <row r="28">
          <cell r="A28" t="str">
            <v>9518938766-1</v>
          </cell>
          <cell r="D28">
            <v>21</v>
          </cell>
        </row>
        <row r="29">
          <cell r="A29" t="str">
            <v>9518938766-3</v>
          </cell>
          <cell r="F29">
            <v>21</v>
          </cell>
        </row>
        <row r="30">
          <cell r="A30" t="str">
            <v>9518938766-4</v>
          </cell>
          <cell r="B30">
            <v>20.998999999999999</v>
          </cell>
        </row>
        <row r="31">
          <cell r="A31" t="str">
            <v>9518939324-1</v>
          </cell>
          <cell r="D31">
            <v>58</v>
          </cell>
        </row>
        <row r="32">
          <cell r="A32" t="str">
            <v>9518939324-3</v>
          </cell>
          <cell r="B32">
            <v>31.55</v>
          </cell>
        </row>
        <row r="33">
          <cell r="A33" t="str">
            <v>9518939375-2</v>
          </cell>
          <cell r="B33">
            <v>28.105</v>
          </cell>
        </row>
        <row r="34">
          <cell r="A34" t="str">
            <v>9518939588-11</v>
          </cell>
          <cell r="B34">
            <v>29</v>
          </cell>
        </row>
        <row r="35">
          <cell r="A35" t="str">
            <v>9518939588-4</v>
          </cell>
          <cell r="C35">
            <v>29</v>
          </cell>
        </row>
        <row r="36">
          <cell r="A36" t="str">
            <v>9518939680-19</v>
          </cell>
          <cell r="C36">
            <v>42</v>
          </cell>
        </row>
        <row r="37">
          <cell r="A37" t="str">
            <v>9518939680-29</v>
          </cell>
          <cell r="E37">
            <v>58</v>
          </cell>
        </row>
        <row r="38">
          <cell r="A38" t="str">
            <v>9518939680-9</v>
          </cell>
          <cell r="E38">
            <v>24</v>
          </cell>
        </row>
        <row r="39">
          <cell r="A39" t="str">
            <v>9518940039-3</v>
          </cell>
          <cell r="C39">
            <v>145</v>
          </cell>
        </row>
        <row r="40">
          <cell r="A40" t="str">
            <v>9518940039-4</v>
          </cell>
          <cell r="D40">
            <v>87</v>
          </cell>
        </row>
        <row r="41">
          <cell r="A41" t="str">
            <v>9518940039-5</v>
          </cell>
          <cell r="D41">
            <v>178.92</v>
          </cell>
        </row>
        <row r="42">
          <cell r="A42" t="str">
            <v>9518941556-1</v>
          </cell>
          <cell r="E42">
            <v>202.03</v>
          </cell>
        </row>
        <row r="43">
          <cell r="A43" t="str">
            <v>9518941704-1</v>
          </cell>
          <cell r="C43">
            <v>84</v>
          </cell>
        </row>
        <row r="44">
          <cell r="A44" t="str">
            <v>9518941704-2</v>
          </cell>
          <cell r="B44">
            <v>54.31</v>
          </cell>
        </row>
        <row r="45">
          <cell r="A45" t="str">
            <v>9518942225-16</v>
          </cell>
          <cell r="C45">
            <v>23.995000000000001</v>
          </cell>
        </row>
        <row r="46">
          <cell r="A46" t="str">
            <v>9518944236-1</v>
          </cell>
          <cell r="F46">
            <v>3.8540000000000001</v>
          </cell>
        </row>
        <row r="47">
          <cell r="A47" t="str">
            <v>9518944236-9</v>
          </cell>
          <cell r="E47">
            <v>58</v>
          </cell>
        </row>
        <row r="48">
          <cell r="A48" t="str">
            <v>9518945221-3</v>
          </cell>
          <cell r="F48">
            <v>60</v>
          </cell>
        </row>
        <row r="49">
          <cell r="A49" t="str">
            <v>9518945284-1</v>
          </cell>
          <cell r="B49">
            <v>26.93</v>
          </cell>
        </row>
        <row r="50">
          <cell r="A50" t="str">
            <v>9518946015-7</v>
          </cell>
          <cell r="D50">
            <v>23</v>
          </cell>
        </row>
        <row r="51">
          <cell r="A51" t="str">
            <v>9518946840-1</v>
          </cell>
          <cell r="C51">
            <v>57.999000000000002</v>
          </cell>
        </row>
        <row r="52">
          <cell r="A52" t="str">
            <v>9518946840-4</v>
          </cell>
          <cell r="B52">
            <v>14.189</v>
          </cell>
        </row>
        <row r="53">
          <cell r="A53" t="str">
            <v>9518948157-1</v>
          </cell>
          <cell r="B53">
            <v>21</v>
          </cell>
        </row>
        <row r="54">
          <cell r="A54" t="str">
            <v>9518951602-1</v>
          </cell>
          <cell r="F54">
            <v>21</v>
          </cell>
        </row>
        <row r="55">
          <cell r="A55" t="str">
            <v>9518951771-2</v>
          </cell>
          <cell r="C55">
            <v>87</v>
          </cell>
        </row>
        <row r="56">
          <cell r="A56" t="str">
            <v>9518952391-2</v>
          </cell>
          <cell r="B56">
            <v>9.0419999999999998</v>
          </cell>
        </row>
        <row r="57">
          <cell r="A57" t="str">
            <v>9518954637-1</v>
          </cell>
          <cell r="E57">
            <v>58</v>
          </cell>
        </row>
        <row r="58">
          <cell r="A58" t="str">
            <v>9518956389-14</v>
          </cell>
          <cell r="C58">
            <v>64.234999999999999</v>
          </cell>
        </row>
        <row r="59">
          <cell r="A59" t="str">
            <v>9518956389-15</v>
          </cell>
          <cell r="B59">
            <v>40.918999999999997</v>
          </cell>
        </row>
        <row r="60">
          <cell r="A60" t="str">
            <v>9518956389-17</v>
          </cell>
          <cell r="B60">
            <v>58</v>
          </cell>
        </row>
        <row r="61">
          <cell r="A61" t="str">
            <v>9518956389-3</v>
          </cell>
          <cell r="B61">
            <v>29</v>
          </cell>
        </row>
        <row r="62">
          <cell r="A62" t="str">
            <v>9518956389-5</v>
          </cell>
          <cell r="C62">
            <v>32.301000000000002</v>
          </cell>
        </row>
        <row r="63">
          <cell r="A63" t="str">
            <v>9518957749-1</v>
          </cell>
          <cell r="C63">
            <v>90.954999999999998</v>
          </cell>
        </row>
        <row r="64">
          <cell r="A64" t="str">
            <v>9518957825-1</v>
          </cell>
          <cell r="F64">
            <v>25.835000000000001</v>
          </cell>
        </row>
        <row r="65">
          <cell r="A65" t="str">
            <v>9518957825-2</v>
          </cell>
          <cell r="C65">
            <v>12.843999999999999</v>
          </cell>
        </row>
        <row r="66">
          <cell r="A66" t="str">
            <v>9518958168-1</v>
          </cell>
          <cell r="C66">
            <v>90.784999999999997</v>
          </cell>
        </row>
        <row r="67">
          <cell r="A67" t="str">
            <v>9518959342-1</v>
          </cell>
          <cell r="C67">
            <v>57.784999999999997</v>
          </cell>
        </row>
        <row r="68">
          <cell r="A68" t="str">
            <v>9518959342-2</v>
          </cell>
          <cell r="C68">
            <v>116</v>
          </cell>
        </row>
        <row r="69">
          <cell r="A69" t="str">
            <v>9518959342-3</v>
          </cell>
          <cell r="C69">
            <v>87</v>
          </cell>
        </row>
        <row r="70">
          <cell r="A70" t="str">
            <v>9518959858-3</v>
          </cell>
          <cell r="C70">
            <v>33.125</v>
          </cell>
        </row>
        <row r="71">
          <cell r="A71" t="str">
            <v>9518961702-1</v>
          </cell>
          <cell r="B71">
            <v>37.6</v>
          </cell>
        </row>
        <row r="72">
          <cell r="A72" t="str">
            <v>9518971601-1</v>
          </cell>
          <cell r="C72">
            <v>29</v>
          </cell>
        </row>
        <row r="73">
          <cell r="A73" t="str">
            <v>9518972501-1</v>
          </cell>
          <cell r="B73">
            <v>21.25</v>
          </cell>
        </row>
        <row r="74">
          <cell r="A74" t="str">
            <v>9518973099-1</v>
          </cell>
          <cell r="B74">
            <v>42</v>
          </cell>
        </row>
        <row r="75">
          <cell r="A75" t="str">
            <v>9518975095-3</v>
          </cell>
          <cell r="B75">
            <v>28</v>
          </cell>
        </row>
        <row r="76">
          <cell r="A76" t="str">
            <v>9518980071-2</v>
          </cell>
          <cell r="F76">
            <v>20.73</v>
          </cell>
        </row>
        <row r="77">
          <cell r="A77" t="str">
            <v>9518980071-3</v>
          </cell>
          <cell r="B77">
            <v>21</v>
          </cell>
        </row>
        <row r="78">
          <cell r="A78" t="str">
            <v>9518982165-1</v>
          </cell>
          <cell r="D78">
            <v>58</v>
          </cell>
        </row>
        <row r="79">
          <cell r="A79" t="str">
            <v>9518985721-4</v>
          </cell>
          <cell r="B79">
            <v>28.684999999999999</v>
          </cell>
        </row>
        <row r="80">
          <cell r="A80" t="str">
            <v>9518988369-1</v>
          </cell>
          <cell r="C80">
            <v>116</v>
          </cell>
        </row>
        <row r="81">
          <cell r="A81" t="str">
            <v>9518988388-3</v>
          </cell>
          <cell r="C81">
            <v>11.331</v>
          </cell>
        </row>
        <row r="82">
          <cell r="A82" t="str">
            <v>9518988388-4</v>
          </cell>
          <cell r="C82">
            <v>6.0709999999999997</v>
          </cell>
        </row>
        <row r="83">
          <cell r="A83" t="str">
            <v>9518988388-5</v>
          </cell>
          <cell r="C83">
            <v>14.07</v>
          </cell>
        </row>
        <row r="84">
          <cell r="A84" t="str">
            <v>9518988805-1</v>
          </cell>
          <cell r="E84">
            <v>42</v>
          </cell>
        </row>
        <row r="85">
          <cell r="A85" t="str">
            <v>9518988805-2</v>
          </cell>
          <cell r="D85">
            <v>42</v>
          </cell>
        </row>
        <row r="86">
          <cell r="A86" t="str">
            <v>9518994601-2</v>
          </cell>
          <cell r="D86">
            <v>62.08</v>
          </cell>
        </row>
        <row r="87">
          <cell r="A87" t="str">
            <v>9518995069-1</v>
          </cell>
          <cell r="E87">
            <v>87</v>
          </cell>
        </row>
        <row r="88">
          <cell r="A88" t="str">
            <v>9518995071-4</v>
          </cell>
          <cell r="C88">
            <v>5.0999999999999996</v>
          </cell>
        </row>
        <row r="89">
          <cell r="A89" t="str">
            <v>9518995071-5</v>
          </cell>
          <cell r="B89">
            <v>29</v>
          </cell>
        </row>
        <row r="90">
          <cell r="A90" t="str">
            <v>9518997362-3</v>
          </cell>
          <cell r="D90">
            <v>20.202999999999999</v>
          </cell>
        </row>
        <row r="91">
          <cell r="A91" t="str">
            <v>9518998049-1</v>
          </cell>
          <cell r="D91">
            <v>150.28</v>
          </cell>
        </row>
        <row r="92">
          <cell r="A92" t="str">
            <v>9518998049-2</v>
          </cell>
          <cell r="E92">
            <v>27.33</v>
          </cell>
        </row>
        <row r="93">
          <cell r="A93" t="str">
            <v>9518998049-3</v>
          </cell>
          <cell r="B93">
            <v>52.204999999999998</v>
          </cell>
        </row>
        <row r="94">
          <cell r="A94" t="str">
            <v>9518998049-4</v>
          </cell>
          <cell r="D94">
            <v>88.545000000000002</v>
          </cell>
        </row>
        <row r="95">
          <cell r="A95" t="str">
            <v>9518999629-1</v>
          </cell>
          <cell r="E95">
            <v>99.99</v>
          </cell>
        </row>
        <row r="96">
          <cell r="A96" t="str">
            <v>9518999629-2</v>
          </cell>
          <cell r="B96">
            <v>22.99</v>
          </cell>
        </row>
        <row r="97">
          <cell r="A97" t="str">
            <v>9518999629-3</v>
          </cell>
          <cell r="E97">
            <v>45.99</v>
          </cell>
        </row>
        <row r="98">
          <cell r="A98" t="str">
            <v>9518999629-5</v>
          </cell>
          <cell r="C98">
            <v>45.99</v>
          </cell>
        </row>
        <row r="99">
          <cell r="A99" t="str">
            <v>9518999629-6</v>
          </cell>
          <cell r="B99">
            <v>22.99</v>
          </cell>
        </row>
        <row r="100">
          <cell r="A100" t="str">
            <v>9518999629-8</v>
          </cell>
          <cell r="B100">
            <v>22.99</v>
          </cell>
        </row>
        <row r="101">
          <cell r="A101" t="str">
            <v>9519001255-1</v>
          </cell>
          <cell r="B101">
            <v>120</v>
          </cell>
        </row>
        <row r="102">
          <cell r="A102" t="str">
            <v>9519011538-1</v>
          </cell>
          <cell r="F102">
            <v>87</v>
          </cell>
        </row>
        <row r="103">
          <cell r="A103" t="str">
            <v>9519011538-3</v>
          </cell>
          <cell r="D103">
            <v>29</v>
          </cell>
        </row>
        <row r="104">
          <cell r="A104" t="str">
            <v>9519011538-5</v>
          </cell>
          <cell r="E104">
            <v>46</v>
          </cell>
        </row>
        <row r="105">
          <cell r="A105" t="str">
            <v>9519011540-1</v>
          </cell>
          <cell r="C105">
            <v>29</v>
          </cell>
        </row>
        <row r="106">
          <cell r="A106" t="str">
            <v>9519011585-1</v>
          </cell>
          <cell r="C106">
            <v>58</v>
          </cell>
        </row>
        <row r="107">
          <cell r="A107" t="str">
            <v>9519013396-1</v>
          </cell>
          <cell r="F107">
            <v>42</v>
          </cell>
        </row>
        <row r="108">
          <cell r="A108" t="str">
            <v>9519013396-2</v>
          </cell>
          <cell r="F108">
            <v>42</v>
          </cell>
        </row>
        <row r="109">
          <cell r="A109" t="str">
            <v>9519013589-1</v>
          </cell>
          <cell r="B109">
            <v>106.065</v>
          </cell>
        </row>
        <row r="110">
          <cell r="A110" t="str">
            <v>9519013589-2</v>
          </cell>
          <cell r="B110">
            <v>46.954999999999998</v>
          </cell>
        </row>
        <row r="111">
          <cell r="A111" t="str">
            <v>9519013589-3</v>
          </cell>
          <cell r="D111">
            <v>189.31</v>
          </cell>
        </row>
        <row r="112">
          <cell r="A112" t="str">
            <v>9519013589-5</v>
          </cell>
          <cell r="D112">
            <v>174</v>
          </cell>
        </row>
        <row r="113">
          <cell r="A113" t="str">
            <v>9519017114-1</v>
          </cell>
          <cell r="C113">
            <v>131.51</v>
          </cell>
        </row>
        <row r="114">
          <cell r="A114" t="str">
            <v>9519017657-1</v>
          </cell>
          <cell r="C114">
            <v>56.29</v>
          </cell>
        </row>
        <row r="115">
          <cell r="A115" t="str">
            <v>9519023959-1</v>
          </cell>
          <cell r="D115">
            <v>280</v>
          </cell>
        </row>
        <row r="116">
          <cell r="A116" t="str">
            <v>9519023959-2</v>
          </cell>
          <cell r="F116">
            <v>29</v>
          </cell>
        </row>
        <row r="117">
          <cell r="A117" t="str">
            <v>9519024305-3</v>
          </cell>
          <cell r="C117">
            <v>44.454999999999998</v>
          </cell>
        </row>
        <row r="118">
          <cell r="A118" t="str">
            <v>9519024849-1</v>
          </cell>
          <cell r="D118">
            <v>147</v>
          </cell>
        </row>
        <row r="119">
          <cell r="A119" t="str">
            <v>9519024914-1</v>
          </cell>
          <cell r="D119">
            <v>29</v>
          </cell>
        </row>
        <row r="120">
          <cell r="A120" t="str">
            <v>9519024914-2</v>
          </cell>
          <cell r="D120">
            <v>29</v>
          </cell>
        </row>
        <row r="121">
          <cell r="A121" t="str">
            <v>9519024914-3</v>
          </cell>
          <cell r="E121">
            <v>21</v>
          </cell>
        </row>
        <row r="122">
          <cell r="A122" t="str">
            <v>9519024914-5</v>
          </cell>
          <cell r="C122">
            <v>29</v>
          </cell>
        </row>
        <row r="123">
          <cell r="A123" t="str">
            <v>9519024914-7</v>
          </cell>
          <cell r="F123">
            <v>29</v>
          </cell>
        </row>
        <row r="124">
          <cell r="A124" t="str">
            <v>9519025273-1</v>
          </cell>
          <cell r="C124">
            <v>29</v>
          </cell>
        </row>
        <row r="125">
          <cell r="A125" t="str">
            <v>9519025273-2</v>
          </cell>
          <cell r="F125">
            <v>42</v>
          </cell>
        </row>
        <row r="126">
          <cell r="A126" t="str">
            <v>9519025273-4</v>
          </cell>
          <cell r="D126">
            <v>84</v>
          </cell>
        </row>
        <row r="127">
          <cell r="A127" t="str">
            <v>9519025273-8</v>
          </cell>
          <cell r="D127">
            <v>21</v>
          </cell>
        </row>
        <row r="128">
          <cell r="A128" t="str">
            <v>9519025273-9</v>
          </cell>
          <cell r="E128">
            <v>23</v>
          </cell>
        </row>
        <row r="129">
          <cell r="A129" t="str">
            <v>9519025430-2</v>
          </cell>
          <cell r="C129">
            <v>29</v>
          </cell>
        </row>
        <row r="130">
          <cell r="A130" t="str">
            <v>9519025430-6</v>
          </cell>
          <cell r="F130">
            <v>29</v>
          </cell>
        </row>
        <row r="131">
          <cell r="A131" t="str">
            <v>9519025430-8</v>
          </cell>
          <cell r="F131">
            <v>29</v>
          </cell>
        </row>
        <row r="132">
          <cell r="A132" t="str">
            <v>9519025593-1</v>
          </cell>
          <cell r="C132">
            <v>29</v>
          </cell>
        </row>
        <row r="133">
          <cell r="A133" t="str">
            <v>9519025593-2</v>
          </cell>
          <cell r="F133">
            <v>29</v>
          </cell>
        </row>
        <row r="134">
          <cell r="A134" t="str">
            <v>9519025593-3</v>
          </cell>
          <cell r="C134">
            <v>54.999000000000002</v>
          </cell>
        </row>
        <row r="135">
          <cell r="A135" t="str">
            <v>9519025593-4</v>
          </cell>
          <cell r="D135">
            <v>29</v>
          </cell>
        </row>
        <row r="136">
          <cell r="A136" t="str">
            <v>9519025763-1</v>
          </cell>
          <cell r="C136">
            <v>29</v>
          </cell>
        </row>
        <row r="137">
          <cell r="A137" t="str">
            <v>9519027787-5</v>
          </cell>
          <cell r="F137">
            <v>46</v>
          </cell>
        </row>
        <row r="138">
          <cell r="A138" t="str">
            <v>9519028090-3</v>
          </cell>
          <cell r="B138">
            <v>58</v>
          </cell>
        </row>
        <row r="139">
          <cell r="A139" t="str">
            <v>9519028090-4</v>
          </cell>
          <cell r="C139">
            <v>26.03</v>
          </cell>
        </row>
        <row r="140">
          <cell r="A140" t="str">
            <v>9519028090-5</v>
          </cell>
          <cell r="C140">
            <v>125.93</v>
          </cell>
        </row>
        <row r="141">
          <cell r="A141" t="str">
            <v>9519028231-2</v>
          </cell>
          <cell r="E141">
            <v>58</v>
          </cell>
        </row>
        <row r="142">
          <cell r="A142" t="str">
            <v>9519028231-3</v>
          </cell>
          <cell r="E142">
            <v>58</v>
          </cell>
        </row>
        <row r="143">
          <cell r="A143" t="str">
            <v>9519028231-5</v>
          </cell>
          <cell r="E143">
            <v>91.03</v>
          </cell>
        </row>
        <row r="144">
          <cell r="A144" t="str">
            <v>9519028231-6</v>
          </cell>
          <cell r="D144">
            <v>58</v>
          </cell>
        </row>
        <row r="145">
          <cell r="A145" t="str">
            <v>9519028231-7</v>
          </cell>
          <cell r="D145">
            <v>87</v>
          </cell>
        </row>
        <row r="146">
          <cell r="A146" t="str">
            <v>9519028240-1</v>
          </cell>
          <cell r="D146">
            <v>126</v>
          </cell>
        </row>
        <row r="147">
          <cell r="A147" t="str">
            <v>9519028293-1</v>
          </cell>
          <cell r="F147">
            <v>42</v>
          </cell>
        </row>
        <row r="148">
          <cell r="A148" t="str">
            <v>9519028293-2</v>
          </cell>
          <cell r="E148">
            <v>46</v>
          </cell>
        </row>
        <row r="149">
          <cell r="A149" t="str">
            <v>9519028293-4</v>
          </cell>
          <cell r="C149">
            <v>58</v>
          </cell>
        </row>
        <row r="150">
          <cell r="A150" t="str">
            <v>9519028902-1</v>
          </cell>
          <cell r="D150">
            <v>87</v>
          </cell>
        </row>
        <row r="151">
          <cell r="A151" t="str">
            <v>9519029782-11</v>
          </cell>
          <cell r="B151">
            <v>28.998999999999999</v>
          </cell>
        </row>
        <row r="152">
          <cell r="A152" t="str">
            <v>9519029782-5</v>
          </cell>
          <cell r="C152">
            <v>29</v>
          </cell>
        </row>
        <row r="153">
          <cell r="A153" t="str">
            <v>9519029782-6</v>
          </cell>
          <cell r="B153">
            <v>29</v>
          </cell>
        </row>
        <row r="154">
          <cell r="A154" t="str">
            <v>9519029782-7</v>
          </cell>
          <cell r="B154">
            <v>29</v>
          </cell>
        </row>
        <row r="155">
          <cell r="A155" t="str">
            <v>9519029782-9</v>
          </cell>
          <cell r="E155">
            <v>23</v>
          </cell>
        </row>
        <row r="156">
          <cell r="A156" t="str">
            <v>9519029800-1</v>
          </cell>
          <cell r="F156">
            <v>21</v>
          </cell>
        </row>
        <row r="157">
          <cell r="A157" t="str">
            <v>9519029800-11</v>
          </cell>
          <cell r="E157">
            <v>20.244</v>
          </cell>
        </row>
        <row r="158">
          <cell r="A158" t="str">
            <v>9519029800-2</v>
          </cell>
          <cell r="F158">
            <v>21</v>
          </cell>
        </row>
        <row r="159">
          <cell r="A159" t="str">
            <v>9519029800-5</v>
          </cell>
          <cell r="F159">
            <v>29</v>
          </cell>
        </row>
        <row r="160">
          <cell r="A160" t="str">
            <v>9519029800-6</v>
          </cell>
          <cell r="F160">
            <v>29</v>
          </cell>
        </row>
        <row r="161">
          <cell r="A161" t="str">
            <v>9519029800-7</v>
          </cell>
          <cell r="B161">
            <v>29</v>
          </cell>
        </row>
        <row r="162">
          <cell r="A162" t="str">
            <v>9519029800-9</v>
          </cell>
          <cell r="E162">
            <v>23</v>
          </cell>
        </row>
        <row r="163">
          <cell r="A163" t="str">
            <v>9519030952-1</v>
          </cell>
          <cell r="D163">
            <v>272.22000000000003</v>
          </cell>
        </row>
        <row r="164">
          <cell r="A164" t="str">
            <v>9519030952-2</v>
          </cell>
          <cell r="D164">
            <v>272.505</v>
          </cell>
        </row>
        <row r="165">
          <cell r="A165" t="str">
            <v>9519031476-2</v>
          </cell>
          <cell r="E165">
            <v>69</v>
          </cell>
        </row>
        <row r="166">
          <cell r="A166" t="str">
            <v>9519031476-4</v>
          </cell>
          <cell r="E166">
            <v>23</v>
          </cell>
        </row>
        <row r="167">
          <cell r="A167" t="str">
            <v>9519031476-5</v>
          </cell>
          <cell r="B167">
            <v>23</v>
          </cell>
        </row>
        <row r="168">
          <cell r="A168" t="str">
            <v>9519031476-8</v>
          </cell>
          <cell r="D168">
            <v>29</v>
          </cell>
        </row>
        <row r="169">
          <cell r="A169" t="str">
            <v>9519031476-9</v>
          </cell>
          <cell r="C169">
            <v>31.48</v>
          </cell>
        </row>
        <row r="170">
          <cell r="A170" t="str">
            <v>9519032783-1</v>
          </cell>
          <cell r="C170">
            <v>29</v>
          </cell>
        </row>
        <row r="171">
          <cell r="A171" t="str">
            <v>9519034241-1</v>
          </cell>
          <cell r="C171">
            <v>53.76</v>
          </cell>
        </row>
        <row r="172">
          <cell r="A172" t="str">
            <v>9519034241-3</v>
          </cell>
          <cell r="C172">
            <v>7.1</v>
          </cell>
        </row>
        <row r="173">
          <cell r="A173" t="str">
            <v>9519034241-4</v>
          </cell>
          <cell r="E173">
            <v>267.36500000000001</v>
          </cell>
        </row>
        <row r="174">
          <cell r="A174" t="str">
            <v>9519035613-1</v>
          </cell>
          <cell r="B174">
            <v>31.809000000000001</v>
          </cell>
        </row>
        <row r="175">
          <cell r="A175" t="str">
            <v>9519035728-1</v>
          </cell>
          <cell r="F175">
            <v>143.32</v>
          </cell>
        </row>
        <row r="176">
          <cell r="A176" t="str">
            <v>9519035728-2</v>
          </cell>
          <cell r="F176">
            <v>70.275000000000006</v>
          </cell>
        </row>
        <row r="177">
          <cell r="A177" t="str">
            <v>9519035790-1</v>
          </cell>
          <cell r="D177">
            <v>21</v>
          </cell>
        </row>
        <row r="178">
          <cell r="A178" t="str">
            <v>9519035790-4</v>
          </cell>
          <cell r="B178">
            <v>24.535</v>
          </cell>
        </row>
        <row r="179">
          <cell r="A179" t="str">
            <v>9519036122-8</v>
          </cell>
          <cell r="C179">
            <v>59.67</v>
          </cell>
        </row>
        <row r="180">
          <cell r="A180" t="str">
            <v>9519036143-3</v>
          </cell>
          <cell r="D180">
            <v>147</v>
          </cell>
        </row>
        <row r="181">
          <cell r="A181" t="str">
            <v>9519036143-5</v>
          </cell>
          <cell r="E181">
            <v>59.93</v>
          </cell>
        </row>
        <row r="182">
          <cell r="A182" t="str">
            <v>9519036143-7</v>
          </cell>
          <cell r="E182">
            <v>126</v>
          </cell>
        </row>
        <row r="183">
          <cell r="A183" t="str">
            <v>9519036143-8</v>
          </cell>
          <cell r="B183">
            <v>9.2050000000000001</v>
          </cell>
        </row>
        <row r="184">
          <cell r="A184" t="str">
            <v>9519036143-9</v>
          </cell>
          <cell r="D184">
            <v>106.97</v>
          </cell>
        </row>
        <row r="185">
          <cell r="A185" t="str">
            <v>9519036272-1</v>
          </cell>
          <cell r="B185">
            <v>41.55</v>
          </cell>
        </row>
        <row r="186">
          <cell r="A186" t="str">
            <v>9519036272-3</v>
          </cell>
          <cell r="D186">
            <v>58</v>
          </cell>
        </row>
        <row r="187">
          <cell r="A187" t="str">
            <v>9519036272-4</v>
          </cell>
          <cell r="E187">
            <v>44.19</v>
          </cell>
        </row>
        <row r="188">
          <cell r="A188" t="str">
            <v>9519036272-5</v>
          </cell>
          <cell r="E188">
            <v>51.56</v>
          </cell>
        </row>
        <row r="189">
          <cell r="A189" t="str">
            <v>9519036272-7</v>
          </cell>
          <cell r="E189">
            <v>92</v>
          </cell>
        </row>
        <row r="190">
          <cell r="A190" t="str">
            <v>9519036272-8</v>
          </cell>
          <cell r="C190">
            <v>58</v>
          </cell>
        </row>
        <row r="191">
          <cell r="A191" t="str">
            <v>9519036272-9</v>
          </cell>
          <cell r="E191">
            <v>92</v>
          </cell>
        </row>
        <row r="192">
          <cell r="A192" t="str">
            <v>9519036388-1</v>
          </cell>
          <cell r="F192">
            <v>63</v>
          </cell>
        </row>
        <row r="193">
          <cell r="A193" t="str">
            <v>9519036388-3</v>
          </cell>
          <cell r="B193">
            <v>29</v>
          </cell>
        </row>
        <row r="194">
          <cell r="A194" t="str">
            <v>9519036388-4</v>
          </cell>
          <cell r="F194">
            <v>29</v>
          </cell>
        </row>
        <row r="195">
          <cell r="A195" t="str">
            <v>9519036674-3</v>
          </cell>
          <cell r="D195">
            <v>55.66</v>
          </cell>
        </row>
        <row r="196">
          <cell r="A196" t="str">
            <v>9519037676-1</v>
          </cell>
          <cell r="C196">
            <v>83.754999999999995</v>
          </cell>
        </row>
        <row r="197">
          <cell r="A197" t="str">
            <v>9519038135-3</v>
          </cell>
          <cell r="C197">
            <v>5.63</v>
          </cell>
        </row>
        <row r="198">
          <cell r="A198" t="str">
            <v>9519038135-4</v>
          </cell>
          <cell r="D198">
            <v>29</v>
          </cell>
        </row>
        <row r="199">
          <cell r="A199" t="str">
            <v>9519038135-5</v>
          </cell>
          <cell r="D199">
            <v>58</v>
          </cell>
        </row>
        <row r="200">
          <cell r="A200" t="str">
            <v>9519038135-6</v>
          </cell>
          <cell r="D200">
            <v>29</v>
          </cell>
        </row>
        <row r="201">
          <cell r="A201" t="str">
            <v>9519038607-1</v>
          </cell>
          <cell r="F201">
            <v>63</v>
          </cell>
        </row>
        <row r="202">
          <cell r="A202" t="str">
            <v>9519038607-2</v>
          </cell>
          <cell r="E202">
            <v>105</v>
          </cell>
        </row>
        <row r="203">
          <cell r="A203" t="str">
            <v>9519038607-4</v>
          </cell>
          <cell r="F203">
            <v>63</v>
          </cell>
        </row>
        <row r="204">
          <cell r="A204" t="str">
            <v>9519038643-2</v>
          </cell>
          <cell r="E204">
            <v>105</v>
          </cell>
        </row>
        <row r="205">
          <cell r="A205" t="str">
            <v>9519038643-3</v>
          </cell>
          <cell r="E205">
            <v>105</v>
          </cell>
        </row>
        <row r="206">
          <cell r="A206" t="str">
            <v>9519038643-4</v>
          </cell>
          <cell r="E206">
            <v>105</v>
          </cell>
        </row>
        <row r="207">
          <cell r="A207" t="str">
            <v>9519038643-5</v>
          </cell>
          <cell r="F207">
            <v>42</v>
          </cell>
        </row>
        <row r="208">
          <cell r="A208" t="str">
            <v>9519040022-2</v>
          </cell>
          <cell r="B208">
            <v>15.565</v>
          </cell>
        </row>
        <row r="209">
          <cell r="A209" t="str">
            <v>9519040245-1</v>
          </cell>
          <cell r="D209">
            <v>93.424999999999997</v>
          </cell>
        </row>
        <row r="210">
          <cell r="A210" t="str">
            <v>9519040469-2</v>
          </cell>
          <cell r="B210">
            <v>38.89</v>
          </cell>
        </row>
        <row r="211">
          <cell r="A211" t="str">
            <v>9519040469-3</v>
          </cell>
          <cell r="F211">
            <v>294</v>
          </cell>
        </row>
        <row r="212">
          <cell r="A212" t="str">
            <v>9519040469-5</v>
          </cell>
          <cell r="B212">
            <v>42</v>
          </cell>
        </row>
        <row r="213">
          <cell r="A213" t="str">
            <v>9519040469-7</v>
          </cell>
          <cell r="D213">
            <v>63</v>
          </cell>
        </row>
        <row r="214">
          <cell r="A214" t="str">
            <v>9519041216-1</v>
          </cell>
          <cell r="F214">
            <v>46</v>
          </cell>
        </row>
        <row r="215">
          <cell r="A215" t="str">
            <v>9519041216-2</v>
          </cell>
          <cell r="D215">
            <v>42</v>
          </cell>
        </row>
        <row r="216">
          <cell r="A216" t="str">
            <v>9519042679-4</v>
          </cell>
          <cell r="C216">
            <v>26.63</v>
          </cell>
        </row>
        <row r="217">
          <cell r="A217" t="str">
            <v>9519042679-5</v>
          </cell>
          <cell r="C217">
            <v>27.289000000000001</v>
          </cell>
        </row>
        <row r="218">
          <cell r="A218" t="str">
            <v>9519042679-6</v>
          </cell>
          <cell r="C218">
            <v>41.234000000000002</v>
          </cell>
        </row>
        <row r="219">
          <cell r="A219" t="str">
            <v>9519042679-8</v>
          </cell>
          <cell r="C219">
            <v>10.959</v>
          </cell>
        </row>
        <row r="220">
          <cell r="A220" t="str">
            <v>9519050497-1</v>
          </cell>
          <cell r="D220">
            <v>58</v>
          </cell>
        </row>
        <row r="221">
          <cell r="A221" t="str">
            <v>9519050617-13</v>
          </cell>
          <cell r="C221">
            <v>10.18</v>
          </cell>
        </row>
        <row r="222">
          <cell r="A222" t="str">
            <v>9519050617-5</v>
          </cell>
          <cell r="C222">
            <v>20.033999999999999</v>
          </cell>
        </row>
        <row r="223">
          <cell r="A223" t="str">
            <v>9519050823-1</v>
          </cell>
          <cell r="C223">
            <v>29</v>
          </cell>
        </row>
        <row r="224">
          <cell r="A224" t="str">
            <v>9519051309-1</v>
          </cell>
          <cell r="E224">
            <v>22.98</v>
          </cell>
        </row>
        <row r="225">
          <cell r="A225" t="str">
            <v>9519054316-1</v>
          </cell>
          <cell r="F225">
            <v>115.999</v>
          </cell>
        </row>
        <row r="226">
          <cell r="A226" t="str">
            <v>9519054316-2</v>
          </cell>
          <cell r="F226">
            <v>115.999</v>
          </cell>
        </row>
        <row r="227">
          <cell r="A227" t="str">
            <v>9519054625-10</v>
          </cell>
          <cell r="B227">
            <v>112</v>
          </cell>
        </row>
        <row r="228">
          <cell r="A228" t="str">
            <v>9519054625-11</v>
          </cell>
          <cell r="D228">
            <v>105</v>
          </cell>
        </row>
        <row r="229">
          <cell r="A229" t="str">
            <v>9519054625-4</v>
          </cell>
          <cell r="E229">
            <v>42</v>
          </cell>
        </row>
        <row r="230">
          <cell r="A230" t="str">
            <v>9519054625-5</v>
          </cell>
          <cell r="E230">
            <v>21.835000000000001</v>
          </cell>
        </row>
        <row r="231">
          <cell r="A231" t="str">
            <v>9519054625-6</v>
          </cell>
          <cell r="E231">
            <v>25.35</v>
          </cell>
        </row>
        <row r="232">
          <cell r="A232" t="str">
            <v>9519054690-1</v>
          </cell>
          <cell r="B232">
            <v>116</v>
          </cell>
        </row>
        <row r="233">
          <cell r="A233" t="str">
            <v>9519056703-3</v>
          </cell>
          <cell r="D233">
            <v>23</v>
          </cell>
        </row>
        <row r="234">
          <cell r="A234" t="str">
            <v>9519057594-1</v>
          </cell>
          <cell r="D234">
            <v>21</v>
          </cell>
        </row>
        <row r="235">
          <cell r="A235" t="str">
            <v>9519058218-3</v>
          </cell>
          <cell r="C235">
            <v>29</v>
          </cell>
        </row>
        <row r="236">
          <cell r="A236" t="str">
            <v>9519061304-1</v>
          </cell>
          <cell r="C236">
            <v>290</v>
          </cell>
        </row>
        <row r="237">
          <cell r="A237" t="str">
            <v>9519062631-1</v>
          </cell>
          <cell r="D237">
            <v>29</v>
          </cell>
        </row>
        <row r="238">
          <cell r="A238" t="str">
            <v>9519062631-10</v>
          </cell>
          <cell r="F238">
            <v>58</v>
          </cell>
        </row>
        <row r="239">
          <cell r="A239" t="str">
            <v>9519062631-11</v>
          </cell>
          <cell r="F239">
            <v>58</v>
          </cell>
        </row>
        <row r="240">
          <cell r="A240" t="str">
            <v>9519062631-12</v>
          </cell>
          <cell r="C240">
            <v>29</v>
          </cell>
        </row>
        <row r="241">
          <cell r="A241" t="str">
            <v>9519062631-2</v>
          </cell>
          <cell r="E241">
            <v>46</v>
          </cell>
        </row>
        <row r="242">
          <cell r="A242" t="str">
            <v>9519062631-4</v>
          </cell>
          <cell r="D242">
            <v>29</v>
          </cell>
        </row>
        <row r="243">
          <cell r="A243" t="str">
            <v>9519064390-1</v>
          </cell>
          <cell r="B243">
            <v>14.585000000000001</v>
          </cell>
        </row>
        <row r="244">
          <cell r="A244" t="str">
            <v>9519065058-1</v>
          </cell>
          <cell r="B244">
            <v>7.06</v>
          </cell>
        </row>
        <row r="245">
          <cell r="A245" t="str">
            <v>9519065717-3</v>
          </cell>
          <cell r="B245">
            <v>73.290000000000006</v>
          </cell>
        </row>
        <row r="246">
          <cell r="A246" t="str">
            <v>9519065717-4</v>
          </cell>
          <cell r="B246">
            <v>171.41499999999999</v>
          </cell>
        </row>
        <row r="247">
          <cell r="A247" t="str">
            <v>9519068944-4</v>
          </cell>
          <cell r="C247">
            <v>14.275</v>
          </cell>
        </row>
        <row r="248">
          <cell r="A248" t="str">
            <v>9519068944-5</v>
          </cell>
          <cell r="C248">
            <v>11.59</v>
          </cell>
        </row>
        <row r="249">
          <cell r="A249" t="str">
            <v>9519069645-1</v>
          </cell>
          <cell r="B249">
            <v>196</v>
          </cell>
        </row>
        <row r="250">
          <cell r="A250" t="str">
            <v>9519071445-1</v>
          </cell>
          <cell r="D250">
            <v>87</v>
          </cell>
        </row>
        <row r="251">
          <cell r="A251" t="str">
            <v>9519072501-2</v>
          </cell>
          <cell r="D251">
            <v>56</v>
          </cell>
        </row>
        <row r="252">
          <cell r="A252" t="str">
            <v>9519072526-1</v>
          </cell>
          <cell r="D252">
            <v>93</v>
          </cell>
        </row>
        <row r="253">
          <cell r="A253" t="str">
            <v>9519072526-2</v>
          </cell>
          <cell r="B253">
            <v>0</v>
          </cell>
        </row>
        <row r="254">
          <cell r="A254" t="str">
            <v>9519072526-3</v>
          </cell>
          <cell r="B254">
            <v>93</v>
          </cell>
        </row>
        <row r="255">
          <cell r="A255" t="str">
            <v>9519072913-1</v>
          </cell>
          <cell r="C255">
            <v>95.7</v>
          </cell>
        </row>
        <row r="256">
          <cell r="A256" t="str">
            <v>9519072913-2</v>
          </cell>
          <cell r="C256">
            <v>126</v>
          </cell>
        </row>
        <row r="257">
          <cell r="A257" t="str">
            <v>9519072913-3</v>
          </cell>
          <cell r="D257">
            <v>126</v>
          </cell>
        </row>
        <row r="258">
          <cell r="A258" t="str">
            <v>9519072913-4</v>
          </cell>
          <cell r="D258">
            <v>21</v>
          </cell>
        </row>
        <row r="259">
          <cell r="A259" t="str">
            <v>9519072913-5</v>
          </cell>
          <cell r="D259">
            <v>126</v>
          </cell>
        </row>
        <row r="260">
          <cell r="A260" t="str">
            <v>9519072913-6</v>
          </cell>
          <cell r="D260">
            <v>21</v>
          </cell>
        </row>
        <row r="261">
          <cell r="A261" t="str">
            <v>9519073218-2</v>
          </cell>
          <cell r="C261">
            <v>29</v>
          </cell>
        </row>
        <row r="262">
          <cell r="A262" t="str">
            <v>9519073326-1</v>
          </cell>
          <cell r="E262">
            <v>116</v>
          </cell>
        </row>
        <row r="263">
          <cell r="A263" t="str">
            <v>9519074568-2</v>
          </cell>
          <cell r="B263">
            <v>33.42</v>
          </cell>
        </row>
        <row r="264">
          <cell r="A264" t="str">
            <v>9519074568-3</v>
          </cell>
          <cell r="B264">
            <v>18.63</v>
          </cell>
        </row>
        <row r="265">
          <cell r="A265" t="str">
            <v>9519074568-5</v>
          </cell>
          <cell r="B265">
            <v>17.745000000000001</v>
          </cell>
        </row>
        <row r="266">
          <cell r="A266" t="str">
            <v>9519076414-4</v>
          </cell>
          <cell r="D266">
            <v>87</v>
          </cell>
        </row>
        <row r="267">
          <cell r="A267" t="str">
            <v>9519077538-1</v>
          </cell>
          <cell r="E267">
            <v>21</v>
          </cell>
        </row>
        <row r="268">
          <cell r="A268" t="str">
            <v>9519077538-3</v>
          </cell>
          <cell r="E268">
            <v>29</v>
          </cell>
        </row>
        <row r="269">
          <cell r="A269" t="str">
            <v>9519077538-4</v>
          </cell>
          <cell r="D269">
            <v>42</v>
          </cell>
        </row>
        <row r="270">
          <cell r="A270" t="str">
            <v>9519077538-8</v>
          </cell>
          <cell r="C270">
            <v>29</v>
          </cell>
        </row>
        <row r="271">
          <cell r="A271" t="str">
            <v>9519080347-1</v>
          </cell>
          <cell r="D271">
            <v>29</v>
          </cell>
        </row>
        <row r="272">
          <cell r="A272" t="str">
            <v>9519084425-1</v>
          </cell>
          <cell r="B272">
            <v>249.999</v>
          </cell>
        </row>
        <row r="273">
          <cell r="A273" t="str">
            <v>9519084425-2</v>
          </cell>
          <cell r="B273">
            <v>252.999</v>
          </cell>
        </row>
        <row r="274">
          <cell r="A274" t="str">
            <v>9519084425-3</v>
          </cell>
          <cell r="B274">
            <v>252.999</v>
          </cell>
        </row>
        <row r="275">
          <cell r="A275" t="str">
            <v>9519084425-4</v>
          </cell>
          <cell r="B275">
            <v>252.999</v>
          </cell>
        </row>
        <row r="276">
          <cell r="A276" t="str">
            <v>9519084425-5</v>
          </cell>
          <cell r="B276">
            <v>252.999</v>
          </cell>
        </row>
        <row r="277">
          <cell r="A277" t="str">
            <v>9519086006-1</v>
          </cell>
          <cell r="D277">
            <v>145</v>
          </cell>
        </row>
        <row r="278">
          <cell r="A278" t="str">
            <v>9519086148-1</v>
          </cell>
          <cell r="F278">
            <v>63</v>
          </cell>
        </row>
        <row r="279">
          <cell r="A279" t="str">
            <v>9519086148-2</v>
          </cell>
          <cell r="F279">
            <v>63</v>
          </cell>
        </row>
        <row r="280">
          <cell r="A280" t="str">
            <v>9519088402-1</v>
          </cell>
          <cell r="B280">
            <v>26</v>
          </cell>
        </row>
        <row r="281">
          <cell r="A281" t="str">
            <v>9519088402-2</v>
          </cell>
          <cell r="C281">
            <v>26</v>
          </cell>
        </row>
        <row r="282">
          <cell r="A282" t="str">
            <v>9519088655-1</v>
          </cell>
          <cell r="E282">
            <v>42</v>
          </cell>
        </row>
        <row r="283">
          <cell r="A283" t="str">
            <v>9519088655-10</v>
          </cell>
          <cell r="C283">
            <v>29</v>
          </cell>
        </row>
        <row r="284">
          <cell r="A284" t="str">
            <v>9519088655-11</v>
          </cell>
          <cell r="C284">
            <v>29</v>
          </cell>
        </row>
        <row r="285">
          <cell r="A285" t="str">
            <v>9519088655-13</v>
          </cell>
          <cell r="D285">
            <v>41.414999999999999</v>
          </cell>
        </row>
        <row r="286">
          <cell r="A286" t="str">
            <v>9519088655-14</v>
          </cell>
          <cell r="C286">
            <v>58</v>
          </cell>
        </row>
        <row r="287">
          <cell r="A287" t="str">
            <v>9519088655-15</v>
          </cell>
          <cell r="C287">
            <v>29</v>
          </cell>
        </row>
        <row r="288">
          <cell r="A288" t="str">
            <v>9519088655-5</v>
          </cell>
          <cell r="E288">
            <v>29</v>
          </cell>
        </row>
        <row r="289">
          <cell r="A289" t="str">
            <v>9519088655-6</v>
          </cell>
          <cell r="E289">
            <v>23</v>
          </cell>
        </row>
        <row r="290">
          <cell r="A290" t="str">
            <v>9519088655-7</v>
          </cell>
          <cell r="E290">
            <v>23</v>
          </cell>
        </row>
        <row r="291">
          <cell r="A291" t="str">
            <v>9519088655-8</v>
          </cell>
          <cell r="E291">
            <v>23</v>
          </cell>
        </row>
        <row r="292">
          <cell r="A292" t="str">
            <v>9519088655-9</v>
          </cell>
          <cell r="B292">
            <v>29</v>
          </cell>
        </row>
        <row r="293">
          <cell r="A293" t="str">
            <v>9519090038-2</v>
          </cell>
          <cell r="F293">
            <v>90</v>
          </cell>
        </row>
        <row r="294">
          <cell r="A294" t="str">
            <v>9519090038-3</v>
          </cell>
          <cell r="F294">
            <v>26.815000000000001</v>
          </cell>
        </row>
        <row r="295">
          <cell r="A295" t="str">
            <v>9519090038-4</v>
          </cell>
          <cell r="F295">
            <v>30</v>
          </cell>
        </row>
        <row r="296">
          <cell r="A296" t="str">
            <v>9519090170-1</v>
          </cell>
          <cell r="C296">
            <v>231</v>
          </cell>
        </row>
        <row r="297">
          <cell r="A297" t="str">
            <v>9519090170-2</v>
          </cell>
          <cell r="C297">
            <v>147</v>
          </cell>
        </row>
        <row r="298">
          <cell r="A298" t="str">
            <v>9519090170-3</v>
          </cell>
          <cell r="C298">
            <v>42</v>
          </cell>
        </row>
        <row r="299">
          <cell r="A299" t="str">
            <v>9519091866-3</v>
          </cell>
          <cell r="B299">
            <v>93</v>
          </cell>
        </row>
        <row r="300">
          <cell r="A300" t="str">
            <v>9519093436-1</v>
          </cell>
          <cell r="E300">
            <v>29</v>
          </cell>
        </row>
        <row r="301">
          <cell r="A301" t="str">
            <v>9519094552-1</v>
          </cell>
          <cell r="D301">
            <v>42</v>
          </cell>
        </row>
        <row r="302">
          <cell r="A302" t="str">
            <v>9519094552-5</v>
          </cell>
          <cell r="E302">
            <v>29</v>
          </cell>
        </row>
        <row r="303">
          <cell r="A303" t="str">
            <v>9519094552-6</v>
          </cell>
          <cell r="D303">
            <v>21</v>
          </cell>
        </row>
        <row r="304">
          <cell r="A304" t="str">
            <v>9519096071-1</v>
          </cell>
          <cell r="E304">
            <v>21</v>
          </cell>
        </row>
        <row r="305">
          <cell r="A305" t="str">
            <v>9519096071-2</v>
          </cell>
          <cell r="C305">
            <v>29</v>
          </cell>
        </row>
        <row r="306">
          <cell r="A306" t="str">
            <v>9519096071-3</v>
          </cell>
          <cell r="B306">
            <v>29</v>
          </cell>
        </row>
        <row r="307">
          <cell r="A307" t="str">
            <v>9519096071-5</v>
          </cell>
          <cell r="F307">
            <v>29</v>
          </cell>
        </row>
        <row r="308">
          <cell r="A308" t="str">
            <v>9519097437-10</v>
          </cell>
          <cell r="C308">
            <v>116</v>
          </cell>
        </row>
        <row r="309">
          <cell r="A309" t="str">
            <v>9519097437-12</v>
          </cell>
          <cell r="E309">
            <v>58</v>
          </cell>
        </row>
        <row r="310">
          <cell r="A310" t="str">
            <v>9519097437-5</v>
          </cell>
          <cell r="F310">
            <v>29</v>
          </cell>
        </row>
        <row r="311">
          <cell r="A311" t="str">
            <v>9519097437-6</v>
          </cell>
          <cell r="E311">
            <v>21</v>
          </cell>
        </row>
        <row r="312">
          <cell r="A312" t="str">
            <v>9519097662-3</v>
          </cell>
          <cell r="C312">
            <v>22.07</v>
          </cell>
        </row>
        <row r="313">
          <cell r="A313" t="str">
            <v>9519097824-2</v>
          </cell>
          <cell r="B313">
            <v>27.475000000000001</v>
          </cell>
        </row>
        <row r="314">
          <cell r="A314" t="str">
            <v>9519097824-3</v>
          </cell>
          <cell r="B314">
            <v>31.04</v>
          </cell>
        </row>
        <row r="315">
          <cell r="A315" t="str">
            <v>9519098913-2</v>
          </cell>
          <cell r="C315">
            <v>174</v>
          </cell>
        </row>
        <row r="316">
          <cell r="A316" t="str">
            <v>9519098913-3</v>
          </cell>
          <cell r="D316">
            <v>174</v>
          </cell>
        </row>
        <row r="317">
          <cell r="A317" t="str">
            <v>9519099083-2</v>
          </cell>
          <cell r="C317">
            <v>87</v>
          </cell>
        </row>
        <row r="318">
          <cell r="A318" t="str">
            <v>9519099563-10</v>
          </cell>
          <cell r="E318">
            <v>105</v>
          </cell>
        </row>
        <row r="319">
          <cell r="A319" t="str">
            <v>9519099563-11</v>
          </cell>
          <cell r="E319">
            <v>42</v>
          </cell>
        </row>
        <row r="320">
          <cell r="A320" t="str">
            <v>9519099563-12</v>
          </cell>
          <cell r="D320">
            <v>126</v>
          </cell>
        </row>
        <row r="321">
          <cell r="A321" t="str">
            <v>9519099563-13</v>
          </cell>
          <cell r="E321">
            <v>126</v>
          </cell>
        </row>
        <row r="322">
          <cell r="A322" t="str">
            <v>9519099563-14</v>
          </cell>
          <cell r="E322">
            <v>126</v>
          </cell>
        </row>
        <row r="323">
          <cell r="A323" t="str">
            <v>9519099563-15</v>
          </cell>
          <cell r="D323">
            <v>126</v>
          </cell>
        </row>
        <row r="324">
          <cell r="A324" t="str">
            <v>9519099563-2</v>
          </cell>
          <cell r="D324">
            <v>126</v>
          </cell>
        </row>
        <row r="325">
          <cell r="A325" t="str">
            <v>9519099563-5</v>
          </cell>
          <cell r="D325">
            <v>126</v>
          </cell>
        </row>
        <row r="326">
          <cell r="A326" t="str">
            <v>9519099563-6</v>
          </cell>
          <cell r="E326">
            <v>126</v>
          </cell>
        </row>
        <row r="327">
          <cell r="A327" t="str">
            <v>9519099563-7</v>
          </cell>
          <cell r="E327">
            <v>105</v>
          </cell>
        </row>
        <row r="328">
          <cell r="A328" t="str">
            <v>9519099563-8</v>
          </cell>
          <cell r="E328">
            <v>126</v>
          </cell>
        </row>
        <row r="329">
          <cell r="A329" t="str">
            <v>9519099563-9</v>
          </cell>
          <cell r="E329">
            <v>126</v>
          </cell>
        </row>
        <row r="330">
          <cell r="A330" t="str">
            <v>9519101481-1</v>
          </cell>
          <cell r="B330">
            <v>5.63</v>
          </cell>
        </row>
        <row r="331">
          <cell r="A331" t="str">
            <v>9519101481-2</v>
          </cell>
          <cell r="C331">
            <v>23.68</v>
          </cell>
        </row>
        <row r="332">
          <cell r="A332" t="str">
            <v>9519101481-3</v>
          </cell>
          <cell r="B332">
            <v>28</v>
          </cell>
        </row>
        <row r="333">
          <cell r="A333" t="str">
            <v>9519104694-1</v>
          </cell>
          <cell r="D333">
            <v>21</v>
          </cell>
        </row>
        <row r="334">
          <cell r="A334" t="str">
            <v>9519104694-2</v>
          </cell>
          <cell r="C334">
            <v>168</v>
          </cell>
        </row>
        <row r="335">
          <cell r="A335" t="str">
            <v>9519104694-3</v>
          </cell>
          <cell r="C335">
            <v>168</v>
          </cell>
        </row>
        <row r="336">
          <cell r="A336" t="str">
            <v>9519104694-4</v>
          </cell>
          <cell r="C336">
            <v>168</v>
          </cell>
        </row>
        <row r="337">
          <cell r="A337" t="str">
            <v>9519104694-5</v>
          </cell>
          <cell r="B337">
            <v>168</v>
          </cell>
        </row>
        <row r="338">
          <cell r="A338" t="str">
            <v>9519104694-6</v>
          </cell>
          <cell r="B338">
            <v>126</v>
          </cell>
        </row>
        <row r="339">
          <cell r="A339" t="str">
            <v>9519104694-8</v>
          </cell>
          <cell r="C339">
            <v>28</v>
          </cell>
        </row>
        <row r="340">
          <cell r="A340" t="str">
            <v>9519104694-9</v>
          </cell>
          <cell r="C340">
            <v>84</v>
          </cell>
        </row>
        <row r="341">
          <cell r="A341" t="str">
            <v>9519105231-1</v>
          </cell>
          <cell r="F341">
            <v>63</v>
          </cell>
        </row>
        <row r="342">
          <cell r="A342" t="str">
            <v>9519105231-2</v>
          </cell>
          <cell r="F342">
            <v>63</v>
          </cell>
        </row>
        <row r="343">
          <cell r="A343" t="str">
            <v>9519105231-3</v>
          </cell>
          <cell r="F343">
            <v>63</v>
          </cell>
        </row>
        <row r="344">
          <cell r="A344" t="str">
            <v>9519105231-4</v>
          </cell>
          <cell r="F344">
            <v>84</v>
          </cell>
        </row>
        <row r="345">
          <cell r="A345" t="str">
            <v>9519105231-5</v>
          </cell>
          <cell r="F345">
            <v>42</v>
          </cell>
        </row>
        <row r="346">
          <cell r="A346" t="str">
            <v>9519105467-10</v>
          </cell>
          <cell r="F346">
            <v>29</v>
          </cell>
        </row>
        <row r="347">
          <cell r="A347" t="str">
            <v>9519105467-11</v>
          </cell>
          <cell r="C347">
            <v>29</v>
          </cell>
        </row>
        <row r="348">
          <cell r="A348" t="str">
            <v>9519105467-12</v>
          </cell>
          <cell r="E348">
            <v>29</v>
          </cell>
        </row>
        <row r="349">
          <cell r="A349" t="str">
            <v>9519105467-16</v>
          </cell>
          <cell r="C349">
            <v>29</v>
          </cell>
        </row>
        <row r="350">
          <cell r="A350" t="str">
            <v>9519105467-7</v>
          </cell>
          <cell r="F350">
            <v>29</v>
          </cell>
        </row>
        <row r="351">
          <cell r="A351" t="str">
            <v>9519105662-10</v>
          </cell>
          <cell r="B351">
            <v>25.76</v>
          </cell>
        </row>
        <row r="352">
          <cell r="A352" t="str">
            <v>9519105662-2</v>
          </cell>
          <cell r="C352">
            <v>147</v>
          </cell>
        </row>
        <row r="353">
          <cell r="A353" t="str">
            <v>9519105662-3</v>
          </cell>
          <cell r="C353">
            <v>189</v>
          </cell>
        </row>
        <row r="354">
          <cell r="A354" t="str">
            <v>9519105662-4</v>
          </cell>
          <cell r="C354">
            <v>252</v>
          </cell>
        </row>
        <row r="355">
          <cell r="A355" t="str">
            <v>9519105662-5</v>
          </cell>
          <cell r="C355">
            <v>294</v>
          </cell>
        </row>
        <row r="356">
          <cell r="A356" t="str">
            <v>9519105662-6</v>
          </cell>
          <cell r="C356">
            <v>189</v>
          </cell>
        </row>
        <row r="357">
          <cell r="A357" t="str">
            <v>9519105662-7</v>
          </cell>
          <cell r="C357">
            <v>105</v>
          </cell>
        </row>
        <row r="358">
          <cell r="A358" t="str">
            <v>9519107089-1</v>
          </cell>
          <cell r="F358">
            <v>21</v>
          </cell>
        </row>
        <row r="359">
          <cell r="A359" t="str">
            <v>9519107089-2</v>
          </cell>
          <cell r="F359">
            <v>21</v>
          </cell>
        </row>
        <row r="360">
          <cell r="A360" t="str">
            <v>9519107089-3</v>
          </cell>
          <cell r="F360">
            <v>21</v>
          </cell>
        </row>
        <row r="361">
          <cell r="A361" t="str">
            <v>9519107089-4</v>
          </cell>
          <cell r="F361">
            <v>21</v>
          </cell>
        </row>
        <row r="362">
          <cell r="A362" t="str">
            <v>9519107089-5</v>
          </cell>
          <cell r="F362">
            <v>21</v>
          </cell>
        </row>
        <row r="363">
          <cell r="A363" t="str">
            <v>9519107755-4</v>
          </cell>
          <cell r="B363">
            <v>0</v>
          </cell>
        </row>
        <row r="364">
          <cell r="A364" t="str">
            <v>9519107794-1</v>
          </cell>
          <cell r="D364">
            <v>24.1</v>
          </cell>
        </row>
        <row r="365">
          <cell r="A365" t="str">
            <v>9519107868-6</v>
          </cell>
          <cell r="D365">
            <v>29</v>
          </cell>
        </row>
        <row r="366">
          <cell r="A366" t="str">
            <v>9519107996-1</v>
          </cell>
          <cell r="D366">
            <v>252</v>
          </cell>
        </row>
        <row r="367">
          <cell r="A367" t="str">
            <v>9519109370-1</v>
          </cell>
          <cell r="B367">
            <v>1.2250000000000001</v>
          </cell>
        </row>
        <row r="368">
          <cell r="A368" t="str">
            <v>9519109787-11</v>
          </cell>
          <cell r="C368">
            <v>29</v>
          </cell>
        </row>
        <row r="369">
          <cell r="A369" t="str">
            <v>9519109787-12</v>
          </cell>
          <cell r="D369">
            <v>29</v>
          </cell>
        </row>
        <row r="370">
          <cell r="A370" t="str">
            <v>9519109787-16</v>
          </cell>
          <cell r="C370">
            <v>29</v>
          </cell>
        </row>
        <row r="371">
          <cell r="A371" t="str">
            <v>9519109833-1</v>
          </cell>
          <cell r="D371">
            <v>58</v>
          </cell>
        </row>
        <row r="372">
          <cell r="A372" t="str">
            <v>9519109856-1</v>
          </cell>
          <cell r="E372">
            <v>29</v>
          </cell>
        </row>
        <row r="373">
          <cell r="A373" t="str">
            <v>9519109856-2</v>
          </cell>
          <cell r="D373">
            <v>23</v>
          </cell>
        </row>
        <row r="374">
          <cell r="A374" t="str">
            <v>9519109856-3</v>
          </cell>
          <cell r="E374">
            <v>58</v>
          </cell>
        </row>
        <row r="375">
          <cell r="A375" t="str">
            <v>9519109856-4</v>
          </cell>
          <cell r="D375">
            <v>29</v>
          </cell>
        </row>
        <row r="376">
          <cell r="A376" t="str">
            <v>9519110359-4</v>
          </cell>
          <cell r="D376">
            <v>29</v>
          </cell>
        </row>
        <row r="377">
          <cell r="A377" t="str">
            <v>9519110380-1</v>
          </cell>
          <cell r="F377">
            <v>231.999</v>
          </cell>
        </row>
        <row r="378">
          <cell r="A378" t="str">
            <v>9519110380-2</v>
          </cell>
          <cell r="E378">
            <v>289.99900000000002</v>
          </cell>
        </row>
        <row r="379">
          <cell r="A379" t="str">
            <v>9519110380-3</v>
          </cell>
          <cell r="E379">
            <v>57.999000000000002</v>
          </cell>
        </row>
        <row r="380">
          <cell r="A380" t="str">
            <v>9519110380-4</v>
          </cell>
          <cell r="F380">
            <v>260.99900000000002</v>
          </cell>
        </row>
        <row r="381">
          <cell r="A381" t="str">
            <v>9519110380-5</v>
          </cell>
          <cell r="D381">
            <v>289.99900000000002</v>
          </cell>
        </row>
        <row r="382">
          <cell r="A382" t="str">
            <v>9519112644-1</v>
          </cell>
          <cell r="D382">
            <v>21</v>
          </cell>
        </row>
        <row r="383">
          <cell r="A383" t="str">
            <v>9519113281-1</v>
          </cell>
          <cell r="C383">
            <v>58</v>
          </cell>
        </row>
        <row r="384">
          <cell r="A384" t="str">
            <v>9519113382-1</v>
          </cell>
          <cell r="D384">
            <v>29</v>
          </cell>
        </row>
        <row r="385">
          <cell r="A385" t="str">
            <v>9519113382-2</v>
          </cell>
          <cell r="D385">
            <v>87</v>
          </cell>
        </row>
        <row r="386">
          <cell r="A386" t="str">
            <v>9519113387-1</v>
          </cell>
          <cell r="F386">
            <v>21</v>
          </cell>
        </row>
        <row r="387">
          <cell r="A387" t="str">
            <v>9519113387-2</v>
          </cell>
          <cell r="F387">
            <v>42</v>
          </cell>
        </row>
        <row r="388">
          <cell r="A388" t="str">
            <v>9519113387-3</v>
          </cell>
          <cell r="F388">
            <v>21</v>
          </cell>
        </row>
        <row r="389">
          <cell r="A389" t="str">
            <v>9519113387-4</v>
          </cell>
          <cell r="F389">
            <v>126</v>
          </cell>
        </row>
        <row r="390">
          <cell r="A390" t="str">
            <v>9519114672-1</v>
          </cell>
          <cell r="B390">
            <v>28</v>
          </cell>
        </row>
        <row r="391">
          <cell r="A391" t="str">
            <v>9519114756-1</v>
          </cell>
          <cell r="C391">
            <v>42</v>
          </cell>
        </row>
        <row r="392">
          <cell r="A392" t="str">
            <v>9519114756-2</v>
          </cell>
          <cell r="E392">
            <v>63</v>
          </cell>
        </row>
        <row r="393">
          <cell r="A393" t="str">
            <v>9519114756-3</v>
          </cell>
          <cell r="E393">
            <v>63</v>
          </cell>
        </row>
        <row r="394">
          <cell r="A394" t="str">
            <v>9519114845-3</v>
          </cell>
          <cell r="B394">
            <v>26</v>
          </cell>
        </row>
        <row r="395">
          <cell r="A395" t="str">
            <v>9519114845-4</v>
          </cell>
          <cell r="B395">
            <v>29</v>
          </cell>
        </row>
        <row r="396">
          <cell r="A396" t="str">
            <v>9519115421-1</v>
          </cell>
          <cell r="E396">
            <v>203</v>
          </cell>
        </row>
        <row r="397">
          <cell r="A397" t="str">
            <v>9519115421-3</v>
          </cell>
          <cell r="D397">
            <v>116</v>
          </cell>
        </row>
        <row r="398">
          <cell r="A398" t="str">
            <v>9519115421-4</v>
          </cell>
          <cell r="E398">
            <v>203</v>
          </cell>
        </row>
        <row r="399">
          <cell r="A399" t="str">
            <v>9519115421-5</v>
          </cell>
          <cell r="E399">
            <v>203</v>
          </cell>
        </row>
        <row r="400">
          <cell r="A400" t="str">
            <v>9519115421-7</v>
          </cell>
          <cell r="E400">
            <v>100</v>
          </cell>
        </row>
        <row r="401">
          <cell r="A401" t="str">
            <v>9519115421-8</v>
          </cell>
          <cell r="C401">
            <v>116</v>
          </cell>
        </row>
        <row r="402">
          <cell r="A402" t="str">
            <v>9519116020-4</v>
          </cell>
          <cell r="E402">
            <v>84</v>
          </cell>
        </row>
        <row r="403">
          <cell r="A403" t="str">
            <v>9519116020-5</v>
          </cell>
          <cell r="E403">
            <v>84</v>
          </cell>
        </row>
        <row r="404">
          <cell r="A404" t="str">
            <v>9519117547-8</v>
          </cell>
          <cell r="E404">
            <v>29</v>
          </cell>
        </row>
        <row r="405">
          <cell r="A405" t="str">
            <v>9519119802-1</v>
          </cell>
          <cell r="C405">
            <v>17.545000000000002</v>
          </cell>
        </row>
        <row r="406">
          <cell r="A406" t="str">
            <v>9519120008-1</v>
          </cell>
          <cell r="E406">
            <v>297</v>
          </cell>
        </row>
        <row r="407">
          <cell r="A407" t="str">
            <v>9519120008-2</v>
          </cell>
          <cell r="E407">
            <v>297</v>
          </cell>
        </row>
        <row r="408">
          <cell r="A408" t="str">
            <v>9519120008-3</v>
          </cell>
          <cell r="E408">
            <v>297</v>
          </cell>
        </row>
        <row r="409">
          <cell r="A409" t="str">
            <v>9519120008-4</v>
          </cell>
          <cell r="F409">
            <v>277.26</v>
          </cell>
        </row>
        <row r="410">
          <cell r="A410" t="str">
            <v>9519120008-5</v>
          </cell>
          <cell r="F410">
            <v>290</v>
          </cell>
        </row>
        <row r="411">
          <cell r="A411" t="str">
            <v>9519121345-1</v>
          </cell>
          <cell r="C411">
            <v>196</v>
          </cell>
        </row>
        <row r="412">
          <cell r="A412" t="str">
            <v>9519121602-1</v>
          </cell>
          <cell r="C412">
            <v>29.13</v>
          </cell>
        </row>
        <row r="413">
          <cell r="A413" t="str">
            <v>9519123053-1</v>
          </cell>
          <cell r="D413">
            <v>231</v>
          </cell>
        </row>
        <row r="414">
          <cell r="A414" t="str">
            <v>9519123053-2</v>
          </cell>
          <cell r="E414">
            <v>189</v>
          </cell>
        </row>
        <row r="415">
          <cell r="A415" t="str">
            <v>9519123053-3</v>
          </cell>
          <cell r="F415">
            <v>21</v>
          </cell>
        </row>
        <row r="416">
          <cell r="A416" t="str">
            <v>9519123053-4</v>
          </cell>
          <cell r="F416">
            <v>294</v>
          </cell>
        </row>
        <row r="417">
          <cell r="A417" t="str">
            <v>9519123053-5</v>
          </cell>
          <cell r="F417">
            <v>252</v>
          </cell>
        </row>
        <row r="418">
          <cell r="A418" t="str">
            <v>9519123053-6</v>
          </cell>
          <cell r="F418">
            <v>42</v>
          </cell>
        </row>
        <row r="419">
          <cell r="A419" t="str">
            <v>9519123053-7</v>
          </cell>
          <cell r="E419">
            <v>236.32499999999999</v>
          </cell>
        </row>
        <row r="420">
          <cell r="A420" t="str">
            <v>9519123053-8</v>
          </cell>
          <cell r="E420">
            <v>56</v>
          </cell>
        </row>
        <row r="421">
          <cell r="A421" t="str">
            <v>9519123053-9</v>
          </cell>
          <cell r="C421">
            <v>56</v>
          </cell>
        </row>
        <row r="422">
          <cell r="A422" t="str">
            <v>9519123075-1</v>
          </cell>
          <cell r="E422">
            <v>56</v>
          </cell>
        </row>
        <row r="423">
          <cell r="A423" t="str">
            <v>9519123100-2</v>
          </cell>
          <cell r="F423">
            <v>42</v>
          </cell>
        </row>
        <row r="424">
          <cell r="A424" t="str">
            <v>9519123118-1</v>
          </cell>
          <cell r="D424">
            <v>21</v>
          </cell>
        </row>
        <row r="425">
          <cell r="A425" t="str">
            <v>9519123118-2</v>
          </cell>
          <cell r="F425">
            <v>210</v>
          </cell>
        </row>
        <row r="426">
          <cell r="A426" t="str">
            <v>9519123118-3</v>
          </cell>
          <cell r="E426">
            <v>42</v>
          </cell>
        </row>
        <row r="427">
          <cell r="A427" t="str">
            <v>9519123118-4</v>
          </cell>
          <cell r="E427">
            <v>60</v>
          </cell>
        </row>
        <row r="428">
          <cell r="A428" t="str">
            <v>9519123118-5</v>
          </cell>
          <cell r="E428">
            <v>60</v>
          </cell>
        </row>
        <row r="429">
          <cell r="A429" t="str">
            <v>9519123125-1</v>
          </cell>
          <cell r="E429">
            <v>60</v>
          </cell>
        </row>
        <row r="430">
          <cell r="A430" t="str">
            <v>9519123167-1</v>
          </cell>
          <cell r="E430">
            <v>28</v>
          </cell>
        </row>
        <row r="431">
          <cell r="A431" t="str">
            <v>9519123167-2</v>
          </cell>
          <cell r="E431">
            <v>84</v>
          </cell>
        </row>
        <row r="432">
          <cell r="A432" t="str">
            <v>9519123167-3</v>
          </cell>
          <cell r="E432">
            <v>28</v>
          </cell>
        </row>
        <row r="433">
          <cell r="A433" t="str">
            <v>9519123183-1</v>
          </cell>
          <cell r="D433">
            <v>21</v>
          </cell>
        </row>
        <row r="434">
          <cell r="A434" t="str">
            <v>9519123183-2</v>
          </cell>
          <cell r="F434">
            <v>210</v>
          </cell>
        </row>
        <row r="435">
          <cell r="A435" t="str">
            <v>9519123183-3</v>
          </cell>
          <cell r="E435">
            <v>21</v>
          </cell>
        </row>
        <row r="436">
          <cell r="A436" t="str">
            <v>9519126750-1</v>
          </cell>
          <cell r="C436">
            <v>63</v>
          </cell>
        </row>
        <row r="437">
          <cell r="A437" t="str">
            <v>9519126750-2</v>
          </cell>
          <cell r="C437">
            <v>105</v>
          </cell>
        </row>
        <row r="438">
          <cell r="A438" t="str">
            <v>9519126750-3</v>
          </cell>
          <cell r="C438">
            <v>63</v>
          </cell>
        </row>
        <row r="439">
          <cell r="A439" t="str">
            <v>9519126750-4</v>
          </cell>
          <cell r="C439">
            <v>21</v>
          </cell>
        </row>
        <row r="440">
          <cell r="A440" t="str">
            <v>9519134286-1</v>
          </cell>
          <cell r="D440">
            <v>28</v>
          </cell>
        </row>
        <row r="441">
          <cell r="A441" t="str">
            <v>9519134326-1</v>
          </cell>
          <cell r="C441">
            <v>168</v>
          </cell>
        </row>
        <row r="442">
          <cell r="A442" t="str">
            <v>9519134326-2</v>
          </cell>
          <cell r="B442">
            <v>56</v>
          </cell>
        </row>
        <row r="443">
          <cell r="A443" t="str">
            <v>9519134358-1</v>
          </cell>
          <cell r="C443">
            <v>168.81</v>
          </cell>
        </row>
        <row r="444">
          <cell r="A444" t="str">
            <v>9519134358-2</v>
          </cell>
          <cell r="B444">
            <v>28</v>
          </cell>
        </row>
        <row r="445">
          <cell r="A445" t="str">
            <v>9519134378-1</v>
          </cell>
          <cell r="B445">
            <v>128.30000000000001</v>
          </cell>
        </row>
        <row r="446">
          <cell r="A446" t="str">
            <v>9519134378-2</v>
          </cell>
          <cell r="B446">
            <v>339.6</v>
          </cell>
        </row>
        <row r="447">
          <cell r="A447" t="str">
            <v>9519134436-1</v>
          </cell>
          <cell r="F447">
            <v>84</v>
          </cell>
        </row>
        <row r="448">
          <cell r="A448" t="str">
            <v>9519134753-1</v>
          </cell>
          <cell r="D448">
            <v>168</v>
          </cell>
        </row>
        <row r="449">
          <cell r="A449" t="str">
            <v>9519134753-10</v>
          </cell>
          <cell r="D449">
            <v>280</v>
          </cell>
        </row>
        <row r="450">
          <cell r="A450" t="str">
            <v>9519134753-11</v>
          </cell>
          <cell r="C450">
            <v>140</v>
          </cell>
        </row>
        <row r="451">
          <cell r="A451" t="str">
            <v>9519134753-12</v>
          </cell>
          <cell r="D451">
            <v>112</v>
          </cell>
        </row>
        <row r="452">
          <cell r="A452" t="str">
            <v>9519134753-13</v>
          </cell>
          <cell r="D452">
            <v>140</v>
          </cell>
        </row>
        <row r="453">
          <cell r="A453" t="str">
            <v>9519134753-14</v>
          </cell>
          <cell r="E453">
            <v>196</v>
          </cell>
        </row>
        <row r="454">
          <cell r="A454" t="str">
            <v>9519134753-15</v>
          </cell>
          <cell r="C454">
            <v>56</v>
          </cell>
        </row>
        <row r="455">
          <cell r="A455" t="str">
            <v>9519134753-16</v>
          </cell>
          <cell r="E455">
            <v>56</v>
          </cell>
        </row>
        <row r="456">
          <cell r="A456" t="str">
            <v>9519134753-17</v>
          </cell>
          <cell r="E456">
            <v>56</v>
          </cell>
        </row>
        <row r="457">
          <cell r="A457" t="str">
            <v>9519134753-18</v>
          </cell>
          <cell r="C457">
            <v>56</v>
          </cell>
        </row>
        <row r="458">
          <cell r="A458" t="str">
            <v>9519134753-19</v>
          </cell>
          <cell r="D458">
            <v>28</v>
          </cell>
        </row>
        <row r="459">
          <cell r="A459" t="str">
            <v>9519134753-2</v>
          </cell>
          <cell r="C459">
            <v>56</v>
          </cell>
        </row>
        <row r="460">
          <cell r="A460" t="str">
            <v>9519134753-20</v>
          </cell>
          <cell r="D460">
            <v>84</v>
          </cell>
        </row>
        <row r="461">
          <cell r="A461" t="str">
            <v>9519134753-21</v>
          </cell>
          <cell r="C461">
            <v>28</v>
          </cell>
        </row>
        <row r="462">
          <cell r="A462" t="str">
            <v>9519134753-3</v>
          </cell>
          <cell r="D462">
            <v>28</v>
          </cell>
        </row>
        <row r="463">
          <cell r="A463" t="str">
            <v>9519134753-4</v>
          </cell>
          <cell r="E463">
            <v>140</v>
          </cell>
        </row>
        <row r="464">
          <cell r="A464" t="str">
            <v>9519134753-5</v>
          </cell>
          <cell r="D464">
            <v>280</v>
          </cell>
        </row>
        <row r="465">
          <cell r="A465" t="str">
            <v>9519134753-6</v>
          </cell>
          <cell r="D465">
            <v>28</v>
          </cell>
        </row>
        <row r="466">
          <cell r="A466" t="str">
            <v>9519134753-7</v>
          </cell>
          <cell r="C466">
            <v>28</v>
          </cell>
        </row>
        <row r="467">
          <cell r="A467" t="str">
            <v>9519134753-8</v>
          </cell>
          <cell r="D467">
            <v>28</v>
          </cell>
        </row>
        <row r="468">
          <cell r="A468" t="str">
            <v>9519134753-9</v>
          </cell>
          <cell r="E468">
            <v>252</v>
          </cell>
        </row>
        <row r="469">
          <cell r="A469" t="str">
            <v>9519135056-1</v>
          </cell>
          <cell r="B469">
            <v>84</v>
          </cell>
        </row>
        <row r="470">
          <cell r="A470" t="str">
            <v>9519135056-2</v>
          </cell>
          <cell r="B470">
            <v>112</v>
          </cell>
        </row>
        <row r="471">
          <cell r="A471" t="str">
            <v>9519135056-3</v>
          </cell>
          <cell r="C471">
            <v>224</v>
          </cell>
        </row>
        <row r="472">
          <cell r="A472" t="str">
            <v>9519135248-1</v>
          </cell>
          <cell r="D472">
            <v>28</v>
          </cell>
        </row>
        <row r="473">
          <cell r="A473" t="str">
            <v>9519135248-2</v>
          </cell>
          <cell r="E473">
            <v>28</v>
          </cell>
        </row>
        <row r="474">
          <cell r="A474" t="str">
            <v>9519136821-3</v>
          </cell>
          <cell r="C474">
            <v>28</v>
          </cell>
        </row>
        <row r="475">
          <cell r="A475" t="str">
            <v>9519136994-1</v>
          </cell>
          <cell r="F475">
            <v>21</v>
          </cell>
        </row>
        <row r="476">
          <cell r="A476" t="str">
            <v>9519136994-2</v>
          </cell>
          <cell r="F476">
            <v>21</v>
          </cell>
        </row>
        <row r="477">
          <cell r="A477" t="str">
            <v>9519136994-3</v>
          </cell>
          <cell r="F477">
            <v>63</v>
          </cell>
        </row>
        <row r="478">
          <cell r="A478" t="str">
            <v>9519137706-1</v>
          </cell>
          <cell r="E478">
            <v>42</v>
          </cell>
        </row>
        <row r="479">
          <cell r="A479" t="str">
            <v>9519137706-2</v>
          </cell>
          <cell r="E479">
            <v>21</v>
          </cell>
        </row>
        <row r="480">
          <cell r="A480" t="str">
            <v>9519137706-3</v>
          </cell>
          <cell r="E480">
            <v>42</v>
          </cell>
        </row>
        <row r="481">
          <cell r="A481" t="str">
            <v>9519137706-6</v>
          </cell>
          <cell r="B481">
            <v>112</v>
          </cell>
        </row>
        <row r="482">
          <cell r="A482" t="str">
            <v>9519137706-7</v>
          </cell>
          <cell r="B482">
            <v>112</v>
          </cell>
        </row>
        <row r="483">
          <cell r="A483" t="str">
            <v>9519137706-8</v>
          </cell>
          <cell r="E483">
            <v>42</v>
          </cell>
        </row>
        <row r="484">
          <cell r="A484" t="str">
            <v>9519137724-1</v>
          </cell>
          <cell r="B484">
            <v>28</v>
          </cell>
        </row>
        <row r="485">
          <cell r="A485" t="str">
            <v>9519137724-2</v>
          </cell>
          <cell r="B485">
            <v>56</v>
          </cell>
        </row>
        <row r="486">
          <cell r="A486" t="str">
            <v>9519137724-5</v>
          </cell>
          <cell r="B486">
            <v>28</v>
          </cell>
        </row>
        <row r="487">
          <cell r="A487" t="str">
            <v>9519138060-1</v>
          </cell>
          <cell r="B487">
            <v>133.065</v>
          </cell>
        </row>
        <row r="488">
          <cell r="A488" t="str">
            <v>9519138060-2</v>
          </cell>
          <cell r="C488">
            <v>148.09899999999999</v>
          </cell>
        </row>
        <row r="489">
          <cell r="A489" t="str">
            <v>9519138060-3</v>
          </cell>
          <cell r="D489">
            <v>252</v>
          </cell>
        </row>
        <row r="490">
          <cell r="A490" t="str">
            <v>9519138060-4</v>
          </cell>
          <cell r="D490">
            <v>28</v>
          </cell>
        </row>
        <row r="491">
          <cell r="A491" t="str">
            <v>9519138060-5</v>
          </cell>
          <cell r="B491">
            <v>14.814</v>
          </cell>
        </row>
        <row r="492">
          <cell r="A492" t="str">
            <v>9519138217-1</v>
          </cell>
          <cell r="C492">
            <v>36.213999999999999</v>
          </cell>
        </row>
        <row r="493">
          <cell r="A493" t="str">
            <v>9519138217-2</v>
          </cell>
          <cell r="B493">
            <v>84</v>
          </cell>
        </row>
        <row r="494">
          <cell r="A494" t="str">
            <v>9519138217-3</v>
          </cell>
          <cell r="C494">
            <v>28</v>
          </cell>
        </row>
        <row r="495">
          <cell r="A495" t="str">
            <v>9519138217-4</v>
          </cell>
          <cell r="C495">
            <v>84</v>
          </cell>
        </row>
        <row r="496">
          <cell r="A496" t="str">
            <v>9519138217-5</v>
          </cell>
          <cell r="C496">
            <v>28</v>
          </cell>
        </row>
        <row r="497">
          <cell r="A497" t="str">
            <v>9519138217-7</v>
          </cell>
          <cell r="C497">
            <v>168</v>
          </cell>
        </row>
        <row r="498">
          <cell r="A498" t="str">
            <v>9519138217-8</v>
          </cell>
          <cell r="D498">
            <v>140</v>
          </cell>
        </row>
        <row r="499">
          <cell r="A499" t="str">
            <v>9519138217-9</v>
          </cell>
          <cell r="E499">
            <v>28</v>
          </cell>
        </row>
        <row r="500">
          <cell r="A500" t="str">
            <v>9519138346-1</v>
          </cell>
          <cell r="C500">
            <v>29</v>
          </cell>
        </row>
        <row r="501">
          <cell r="A501" t="str">
            <v>9519138346-2</v>
          </cell>
          <cell r="B501">
            <v>29</v>
          </cell>
        </row>
        <row r="502">
          <cell r="A502" t="str">
            <v>9519138346-3</v>
          </cell>
          <cell r="C502">
            <v>58</v>
          </cell>
        </row>
        <row r="503">
          <cell r="A503" t="str">
            <v>9519138426-1</v>
          </cell>
          <cell r="C503">
            <v>28</v>
          </cell>
        </row>
        <row r="504">
          <cell r="A504" t="str">
            <v>9519138426-2</v>
          </cell>
          <cell r="F504">
            <v>280</v>
          </cell>
        </row>
        <row r="505">
          <cell r="A505" t="str">
            <v>9519138426-3</v>
          </cell>
          <cell r="E505">
            <v>280</v>
          </cell>
        </row>
        <row r="506">
          <cell r="A506" t="str">
            <v>9519138426-4</v>
          </cell>
          <cell r="E506">
            <v>196</v>
          </cell>
        </row>
        <row r="507">
          <cell r="A507" t="str">
            <v>9519138426-5</v>
          </cell>
          <cell r="C507">
            <v>28</v>
          </cell>
        </row>
        <row r="508">
          <cell r="A508" t="str">
            <v>9519138426-6</v>
          </cell>
          <cell r="D508">
            <v>112</v>
          </cell>
        </row>
        <row r="509">
          <cell r="A509" t="str">
            <v>9519141094-1</v>
          </cell>
          <cell r="F509">
            <v>84</v>
          </cell>
        </row>
        <row r="510">
          <cell r="A510" t="str">
            <v>9519141143-1</v>
          </cell>
          <cell r="E510">
            <v>84</v>
          </cell>
        </row>
        <row r="511">
          <cell r="A511" t="str">
            <v>9519141143-2</v>
          </cell>
          <cell r="F511">
            <v>84</v>
          </cell>
        </row>
        <row r="512">
          <cell r="A512" t="str">
            <v>9519141143-3</v>
          </cell>
          <cell r="F512">
            <v>63</v>
          </cell>
        </row>
        <row r="513">
          <cell r="A513" t="str">
            <v>9519141143-4</v>
          </cell>
          <cell r="F513">
            <v>84</v>
          </cell>
        </row>
        <row r="514">
          <cell r="A514" t="str">
            <v>9519142211-1</v>
          </cell>
          <cell r="D514">
            <v>56</v>
          </cell>
        </row>
        <row r="515">
          <cell r="A515" t="str">
            <v>9519142346-1</v>
          </cell>
          <cell r="C515">
            <v>28</v>
          </cell>
        </row>
        <row r="516">
          <cell r="A516" t="str">
            <v>9519142346-2</v>
          </cell>
          <cell r="C516">
            <v>28</v>
          </cell>
        </row>
        <row r="517">
          <cell r="A517" t="str">
            <v>9519142346-3</v>
          </cell>
          <cell r="C517">
            <v>28</v>
          </cell>
        </row>
        <row r="518">
          <cell r="A518" t="str">
            <v>9519142346-4</v>
          </cell>
          <cell r="C518">
            <v>28</v>
          </cell>
        </row>
        <row r="519">
          <cell r="A519" t="str">
            <v>9519142746-1</v>
          </cell>
          <cell r="C519">
            <v>56</v>
          </cell>
        </row>
        <row r="520">
          <cell r="A520" t="str">
            <v>9519143205-1</v>
          </cell>
          <cell r="B520">
            <v>127.73</v>
          </cell>
        </row>
        <row r="521">
          <cell r="A521" t="str">
            <v>9519144746-1</v>
          </cell>
          <cell r="C521">
            <v>75.989999999999995</v>
          </cell>
        </row>
        <row r="522">
          <cell r="A522" t="str">
            <v>9519144746-2</v>
          </cell>
          <cell r="C522">
            <v>280</v>
          </cell>
        </row>
        <row r="523">
          <cell r="A523" t="str">
            <v>9519144746-3</v>
          </cell>
          <cell r="D523">
            <v>280</v>
          </cell>
        </row>
        <row r="524">
          <cell r="A524" t="str">
            <v>9519144746-4</v>
          </cell>
          <cell r="D524">
            <v>280</v>
          </cell>
        </row>
        <row r="525">
          <cell r="A525" t="str">
            <v>9519144746-5</v>
          </cell>
          <cell r="D525">
            <v>280</v>
          </cell>
        </row>
        <row r="526">
          <cell r="A526" t="str">
            <v>9519144746-6</v>
          </cell>
          <cell r="C526">
            <v>280</v>
          </cell>
        </row>
        <row r="527">
          <cell r="A527" t="str">
            <v>9519144746-7</v>
          </cell>
          <cell r="C527">
            <v>280</v>
          </cell>
        </row>
        <row r="528">
          <cell r="A528" t="str">
            <v>9519144746-8</v>
          </cell>
          <cell r="D528">
            <v>280</v>
          </cell>
        </row>
        <row r="529">
          <cell r="A529" t="str">
            <v>9519144746-9</v>
          </cell>
          <cell r="C529">
            <v>280</v>
          </cell>
        </row>
        <row r="530">
          <cell r="A530" t="str">
            <v>9519144936-1</v>
          </cell>
          <cell r="D530">
            <v>251.65</v>
          </cell>
        </row>
        <row r="531">
          <cell r="A531" t="str">
            <v>9519144936-2</v>
          </cell>
          <cell r="D531">
            <v>261</v>
          </cell>
        </row>
        <row r="532">
          <cell r="A532" t="str">
            <v>9519144936-3</v>
          </cell>
          <cell r="C532">
            <v>203</v>
          </cell>
        </row>
        <row r="533">
          <cell r="A533" t="str">
            <v>9519144936-4</v>
          </cell>
          <cell r="D533">
            <v>203</v>
          </cell>
        </row>
        <row r="534">
          <cell r="A534" t="str">
            <v>9519145140-1</v>
          </cell>
          <cell r="D534">
            <v>92</v>
          </cell>
        </row>
        <row r="535">
          <cell r="A535" t="str">
            <v>9519145140-2</v>
          </cell>
          <cell r="B535">
            <v>92.998999999999995</v>
          </cell>
        </row>
        <row r="536">
          <cell r="A536" t="str">
            <v>9519145140-3</v>
          </cell>
          <cell r="D536">
            <v>216.999</v>
          </cell>
        </row>
        <row r="537">
          <cell r="A537" t="str">
            <v>9519145140-4</v>
          </cell>
          <cell r="D537">
            <v>93</v>
          </cell>
        </row>
        <row r="538">
          <cell r="A538" t="str">
            <v>9519146150-1</v>
          </cell>
          <cell r="E538">
            <v>280</v>
          </cell>
        </row>
        <row r="539">
          <cell r="A539" t="str">
            <v>9519146150-2</v>
          </cell>
          <cell r="E539">
            <v>28</v>
          </cell>
        </row>
        <row r="540">
          <cell r="A540" t="str">
            <v>9519146150-3</v>
          </cell>
          <cell r="E540">
            <v>84</v>
          </cell>
        </row>
        <row r="541">
          <cell r="A541" t="str">
            <v>9519146199-1</v>
          </cell>
          <cell r="C541">
            <v>224</v>
          </cell>
        </row>
        <row r="542">
          <cell r="A542" t="str">
            <v>9519146199-2</v>
          </cell>
          <cell r="B542">
            <v>168</v>
          </cell>
        </row>
        <row r="543">
          <cell r="A543" t="str">
            <v>9519146199-3</v>
          </cell>
          <cell r="C543">
            <v>28</v>
          </cell>
        </row>
        <row r="544">
          <cell r="A544" t="str">
            <v>9519146199-4</v>
          </cell>
          <cell r="C544">
            <v>252</v>
          </cell>
        </row>
        <row r="545">
          <cell r="A545" t="str">
            <v>9519146199-5</v>
          </cell>
          <cell r="E545">
            <v>140</v>
          </cell>
        </row>
        <row r="546">
          <cell r="A546" t="str">
            <v>9519146271-1</v>
          </cell>
          <cell r="C546">
            <v>28</v>
          </cell>
        </row>
        <row r="547">
          <cell r="A547" t="str">
            <v>9519146271-2</v>
          </cell>
          <cell r="E547">
            <v>280</v>
          </cell>
        </row>
        <row r="548">
          <cell r="A548" t="str">
            <v>9519146271-3</v>
          </cell>
          <cell r="F548">
            <v>280</v>
          </cell>
        </row>
        <row r="549">
          <cell r="A549" t="str">
            <v>9519146271-4</v>
          </cell>
          <cell r="F549">
            <v>140</v>
          </cell>
        </row>
        <row r="550">
          <cell r="A550" t="str">
            <v>9519146271-5</v>
          </cell>
          <cell r="E550">
            <v>112</v>
          </cell>
        </row>
        <row r="551">
          <cell r="A551" t="str">
            <v>9519146271-6</v>
          </cell>
          <cell r="C551">
            <v>28</v>
          </cell>
        </row>
        <row r="552">
          <cell r="A552" t="str">
            <v>9519148419-1</v>
          </cell>
          <cell r="D552">
            <v>290</v>
          </cell>
        </row>
        <row r="553">
          <cell r="A553" t="str">
            <v>9519148419-2</v>
          </cell>
          <cell r="E553">
            <v>290</v>
          </cell>
        </row>
        <row r="554">
          <cell r="A554" t="str">
            <v>9519148419-3</v>
          </cell>
          <cell r="E554">
            <v>290</v>
          </cell>
        </row>
        <row r="555">
          <cell r="A555" t="str">
            <v>9519148419-4</v>
          </cell>
          <cell r="D555">
            <v>145</v>
          </cell>
        </row>
        <row r="556">
          <cell r="A556" t="str">
            <v>9519148534-1</v>
          </cell>
          <cell r="C556">
            <v>28</v>
          </cell>
        </row>
        <row r="557">
          <cell r="A557" t="str">
            <v>9519149928-4</v>
          </cell>
          <cell r="C557">
            <v>112</v>
          </cell>
        </row>
        <row r="558">
          <cell r="A558" t="str">
            <v>9519155004-1</v>
          </cell>
          <cell r="D558">
            <v>224</v>
          </cell>
        </row>
        <row r="559">
          <cell r="A559" t="str">
            <v>9519155004-2</v>
          </cell>
          <cell r="D559">
            <v>196</v>
          </cell>
        </row>
        <row r="560">
          <cell r="A560" t="str">
            <v>9519157788-1</v>
          </cell>
          <cell r="D560">
            <v>28.998999999999999</v>
          </cell>
        </row>
        <row r="561">
          <cell r="A561" t="str">
            <v>9519157788-2</v>
          </cell>
          <cell r="C561">
            <v>144.999</v>
          </cell>
        </row>
        <row r="562">
          <cell r="A562" t="str">
            <v>9519157788-3</v>
          </cell>
          <cell r="E562">
            <v>202.999</v>
          </cell>
        </row>
        <row r="563">
          <cell r="A563" t="str">
            <v>9519157788-4</v>
          </cell>
          <cell r="F563">
            <v>289.99900000000002</v>
          </cell>
        </row>
        <row r="564">
          <cell r="A564" t="str">
            <v>9519161623-1</v>
          </cell>
          <cell r="E564">
            <v>290</v>
          </cell>
        </row>
        <row r="565">
          <cell r="A565" t="str">
            <v>9519163513-1</v>
          </cell>
          <cell r="E565">
            <v>290</v>
          </cell>
        </row>
        <row r="566">
          <cell r="A566" t="str">
            <v>9519163520-1</v>
          </cell>
          <cell r="E566">
            <v>290</v>
          </cell>
        </row>
        <row r="567">
          <cell r="A567" t="str">
            <v>9519163521-1</v>
          </cell>
          <cell r="E567">
            <v>145</v>
          </cell>
        </row>
        <row r="568">
          <cell r="A568" t="str">
            <v>9519164284-1</v>
          </cell>
          <cell r="E568">
            <v>297</v>
          </cell>
        </row>
        <row r="569">
          <cell r="A569" t="str">
            <v>9519164290-1</v>
          </cell>
          <cell r="E569">
            <v>297</v>
          </cell>
        </row>
        <row r="570">
          <cell r="A570" t="str">
            <v>9519164291-1</v>
          </cell>
          <cell r="F570">
            <v>297</v>
          </cell>
        </row>
        <row r="571">
          <cell r="A571" t="str">
            <v>9519164293-1</v>
          </cell>
          <cell r="F571">
            <v>297</v>
          </cell>
        </row>
        <row r="572">
          <cell r="A572" t="str">
            <v>9519164295-1</v>
          </cell>
          <cell r="F572">
            <v>297</v>
          </cell>
        </row>
        <row r="573">
          <cell r="A573" t="str">
            <v>9519164375-1</v>
          </cell>
          <cell r="F573">
            <v>27</v>
          </cell>
        </row>
        <row r="574">
          <cell r="A574" t="str">
            <v>Grand Total</v>
          </cell>
          <cell r="B574">
            <v>6119.6639999999998</v>
          </cell>
          <cell r="C574">
            <v>11143.455</v>
          </cell>
          <cell r="D574">
            <v>11772.944999999998</v>
          </cell>
          <cell r="E574">
            <v>11947.145999999999</v>
          </cell>
          <cell r="F574">
            <v>7550.43</v>
          </cell>
        </row>
      </sheetData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aini" refreshedDate="45924.724292245373" createdVersion="8" refreshedVersion="8" minRefreshableVersion="3" recordCount="1025" xr:uid="{0D3E1CF5-725C-4767-8977-CA4175C6B0B6}">
  <cacheSource type="worksheet">
    <worksheetSource ref="A1:AQ518" sheet="Oct'25 order details"/>
  </cacheSource>
  <cacheFields count="97">
    <cacheField name="Plant" numFmtId="0">
      <sharedItems containsSemiMixedTypes="0" containsString="0" containsNumber="1" containsInteger="1" minValue="742" maxValue="8214"/>
    </cacheField>
    <cacheField name="Order Date" numFmtId="164">
      <sharedItems containsDate="1" containsMixedTypes="1" minDate="2025-02-19T00:00:00" maxDate="2025-09-24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13138" maxValue="9519135056"/>
    </cacheField>
    <cacheField name="SO Item" numFmtId="0">
      <sharedItems containsSemiMixedTypes="0" containsString="0" containsNumber="1" containsInteger="1" minValue="1" maxValue="36"/>
    </cacheField>
    <cacheField name="SO-ITEM" numFmtId="0">
      <sharedItems/>
    </cacheField>
    <cacheField name="Priority" numFmtId="0">
      <sharedItems containsBlank="1"/>
    </cacheField>
    <cacheField name="Order Status" numFmtId="0">
      <sharedItems/>
    </cacheField>
    <cacheField name="TEST" numFmtId="0">
      <sharedItems count="2">
        <s v="N/C"/>
        <s v="OK"/>
      </sharedItems>
    </cacheField>
    <cacheField name="Product" numFmtId="0">
      <sharedItems count="6">
        <s v="CRCA"/>
        <s v="GL"/>
        <s v="HRPO"/>
        <s v="GP"/>
        <s v="PPGL"/>
        <s v="CRFH"/>
      </sharedItems>
    </cacheField>
    <cacheField name="Brand" numFmtId="0">
      <sharedItems count="17">
        <s v="Steelium"/>
        <s v="Solar"/>
        <s v="Auto"/>
        <s v="BPRS"/>
        <s v="Bluescope"/>
        <s v="IPP"/>
        <s v="Steelium Super"/>
        <s v="Kosh Narrow"/>
        <s v="Tubes"/>
        <s v="IPP Stamping"/>
        <s v="CRFH Khopoli"/>
        <s v="Shaktee SPC"/>
        <s v="Shaktee Market"/>
        <s v="Kosh Wider"/>
        <s v="BPRS Stamping"/>
        <s v="Steelium Milledge"/>
        <s v="Export"/>
      </sharedItems>
    </cacheField>
    <cacheField name="OSP Oct'25" numFmtId="0">
      <sharedItems containsString="0" containsBlank="1" containsNumber="1" containsInteger="1" minValue="500" maxValue="7000"/>
    </cacheField>
    <cacheField name="Division/Segment" numFmtId="0">
      <sharedItems containsBlank="1" containsMixedTypes="1" containsNumber="1" containsInteger="1" minValue="1000" maxValue="3000"/>
    </cacheField>
    <cacheField name="ZONE" numFmtId="0">
      <sharedItems containsBlank="1"/>
    </cacheField>
    <cacheField name="Destination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100922" maxValue="950529"/>
    </cacheField>
    <cacheField name="Customer" numFmtId="0">
      <sharedItems containsBlank="1"/>
    </cacheField>
    <cacheField name="Material" numFmtId="0">
      <sharedItems containsString="0" containsBlank="1" containsNumber="1" containsInteger="1" minValue="27569" maxValue="4120439"/>
    </cacheField>
    <cacheField name="Material Description" numFmtId="0">
      <sharedItems containsBlank="1"/>
    </cacheField>
    <cacheField name="P Code" numFmtId="0">
      <sharedItems containsBlank="1" containsMixedTypes="1" containsNumber="1" containsInteger="1" minValue="768" maxValue="768"/>
    </cacheField>
    <cacheField name="Quality Code" numFmtId="0">
      <sharedItems containsBlank="1"/>
    </cacheField>
    <cacheField name="TDC" numFmtId="0">
      <sharedItems containsBlank="1"/>
    </cacheField>
    <cacheField name="Thk" numFmtId="0">
      <sharedItems containsString="0" containsBlank="1" containsNumber="1" minValue="0.2" maxValue="6"/>
    </cacheField>
    <cacheField name="Width" numFmtId="0">
      <sharedItems containsString="0" containsBlank="1" containsNumber="1" containsInteger="1" minValue="848" maxValue="1500"/>
    </cacheField>
    <cacheField name="Length" numFmtId="0">
      <sharedItems containsString="0" containsBlank="1" containsNumber="1" containsInteg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Blank="1" containsMixedTypes="1" containsNumber="1" minValue="0" maxValue="25"/>
    </cacheField>
    <cacheField name="Max Coil Weight" numFmtId="0">
      <sharedItems containsBlank="1" containsMixedTypes="1" containsNumber="1" minValue="0" maxValue="34"/>
    </cacheField>
    <cacheField name="Order Quantity" numFmtId="1">
      <sharedItems containsString="0" containsBlank="1" containsNumber="1" minValue="19.295000000000002" maxValue="550"/>
    </cacheField>
    <cacheField name="FG Quantity(Order)" numFmtId="1">
      <sharedItems containsString="0" containsBlank="1" containsNumber="1" minValue="0" maxValue="495.17700000000002"/>
    </cacheField>
    <cacheField name="Balance to Finish 19.09.25" numFmtId="1">
      <sharedItems containsString="0" containsBlank="1" containsNumber="1" minValue="18.109000000000002" maxValue="297"/>
    </cacheField>
    <cacheField name="Balance to Plan" numFmtId="1">
      <sharedItems containsString="0" containsBlank="1" containsNumber="1" minValue="-123.571" maxValue="297"/>
    </cacheField>
    <cacheField name="FG Stock" numFmtId="1">
      <sharedItems containsString="0" containsBlank="1" containsNumber="1" minValue="0" maxValue="247.08"/>
    </cacheField>
    <cacheField name="T" numFmtId="1">
      <sharedItems containsString="0" containsBlank="1" containsNumber="1" minValue="0" maxValue="143.49"/>
    </cacheField>
    <cacheField name="P" numFmtId="1">
      <sharedItems containsString="0" containsBlank="1" containsNumber="1" minValue="0" maxValue="249.01"/>
    </cacheField>
    <cacheField name="M" numFmtId="1">
      <sharedItems containsBlank="1" containsMixedTypes="1" containsNumber="1" minValue="0.72" maxValue="162.61000000000001"/>
    </cacheField>
    <cacheField name="TR" numFmtId="1">
      <sharedItems containsBlank="1" containsMixedTypes="1" containsNumber="1" minValue="1.6500000000000001" maxValue="46.62"/>
    </cacheField>
    <cacheField name="GP02" numFmtId="1">
      <sharedItems containsBlank="1" containsMixedTypes="1" containsNumber="1" minValue="3.355" maxValue="192.785"/>
    </cacheField>
    <cacheField name="GP03" numFmtId="1">
      <sharedItems containsBlank="1" containsMixedTypes="1" containsNumber="1" minValue="1.615" maxValue="38.5"/>
    </cacheField>
    <cacheField name="E" numFmtId="1">
      <sharedItems containsBlank="1" containsMixedTypes="1" containsNumber="1" minValue="6.23" maxValue="47.29"/>
    </cacheField>
    <cacheField name="C" numFmtId="1">
      <sharedItems containsBlank="1" containsMixedTypes="1" containsNumber="1" minValue="3.7950000000000004" maxValue="276.19"/>
    </cacheField>
    <cacheField name="A" numFmtId="1">
      <sharedItems containsBlank="1" containsMixedTypes="1" containsNumber="1" minValue="27.92" maxValue="134.9"/>
    </cacheField>
    <cacheField name="B" numFmtId="1">
      <sharedItems containsBlank="1" containsMixedTypes="1" containsNumber="1" minValue="20.18" maxValue="60.93"/>
    </cacheField>
    <cacheField name="N" numFmtId="1">
      <sharedItems containsBlank="1" containsMixedTypes="1" containsNumber="1" minValue="20.6" maxValue="177.59"/>
    </cacheField>
    <cacheField name="I" numFmtId="1">
      <sharedItems containsBlank="1"/>
    </cacheField>
    <cacheField name="R" numFmtId="1">
      <sharedItems containsBlank="1" containsMixedTypes="1" containsNumber="1" minValue="17.64" maxValue="17.64"/>
    </cacheField>
    <cacheField name="X" numFmtId="1">
      <sharedItems containsString="0" containsBlank="1" containsNumber="1" minValue="0" maxValue="33.604999999999997"/>
    </cacheField>
    <cacheField name="QA" numFmtId="1">
      <sharedItems containsBlank="1" containsMixedTypes="1" containsNumber="1" minValue="4.58" maxValue="85.15"/>
    </cacheField>
    <cacheField name="NC" numFmtId="1">
      <sharedItems containsBlank="1" containsMixedTypes="1" containsNumber="1" minValue="3.6" maxValue="27.64"/>
    </cacheField>
    <cacheField name="PP" numFmtId="1">
      <sharedItems containsBlank="1" containsMixedTypes="1" containsNumber="1" minValue="7.13" maxValue="44.07"/>
    </cacheField>
    <cacheField name="PACK" numFmtId="1">
      <sharedItems containsBlank="1" containsMixedTypes="1" containsNumber="1" minValue="8.4749999999999996" maxValue="171.04"/>
    </cacheField>
    <cacheField name="Total WIP" numFmtId="1">
      <sharedItems containsString="0" containsBlank="1" containsNumber="1" minValue="0" maxValue="298.72000000000003"/>
    </cacheField>
    <cacheField name="Exp FG by 30-09-25" numFmtId="1">
      <sharedItems containsString="0" containsBlank="1" containsNumber="1" minValue="0" maxValue="298.72000000000003"/>
    </cacheField>
    <cacheField name="Further plan" numFmtId="1">
      <sharedItems containsString="0" containsBlank="1" containsNumber="1" containsInteger="1" minValue="0" maxValue="280"/>
    </cacheField>
    <cacheField name="Exp. BTF as on 01-10-25" numFmtId="1">
      <sharedItems containsSemiMixedTypes="0" containsString="0" containsNumber="1" minValue="-123.571" maxValue="297"/>
    </cacheField>
    <cacheField name="Thickness Tolerance" numFmtId="0">
      <sharedItems containsBlank="1"/>
    </cacheField>
    <cacheField name="Width Tolerance" numFmtId="0">
      <sharedItems containsBlank="1"/>
    </cacheField>
    <cacheField name="Avl RM indent" numFmtId="0">
      <sharedItems containsNonDate="0" containsString="0" containsBlank="1"/>
    </cacheField>
    <cacheField name="Avl RM stock" numFmtId="0">
      <sharedItems containsNonDate="0" containsString="0" containsBlank="1"/>
    </cacheField>
    <cacheField name="Total RM visibility" numFmtId="0">
      <sharedItems containsNonDate="0" containsString="0" containsBlank="1"/>
    </cacheField>
    <cacheField name="RM indent Status" numFmtId="0">
      <sharedItems containsNonDate="0" containsString="0" containsBlank="1"/>
    </cacheField>
    <cacheField name="Net RM to be indented" numFmtId="0">
      <sharedItems containsNonDate="0" containsString="0" containsBlank="1"/>
    </cacheField>
    <cacheField name="RM STR no" numFmtId="0">
      <sharedItems containsBlank="1" count="2">
        <m/>
        <s v="To log"/>
      </sharedItems>
    </cacheField>
    <cacheField name="Edge" numFmtId="0">
      <sharedItems containsBlank="1"/>
    </cacheField>
    <cacheField name="RM tracking" numFmtId="0">
      <sharedItems containsBlank="1" containsMixedTypes="1" containsNumber="1" containsInteger="1" minValue="0" maxValue="0" count="27">
        <s v="CRCA_STLM"/>
        <s v="GP02_SOLAR"/>
        <s v="HRO_AUTO"/>
        <s v="NA"/>
        <s v="GP03_BPRS"/>
        <s v="GP02_PPGL"/>
        <s v="CRCA_D&amp;B"/>
        <s v="CRCA_SUPR"/>
        <s v="GP03_KOSH"/>
        <s v="HRPO_HOSUR"/>
        <s v="GP02_IPP"/>
        <s v="CRCA_STMP"/>
        <s v="HRPO_BPRS"/>
        <s v="CRFH_KHOPOLI"/>
        <s v="GP03_SHKT"/>
        <s v="CRCA_G&amp;B"/>
        <s v="GP02_BGL"/>
        <s v="CRCA_IPP"/>
        <s v="CRCA_HOSUR"/>
        <n v="0"/>
        <s v="CRFH_MKTG"/>
        <s v="CRFH_IPP"/>
        <s v="GP02_GL"/>
        <s v="CRCA_ME"/>
        <s v="CRCA_TPI"/>
        <s v="CRFH_HOSUR"/>
        <m u="1"/>
      </sharedItems>
    </cacheField>
    <cacheField name="CR Concat" numFmtId="0">
      <sharedItems/>
    </cacheField>
    <cacheField name="RM Concat" numFmtId="0">
      <sharedItems/>
    </cacheField>
    <cacheField name="RM PCODE" numFmtId="0">
      <sharedItems containsBlank="1" containsMixedTypes="1" containsNumber="1" containsInteger="1" minValue="0" maxValue="727" count="6">
        <n v="367"/>
        <n v="727"/>
        <s v="B69"/>
        <s v="na"/>
        <n v="0"/>
        <m u="1"/>
      </sharedItems>
    </cacheField>
    <cacheField name="RM QCODE" numFmtId="0">
      <sharedItems containsBlank="1" containsMixedTypes="1" containsNumber="1" containsInteger="1" minValue="0" maxValue="0" count="16">
        <s v="T01320"/>
        <s v="T01576"/>
        <s v="THA058"/>
        <s v="JC0043"/>
        <s v="S02149"/>
        <m/>
        <s v="TSH067"/>
        <s v="T01069"/>
        <s v="T01579"/>
        <s v="THR099"/>
        <s v="BSL074"/>
        <s v="S02150"/>
        <s v="I09497"/>
        <n v="0"/>
        <s v="TSH070"/>
        <s v="S02005"/>
      </sharedItems>
    </cacheField>
    <cacheField name="RM TDC" numFmtId="0">
      <sharedItems containsBlank="1" containsMixedTypes="1" containsNumber="1" containsInteger="1" minValue="0" maxValue="0" count="16">
        <s v="SH08"/>
        <s v="HG02"/>
        <s v="HA58"/>
        <s v="JC43"/>
        <s v="SF93"/>
        <m/>
        <s v="SH67"/>
        <s v="SH69"/>
        <s v="TU02"/>
        <s v="HR99"/>
        <s v="BS74"/>
        <s v="SF98"/>
        <s v="HG01"/>
        <n v="0"/>
        <s v="SH70"/>
        <s v="SD30"/>
      </sharedItems>
    </cacheField>
    <cacheField name="TSM RM GRADE" numFmtId="0">
      <sharedItems containsBlank="1" containsMixedTypes="1" containsNumber="1" containsInteger="1" minValue="0" maxValue="0" count="16">
        <s v="C16D"/>
        <s v="C06A"/>
        <s v="A13A"/>
        <s v="C39A"/>
        <s v="C07A"/>
        <m/>
        <s v="C14A"/>
        <s v="R12A"/>
        <s v="T12G"/>
        <s v="D06A"/>
        <s v="E03A"/>
        <s v="C29A"/>
        <s v="T01"/>
        <n v="0"/>
        <s v="R10A"/>
        <s v="C20A"/>
      </sharedItems>
    </cacheField>
    <cacheField name="RM THICK" numFmtId="0">
      <sharedItems containsString="0" containsBlank="1" containsNumber="1" minValue="0" maxValue="5" count="18">
        <n v="2.8"/>
        <n v="3"/>
        <n v="2"/>
        <n v="3.2"/>
        <n v="2.25"/>
        <m/>
        <n v="1.6"/>
        <n v="2.5"/>
        <n v="1.9"/>
        <n v="4.5"/>
        <n v="4"/>
        <n v="1.8"/>
        <n v="5"/>
        <n v="2.9"/>
        <n v="3.15"/>
        <n v="3.4"/>
        <n v="0"/>
        <n v="2.0099999999999998"/>
      </sharedItems>
    </cacheField>
    <cacheField name="RM WIDTH" numFmtId="0">
      <sharedItems containsString="0" containsBlank="1" containsNumber="1" containsInteger="1" minValue="0" maxValue="1365" count="24">
        <n v="1250"/>
        <n v="1265"/>
        <n v="1080"/>
        <n v="925"/>
        <n v="1235"/>
        <m/>
        <n v="1035"/>
        <n v="1025"/>
        <n v="1270"/>
        <n v="1170"/>
        <n v="1260"/>
        <n v="1275"/>
        <n v="1352"/>
        <n v="1365"/>
        <n v="1135"/>
        <n v="903"/>
        <n v="935"/>
        <n v="1330"/>
        <n v="1320"/>
        <n v="1060"/>
        <n v="1200"/>
        <n v="1130"/>
        <n v="1043"/>
        <n v="0"/>
      </sharedItems>
    </cacheField>
    <cacheField name="RM matl code1" numFmtId="0">
      <sharedItems containsBlank="1" containsMixedTypes="1" containsNumber="1" containsInteger="1" minValue="363212" maxValue="4112535" count="130">
        <n v="1154953"/>
        <n v="435174"/>
        <e v="#N/A"/>
        <n v="1304733"/>
        <n v="1304660"/>
        <n v="3774101"/>
        <n v="2362730"/>
        <n v="1700609"/>
        <n v="4082336"/>
        <n v="3923419"/>
        <n v="2318982"/>
        <n v="3202739"/>
        <n v="1700548"/>
        <n v="1484330"/>
        <n v="3642542"/>
        <n v="1387018"/>
        <n v="407933"/>
        <n v="3514923"/>
        <n v="1326468"/>
        <n v="3636910"/>
        <n v="1196250"/>
        <n v="3917267"/>
        <n v="414089"/>
        <n v="1700901"/>
        <n v="4066058"/>
        <n v="3598026"/>
        <n v="3645978"/>
        <n v="414088"/>
        <n v="3918109"/>
        <n v="3909468"/>
        <n v="3918108"/>
        <n v="3909465"/>
        <n v="4059596"/>
        <n v="3909467"/>
        <n v="2429037"/>
        <n v="3907916"/>
        <n v="3834674"/>
        <n v="3921704"/>
        <n v="3924284"/>
        <n v="3834675"/>
        <n v="1179668"/>
        <n v="363214"/>
        <n v="3655817"/>
        <n v="3918480"/>
        <n v="3924626"/>
        <n v="3901920"/>
        <n v="3655782"/>
        <n v="3919012"/>
        <n v="3924609"/>
        <n v="3920736"/>
        <n v="3919021"/>
        <n v="3918221"/>
        <n v="3191172"/>
        <n v="2320867"/>
        <n v="1210206"/>
        <n v="3920738"/>
        <n v="3909466"/>
        <n v="4083059"/>
        <n v="406487"/>
        <n v="3901919"/>
        <n v="3924594"/>
        <n v="414807"/>
        <n v="3917268"/>
        <n v="3655832"/>
        <n v="1304735"/>
        <n v="1220539"/>
        <n v="444494"/>
        <n v="1179666"/>
        <n v="3921724"/>
        <n v="3516031"/>
        <n v="1703750"/>
        <n v="2429038"/>
        <n v="3924598"/>
        <n v="3924593"/>
        <n v="406488"/>
        <n v="428126"/>
        <n v="1199396"/>
        <n v="1209959"/>
        <n v="1294967"/>
        <n v="3449888"/>
        <n v="4007879"/>
        <n v="1248998"/>
        <n v="3921722"/>
        <n v="3926348"/>
        <n v="3920740"/>
        <n v="3918705"/>
        <n v="1304662"/>
        <n v="363212"/>
        <n v="3920737"/>
        <n v="424360"/>
        <n v="3920739"/>
        <n v="4096819"/>
        <n v="3921726"/>
        <n v="2442357"/>
        <n v="4112535"/>
        <n v="1108668"/>
        <n v="3901654"/>
        <n v="3901841"/>
        <n v="3923414"/>
        <n v="1247827"/>
        <n v="1109051"/>
        <n v="521576"/>
        <n v="1700890"/>
        <n v="2229976"/>
        <n v="3958460"/>
        <n v="3655827"/>
        <n v="431674"/>
        <n v="2193220"/>
        <n v="3924607"/>
        <n v="3918223"/>
        <n v="3873228"/>
        <n v="3901842"/>
        <n v="498653"/>
        <n v="3958457"/>
        <n v="3601894"/>
        <n v="3921725"/>
        <n v="3655810"/>
        <n v="3466444"/>
        <n v="3921721"/>
        <n v="1248576"/>
        <n v="3918171"/>
        <n v="1326469"/>
        <n v="436077"/>
        <n v="3918137"/>
        <n v="3466445"/>
        <n v="1634655"/>
        <n v="1218531"/>
        <n v="3918138"/>
        <n v="4007880"/>
        <m u="1"/>
      </sharedItems>
    </cacheField>
    <cacheField name="Mother coil P code" numFmtId="0">
      <sharedItems containsNonDate="0" containsString="0" containsBlank="1"/>
    </cacheField>
    <cacheField name="Mother coil width" numFmtId="0">
      <sharedItems containsNonDate="0" containsString="0" containsBlank="1"/>
    </cacheField>
    <cacheField name="Mother coil thk" numFmtId="0">
      <sharedItems containsNonDate="0" containsString="0" containsBlank="1"/>
    </cacheField>
    <cacheField name="Mother coil concat" numFmtId="0">
      <sharedItems containsNonDate="0" containsString="0" containsBlank="1"/>
    </cacheField>
    <cacheField name="Mother coil matl code" numFmtId="0">
      <sharedItems containsNonDate="0" containsString="0" containsBlank="1"/>
    </cacheField>
    <cacheField name="Act. WIP as on 01-09-25" numFmtId="0">
      <sharedItems containsNonDate="0" containsString="0" containsBlank="1"/>
    </cacheField>
    <cacheField name="Total planned GR" numFmtId="0">
      <sharedItems containsNonDate="0" containsString="0" containsBlank="1"/>
    </cacheField>
    <cacheField name="FG 202540" numFmtId="0">
      <sharedItems containsNonDate="0" containsString="0" containsBlank="1"/>
    </cacheField>
    <cacheField name="FG 202541" numFmtId="0">
      <sharedItems containsNonDate="0" containsString="0" containsBlank="1"/>
    </cacheField>
    <cacheField name="FG 202542" numFmtId="0">
      <sharedItems containsNonDate="0" containsString="0" containsBlank="1"/>
    </cacheField>
    <cacheField name="FG 202543" numFmtId="0">
      <sharedItems containsNonDate="0" containsString="0" containsBlank="1"/>
    </cacheField>
    <cacheField name="FG 202544" numFmtId="0">
      <sharedItems containsNonDate="0" containsString="0" containsBlank="1"/>
    </cacheField>
    <cacheField name="Total planned Dispatch" numFmtId="0">
      <sharedItems containsNonDate="0" containsString="0" containsBlank="1"/>
    </cacheField>
    <cacheField name="Disp 202540" numFmtId="0">
      <sharedItems containsNonDate="0" containsString="0" containsBlank="1"/>
    </cacheField>
    <cacheField name="Disp 202541" numFmtId="0">
      <sharedItems containsNonDate="0" containsString="0" containsBlank="1"/>
    </cacheField>
    <cacheField name="Disp 202542" numFmtId="0">
      <sharedItems containsNonDate="0" containsString="0" containsBlank="1"/>
    </cacheField>
    <cacheField name="Disp 202543" numFmtId="0">
      <sharedItems containsNonDate="0" containsString="0" containsBlank="1"/>
    </cacheField>
    <cacheField name="Disp 202544" numFmtId="0">
      <sharedItems containsNonDate="0" containsString="0" containsBlank="1"/>
    </cacheField>
    <cacheField name="CF stock Oct'25" numFmtId="0">
      <sharedItems containsNonDate="0" containsString="0" containsBlank="1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5931.733364930558" createdVersion="8" refreshedVersion="8" minRefreshableVersion="3" recordCount="1018" xr:uid="{EBBD9B7E-0DDA-4516-897D-F34F479E943B}">
  <cacheSource type="worksheet">
    <worksheetSource ref="A1:AQ630" sheet="Oct'25 order details"/>
  </cacheSource>
  <cacheFields count="101">
    <cacheField name="Plant" numFmtId="0">
      <sharedItems containsSemiMixedTypes="0" containsString="0" containsNumber="1" containsInteger="1" minValue="742" maxValue="8214"/>
    </cacheField>
    <cacheField name="Order Date" numFmtId="164">
      <sharedItems containsSemiMixedTypes="0" containsNonDate="0" containsDate="1" containsString="0" minDate="2025-05-29T00:00:00" maxDate="2025-10-01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13138" maxValue="9519157788"/>
    </cacheField>
    <cacheField name="SO Item" numFmtId="0">
      <sharedItems containsSemiMixedTypes="0" containsString="0" containsNumber="1" containsInteger="1" minValue="1" maxValue="36"/>
    </cacheField>
    <cacheField name="SO-ITEM" numFmtId="0">
      <sharedItems/>
    </cacheField>
    <cacheField name="Priority" numFmtId="0">
      <sharedItems/>
    </cacheField>
    <cacheField name="Order Status" numFmtId="0">
      <sharedItems/>
    </cacheField>
    <cacheField name="TEST" numFmtId="0">
      <sharedItems count="2">
        <s v="N/C"/>
        <s v="OK"/>
      </sharedItems>
    </cacheField>
    <cacheField name="Flowpath cluster" numFmtId="0">
      <sharedItems/>
    </cacheField>
    <cacheField name="Flowpath description" numFmtId="0">
      <sharedItems/>
    </cacheField>
    <cacheField name="Flowpath OSP" numFmtId="0">
      <sharedItems containsString="0" containsBlank="1" containsNumber="1" containsInteger="1" minValue="1000" maxValue="8000"/>
    </cacheField>
    <cacheField name="Product" numFmtId="0">
      <sharedItems count="6">
        <s v="CRCA"/>
        <s v="HRPO"/>
        <s v="GP"/>
        <s v="PPGL"/>
        <s v="GL"/>
        <s v="CRFH"/>
      </sharedItems>
    </cacheField>
    <cacheField name="Brand" numFmtId="0">
      <sharedItems count="19">
        <s v="Steelium"/>
        <s v="Auto"/>
        <s v="BPRS"/>
        <s v="Bluescope"/>
        <s v="IPP"/>
        <s v="Steelium Super"/>
        <s v="Kosh Narrow"/>
        <s v="Tubes"/>
        <s v="IPP Stamping"/>
        <s v="CRFH Khopoli"/>
        <s v="GP hard wider"/>
        <s v="GP hard narrow"/>
        <s v="Solar"/>
        <s v="Kosh Wider"/>
        <s v="BPRS Stamping"/>
        <s v="Steelium Milledge"/>
        <s v="Export"/>
        <s v="Jindal India"/>
        <s v="GalvaRos"/>
      </sharedItems>
    </cacheField>
    <cacheField name="OSP Oct'25" numFmtId="0">
      <sharedItems containsString="0" containsBlank="1" containsNumber="1" containsInteger="1" minValue="400" maxValue="7500"/>
    </cacheField>
    <cacheField name="Division/Segment" numFmtId="0">
      <sharedItems containsSemiMixedTypes="0" containsString="0" containsNumber="1" containsInteger="1" minValue="1000" maxValue="4000"/>
    </cacheField>
    <cacheField name="ZONE" numFmtId="0">
      <sharedItems/>
    </cacheField>
    <cacheField name="Destination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0529"/>
    </cacheField>
    <cacheField name="Customer" numFmtId="0">
      <sharedItems/>
    </cacheField>
    <cacheField name="Material" numFmtId="0">
      <sharedItems containsSemiMixedTypes="0" containsString="0" containsNumber="1" containsInteger="1" minValue="27569" maxValue="4124997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.2" maxValue="6"/>
    </cacheField>
    <cacheField name="Width" numFmtId="0">
      <sharedItems containsSemiMixedTypes="0" containsString="0" containsNumber="1" containsInteger="1" minValue="848" maxValue="1352"/>
    </cacheField>
    <cacheField name="Length" numFmtId="0">
      <sharedItems containsSemiMixedTypes="0" containsString="0" containsNumber="1" containsInteg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Blank="1" containsMixedTypes="1" containsNumber="1" minValue="0" maxValue="22"/>
    </cacheField>
    <cacheField name="Max Coil Weight" numFmtId="0">
      <sharedItems containsBlank="1" containsMixedTypes="1" containsNumber="1" minValue="0" maxValue="34"/>
    </cacheField>
    <cacheField name="Order Quantity" numFmtId="1">
      <sharedItems containsSemiMixedTypes="0" containsString="0" containsNumber="1" minValue="19.295000000000002" maxValue="550"/>
    </cacheField>
    <cacheField name="FG Quantity(Order)" numFmtId="1">
      <sharedItems containsSemiMixedTypes="0" containsString="0" containsNumber="1" minValue="0" maxValue="538.91700000000003"/>
    </cacheField>
    <cacheField name="BTF 01.10.25" numFmtId="1">
      <sharedItems containsSemiMixedTypes="0" containsString="0" containsNumber="1" minValue="-6.6050000000000004" maxValue="297"/>
    </cacheField>
    <cacheField name="Balance to Plan" numFmtId="1">
      <sharedItems containsSemiMixedTypes="0" containsString="0" containsNumber="1" minValue="-461.315" maxValue="297"/>
    </cacheField>
    <cacheField name="FG Stock 01.10.25" numFmtId="1">
      <sharedItems containsSemiMixedTypes="0" containsString="0" containsNumber="1" minValue="0" maxValue="279.50999999999993"/>
    </cacheField>
    <cacheField name="T" numFmtId="1">
      <sharedItems containsString="0" containsBlank="1" containsNumber="1" minValue="0" maxValue="199.16"/>
    </cacheField>
    <cacheField name="P" numFmtId="1">
      <sharedItems containsString="0" containsBlank="1" containsNumber="1" minValue="0" maxValue="111.625"/>
    </cacheField>
    <cacheField name="M" numFmtId="1">
      <sharedItems containsString="0" containsBlank="1" containsNumber="1" minValue="0" maxValue="244.79"/>
    </cacheField>
    <cacheField name="TR" numFmtId="1">
      <sharedItems containsString="0" containsBlank="1" containsNumber="1" minValue="0" maxValue="86.4"/>
    </cacheField>
    <cacheField name="GP02" numFmtId="1">
      <sharedItems containsString="0" containsBlank="1" containsNumber="1" minValue="0" maxValue="113.5"/>
    </cacheField>
    <cacheField name="GP03" numFmtId="1">
      <sharedItems containsString="0" containsBlank="1" containsNumber="1" minValue="0" maxValue="120.43"/>
    </cacheField>
    <cacheField name="E" numFmtId="1">
      <sharedItems containsString="0" containsBlank="1" containsNumber="1" minValue="0" maxValue="335.58500000000004"/>
    </cacheField>
    <cacheField name="C" numFmtId="1">
      <sharedItems containsString="0" containsBlank="1" containsNumber="1" minValue="0" maxValue="97.47"/>
    </cacheField>
    <cacheField name="A" numFmtId="1">
      <sharedItems containsString="0" containsBlank="1" containsNumber="1" minValue="0" maxValue="57.050000000000004"/>
    </cacheField>
    <cacheField name="B" numFmtId="1">
      <sharedItems containsString="0" containsBlank="1" containsNumber="1" minValue="0" maxValue="55.44"/>
    </cacheField>
    <cacheField name="N" numFmtId="1">
      <sharedItems containsString="0" containsBlank="1" containsNumber="1" containsInteger="1" minValue="0" maxValue="0"/>
    </cacheField>
    <cacheField name="I" numFmtId="1">
      <sharedItems containsString="0" containsBlank="1" containsNumber="1" minValue="0" maxValue="288.31"/>
    </cacheField>
    <cacheField name="R" numFmtId="1">
      <sharedItems containsString="0" containsBlank="1" containsNumber="1" minValue="0" maxValue="52.68"/>
    </cacheField>
    <cacheField name="X" numFmtId="1">
      <sharedItems containsString="0" containsBlank="1" containsNumber="1" minValue="0" maxValue="0.55000000000000004"/>
    </cacheField>
    <cacheField name="QA" numFmtId="1">
      <sharedItems containsString="0" containsBlank="1" containsNumber="1" minValue="0" maxValue="51.870000000000005"/>
    </cacheField>
    <cacheField name="NC" numFmtId="1">
      <sharedItems containsString="0" containsBlank="1" containsNumber="1" minValue="0" maxValue="79.715000000000003"/>
    </cacheField>
    <cacheField name="PP" numFmtId="1">
      <sharedItems containsString="0" containsBlank="1" containsNumber="1" minValue="0" maxValue="44.07"/>
    </cacheField>
    <cacheField name="PACK" numFmtId="1">
      <sharedItems containsString="0" containsBlank="1" containsNumber="1" minValue="0" maxValue="82.24"/>
    </cacheField>
    <cacheField name="Total WIP" numFmtId="1">
      <sharedItems containsString="0" containsBlank="1" containsNumber="1" minValue="0" maxValue="393.39000000000004"/>
    </cacheField>
    <cacheField name="Exp FG by 30-09-25" numFmtId="1">
      <sharedItems containsString="0" containsBlank="1" containsNumber="1" minValue="0" maxValue="276.37"/>
    </cacheField>
    <cacheField name="CF WIP" numFmtId="1">
      <sharedItems containsString="0" containsBlank="1" containsNumber="1" minValue="0" maxValue="388.82000000000005"/>
    </cacheField>
    <cacheField name="Further plan" numFmtId="1">
      <sharedItems containsString="0" containsBlank="1" containsNumber="1" containsInteger="1" minValue="0" maxValue="0"/>
    </cacheField>
    <cacheField name="Exp. BTF as on 01-10-25" numFmtId="1">
      <sharedItems containsSemiMixedTypes="0" containsString="0" containsNumber="1" minValue="-152.43" maxValue="297"/>
    </cacheField>
    <cacheField name="Thickness Tolerance" numFmtId="0">
      <sharedItems containsBlank="1"/>
    </cacheField>
    <cacheField name="Width Tolerance" numFmtId="0">
      <sharedItems containsBlank="1"/>
    </cacheField>
    <cacheField name="Avl RM indent" numFmtId="0">
      <sharedItems containsNonDate="0" containsString="0" containsBlank="1"/>
    </cacheField>
    <cacheField name="Avl RM stock" numFmtId="0">
      <sharedItems containsNonDate="0" containsString="0" containsBlank="1"/>
    </cacheField>
    <cacheField name="Total RM visibility" numFmtId="0">
      <sharedItems containsNonDate="0" containsString="0" containsBlank="1"/>
    </cacheField>
    <cacheField name="RM indent Status" numFmtId="0">
      <sharedItems containsNonDate="0" containsString="0" containsBlank="1"/>
    </cacheField>
    <cacheField name="Net RM to be indented" numFmtId="0">
      <sharedItems containsNonDate="0" containsString="0" containsBlank="1"/>
    </cacheField>
    <cacheField name="RM STR no" numFmtId="0">
      <sharedItems containsBlank="1"/>
    </cacheField>
    <cacheField name="Edge" numFmtId="0">
      <sharedItems containsBlank="1"/>
    </cacheField>
    <cacheField name="RM tracking" numFmtId="0">
      <sharedItems containsBlank="1" containsMixedTypes="1" containsNumber="1" containsInteger="1" minValue="0" maxValue="0"/>
    </cacheField>
    <cacheField name="CR Concat" numFmtId="0">
      <sharedItems containsBlank="1"/>
    </cacheField>
    <cacheField name="RM Concat" numFmtId="0">
      <sharedItems containsBlank="1"/>
    </cacheField>
    <cacheField name="RM PCODE" numFmtId="0">
      <sharedItems containsBlank="1" containsMixedTypes="1" containsNumber="1" containsInteger="1" minValue="0" maxValue="727"/>
    </cacheField>
    <cacheField name="RM QCODE" numFmtId="0">
      <sharedItems containsBlank="1" containsMixedTypes="1" containsNumber="1" containsInteger="1" minValue="0" maxValue="0"/>
    </cacheField>
    <cacheField name="RM TDC" numFmtId="0">
      <sharedItems containsBlank="1" containsMixedTypes="1" containsNumber="1" containsInteger="1" minValue="0" maxValue="0"/>
    </cacheField>
    <cacheField name="TSM RM GRADE" numFmtId="0">
      <sharedItems containsBlank="1" containsMixedTypes="1" containsNumber="1" containsInteger="1" minValue="0" maxValue="0"/>
    </cacheField>
    <cacheField name="RM THICK" numFmtId="0">
      <sharedItems containsString="0" containsBlank="1" containsNumber="1" minValue="0" maxValue="5"/>
    </cacheField>
    <cacheField name="RM WIDTH" numFmtId="0">
      <sharedItems containsString="0" containsBlank="1" containsNumber="1" containsInteger="1" minValue="0" maxValue="1365"/>
    </cacheField>
    <cacheField name="RM matl code1" numFmtId="0">
      <sharedItems containsBlank="1" containsMixedTypes="1" containsNumber="1" containsInteger="1" minValue="363212" maxValue="4112535"/>
    </cacheField>
    <cacheField name="Mother coil P code" numFmtId="0">
      <sharedItems containsNonDate="0" containsString="0" containsBlank="1"/>
    </cacheField>
    <cacheField name="Mother coil width" numFmtId="0">
      <sharedItems containsNonDate="0" containsString="0" containsBlank="1"/>
    </cacheField>
    <cacheField name="Mother coil thk" numFmtId="0">
      <sharedItems containsNonDate="0" containsString="0" containsBlank="1"/>
    </cacheField>
    <cacheField name="Mother coil concat" numFmtId="0">
      <sharedItems containsNonDate="0" containsString="0" containsBlank="1"/>
    </cacheField>
    <cacheField name="Mother coil matl code" numFmtId="0">
      <sharedItems containsNonDate="0" containsString="0" containsBlank="1"/>
    </cacheField>
    <cacheField name="Act. WIP as on 01-09-25" numFmtId="0">
      <sharedItems containsNonDate="0" containsString="0" containsBlank="1"/>
    </cacheField>
    <cacheField name="Total planned GR" numFmtId="0">
      <sharedItems containsNonDate="0" containsString="0" containsBlank="1"/>
    </cacheField>
    <cacheField name="FG 202540" numFmtId="0">
      <sharedItems containsNonDate="0" containsString="0" containsBlank="1"/>
    </cacheField>
    <cacheField name="FG 202541" numFmtId="0">
      <sharedItems containsNonDate="0" containsString="0" containsBlank="1"/>
    </cacheField>
    <cacheField name="FG 202542" numFmtId="0">
      <sharedItems containsNonDate="0" containsString="0" containsBlank="1"/>
    </cacheField>
    <cacheField name="FG 202543" numFmtId="0">
      <sharedItems containsNonDate="0" containsString="0" containsBlank="1"/>
    </cacheField>
    <cacheField name="FG 202544" numFmtId="0">
      <sharedItems containsNonDate="0" containsString="0" containsBlank="1"/>
    </cacheField>
    <cacheField name="Total planned Dispatch" numFmtId="0">
      <sharedItems containsNonDate="0" containsString="0" containsBlank="1"/>
    </cacheField>
    <cacheField name="Disp 202540" numFmtId="0">
      <sharedItems containsNonDate="0" containsString="0" containsBlank="1"/>
    </cacheField>
    <cacheField name="Disp 202541" numFmtId="0">
      <sharedItems containsNonDate="0" containsString="0" containsBlank="1"/>
    </cacheField>
    <cacheField name="Disp 202542" numFmtId="0">
      <sharedItems containsNonDate="0" containsString="0" containsBlank="1"/>
    </cacheField>
    <cacheField name="Disp 202543" numFmtId="0">
      <sharedItems containsNonDate="0" containsString="0" containsBlank="1"/>
    </cacheField>
    <cacheField name="Disp 202544" numFmtId="0">
      <sharedItems containsNonDate="0" containsString="0" containsBlank="1"/>
    </cacheField>
    <cacheField name="CF stock Oct'25" numFmtId="0">
      <sharedItems containsNonDate="0" containsString="0" containsBlank="1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5933.815083333335" createdVersion="8" refreshedVersion="8" minRefreshableVersion="3" recordCount="802" xr:uid="{8DF3A791-AA75-4FF9-8479-AA063901441E}">
  <cacheSource type="worksheet">
    <worksheetSource ref="A1:AQ803" sheet="Oct'25 order details"/>
  </cacheSource>
  <cacheFields count="43">
    <cacheField name="Plant" numFmtId="0">
      <sharedItems containsSemiMixedTypes="0" containsString="0" containsNumber="1" containsInteger="1" minValue="742" maxValue="8214"/>
    </cacheField>
    <cacheField name="Order Date" numFmtId="164">
      <sharedItems containsDate="1" containsBlank="1" containsMixedTypes="1" minDate="2025-05-09T00:00:00" maxDate="2025-10-01T00:00:00"/>
    </cacheField>
    <cacheField name="Order Type" numFmtId="0">
      <sharedItems/>
    </cacheField>
    <cacheField name="SO No." numFmtId="0">
      <sharedItems containsString="0" containsBlank="1" containsNumber="1" containsInteger="1" minValue="9518809011" maxValue="9519164375"/>
    </cacheField>
    <cacheField name="SO Item" numFmtId="0">
      <sharedItems containsString="0" containsBlank="1" containsNumber="1" containsInteger="1" minValue="1" maxValue="29"/>
    </cacheField>
    <cacheField name="SO-ITEM" numFmtId="0">
      <sharedItems/>
    </cacheField>
    <cacheField name="Priority" numFmtId="0">
      <sharedItems/>
    </cacheField>
    <cacheField name="Product" numFmtId="0">
      <sharedItems count="6">
        <s v="CRCA"/>
        <s v="PPGL"/>
        <s v="GP"/>
        <s v="GL"/>
        <s v="HRPO" u="1"/>
        <s v="CRFH" u="1"/>
      </sharedItems>
    </cacheField>
    <cacheField name="Brand" numFmtId="0">
      <sharedItems count="22">
        <s v="BPRS"/>
        <s v="Bluescope"/>
        <s v="IPP"/>
        <s v="IPP Stamping"/>
        <s v="Steelium"/>
        <s v="GP Soft narrow"/>
        <s v="GP hard wider"/>
        <s v="Steelium Super"/>
        <s v="GP hard narrow"/>
        <s v="Tubes"/>
        <s v="Solar"/>
        <s v="GP soft wider"/>
        <s v="Steelium Milledge"/>
        <s v="Export"/>
        <s v="Jindal India"/>
        <s v="GalvaRos"/>
        <s v="BPRS Stamping"/>
        <s v="Auto" u="1"/>
        <s v="CRFH Khopoli" u="1"/>
        <s v="Kosh Narrow" u="1"/>
        <s v="Kosh Wider" u="1"/>
        <s v="IPP  " u="1"/>
      </sharedItems>
    </cacheField>
    <cacheField name="OSP Oct'25" numFmtId="0">
      <sharedItems containsString="0" containsBlank="1" containsNumber="1" containsInteger="1" minValue="400" maxValue="7500"/>
    </cacheField>
    <cacheField name="Sale Org1" numFmtId="0">
      <sharedItems containsMixedTypes="1" containsNumber="1" containsInteger="1" minValue="1000" maxValue="2200" count="6">
        <s v="BPRS"/>
        <s v="IPP"/>
        <s v="Tubes"/>
        <n v="2000" u="1"/>
        <n v="1000" u="1"/>
        <n v="2200" u="1"/>
      </sharedItems>
    </cacheField>
    <cacheField name="Sale Org2" numFmtId="0">
      <sharedItems count="5">
        <s v="BPRS"/>
        <s v="IPP"/>
        <s v="SPC"/>
        <s v="Yard/Transfers"/>
        <s v="Tubes"/>
      </sharedItems>
    </cacheField>
    <cacheField name="ZONE" numFmtId="0">
      <sharedItems/>
    </cacheField>
    <cacheField name="Destination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0529"/>
    </cacheField>
    <cacheField name="Customer" numFmtId="0">
      <sharedItems/>
    </cacheField>
    <cacheField name="Material" numFmtId="0">
      <sharedItems containsSemiMixedTypes="0" containsString="0" containsNumber="1" containsInteger="1" minValue="27569" maxValue="4124997"/>
    </cacheField>
    <cacheField name="Material Description" numFmtId="0">
      <sharedItems containsBlank="1"/>
    </cacheField>
    <cacheField name="P Code" numFmtId="0">
      <sharedItems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.2" maxValue="2.5"/>
    </cacheField>
    <cacheField name="Width" numFmtId="0">
      <sharedItems containsSemiMixedTypes="0" containsString="0" containsNumber="1" containsInteger="1" minValue="848" maxValue="1350"/>
    </cacheField>
    <cacheField name="Length" numFmtId="0">
      <sharedItems containsString="0" containsBlank="1" containsNumber="1" containsInteger="1" minValue="0" maxValue="2500"/>
    </cacheField>
    <cacheField name="Order Quantity" numFmtId="1">
      <sharedItems containsString="0" containsBlank="1" containsNumber="1" minValue="17.995000000000001" maxValue="449.97"/>
    </cacheField>
    <cacheField name="FG " numFmtId="1">
      <sharedItems containsString="0" containsBlank="1" containsNumber="1" minValue="0" maxValue="422.30500000000001"/>
    </cacheField>
    <cacheField name="BTF 01.10.25" numFmtId="1">
      <sharedItems containsString="0" containsBlank="1" containsNumber="1" minValue="-4.9160000000000004" maxValue="297"/>
    </cacheField>
    <cacheField name="FG Stock 01.10.25" numFmtId="1">
      <sharedItems containsSemiMixedTypes="0" containsString="0" containsNumber="1" minValue="0" maxValue="279.50999999999993"/>
    </cacheField>
    <cacheField name="Total planned GR" numFmtId="1">
      <sharedItems containsSemiMixedTypes="0" containsString="0" containsNumber="1" minValue="0" maxValue="339.6"/>
    </cacheField>
    <cacheField name="FG 202540" numFmtId="1">
      <sharedItems containsSemiMixedTypes="0" containsString="0" containsNumber="1" minValue="0" maxValue="339.6"/>
    </cacheField>
    <cacheField name="FG 202541" numFmtId="1">
      <sharedItems containsSemiMixedTypes="0" containsString="0" containsNumber="1" minValue="0" maxValue="294"/>
    </cacheField>
    <cacheField name="FG 202542" numFmtId="1">
      <sharedItems containsSemiMixedTypes="0" containsString="0" containsNumber="1" minValue="0" maxValue="290"/>
    </cacheField>
    <cacheField name="FG 202543" numFmtId="1">
      <sharedItems containsSemiMixedTypes="0" containsString="0" containsNumber="1" minValue="0" maxValue="297"/>
    </cacheField>
    <cacheField name="FG 202544" numFmtId="1">
      <sharedItems containsSemiMixedTypes="0" containsString="0" containsNumber="1" minValue="0" maxValue="297"/>
    </cacheField>
    <cacheField name="Total planned Dispatch" numFmtId="1">
      <sharedItems containsSemiMixedTypes="0" containsString="0" containsNumber="1" minValue="0" maxValue="580"/>
    </cacheField>
    <cacheField name="Disp 202540" numFmtId="0">
      <sharedItems containsSemiMixedTypes="0" containsString="0" containsNumber="1" minValue="0" maxValue="279.50999999999993"/>
    </cacheField>
    <cacheField name="Disp 202541" numFmtId="0">
      <sharedItems containsSemiMixedTypes="0" containsString="0" containsNumber="1" minValue="0" maxValue="290"/>
    </cacheField>
    <cacheField name="Disp 202542" numFmtId="0">
      <sharedItems containsSemiMixedTypes="0" containsString="0" containsNumber="1" minValue="0" maxValue="294"/>
    </cacheField>
    <cacheField name="Disp 202543" numFmtId="0">
      <sharedItems containsSemiMixedTypes="0" containsString="0" containsNumber="1" minValue="0" maxValue="297"/>
    </cacheField>
    <cacheField name="Disp 202544" numFmtId="0">
      <sharedItems containsSemiMixedTypes="0" containsString="0" containsNumber="1" minValue="0" maxValue="297"/>
    </cacheField>
    <cacheField name="CF stock Oct'25" numFmtId="1">
      <sharedItems containsSemiMixedTypes="0" containsString="0" containsNumber="1" minValue="0" maxValue="368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5">
  <r>
    <n v="742"/>
    <d v="2025-08-02T00:00:00"/>
    <s v="ZBTF"/>
    <n v="9518988388"/>
    <n v="8"/>
    <s v="9518988388-8"/>
    <s v="Aug'25"/>
    <s v="Released"/>
    <x v="0"/>
    <x v="0"/>
    <x v="0"/>
    <m/>
    <s v="2000-BPRS"/>
    <m/>
    <s v="THIRUVALLUR"/>
    <s v="TATA"/>
    <n v="600250"/>
    <s v="TATA CENTER"/>
    <n v="187515"/>
    <s v="CR COIL-ICF  DQ TATXXD AU03 0.80 X 1250"/>
    <s v="C01"/>
    <s v="TATXXD"/>
    <s v="AU03"/>
    <n v="0.8"/>
    <n v="1250"/>
    <n v="0"/>
    <s v="T2 DONE"/>
    <s v=" "/>
    <s v=""/>
    <n v="10"/>
    <n v="28"/>
    <n v="255.036"/>
    <n v="215.80500000000001"/>
    <n v="39.231000000000002"/>
    <n v="14.461"/>
    <n v="0"/>
    <n v="0"/>
    <n v="0"/>
    <s v=""/>
    <s v=""/>
    <s v=""/>
    <s v=""/>
    <s v=""/>
    <s v=""/>
    <s v=""/>
    <s v=""/>
    <n v="24.77"/>
    <s v=""/>
    <s v=""/>
    <n v="0"/>
    <s v=""/>
    <s v=""/>
    <s v=""/>
    <s v=""/>
    <n v="24.77"/>
    <n v="24.77"/>
    <n v="0"/>
    <n v="14.461000000000002"/>
    <s v="0.77-0.83"/>
    <s v="1250-1262"/>
    <m/>
    <m/>
    <m/>
    <m/>
    <m/>
    <x v="0"/>
    <s v="U"/>
    <x v="0"/>
    <s v="C01-AU03-0.8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TATA CENTER"/>
  </r>
  <r>
    <n v="743"/>
    <d v="2025-03-19T00:00:00"/>
    <s v="ZBTO"/>
    <n v="9518613067"/>
    <n v="2"/>
    <s v="9518613067-2"/>
    <s v="Sep'25"/>
    <s v="Released"/>
    <x v="0"/>
    <x v="1"/>
    <x v="1"/>
    <m/>
    <s v="1000-IPPE"/>
    <m/>
    <s v="VIKARABAD"/>
    <s v="SBAD"/>
    <n v="947959"/>
    <s v="PENNAR INDUSTRIES LIMITED"/>
    <n v="3886225"/>
    <s v="GL COIL HARD  Y550GL HGL6 0.900X1242"/>
    <s v="B04"/>
    <s v="Y550GL"/>
    <s v="HGL6"/>
    <n v="0.9"/>
    <n v="1242"/>
    <n v="0"/>
    <s v="T2 DONE"/>
    <s v="AZ150"/>
    <s v=""/>
    <n v="7"/>
    <n v="15"/>
    <n v="140"/>
    <n v="115.79"/>
    <n v="24.21"/>
    <n v="-3.2"/>
    <n v="0"/>
    <n v="0"/>
    <n v="0"/>
    <n v="27.41"/>
    <s v=""/>
    <s v=""/>
    <s v=""/>
    <s v=""/>
    <s v=""/>
    <s v=""/>
    <s v=""/>
    <s v=""/>
    <s v=""/>
    <s v=""/>
    <n v="0"/>
    <s v=""/>
    <s v=""/>
    <s v=""/>
    <s v=""/>
    <n v="27.41"/>
    <n v="27.41"/>
    <n v="0"/>
    <n v="-3.1999999999999993"/>
    <s v="0.86-0.92"/>
    <s v="1242-1246"/>
    <m/>
    <m/>
    <m/>
    <m/>
    <m/>
    <x v="0"/>
    <s v="R"/>
    <x v="1"/>
    <s v="B04-HGL6-0.9-1242"/>
    <s v="367-HG02-2.8-1265"/>
    <x v="0"/>
    <x v="1"/>
    <x v="1"/>
    <x v="1"/>
    <x v="0"/>
    <x v="1"/>
    <x v="1"/>
    <m/>
    <m/>
    <m/>
    <m/>
    <m/>
    <m/>
    <m/>
    <m/>
    <m/>
    <m/>
    <m/>
    <m/>
    <m/>
    <m/>
    <m/>
    <m/>
    <m/>
    <m/>
    <m/>
    <s v="PENNAR INDUSTRIES LIMITED"/>
  </r>
  <r>
    <n v="743"/>
    <d v="2025-02-19T00:00:00"/>
    <s v="ZBTO"/>
    <n v="9518531619"/>
    <n v="3"/>
    <s v="9518531619-3"/>
    <s v="No Priority"/>
    <s v="Released"/>
    <x v="0"/>
    <x v="1"/>
    <x v="1"/>
    <m/>
    <s v="1000-IPPE"/>
    <m/>
    <s v="ZAHIRABAD"/>
    <s v="SBAD"/>
    <n v="188152"/>
    <s v="Metalkraft Forming Industries Pvt L"/>
    <n v="3951358"/>
    <s v="GL COIL HARD  Y550GL GL6H 0.900X1050"/>
    <s v="B04"/>
    <s v="Y550GL"/>
    <s v="GL6H"/>
    <n v="0.9"/>
    <n v="1050"/>
    <n v="0"/>
    <s v="T2 DONE"/>
    <s v="AZ150"/>
    <s v=""/>
    <n v="8"/>
    <n v="12"/>
    <n v="130"/>
    <n v="102.62"/>
    <n v="27.38"/>
    <n v="14.88"/>
    <n v="83.55"/>
    <n v="0"/>
    <n v="0"/>
    <s v=""/>
    <s v=""/>
    <s v=""/>
    <s v=""/>
    <s v=""/>
    <s v=""/>
    <s v=""/>
    <s v=""/>
    <s v=""/>
    <s v=""/>
    <s v=""/>
    <n v="0"/>
    <s v=""/>
    <s v=""/>
    <s v=""/>
    <n v="12.5"/>
    <n v="12.5"/>
    <n v="12.5"/>
    <n v="0"/>
    <n v="14.879999999999999"/>
    <s v="0.86-0.9"/>
    <s v="1050-1054"/>
    <m/>
    <m/>
    <m/>
    <m/>
    <m/>
    <x v="0"/>
    <s v="R"/>
    <x v="1"/>
    <s v="B04-GL6H-0.9-1050"/>
    <s v="727-HG02-2.8-1080"/>
    <x v="1"/>
    <x v="1"/>
    <x v="1"/>
    <x v="1"/>
    <x v="0"/>
    <x v="2"/>
    <x v="2"/>
    <m/>
    <m/>
    <m/>
    <m/>
    <m/>
    <m/>
    <m/>
    <m/>
    <m/>
    <m/>
    <m/>
    <m/>
    <m/>
    <m/>
    <m/>
    <m/>
    <m/>
    <m/>
    <m/>
    <s v="Metalkraft Forming Industries Pvt L"/>
  </r>
  <r>
    <n v="742"/>
    <d v="2025-06-04T00:00:00"/>
    <s v="ZBTO"/>
    <n v="9518824597"/>
    <n v="1"/>
    <s v="9518824597-1"/>
    <s v="Stocks"/>
    <s v="Released"/>
    <x v="0"/>
    <x v="2"/>
    <x v="2"/>
    <m/>
    <s v="3000-IPPE"/>
    <m/>
    <s v="YESHWANTHPURA"/>
    <s v="BANG"/>
    <n v="157491"/>
    <s v="TATA STEEL DOWNSTREAM PRODUCTS LIMI"/>
    <n v="1309819"/>
    <s v="HR COILS-PO IS 1079-HR2 3X1250"/>
    <n v="768"/>
    <s v="THA058"/>
    <s v="HA58"/>
    <n v="3"/>
    <n v="1250"/>
    <n v="0"/>
    <s v="T2 DONE"/>
    <s v=" "/>
    <s v=""/>
    <n v="20"/>
    <n v="31"/>
    <n v="550"/>
    <n v="495.17700000000002"/>
    <n v="54.823"/>
    <n v="54.8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4.823"/>
    <s v=""/>
    <s v=""/>
    <m/>
    <m/>
    <m/>
    <m/>
    <m/>
    <x v="0"/>
    <s v="U"/>
    <x v="2"/>
    <s v="768-HA58-3-1250"/>
    <s v="367-HA58-3-1250"/>
    <x v="0"/>
    <x v="2"/>
    <x v="2"/>
    <x v="2"/>
    <x v="1"/>
    <x v="0"/>
    <x v="3"/>
    <m/>
    <m/>
    <m/>
    <m/>
    <m/>
    <m/>
    <m/>
    <m/>
    <m/>
    <m/>
    <m/>
    <m/>
    <m/>
    <m/>
    <m/>
    <m/>
    <m/>
    <m/>
    <m/>
    <s v="TATA STEEL DOWNSTREAM PRODUCTS LIMI"/>
  </r>
  <r>
    <n v="742"/>
    <d v="2025-06-04T00:00:00"/>
    <s v="ZBTO"/>
    <n v="9518825269"/>
    <n v="1"/>
    <s v="9518825269-1"/>
    <s v="Jul'25"/>
    <s v="Released"/>
    <x v="0"/>
    <x v="2"/>
    <x v="2"/>
    <m/>
    <s v="3000-IPPE"/>
    <m/>
    <s v="YESHWANTHPURA"/>
    <s v="BANG"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400"/>
    <n v="236.82"/>
    <n v="163.18"/>
    <n v="163.1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63"/>
    <n v="0"/>
    <s v=""/>
    <s v=""/>
    <m/>
    <m/>
    <m/>
    <m/>
    <m/>
    <x v="0"/>
    <s v="U"/>
    <x v="2"/>
    <s v="768-HA58-2-1250"/>
    <s v="367-HA58-2-1250"/>
    <x v="0"/>
    <x v="2"/>
    <x v="2"/>
    <x v="2"/>
    <x v="2"/>
    <x v="0"/>
    <x v="4"/>
    <m/>
    <m/>
    <m/>
    <m/>
    <m/>
    <m/>
    <m/>
    <m/>
    <m/>
    <m/>
    <m/>
    <m/>
    <m/>
    <m/>
    <m/>
    <m/>
    <m/>
    <m/>
    <m/>
    <s v="TATA STEEL DOWNSTREAM PRODUCTS LIMI"/>
  </r>
  <r>
    <n v="742"/>
    <d v="2025-06-03T00:00:00"/>
    <s v="ZBTO"/>
    <n v="9518823199"/>
    <n v="2"/>
    <s v="9518823199-2"/>
    <s v="Stocks"/>
    <s v="Released"/>
    <x v="0"/>
    <x v="0"/>
    <x v="3"/>
    <m/>
    <s v="2000-BPRS"/>
    <m/>
    <s v="TATANAGAR"/>
    <s v="JAMS"/>
    <n v="165053"/>
    <s v="SUDISA ENTERPRISES (P) LTD."/>
    <n v="3755738"/>
    <s v="CR COIL TSBHSQ CH03 1.200X1250"/>
    <s v="C01"/>
    <s v="TSBHSQ"/>
    <s v="CH03"/>
    <n v="1.2"/>
    <n v="1250"/>
    <n v="0"/>
    <s v="T2 DONE"/>
    <s v=" "/>
    <s v=""/>
    <n v="12"/>
    <n v="28"/>
    <n v="81.411000000000001"/>
    <n v="25.58"/>
    <n v="55.831000000000003"/>
    <n v="55.83100000000000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5.831000000000003"/>
    <s v="1.17-1.21"/>
    <s v="1250-1252"/>
    <m/>
    <m/>
    <m/>
    <m/>
    <m/>
    <x v="0"/>
    <s v="T"/>
    <x v="3"/>
    <s v="C01-CH03-1.2-1250"/>
    <s v="367-JC43-3.2-1250"/>
    <x v="0"/>
    <x v="3"/>
    <x v="3"/>
    <x v="3"/>
    <x v="3"/>
    <x v="0"/>
    <x v="5"/>
    <m/>
    <m/>
    <m/>
    <m/>
    <m/>
    <m/>
    <m/>
    <m/>
    <m/>
    <m/>
    <m/>
    <m/>
    <m/>
    <m/>
    <m/>
    <m/>
    <m/>
    <m/>
    <m/>
    <s v="SUDISA ENTERPRISES (P) LTD."/>
  </r>
  <r>
    <n v="743"/>
    <d v="2025-07-23T00:00:00"/>
    <s v="ZBTO"/>
    <n v="9518952183"/>
    <n v="1"/>
    <s v="9518952183-1"/>
    <s v="No Priority"/>
    <s v="Released"/>
    <x v="0"/>
    <x v="3"/>
    <x v="3"/>
    <m/>
    <s v="2000-BPRS"/>
    <m/>
    <s v="TATANAGAR"/>
    <s v="JAMS"/>
    <n v="165053"/>
    <s v="SUDISA ENTERPRISES (P) LTD."/>
    <n v="1851815"/>
    <s v="GP COIL SOFT-TSBXGP-N1GP-0.28X900"/>
    <s v="C02"/>
    <s v="TSBXGP"/>
    <s v="N1GP"/>
    <n v="0.28000000000000003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6-0.3"/>
    <s v="900-904"/>
    <m/>
    <m/>
    <m/>
    <m/>
    <m/>
    <x v="0"/>
    <s v="R"/>
    <x v="4"/>
    <s v="C02-N1GP-0.28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SUDISA ENTERPRISES (P) LTD."/>
  </r>
  <r>
    <n v="743"/>
    <d v="2025-07-23T00:00:00"/>
    <s v="ZBTO"/>
    <n v="9518952183"/>
    <n v="3"/>
    <s v="9518952183-3"/>
    <s v="No Priority"/>
    <s v="Released"/>
    <x v="0"/>
    <x v="3"/>
    <x v="3"/>
    <m/>
    <s v="2000-BPRS"/>
    <m/>
    <s v="TATANAGAR"/>
    <s v="JAMS"/>
    <n v="165053"/>
    <s v="SUDISA ENTERPRISES (P) LTD."/>
    <n v="1851836"/>
    <s v="GP COIL SOFT-TSBXGP-N1GP-0.3X900"/>
    <s v="C02"/>
    <s v="TSBXGP"/>
    <s v="N1GP"/>
    <n v="0.3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8-0.32"/>
    <s v="900-904"/>
    <m/>
    <m/>
    <m/>
    <m/>
    <m/>
    <x v="0"/>
    <s v="R"/>
    <x v="4"/>
    <s v="C02-N1GP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SUDISA ENTERPRISES (P) LTD."/>
  </r>
  <r>
    <n v="744"/>
    <d v="2025-07-01T00:00:00"/>
    <s v="ZBTO"/>
    <n v="9518900402"/>
    <n v="1"/>
    <s v="9518900402-1"/>
    <s v="Sep'25"/>
    <s v="Released"/>
    <x v="0"/>
    <x v="4"/>
    <x v="4"/>
    <n v="7000"/>
    <s v="1000-IPPE"/>
    <m/>
    <s v="GAMHARIA"/>
    <s v="BOMB"/>
    <n v="940016"/>
    <s v="TATA BLUESCOPE STEEL PVT LTD."/>
    <n v="3879501"/>
    <s v="PPGL C Y550 ISC6 0.45BMT(0.50TPT)X1220"/>
    <s v="B18"/>
    <s v="Y550PL"/>
    <s v="ISC6"/>
    <n v="0.45"/>
    <n v="1220"/>
    <n v="0"/>
    <s v="T2 DONE"/>
    <s v="aZ70"/>
    <s v="PRO PEARL TSL 1918"/>
    <n v="2"/>
    <n v="5"/>
    <n v="28"/>
    <n v="0"/>
    <n v="28"/>
    <n v="28"/>
    <n v="0"/>
    <n v="0"/>
    <n v="0"/>
    <s v=""/>
    <s v=""/>
    <n v="24.86"/>
    <s v=""/>
    <s v=""/>
    <s v=""/>
    <s v=""/>
    <s v=""/>
    <s v=""/>
    <s v=""/>
    <s v=""/>
    <n v="0"/>
    <s v=""/>
    <s v=""/>
    <s v=""/>
    <s v=""/>
    <n v="24.86"/>
    <n v="24.86"/>
    <n v="28"/>
    <n v="-24.86"/>
    <s v="0.43-0.47"/>
    <s v="1220-1222"/>
    <m/>
    <m/>
    <m/>
    <m/>
    <m/>
    <x v="0"/>
    <s v="M"/>
    <x v="5"/>
    <s v="B18-ISC6-0.4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4"/>
    <d v="2025-05-29T00:00:00"/>
    <s v="ZBTO"/>
    <n v="9518809011"/>
    <n v="1"/>
    <s v="9518809011-1"/>
    <s v="No Priority"/>
    <s v="Released"/>
    <x v="0"/>
    <x v="4"/>
    <x v="4"/>
    <m/>
    <s v="1000-IPPE"/>
    <m/>
    <s v="GAMHARIA"/>
    <s v="BOMB"/>
    <n v="940016"/>
    <s v="TATA BLUESCOPE STEEL PVT LTD."/>
    <n v="3890482"/>
    <s v="PPGL C Y550 HPL6 0.30BMT(0.37TPT)X1220"/>
    <s v="B18"/>
    <s v="Y550PL"/>
    <s v="HPL6"/>
    <n v="0.3"/>
    <n v="1220"/>
    <n v="0"/>
    <s v="T2 DONE"/>
    <s v="AZ150"/>
    <s v="ASIAN WHITE TSL 1901"/>
    <n v="2"/>
    <n v="5.2"/>
    <n v="251.99799999999999"/>
    <n v="212.66499999999999"/>
    <n v="39.332999999999998"/>
    <n v="27.738"/>
    <n v="0"/>
    <n v="0"/>
    <n v="0"/>
    <s v=""/>
    <s v=""/>
    <s v=""/>
    <s v=""/>
    <s v=""/>
    <n v="4.4649999999999999"/>
    <s v=""/>
    <s v=""/>
    <s v=""/>
    <s v=""/>
    <s v=""/>
    <n v="0"/>
    <s v=""/>
    <s v=""/>
    <n v="7.13"/>
    <s v=""/>
    <n v="11.594999999999999"/>
    <n v="11.594999999999999"/>
    <n v="28"/>
    <n v="-0.26200000000000045"/>
    <s v="0.28-0.32"/>
    <s v="1220-1222"/>
    <m/>
    <m/>
    <m/>
    <m/>
    <m/>
    <x v="0"/>
    <s v="M"/>
    <x v="3"/>
    <s v="B18-HPL6-0.3-12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TATA BLUESCOPE STEEL PVT LTD."/>
  </r>
  <r>
    <n v="742"/>
    <d v="2025-07-03T00:00:00"/>
    <s v="ZBTT"/>
    <n v="9518904620"/>
    <n v="1"/>
    <s v="9518904620-1"/>
    <s v="No Priority"/>
    <s v="Released"/>
    <x v="0"/>
    <x v="0"/>
    <x v="3"/>
    <m/>
    <s v="2000-BPRS"/>
    <m/>
    <s v="THIRUVALLUR"/>
    <s v="MADS"/>
    <n v="600250"/>
    <s v="TATA CENTER"/>
    <n v="4070476"/>
    <s v="CR COIL TATXDD TR92 0.600X1250"/>
    <s v="C01"/>
    <s v="TATXDD"/>
    <s v="TR92"/>
    <n v="0.6"/>
    <n v="1250"/>
    <n v="0"/>
    <s v="T2 DONE"/>
    <s v=" "/>
    <s v=""/>
    <n v="3.9"/>
    <n v="14"/>
    <n v="57.999000000000002"/>
    <n v="19.190000000000001"/>
    <n v="38.808999999999997"/>
    <n v="38.8089999999999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8.808999999999997"/>
    <s v="0.58-0.62"/>
    <s v="1250-1270"/>
    <m/>
    <m/>
    <m/>
    <m/>
    <m/>
    <x v="0"/>
    <s v="U"/>
    <x v="3"/>
    <s v="C01-TR92-0.6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TATA CENTER"/>
  </r>
  <r>
    <n v="742"/>
    <d v="2025-07-03T00:00:00"/>
    <s v="ZBTT"/>
    <n v="9518904620"/>
    <n v="2"/>
    <s v="9518904620-2"/>
    <s v="No Priority"/>
    <s v="Released"/>
    <x v="0"/>
    <x v="0"/>
    <x v="3"/>
    <m/>
    <s v="2000-BPRS"/>
    <m/>
    <s v="THIRUVALLUR"/>
    <s v="MADS"/>
    <n v="600250"/>
    <s v="TATA CENTER"/>
    <n v="4070477"/>
    <s v="CR COIL TATXDD TR92 0.800X1250"/>
    <s v="C01"/>
    <s v="TATXDD"/>
    <s v="TR92"/>
    <n v="0.8"/>
    <n v="1250"/>
    <n v="0"/>
    <s v="T2 DONE"/>
    <s v=" "/>
    <s v=""/>
    <n v="7.3"/>
    <n v="14"/>
    <n v="57.999000000000002"/>
    <n v="27.08"/>
    <n v="30.919"/>
    <n v="30.91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0.919"/>
    <s v="0.78-0.82"/>
    <s v="1250-1270"/>
    <m/>
    <m/>
    <m/>
    <m/>
    <m/>
    <x v="0"/>
    <s v="U"/>
    <x v="3"/>
    <s v="C01-TR92-0.8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TATA CENTER"/>
  </r>
  <r>
    <n v="742"/>
    <d v="2025-07-08T00:00:00"/>
    <s v="ZBTO"/>
    <n v="9518914458"/>
    <n v="1"/>
    <s v="9518914458-1"/>
    <s v="Aug'25"/>
    <s v="Released"/>
    <x v="0"/>
    <x v="0"/>
    <x v="5"/>
    <m/>
    <s v="1000-IPPE"/>
    <m/>
    <s v="PATTANCHERY"/>
    <s v="SBAD"/>
    <n v="947865"/>
    <s v="CHANDRA CONTAINER MANUFACTURERS"/>
    <n v="4005007"/>
    <s v="CR COIL TATXXD BT04 0.450X1020"/>
    <s v="C01"/>
    <s v="TATXXD"/>
    <s v="BT04"/>
    <n v="0.45"/>
    <n v="1020"/>
    <n v="0"/>
    <s v="T2 DONE"/>
    <s v=" "/>
    <s v=""/>
    <n v="4"/>
    <n v="7"/>
    <n v="67"/>
    <n v="40.18"/>
    <n v="26.82"/>
    <n v="26.8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7"/>
    <n v="0"/>
    <s v="0.43-0.45"/>
    <s v="1020-1021"/>
    <m/>
    <m/>
    <m/>
    <m/>
    <m/>
    <x v="0"/>
    <s v="M"/>
    <x v="6"/>
    <s v="C01-BT04-0.45-1020"/>
    <s v="B69-SH67-2.25-1035"/>
    <x v="2"/>
    <x v="6"/>
    <x v="6"/>
    <x v="6"/>
    <x v="4"/>
    <x v="6"/>
    <x v="8"/>
    <m/>
    <m/>
    <m/>
    <m/>
    <m/>
    <m/>
    <m/>
    <m/>
    <m/>
    <m/>
    <m/>
    <m/>
    <m/>
    <m/>
    <m/>
    <m/>
    <m/>
    <m/>
    <m/>
    <s v="CHANDRA CONTAINER MANUFACTURERS"/>
  </r>
  <r>
    <n v="742"/>
    <d v="2025-06-30T00:00:00"/>
    <s v="ZBTO"/>
    <n v="9518898382"/>
    <n v="6"/>
    <s v="9518898382-6"/>
    <s v="Sep'25"/>
    <s v="Released"/>
    <x v="0"/>
    <x v="0"/>
    <x v="6"/>
    <m/>
    <s v="2000-BPRS"/>
    <m/>
    <s v="GUWAHATI"/>
    <s v="GWAH"/>
    <n v="116649"/>
    <s v="SAGAR STEELS"/>
    <n v="3515914"/>
    <s v="CR COIL TSBCRC SR25 0.500X1000"/>
    <s v="C01"/>
    <s v="TSBCRC"/>
    <s v="SR25"/>
    <n v="0.5"/>
    <n v="1000"/>
    <n v="0"/>
    <s v="T2 DONE"/>
    <s v=" "/>
    <s v=""/>
    <n v="4"/>
    <n v="28"/>
    <n v="46"/>
    <n v="0"/>
    <n v="46"/>
    <n v="3.12"/>
    <n v="0"/>
    <n v="0"/>
    <n v="0"/>
    <s v=""/>
    <s v=""/>
    <s v=""/>
    <s v=""/>
    <s v=""/>
    <s v=""/>
    <s v=""/>
    <s v=""/>
    <n v="42.88"/>
    <s v=""/>
    <s v=""/>
    <n v="0"/>
    <s v=""/>
    <s v=""/>
    <s v=""/>
    <s v=""/>
    <n v="42.88"/>
    <n v="42.88"/>
    <n v="0"/>
    <n v="3.1199999999999974"/>
    <s v="0.47-0.5"/>
    <s v="1000-1020"/>
    <m/>
    <m/>
    <m/>
    <m/>
    <m/>
    <x v="0"/>
    <s v="U"/>
    <x v="7"/>
    <s v="C01-SR2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s v="SAGAR STEELS"/>
  </r>
  <r>
    <n v="743"/>
    <d v="2025-07-08T00:00:00"/>
    <s v="ZBTO"/>
    <n v="9518914760"/>
    <n v="2"/>
    <s v="9518914760-2"/>
    <s v="Sep'25"/>
    <s v="Released"/>
    <x v="1"/>
    <x v="3"/>
    <x v="7"/>
    <m/>
    <s v="2000-BPRS"/>
    <m/>
    <s v="LONI"/>
    <s v="GBAD"/>
    <n v="931235"/>
    <s v="K D J P STEELS PVT LTD"/>
    <n v="2270690"/>
    <s v="GP COIL SOFT TATXGP GLK1 0.25X1000"/>
    <s v="C02"/>
    <s v="TATXGP"/>
    <s v="GLK1"/>
    <n v="0.25"/>
    <n v="1000"/>
    <n v="0"/>
    <s v="T2 DONE"/>
    <s v="Z80"/>
    <s v=""/>
    <n v="4"/>
    <n v="6"/>
    <n v="46"/>
    <n v="21.625"/>
    <n v="24.375"/>
    <n v="24.37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4.375"/>
    <s v="0.22-0.25"/>
    <s v="1000-1003"/>
    <m/>
    <m/>
    <m/>
    <m/>
    <m/>
    <x v="0"/>
    <s v="R"/>
    <x v="8"/>
    <s v="C02-GLK1-0.25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K D J P STEELS PVT LTD"/>
  </r>
  <r>
    <n v="742"/>
    <d v="2025-08-05T00:00:00"/>
    <s v="ZBTF"/>
    <n v="4000514358"/>
    <n v="1"/>
    <s v="4000514358-1"/>
    <s v="Sep'25"/>
    <s v="Released"/>
    <x v="0"/>
    <x v="2"/>
    <x v="8"/>
    <m/>
    <s v="2000-BPRS"/>
    <m/>
    <s v="YESHWANTHPURA"/>
    <s v=""/>
    <n v="600103"/>
    <s v="TATA STEEL LIMITED"/>
    <n v="2271033"/>
    <s v="HRPO COIL T01579 TU02 1.60X1250"/>
    <n v="768"/>
    <s v="T01579"/>
    <s v="TU02"/>
    <n v="1.6"/>
    <n v="1250"/>
    <n v="0"/>
    <s v="T2 DONE"/>
    <s v=" "/>
    <s v=""/>
    <n v="20"/>
    <n v="28"/>
    <n v="174"/>
    <n v="83.465000000000003"/>
    <n v="90.534999999999997"/>
    <n v="68.515000000000001"/>
    <n v="0"/>
    <n v="0"/>
    <n v="0"/>
    <s v=""/>
    <s v=""/>
    <s v=""/>
    <s v=""/>
    <s v=""/>
    <s v=""/>
    <s v=""/>
    <s v=""/>
    <s v=""/>
    <s v=""/>
    <s v=""/>
    <n v="0"/>
    <s v=""/>
    <n v="22.02"/>
    <s v=""/>
    <s v=""/>
    <n v="22.02"/>
    <n v="22.02"/>
    <n v="0"/>
    <n v="68.515000000000001"/>
    <s v=""/>
    <s v=""/>
    <m/>
    <m/>
    <m/>
    <m/>
    <m/>
    <x v="0"/>
    <s v="U"/>
    <x v="9"/>
    <s v="768-TU02-1.6-1250"/>
    <s v="367-TU02-1.6-1250"/>
    <x v="0"/>
    <x v="8"/>
    <x v="8"/>
    <x v="8"/>
    <x v="6"/>
    <x v="0"/>
    <x v="11"/>
    <m/>
    <m/>
    <m/>
    <m/>
    <m/>
    <m/>
    <m/>
    <m/>
    <m/>
    <m/>
    <m/>
    <m/>
    <m/>
    <m/>
    <m/>
    <m/>
    <m/>
    <m/>
    <m/>
    <s v="TATA STEEL LIMITED"/>
  </r>
  <r>
    <n v="743"/>
    <d v="2025-07-25T00:00:00"/>
    <s v="ZBTO"/>
    <n v="9518957720"/>
    <n v="5"/>
    <s v="9518957720-5"/>
    <s v="Aug'25"/>
    <s v="Released"/>
    <x v="1"/>
    <x v="1"/>
    <x v="5"/>
    <m/>
    <s v="1000-IPPE"/>
    <m/>
    <s v="VINJAMURU"/>
    <s v="BANG"/>
    <n v="188750"/>
    <s v="Colorshine Coated Pvt.Ltd."/>
    <n v="4096237"/>
    <s v="GL COIL SKINPASS Y300GL SGL2 0.320X1235"/>
    <s v="B06"/>
    <s v="Y300GL"/>
    <s v="SGL2"/>
    <n v="0.32"/>
    <n v="1235"/>
    <n v="0"/>
    <s v="T2 DONE"/>
    <s v="aZ70"/>
    <s v=""/>
    <n v="7"/>
    <n v="20"/>
    <n v="168"/>
    <n v="149.815"/>
    <n v="18.184999999999999"/>
    <n v="18.184999999999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8.184999999999999"/>
    <s v="0.29-0.33"/>
    <s v="1235-1255"/>
    <m/>
    <m/>
    <m/>
    <m/>
    <m/>
    <x v="0"/>
    <s v="U"/>
    <x v="10"/>
    <s v="B06-SGL2-0.32-1235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Colorshine Coated Pvt.Ltd."/>
  </r>
  <r>
    <n v="742"/>
    <d v="2025-08-07T00:00:00"/>
    <s v="ZBTF"/>
    <n v="4000514713"/>
    <n v="1"/>
    <s v="4000514713-1"/>
    <s v="Sep'25"/>
    <s v="Released"/>
    <x v="0"/>
    <x v="2"/>
    <x v="8"/>
    <m/>
    <s v="2000-BPRS"/>
    <m/>
    <s v="YESHWANTHPURA"/>
    <s v=""/>
    <n v="600103"/>
    <s v="TATA STEEL LIMITED"/>
    <n v="4098505"/>
    <s v="HR COILS-PO THR099 2X1270"/>
    <n v="768"/>
    <s v="THR099"/>
    <s v="HR99"/>
    <n v="2"/>
    <n v="1270"/>
    <n v="0"/>
    <s v="T2 DONE"/>
    <s v=" "/>
    <s v=""/>
    <n v="17"/>
    <n v="27.5"/>
    <n v="203"/>
    <n v="168.92500000000001"/>
    <n v="34.075000000000003"/>
    <n v="34.07500000000000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4.075000000000003"/>
    <s v=""/>
    <s v=""/>
    <m/>
    <m/>
    <m/>
    <m/>
    <m/>
    <x v="0"/>
    <s v="U"/>
    <x v="9"/>
    <s v="768-HR99-2-1270"/>
    <s v="367-HR99-2-1270"/>
    <x v="0"/>
    <x v="9"/>
    <x v="9"/>
    <x v="9"/>
    <x v="2"/>
    <x v="8"/>
    <x v="13"/>
    <m/>
    <m/>
    <m/>
    <m/>
    <m/>
    <m/>
    <m/>
    <m/>
    <m/>
    <m/>
    <m/>
    <m/>
    <m/>
    <m/>
    <m/>
    <m/>
    <m/>
    <m/>
    <m/>
    <s v="TATA STEEL LIMITED"/>
  </r>
  <r>
    <n v="742"/>
    <d v="2025-07-26T00:00:00"/>
    <s v="ZBTO"/>
    <n v="9518961702"/>
    <n v="1"/>
    <s v="9518961702-1"/>
    <s v="Aug'25"/>
    <s v="Released"/>
    <x v="1"/>
    <x v="0"/>
    <x v="9"/>
    <m/>
    <s v="1000-IPPE"/>
    <m/>
    <s v="RAJKOT"/>
    <s v="AMED"/>
    <n v="188891"/>
    <s v="Galaxy Stamping Pvt. Ltd."/>
    <n v="2439203"/>
    <s v="CRCA COIL TSBSTA EL06 0.500X1160"/>
    <s v="C01"/>
    <s v="TSBSTA"/>
    <s v="EL06"/>
    <n v="0.5"/>
    <n v="1160"/>
    <n v="0"/>
    <s v="T2 DONE"/>
    <s v=" "/>
    <s v=""/>
    <n v="5"/>
    <n v="8"/>
    <n v="80"/>
    <n v="42.4"/>
    <n v="37.6"/>
    <n v="37.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7.6"/>
    <s v="0.48-0.52"/>
    <s v="1160-1180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Galaxy Stamping Pvt. Ltd."/>
  </r>
  <r>
    <n v="742"/>
    <d v="2025-07-24T00:00:00"/>
    <s v="ZBTO"/>
    <n v="9518956389"/>
    <n v="3"/>
    <s v="9518956389-3"/>
    <s v="Oct'25"/>
    <s v="Released"/>
    <x v="1"/>
    <x v="0"/>
    <x v="0"/>
    <m/>
    <s v="2000-BPRS"/>
    <m/>
    <s v="YESHWANTHPURA"/>
    <s v="BANG"/>
    <n v="932244"/>
    <s v="DURGA TRADERS"/>
    <n v="1801022"/>
    <s v="CRCA COIL-TATXXD-AU03-0.45X1250"/>
    <s v="C01"/>
    <s v="TATXXD"/>
    <s v="AU03"/>
    <n v="0.45"/>
    <n v="1250"/>
    <n v="0"/>
    <s v="T2 DONE"/>
    <s v=" "/>
    <s v=""/>
    <n v="10"/>
    <n v="28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2-0.45"/>
    <s v="1250-1262"/>
    <m/>
    <m/>
    <m/>
    <m/>
    <m/>
    <x v="0"/>
    <s v="U"/>
    <x v="0"/>
    <s v="C01-AU03-0.45-1250"/>
    <s v="367-SH08-2.25-1250"/>
    <x v="0"/>
    <x v="0"/>
    <x v="0"/>
    <x v="0"/>
    <x v="4"/>
    <x v="0"/>
    <x v="15"/>
    <m/>
    <m/>
    <m/>
    <m/>
    <m/>
    <m/>
    <m/>
    <m/>
    <m/>
    <m/>
    <m/>
    <m/>
    <m/>
    <m/>
    <m/>
    <m/>
    <m/>
    <m/>
    <m/>
    <s v="DURGA TRADERS"/>
  </r>
  <r>
    <n v="742"/>
    <d v="2025-07-24T00:00:00"/>
    <s v="ZBTO"/>
    <n v="9518956389"/>
    <n v="4"/>
    <s v="9518956389-4"/>
    <s v="No Priority"/>
    <s v="Released"/>
    <x v="0"/>
    <x v="0"/>
    <x v="0"/>
    <m/>
    <s v="2000-BPRS"/>
    <m/>
    <s v="YESHWANTHPURA"/>
    <s v="BANG"/>
    <n v="932244"/>
    <s v="DURGA TRADERS"/>
    <n v="185675"/>
    <s v="CRCA COIL-TATXXD-AU03-0.5X1250"/>
    <s v="C01"/>
    <s v="TATXXD"/>
    <s v="AU03"/>
    <n v="0.5"/>
    <n v="1250"/>
    <n v="0"/>
    <s v="T2 DONE"/>
    <s v=" "/>
    <s v=""/>
    <n v="10"/>
    <n v="28"/>
    <n v="58"/>
    <n v="37.454999999999998"/>
    <n v="20.545000000000002"/>
    <n v="20.54500000000000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0.545000000000002"/>
    <s v="0.47-0.5"/>
    <s v="1250-1262"/>
    <m/>
    <m/>
    <m/>
    <m/>
    <m/>
    <x v="0"/>
    <s v="U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DURGA TRADERS"/>
  </r>
  <r>
    <n v="742"/>
    <d v="2025-07-24T00:00:00"/>
    <s v="ZBTO"/>
    <n v="9518956389"/>
    <n v="5"/>
    <s v="9518956389-5"/>
    <s v="Stocks"/>
    <s v="Released"/>
    <x v="0"/>
    <x v="0"/>
    <x v="0"/>
    <m/>
    <s v="2000-BPRS"/>
    <m/>
    <s v="YESHWANTHPURA"/>
    <s v="BANG"/>
    <n v="932244"/>
    <s v="DURGA TRADERS"/>
    <n v="1801290"/>
    <s v="CRCA COIL-TATXXD-AU03-0.6X1250"/>
    <s v="C01"/>
    <s v="TATXXD"/>
    <s v="AU03"/>
    <n v="0.6"/>
    <n v="1250"/>
    <n v="0"/>
    <s v="T2 DONE"/>
    <s v=" "/>
    <s v=""/>
    <n v="10"/>
    <n v="28"/>
    <n v="45.151000000000003"/>
    <n v="12.85"/>
    <n v="32.301000000000002"/>
    <n v="32.30100000000000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2.301000000000002"/>
    <s v="0.57-0.6"/>
    <s v="1250-1262"/>
    <m/>
    <m/>
    <m/>
    <m/>
    <m/>
    <x v="0"/>
    <s v="U"/>
    <x v="0"/>
    <s v="C01-AU03-0.6-1250"/>
    <s v="367-SH08-2.5-1260"/>
    <x v="0"/>
    <x v="0"/>
    <x v="0"/>
    <x v="0"/>
    <x v="7"/>
    <x v="10"/>
    <x v="17"/>
    <m/>
    <m/>
    <m/>
    <m/>
    <m/>
    <m/>
    <m/>
    <m/>
    <m/>
    <m/>
    <m/>
    <m/>
    <m/>
    <m/>
    <m/>
    <m/>
    <m/>
    <m/>
    <m/>
    <s v="DURGA TRADERS"/>
  </r>
  <r>
    <n v="743"/>
    <d v="2025-08-19T00:00:00"/>
    <s v="ZBTO"/>
    <n v="9519028704"/>
    <n v="1"/>
    <s v="9519028704-1"/>
    <s v="Sep'25"/>
    <s v="Released"/>
    <x v="0"/>
    <x v="3"/>
    <x v="7"/>
    <m/>
    <s v="2000-BPRS"/>
    <m/>
    <s v="VARANASI"/>
    <s v="KANP"/>
    <n v="931525"/>
    <s v="INDIA STEEL INDUSTRIES"/>
    <n v="1191955"/>
    <s v="GP COIL SOFT-TATXGP-GK09-0.3X900"/>
    <s v="C02"/>
    <s v="TATXGP"/>
    <s v="GK09"/>
    <n v="0.3"/>
    <n v="900"/>
    <n v="0"/>
    <s v="T2 DONE"/>
    <s v="Z80"/>
    <s v=""/>
    <n v="4"/>
    <n v="12"/>
    <n v="84"/>
    <n v="20.085000000000001"/>
    <n v="63.914999999999999"/>
    <n v="63.914999999999999"/>
    <n v="20.085000000000001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64"/>
    <n v="0"/>
    <s v="0.26-0.34"/>
    <s v="900-904"/>
    <m/>
    <m/>
    <m/>
    <m/>
    <m/>
    <x v="0"/>
    <s v="S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INDIA STEEL INDUSTRIES"/>
  </r>
  <r>
    <n v="742"/>
    <d v="2025-08-06T00:00:00"/>
    <s v="ZBTF"/>
    <n v="4000514786"/>
    <n v="1"/>
    <s v="4000514786-1"/>
    <s v="Sep'25"/>
    <s v="Released"/>
    <x v="0"/>
    <x v="2"/>
    <x v="5"/>
    <m/>
    <s v="1000-IPPE"/>
    <m/>
    <s v="THIRUVALLUR"/>
    <s v=""/>
    <n v="600108"/>
    <s v="THE TATA IRON &amp; STEEL CO LTD "/>
    <n v="3226987"/>
    <s v="HR COILS-PO THR099 HR99 1.90X1250"/>
    <n v="768"/>
    <s v="THR099"/>
    <s v="HR99"/>
    <n v="1.9"/>
    <n v="1250"/>
    <n v="0"/>
    <s v="T2 DONE"/>
    <s v=" "/>
    <s v=""/>
    <n v="21"/>
    <n v="25"/>
    <n v="290"/>
    <n v="0"/>
    <n v="290"/>
    <n v="29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0"/>
    <s v=""/>
    <s v=""/>
    <m/>
    <m/>
    <m/>
    <m/>
    <m/>
    <x v="0"/>
    <s v="U"/>
    <x v="12"/>
    <s v="768-HR99-1.9-1250"/>
    <s v="367-HR99-1.9-1250"/>
    <x v="0"/>
    <x v="9"/>
    <x v="9"/>
    <x v="9"/>
    <x v="8"/>
    <x v="0"/>
    <x v="18"/>
    <m/>
    <m/>
    <m/>
    <m/>
    <m/>
    <m/>
    <m/>
    <m/>
    <m/>
    <m/>
    <m/>
    <m/>
    <m/>
    <m/>
    <m/>
    <m/>
    <m/>
    <m/>
    <m/>
    <s v="THE TATA IRON &amp; STEEL CO LTD "/>
  </r>
  <r>
    <n v="742"/>
    <d v="2025-07-03T00:00:00"/>
    <s v="ZBTO"/>
    <n v="9518903517"/>
    <n v="1"/>
    <s v="9518903517-1"/>
    <s v="Stocks"/>
    <s v="Released"/>
    <x v="0"/>
    <x v="0"/>
    <x v="0"/>
    <m/>
    <s v="2000-BPRS"/>
    <m/>
    <s v="YESHWANTHPURA"/>
    <s v="BANG"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24.39"/>
    <n v="33.61"/>
    <n v="33.6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3.61"/>
    <s v="0.3-0.35"/>
    <s v="1250-1262"/>
    <m/>
    <m/>
    <m/>
    <m/>
    <m/>
    <x v="0"/>
    <s v="U"/>
    <x v="0"/>
    <s v="C01-AU03-0.35-1250"/>
    <s v="367-SH08-2-1275"/>
    <x v="0"/>
    <x v="0"/>
    <x v="0"/>
    <x v="0"/>
    <x v="2"/>
    <x v="11"/>
    <x v="19"/>
    <m/>
    <m/>
    <m/>
    <m/>
    <m/>
    <m/>
    <m/>
    <m/>
    <m/>
    <m/>
    <m/>
    <m/>
    <m/>
    <m/>
    <m/>
    <m/>
    <m/>
    <m/>
    <m/>
    <s v="TATA STEEL DOWNSTREAM PRODUCTS LIMI"/>
  </r>
  <r>
    <n v="742"/>
    <d v="2025-07-03T00:00:00"/>
    <s v="ZBTO"/>
    <n v="9518903517"/>
    <n v="2"/>
    <s v="9518903517-2"/>
    <s v="Sep'25"/>
    <s v="Released"/>
    <x v="0"/>
    <x v="0"/>
    <x v="0"/>
    <m/>
    <s v="2000-BPRS"/>
    <m/>
    <s v="YESHWANTHPURA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69.63"/>
    <n v="46.37"/>
    <n v="46.3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.37"/>
    <s v="0.36-0.4"/>
    <s v="1250-1262"/>
    <m/>
    <m/>
    <m/>
    <m/>
    <m/>
    <x v="0"/>
    <s v="U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TATA STEEL DOWNSTREAM PRODUCTS LIMI"/>
  </r>
  <r>
    <n v="742"/>
    <d v="2025-07-23T00:00:00"/>
    <s v="ZBTF"/>
    <n v="4000513138"/>
    <n v="1"/>
    <s v="4000513138-1"/>
    <s v="Sep'25"/>
    <s v="Released"/>
    <x v="0"/>
    <x v="2"/>
    <x v="8"/>
    <m/>
    <s v="2000-BPRS"/>
    <m/>
    <s v="YESHWANTHPURA"/>
    <s v=""/>
    <n v="600103"/>
    <s v="TATA STEEL LIMITED"/>
    <n v="3226987"/>
    <s v="HR COILS-PO THR099 HR99 1.90X1250"/>
    <n v="768"/>
    <s v="THR099"/>
    <s v="HR99"/>
    <n v="1.9"/>
    <n v="1250"/>
    <n v="0"/>
    <s v="T2 DONE"/>
    <s v=" "/>
    <s v=""/>
    <n v="10"/>
    <n v="27"/>
    <n v="260.98500000000001"/>
    <n v="220.655"/>
    <n v="40.33"/>
    <n v="17.82"/>
    <n v="0"/>
    <n v="0"/>
    <n v="0"/>
    <s v=""/>
    <s v=""/>
    <s v=""/>
    <s v=""/>
    <s v=""/>
    <s v=""/>
    <s v=""/>
    <s v=""/>
    <s v=""/>
    <s v=""/>
    <s v=""/>
    <n v="0"/>
    <s v=""/>
    <s v=""/>
    <s v=""/>
    <n v="22.51"/>
    <n v="22.51"/>
    <n v="22.51"/>
    <n v="0"/>
    <n v="17.819999999999997"/>
    <s v=""/>
    <s v=""/>
    <m/>
    <m/>
    <m/>
    <m/>
    <m/>
    <x v="0"/>
    <s v="U"/>
    <x v="12"/>
    <s v="768-HR99-1.9-1250"/>
    <s v="367-HR99-1.9-1250"/>
    <x v="0"/>
    <x v="9"/>
    <x v="9"/>
    <x v="9"/>
    <x v="8"/>
    <x v="0"/>
    <x v="18"/>
    <m/>
    <m/>
    <m/>
    <m/>
    <m/>
    <m/>
    <m/>
    <m/>
    <m/>
    <m/>
    <m/>
    <m/>
    <m/>
    <m/>
    <m/>
    <m/>
    <m/>
    <m/>
    <m/>
    <s v="TATA STEEL LIMITED"/>
  </r>
  <r>
    <n v="742"/>
    <d v="2025-07-23T00:00:00"/>
    <s v="ZBTF"/>
    <n v="4000513138"/>
    <n v="2"/>
    <s v="4000513138-2"/>
    <s v="Sep'25"/>
    <s v="Released"/>
    <x v="0"/>
    <x v="2"/>
    <x v="8"/>
    <m/>
    <s v="2000-BPRS"/>
    <m/>
    <s v="YESHWANTHPURA"/>
    <s v=""/>
    <n v="600103"/>
    <s v="TATA STEEL LIMITED"/>
    <n v="3226987"/>
    <s v="HR COILS-PO THR099 HR99 1.90X1250"/>
    <n v="768"/>
    <s v="THR099"/>
    <s v="HR99"/>
    <n v="1.9"/>
    <n v="1250"/>
    <n v="0"/>
    <s v="T2 DONE"/>
    <s v=" "/>
    <s v=""/>
    <n v="10"/>
    <n v="27"/>
    <n v="260.98500000000001"/>
    <n v="22.36"/>
    <n v="238.625"/>
    <n v="238.625"/>
    <n v="22.36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8.625"/>
    <s v=""/>
    <s v=""/>
    <m/>
    <m/>
    <m/>
    <m/>
    <m/>
    <x v="0"/>
    <s v="U"/>
    <x v="12"/>
    <s v="768-HR99-1.9-1250"/>
    <s v="367-HR99-1.9-1250"/>
    <x v="0"/>
    <x v="9"/>
    <x v="9"/>
    <x v="9"/>
    <x v="8"/>
    <x v="0"/>
    <x v="18"/>
    <m/>
    <m/>
    <m/>
    <m/>
    <m/>
    <m/>
    <m/>
    <m/>
    <m/>
    <m/>
    <m/>
    <m/>
    <m/>
    <m/>
    <m/>
    <m/>
    <m/>
    <m/>
    <m/>
    <s v="TATA STEEL LIMITED"/>
  </r>
  <r>
    <n v="742"/>
    <d v="2025-07-01T00:00:00"/>
    <s v="ZBTO"/>
    <n v="9518900193"/>
    <n v="5"/>
    <s v="9518900193-5"/>
    <s v="Aug'25"/>
    <s v="Released"/>
    <x v="1"/>
    <x v="0"/>
    <x v="0"/>
    <m/>
    <s v="2000-BPRS"/>
    <m/>
    <s v="COCHIN HARBOUR "/>
    <s v="MADS"/>
    <n v="116650"/>
    <s v="KUMMENCHERY STEELS"/>
    <n v="2390329"/>
    <s v="CRCA COIL TATXXD AU03 0.900X1000"/>
    <s v="C01"/>
    <s v="TATXXD"/>
    <s v="AU03"/>
    <n v="0.9"/>
    <n v="1000"/>
    <n v="0"/>
    <s v="T2 DONE"/>
    <s v=" "/>
    <s v=""/>
    <n v="6"/>
    <n v="18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88-0.92"/>
    <s v="1000-1004"/>
    <m/>
    <m/>
    <m/>
    <m/>
    <m/>
    <x v="0"/>
    <s v="R"/>
    <x v="0"/>
    <s v="C01-AU03-0.9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KUMMENCHERY STEELS"/>
  </r>
  <r>
    <n v="742"/>
    <d v="2025-07-28T00:00:00"/>
    <s v="ZBTF"/>
    <n v="9518965834"/>
    <n v="1"/>
    <s v="9518965834-1"/>
    <s v="Aug'25"/>
    <s v="Released"/>
    <x v="1"/>
    <x v="5"/>
    <x v="10"/>
    <m/>
    <s v="2000-BPRS"/>
    <m/>
    <s v="KHOPOLI"/>
    <s v="TSMK"/>
    <n v="650783"/>
    <s v="Khopoli Wider CRM"/>
    <n v="4094985"/>
    <s v="CR COIL TATFHC TR10 0.473X1352"/>
    <s v="C09"/>
    <s v="TATFHC"/>
    <s v="TR10"/>
    <n v="0.47299999999999998"/>
    <n v="1352"/>
    <n v="0"/>
    <s v="T2 DONE"/>
    <s v=" "/>
    <s v=""/>
    <n v="12"/>
    <n v="25"/>
    <n v="49.999000000000002"/>
    <n v="0"/>
    <n v="49.999000000000002"/>
    <n v="49.99900000000000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9.999000000000002"/>
    <s v="0.468-0.478"/>
    <s v="1350-1353"/>
    <m/>
    <m/>
    <m/>
    <m/>
    <m/>
    <x v="0"/>
    <s v="C"/>
    <x v="13"/>
    <s v="C09-TR10-0.473-1352"/>
    <s v="367-HG02-2.5-1352"/>
    <x v="0"/>
    <x v="1"/>
    <x v="1"/>
    <x v="1"/>
    <x v="7"/>
    <x v="12"/>
    <x v="2"/>
    <m/>
    <m/>
    <m/>
    <m/>
    <m/>
    <m/>
    <m/>
    <m/>
    <m/>
    <m/>
    <m/>
    <m/>
    <m/>
    <m/>
    <m/>
    <m/>
    <m/>
    <m/>
    <m/>
    <s v="Khopoli Wider CRM"/>
  </r>
  <r>
    <n v="742"/>
    <d v="2025-07-28T00:00:00"/>
    <s v="ZBTF"/>
    <n v="9518965834"/>
    <n v="3"/>
    <s v="9518965834-3"/>
    <s v="Aug'25"/>
    <s v="Released"/>
    <x v="1"/>
    <x v="5"/>
    <x v="10"/>
    <m/>
    <s v="2000-BPRS"/>
    <m/>
    <s v="KHOPOLI"/>
    <s v="TSMK"/>
    <n v="650783"/>
    <s v="Khopoli Wider CRM"/>
    <n v="4094987"/>
    <s v="CR COIL TATFHC TR10 0.373X1352"/>
    <s v="C09"/>
    <s v="TATFHC"/>
    <s v="TR10"/>
    <n v="0.373"/>
    <n v="1352"/>
    <n v="0"/>
    <s v="T2 DONE"/>
    <s v=" "/>
    <s v=""/>
    <n v="12"/>
    <n v="25"/>
    <n v="24.998999999999999"/>
    <n v="0"/>
    <n v="24.998999999999999"/>
    <n v="24.998999999999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4.998999999999999"/>
    <s v="0.368-0.378"/>
    <s v="1350-1353"/>
    <m/>
    <m/>
    <m/>
    <m/>
    <m/>
    <x v="0"/>
    <s v="C"/>
    <x v="13"/>
    <s v="C09-TR10-0.373-1352"/>
    <s v="367-HG02-2.25-1352"/>
    <x v="0"/>
    <x v="1"/>
    <x v="1"/>
    <x v="1"/>
    <x v="4"/>
    <x v="12"/>
    <x v="2"/>
    <m/>
    <m/>
    <m/>
    <m/>
    <m/>
    <m/>
    <m/>
    <m/>
    <m/>
    <m/>
    <m/>
    <m/>
    <m/>
    <m/>
    <m/>
    <m/>
    <m/>
    <m/>
    <m/>
    <s v="Khopoli Wider CRM"/>
  </r>
  <r>
    <n v="742"/>
    <d v="2025-08-05T00:00:00"/>
    <s v="ZBTF"/>
    <n v="9518994359"/>
    <n v="3"/>
    <s v="9518994359-3"/>
    <s v="No Priority"/>
    <s v="Released"/>
    <x v="0"/>
    <x v="5"/>
    <x v="10"/>
    <m/>
    <s v="2000-BPRS"/>
    <m/>
    <s v="KHOPOLI"/>
    <s v="TSMK"/>
    <n v="650783"/>
    <s v="Khopoli Wider CRM"/>
    <n v="4015449"/>
    <s v="CR COIL TATFHC TR10 0.479X1235"/>
    <s v="C09"/>
    <s v="TATFHC"/>
    <s v="TR10"/>
    <n v="0.47899999999999998"/>
    <n v="1235"/>
    <n v="0"/>
    <s v="T2 DONE"/>
    <s v=" "/>
    <s v=""/>
    <n v="12"/>
    <n v="25"/>
    <n v="279.99900000000002"/>
    <n v="198.46"/>
    <n v="81.539000000000001"/>
    <n v="-4.3710000000000004"/>
    <n v="0"/>
    <n v="0"/>
    <n v="0"/>
    <s v=""/>
    <s v=""/>
    <s v=""/>
    <s v=""/>
    <s v=""/>
    <s v=""/>
    <s v=""/>
    <s v=""/>
    <s v=""/>
    <s v=""/>
    <s v=""/>
    <n v="0"/>
    <n v="20.6"/>
    <s v=""/>
    <s v=""/>
    <n v="65.31"/>
    <n v="85.91"/>
    <n v="85.91"/>
    <n v="0"/>
    <n v="-4.3709999999999951"/>
    <s v="0.475-0.483"/>
    <s v="1235-1255"/>
    <m/>
    <m/>
    <m/>
    <m/>
    <m/>
    <x v="0"/>
    <s v="U"/>
    <x v="3"/>
    <s v="C09-TR10-0.479-1235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s v="Khopoli Wider CRM"/>
  </r>
  <r>
    <n v="743"/>
    <d v="2025-07-08T00:00:00"/>
    <s v="ZBTO"/>
    <n v="9518914836"/>
    <n v="1"/>
    <s v="9518914836-1"/>
    <s v="Sep'25"/>
    <s v="Released"/>
    <x v="1"/>
    <x v="3"/>
    <x v="7"/>
    <m/>
    <s v="2000-BPRS"/>
    <m/>
    <s v="LONI"/>
    <s v="GBAD"/>
    <n v="931234"/>
    <s v="JAI LAXMI STEELS"/>
    <n v="1319275"/>
    <s v="GP COIL SOFT-TATXGP-GLK1-0.2X900"/>
    <s v="C02"/>
    <s v="TATXGP"/>
    <s v="GLK1"/>
    <n v="0.2"/>
    <n v="900"/>
    <n v="0"/>
    <s v="T2 DONE"/>
    <s v="Z80"/>
    <s v=""/>
    <n v="4"/>
    <n v="6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17-0.2"/>
    <s v="900-903"/>
    <m/>
    <m/>
    <m/>
    <m/>
    <m/>
    <x v="0"/>
    <s v="R"/>
    <x v="8"/>
    <s v="C02-GLK1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JAI LAXMI STEELS"/>
  </r>
  <r>
    <n v="743"/>
    <d v="2025-07-08T00:00:00"/>
    <s v="ZBTO"/>
    <n v="9518914836"/>
    <n v="4"/>
    <s v="9518914836-4"/>
    <s v="Sep'25"/>
    <s v="Released"/>
    <x v="1"/>
    <x v="3"/>
    <x v="7"/>
    <m/>
    <s v="2000-BPRS"/>
    <m/>
    <s v="LONI"/>
    <s v="GBAD"/>
    <n v="931234"/>
    <s v="JAI LAXMI STEELS"/>
    <n v="2270690"/>
    <s v="GP COIL SOFT TATXGP GLK1 0.25X1000"/>
    <s v="C02"/>
    <s v="TATXGP"/>
    <s v="GLK1"/>
    <n v="0.25"/>
    <n v="1000"/>
    <n v="0"/>
    <s v="T2 DONE"/>
    <s v="Z80"/>
    <s v=""/>
    <n v="4"/>
    <n v="6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22-0.25"/>
    <s v="1000-1003"/>
    <m/>
    <m/>
    <m/>
    <m/>
    <m/>
    <x v="0"/>
    <s v="R"/>
    <x v="8"/>
    <s v="C02-GLK1-0.25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JAI LAXMI STEELS"/>
  </r>
  <r>
    <n v="743"/>
    <d v="2025-07-08T00:00:00"/>
    <s v="ZBTO"/>
    <n v="9518914836"/>
    <n v="6"/>
    <s v="9518914836-6"/>
    <s v="Sep'25"/>
    <s v="Released"/>
    <x v="1"/>
    <x v="3"/>
    <x v="7"/>
    <m/>
    <s v="2000-BPRS"/>
    <m/>
    <s v="LONI"/>
    <s v="GBAD"/>
    <n v="931234"/>
    <s v="JAI LAXMI STEELS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27-0.3"/>
    <s v="1000-1003"/>
    <m/>
    <m/>
    <m/>
    <m/>
    <m/>
    <x v="0"/>
    <s v="R"/>
    <x v="8"/>
    <s v="C02-GLK1-0.3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JAI LAXMI STEELS"/>
  </r>
  <r>
    <n v="742"/>
    <d v="2025-07-04T00:00:00"/>
    <s v="ZBTO"/>
    <n v="9518907328"/>
    <n v="1"/>
    <s v="9518907328-1"/>
    <s v="Sep'25"/>
    <s v="Released"/>
    <x v="1"/>
    <x v="0"/>
    <x v="0"/>
    <m/>
    <s v="2000-BPRS"/>
    <m/>
    <s v="GUWAHATI"/>
    <s v="GWAH"/>
    <n v="116649"/>
    <s v="SAGAR STEELS"/>
    <n v="1801562"/>
    <s v="CRCA COIL-TATXXD-AU03-0.8X1000"/>
    <s v="C01"/>
    <s v="TATXXD"/>
    <s v="AU03"/>
    <n v="0.8"/>
    <n v="1000"/>
    <n v="0"/>
    <s v="T2 DONE"/>
    <s v=" "/>
    <s v=""/>
    <n v="9"/>
    <n v="28"/>
    <n v="114.99"/>
    <n v="33.32"/>
    <n v="81.67"/>
    <n v="81.6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1.67"/>
    <s v="0.77-0.8"/>
    <s v="100-1002"/>
    <m/>
    <m/>
    <m/>
    <m/>
    <m/>
    <x v="0"/>
    <s v="C"/>
    <x v="0"/>
    <s v="C01-AU03-0.8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SAGAR STEELS"/>
  </r>
  <r>
    <n v="743"/>
    <d v="2025-06-16T00:00:00"/>
    <s v="ZBTF"/>
    <n v="9518851597"/>
    <n v="1"/>
    <s v="9518851597-1"/>
    <s v="Aug'25"/>
    <s v="Released"/>
    <x v="0"/>
    <x v="3"/>
    <x v="11"/>
    <m/>
    <s v="2000-BPRS"/>
    <m/>
    <s v="GAMHARIA"/>
    <s v="COMD"/>
    <n v="651192"/>
    <s v="SPC AS JOB WORKER"/>
    <n v="3708868"/>
    <s v="GP COIL TATGPH GP02 0.500X1350"/>
    <s v="C05"/>
    <s v="TATGPH"/>
    <s v="GP02"/>
    <n v="0.5"/>
    <n v="1350"/>
    <n v="0"/>
    <s v="T2 DONE"/>
    <s v="Z120"/>
    <s v=""/>
    <n v="11"/>
    <n v="24"/>
    <n v="449.97"/>
    <n v="422.30500000000001"/>
    <n v="27.664999999999999"/>
    <n v="-1.29"/>
    <n v="0"/>
    <n v="0"/>
    <n v="0"/>
    <s v=""/>
    <s v=""/>
    <s v=""/>
    <n v="19.595000000000002"/>
    <s v=""/>
    <s v=""/>
    <s v=""/>
    <s v=""/>
    <s v=""/>
    <s v=""/>
    <s v=""/>
    <n v="0"/>
    <s v=""/>
    <n v="9.36"/>
    <s v=""/>
    <s v=""/>
    <n v="28.955000000000002"/>
    <n v="28.955000000000002"/>
    <n v="0"/>
    <n v="-1.2900000000000027"/>
    <s v="0.48-0.5"/>
    <s v="1350-1352"/>
    <m/>
    <m/>
    <m/>
    <m/>
    <m/>
    <x v="0"/>
    <s v="U"/>
    <x v="14"/>
    <s v="C05-GP02-0.5-1350"/>
    <s v="367-SF93-2.5-1365"/>
    <x v="0"/>
    <x v="4"/>
    <x v="4"/>
    <x v="4"/>
    <x v="7"/>
    <x v="13"/>
    <x v="23"/>
    <m/>
    <m/>
    <m/>
    <m/>
    <m/>
    <m/>
    <m/>
    <m/>
    <m/>
    <m/>
    <m/>
    <m/>
    <m/>
    <m/>
    <m/>
    <m/>
    <m/>
    <m/>
    <m/>
    <s v="SPC AS JOB WORKER"/>
  </r>
  <r>
    <n v="742"/>
    <d v="2025-07-10T00:00:00"/>
    <s v="ZBTO"/>
    <n v="9518918667"/>
    <n v="1"/>
    <s v="9518918667-1"/>
    <s v="Sep'25"/>
    <s v="Released"/>
    <x v="0"/>
    <x v="0"/>
    <x v="5"/>
    <m/>
    <s v="1000-IPPE"/>
    <m/>
    <s v="CHENNAI"/>
    <s v="MADS"/>
    <n v="122082"/>
    <s v="GODREJ AND BOYCE MANUFACTURING CO L"/>
    <n v="3774639"/>
    <s v="CR COIL TATXHS GB03 1.500X1260"/>
    <s v="C01"/>
    <s v="TATXHS"/>
    <s v="GB03"/>
    <n v="1.5"/>
    <n v="1260"/>
    <n v="0"/>
    <s v="T2 DONE"/>
    <s v=" "/>
    <s v=""/>
    <n v="10"/>
    <n v="25"/>
    <n v="290"/>
    <n v="263.2"/>
    <n v="26.8"/>
    <n v="26.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7"/>
    <n v="0"/>
    <s v="1.47-1.53"/>
    <s v="1260-1262"/>
    <m/>
    <m/>
    <m/>
    <m/>
    <m/>
    <x v="0"/>
    <s v="U"/>
    <x v="15"/>
    <s v="C01-GB03-1.5-1260"/>
    <s v="367-JC43-3.2-1260"/>
    <x v="0"/>
    <x v="3"/>
    <x v="3"/>
    <x v="3"/>
    <x v="3"/>
    <x v="10"/>
    <x v="24"/>
    <m/>
    <m/>
    <m/>
    <m/>
    <m/>
    <m/>
    <m/>
    <m/>
    <m/>
    <m/>
    <m/>
    <m/>
    <m/>
    <m/>
    <m/>
    <m/>
    <m/>
    <m/>
    <m/>
    <s v="GODREJ AND BOYCE MANUFACTURING CO L"/>
  </r>
  <r>
    <n v="742"/>
    <d v="2025-07-10T00:00:00"/>
    <s v="ZBTO"/>
    <n v="9518918667"/>
    <n v="2"/>
    <s v="9518918667-2"/>
    <s v="Sep'25"/>
    <s v="Released"/>
    <x v="0"/>
    <x v="0"/>
    <x v="5"/>
    <m/>
    <s v="1000-IPPE"/>
    <m/>
    <s v="CHENNAI"/>
    <s v="MADS"/>
    <n v="122082"/>
    <s v="GODREJ AND BOYCE MANUFACTURING CO L"/>
    <n v="3774639"/>
    <s v="CR COIL TATXHS GB03 1.500X1260"/>
    <s v="C01"/>
    <s v="TATXHS"/>
    <s v="GB03"/>
    <n v="1.5"/>
    <n v="1260"/>
    <n v="0"/>
    <s v="T2 DONE"/>
    <s v=" "/>
    <s v=""/>
    <n v="10"/>
    <n v="25"/>
    <n v="289.99900000000002"/>
    <n v="263.005"/>
    <n v="26.994"/>
    <n v="0.89400000000000002"/>
    <n v="0"/>
    <n v="0"/>
    <n v="0"/>
    <s v=""/>
    <s v=""/>
    <s v=""/>
    <s v=""/>
    <s v=""/>
    <s v=""/>
    <s v=""/>
    <s v=""/>
    <s v=""/>
    <s v=""/>
    <s v=""/>
    <n v="0"/>
    <s v=""/>
    <s v=""/>
    <s v=""/>
    <n v="26.1"/>
    <n v="26.1"/>
    <n v="26.1"/>
    <n v="0"/>
    <n v="0.89399999999999835"/>
    <s v="1.47-1.53"/>
    <s v="1260-1280"/>
    <m/>
    <m/>
    <m/>
    <m/>
    <m/>
    <x v="0"/>
    <s v="U"/>
    <x v="15"/>
    <s v="C01-GB03-1.5-1260"/>
    <s v="367-JC43-3.2-1260"/>
    <x v="0"/>
    <x v="3"/>
    <x v="3"/>
    <x v="3"/>
    <x v="3"/>
    <x v="10"/>
    <x v="24"/>
    <m/>
    <m/>
    <m/>
    <m/>
    <m/>
    <m/>
    <m/>
    <m/>
    <m/>
    <m/>
    <m/>
    <m/>
    <m/>
    <m/>
    <m/>
    <m/>
    <m/>
    <m/>
    <m/>
    <s v="GODREJ AND BOYCE MANUFACTURING CO L"/>
  </r>
  <r>
    <n v="742"/>
    <d v="2025-07-10T00:00:00"/>
    <s v="ZBTO"/>
    <n v="9518918667"/>
    <n v="3"/>
    <s v="9518918667-3"/>
    <s v="Aug'25"/>
    <s v="Released"/>
    <x v="1"/>
    <x v="0"/>
    <x v="5"/>
    <m/>
    <s v="1000-IPPE"/>
    <m/>
    <s v="CHENNAI"/>
    <s v="MADS"/>
    <n v="122082"/>
    <s v="GODREJ AND BOYCE MANUFACTURING CO L"/>
    <n v="3774639"/>
    <s v="CR COIL TATXHS GB03 1.500X1260"/>
    <s v="C01"/>
    <s v="TATXHS"/>
    <s v="GB03"/>
    <n v="1.5"/>
    <n v="1260"/>
    <n v="0"/>
    <s v="T2 DONE"/>
    <s v=" "/>
    <s v=""/>
    <n v="10"/>
    <n v="25"/>
    <n v="290"/>
    <n v="236.745"/>
    <n v="53.255000000000003"/>
    <n v="53.25500000000000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3.255000000000003"/>
    <s v="1.47-1.53"/>
    <s v="1260-1262"/>
    <m/>
    <m/>
    <m/>
    <m/>
    <m/>
    <x v="0"/>
    <s v="U"/>
    <x v="15"/>
    <s v="C01-GB03-1.5-1260"/>
    <s v="367-JC43-3.2-1260"/>
    <x v="0"/>
    <x v="3"/>
    <x v="3"/>
    <x v="3"/>
    <x v="3"/>
    <x v="10"/>
    <x v="24"/>
    <m/>
    <m/>
    <m/>
    <m/>
    <m/>
    <m/>
    <m/>
    <m/>
    <m/>
    <m/>
    <m/>
    <m/>
    <m/>
    <m/>
    <m/>
    <m/>
    <m/>
    <m/>
    <m/>
    <s v="GODREJ AND BOYCE MANUFACTURING CO L"/>
  </r>
  <r>
    <n v="743"/>
    <d v="2025-07-23T00:00:00"/>
    <s v="ZBTO"/>
    <n v="9518952183"/>
    <n v="2"/>
    <s v="9518952183-2"/>
    <s v="No Priority"/>
    <s v="Released"/>
    <x v="0"/>
    <x v="3"/>
    <x v="3"/>
    <m/>
    <s v="2000-BPRS"/>
    <m/>
    <s v="TATANAGAR"/>
    <s v="JAMS"/>
    <n v="165053"/>
    <s v="SUDISA ENTERPRISES (P) LTD."/>
    <n v="1852414"/>
    <s v="GP COIL SOFT-TSBXGP-N1GP-0.6X900"/>
    <s v="C02"/>
    <s v="TSBXGP"/>
    <s v="N1GP"/>
    <n v="0.6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58-0.62"/>
    <s v="900-904"/>
    <m/>
    <m/>
    <m/>
    <m/>
    <m/>
    <x v="0"/>
    <s v="R"/>
    <x v="4"/>
    <s v="C02-N1GP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UDISA ENTERPRISES (P) LTD."/>
  </r>
  <r>
    <n v="743"/>
    <d v="2025-07-23T00:00:00"/>
    <s v="ZBTO"/>
    <n v="9518952183"/>
    <n v="4"/>
    <s v="9518952183-4"/>
    <s v="No Priority"/>
    <s v="Released"/>
    <x v="0"/>
    <x v="3"/>
    <x v="3"/>
    <m/>
    <s v="2000-BPRS"/>
    <m/>
    <s v="TATANAGAR"/>
    <s v="JAMS"/>
    <n v="165053"/>
    <s v="SUDISA ENTERPRISES (P) LTD."/>
    <n v="1852012"/>
    <s v="GP COIL SOFT-TSBXGP-N1GP-0.4X900"/>
    <s v="C02"/>
    <s v="TSBXGP"/>
    <s v="N1GP"/>
    <n v="0.4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8-0.42"/>
    <s v="900-904"/>
    <m/>
    <m/>
    <m/>
    <m/>
    <m/>
    <x v="0"/>
    <s v="R"/>
    <x v="4"/>
    <s v="C02-N1GP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UDISA ENTERPRISES (P) LTD."/>
  </r>
  <r>
    <n v="743"/>
    <d v="2025-07-23T00:00:00"/>
    <s v="ZBTO"/>
    <n v="9518952183"/>
    <n v="5"/>
    <s v="9518952183-5"/>
    <s v="No Priority"/>
    <s v="Released"/>
    <x v="0"/>
    <x v="3"/>
    <x v="3"/>
    <m/>
    <s v="2000-BPRS"/>
    <m/>
    <s v="TATANAGAR"/>
    <s v="JAMS"/>
    <n v="165053"/>
    <s v="SUDISA ENTERPRISES (P) LTD."/>
    <n v="1852246"/>
    <s v="GP COIL SOFT-TSBXGP-N1GP-0.5X900"/>
    <s v="C02"/>
    <s v="TSBXGP"/>
    <s v="N1GP"/>
    <n v="0.5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48-0.52"/>
    <s v="900-904"/>
    <m/>
    <m/>
    <m/>
    <m/>
    <m/>
    <x v="0"/>
    <s v="R"/>
    <x v="4"/>
    <s v="C02-N1GP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UDISA ENTERPRISES (P) LTD."/>
  </r>
  <r>
    <n v="743"/>
    <d v="2025-07-23T00:00:00"/>
    <s v="ZBTO"/>
    <n v="9518952765"/>
    <n v="1"/>
    <s v="9518952765-1"/>
    <s v="No Priority"/>
    <s v="Released"/>
    <x v="0"/>
    <x v="3"/>
    <x v="3"/>
    <m/>
    <s v="2000-BPRS"/>
    <m/>
    <s v="TATANAGAR"/>
    <s v="JAMS"/>
    <n v="165053"/>
    <s v="SUDISA ENTERPRISES (P) LTD."/>
    <n v="1851909"/>
    <s v="GP COIL SOFT-TSBXGP-N1GP-0.35X900"/>
    <s v="C02"/>
    <s v="TSBXGP"/>
    <s v="N1GP"/>
    <n v="0.35"/>
    <n v="900"/>
    <n v="0"/>
    <s v="T2 DONE"/>
    <s v="Z80"/>
    <s v=""/>
    <n v="4"/>
    <n v="12"/>
    <n v="21"/>
    <n v="0"/>
    <n v="21"/>
    <n v="21"/>
    <n v="0"/>
    <n v="0"/>
    <n v="28.76"/>
    <s v=""/>
    <s v=""/>
    <s v=""/>
    <s v=""/>
    <s v=""/>
    <s v=""/>
    <s v=""/>
    <s v=""/>
    <s v=""/>
    <s v=""/>
    <s v=""/>
    <n v="0"/>
    <s v=""/>
    <s v=""/>
    <s v=""/>
    <s v=""/>
    <n v="28.76"/>
    <n v="28.76"/>
    <n v="0"/>
    <n v="-7.7600000000000016"/>
    <s v="0.33-0.37"/>
    <s v="900-904"/>
    <m/>
    <m/>
    <m/>
    <m/>
    <m/>
    <x v="0"/>
    <s v="R"/>
    <x v="3"/>
    <s v="C02-N1GP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UDISA ENTERPRISES (P) LTD."/>
  </r>
  <r>
    <n v="743"/>
    <d v="2025-06-17T00:00:00"/>
    <s v="ZBTO"/>
    <n v="9518856188"/>
    <n v="2"/>
    <s v="9518856188-2"/>
    <s v="Sep'25 additional"/>
    <s v="Released"/>
    <x v="0"/>
    <x v="3"/>
    <x v="3"/>
    <m/>
    <s v="2200-BPRS"/>
    <m/>
    <s v="CHENNAI"/>
    <s v="MADS"/>
    <n v="822271"/>
    <s v="TATA STEEL DOWNSTREAM PRODUCTS LIMI"/>
    <n v="1851847"/>
    <s v="GP COIL SOFT-TSBXGP-T1GP-0.3X1220"/>
    <s v="C02"/>
    <s v="TSBXGP"/>
    <s v="T1GP"/>
    <n v="0.3"/>
    <n v="1220"/>
    <n v="0"/>
    <s v="T1 REJECT"/>
    <s v="Z80"/>
    <s v=""/>
    <n v="3"/>
    <n v="5"/>
    <n v="28"/>
    <n v="0"/>
    <n v="28"/>
    <n v="2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8"/>
    <n v="0"/>
    <s v="0.28-0.32"/>
    <s v="1220-1224"/>
    <m/>
    <m/>
    <m/>
    <m/>
    <m/>
    <x v="0"/>
    <s v="R"/>
    <x v="4"/>
    <s v="C02-T1GP-0.3-1220"/>
    <s v="367-HG02-2-1235"/>
    <x v="0"/>
    <x v="1"/>
    <x v="1"/>
    <x v="1"/>
    <x v="2"/>
    <x v="4"/>
    <x v="27"/>
    <m/>
    <m/>
    <m/>
    <m/>
    <m/>
    <m/>
    <m/>
    <m/>
    <m/>
    <m/>
    <m/>
    <m/>
    <m/>
    <m/>
    <m/>
    <m/>
    <m/>
    <m/>
    <m/>
    <s v="TATA STEEL DOWNSTREAM PRODUCTS LIMI"/>
  </r>
  <r>
    <n v="743"/>
    <d v="2025-07-23T00:00:00"/>
    <s v="ZBTO"/>
    <n v="9518951602"/>
    <n v="1"/>
    <s v="9518951602-1"/>
    <s v="Sep'25"/>
    <s v="Released"/>
    <x v="1"/>
    <x v="3"/>
    <x v="7"/>
    <m/>
    <s v="2000-BPRS"/>
    <m/>
    <s v="KANPUR"/>
    <s v="KANP"/>
    <n v="933952"/>
    <s v="AGARWAL STEEL TRADERS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96-0.24"/>
    <s v="900-904"/>
    <m/>
    <m/>
    <m/>
    <m/>
    <m/>
    <x v="0"/>
    <s v="S"/>
    <x v="8"/>
    <s v="C02-GK09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AGARWAL STEEL TRADERS"/>
  </r>
  <r>
    <n v="742"/>
    <d v="2025-07-19T00:00:00"/>
    <s v="ZBTO"/>
    <n v="9518942225"/>
    <n v="3"/>
    <s v="9518942225-3"/>
    <s v="Sep'25"/>
    <s v="Released"/>
    <x v="1"/>
    <x v="0"/>
    <x v="6"/>
    <m/>
    <s v="2000-BPRS"/>
    <m/>
    <s v="SILIGURI TOWN"/>
    <s v="GWAH"/>
    <n v="948783"/>
    <s v="SAGAR STEELS"/>
    <n v="3409912"/>
    <s v="CRCA SHEET TSBCRC SR15 0.500X1120X2000"/>
    <s v="C06"/>
    <s v="TSBCRC"/>
    <s v="SR15"/>
    <n v="0.5"/>
    <n v="1120"/>
    <n v="2000"/>
    <s v="T2 DONE"/>
    <s v=" "/>
    <s v=""/>
    <n v="2"/>
    <n v="3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7-0.5"/>
    <s v="1120-1122"/>
    <m/>
    <m/>
    <m/>
    <m/>
    <m/>
    <x v="0"/>
    <s v="T"/>
    <x v="7"/>
    <s v="C06-SR15-0.5-1120"/>
    <s v="367-SH69-2.25-1135"/>
    <x v="0"/>
    <x v="7"/>
    <x v="7"/>
    <x v="7"/>
    <x v="4"/>
    <x v="14"/>
    <x v="2"/>
    <m/>
    <m/>
    <m/>
    <m/>
    <m/>
    <m/>
    <m/>
    <m/>
    <m/>
    <m/>
    <m/>
    <m/>
    <m/>
    <m/>
    <m/>
    <m/>
    <m/>
    <m/>
    <m/>
    <s v="SAGAR STEELS"/>
  </r>
  <r>
    <n v="742"/>
    <d v="2025-07-19T00:00:00"/>
    <s v="ZBTO"/>
    <n v="9518942225"/>
    <n v="13"/>
    <s v="9518942225-13"/>
    <s v="Sep'25"/>
    <s v="Released"/>
    <x v="0"/>
    <x v="0"/>
    <x v="6"/>
    <m/>
    <s v="2000-BPRS"/>
    <m/>
    <s v="SILIGURI TOWN"/>
    <s v="GWAH"/>
    <n v="948783"/>
    <s v="SAGAR STEELS"/>
    <n v="3240778"/>
    <s v="CRCA SHEET TSBCRC SR15 0.600X1000X2500"/>
    <s v="C06"/>
    <s v="TSBCRC"/>
    <s v="SR15"/>
    <n v="0.6"/>
    <n v="1000"/>
    <n v="2500"/>
    <s v="T2 DONE"/>
    <s v=" "/>
    <s v=""/>
    <n v="2"/>
    <n v="3"/>
    <n v="24"/>
    <n v="0"/>
    <n v="24"/>
    <n v="2.85"/>
    <n v="0"/>
    <n v="0"/>
    <n v="0"/>
    <s v=""/>
    <s v=""/>
    <s v=""/>
    <s v=""/>
    <s v=""/>
    <s v=""/>
    <s v=""/>
    <s v=""/>
    <n v="21.150000000000002"/>
    <s v=""/>
    <s v=""/>
    <n v="0"/>
    <s v=""/>
    <s v=""/>
    <s v=""/>
    <s v=""/>
    <n v="21.150000000000002"/>
    <n v="21.150000000000002"/>
    <n v="0"/>
    <n v="2.8499999999999979"/>
    <s v="0.57-0.6"/>
    <s v="1000-1002"/>
    <m/>
    <m/>
    <m/>
    <m/>
    <m/>
    <x v="0"/>
    <s v="T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SAGAR STEELS"/>
  </r>
  <r>
    <n v="742"/>
    <d v="2025-07-18T00:00:00"/>
    <s v="ZBTO"/>
    <n v="9518939680"/>
    <n v="9"/>
    <s v="9518939680-9"/>
    <s v="Oct'25"/>
    <s v="Released"/>
    <x v="1"/>
    <x v="0"/>
    <x v="6"/>
    <m/>
    <s v="2000-BPRS"/>
    <m/>
    <s v="CHENNAI"/>
    <s v="MADS"/>
    <n v="938550"/>
    <s v="BASEER AND CO"/>
    <n v="3533339"/>
    <s v="CRCA SHEET TATCRC SR16 0.450X1000X2000"/>
    <s v="C06"/>
    <s v="TATCRC"/>
    <s v="SR16"/>
    <n v="0.45"/>
    <n v="1000"/>
    <n v="2000"/>
    <s v="T2 DONE"/>
    <s v=" "/>
    <s v=""/>
    <n v="0"/>
    <n v="0"/>
    <n v="24"/>
    <n v="0"/>
    <n v="24"/>
    <n v="2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4"/>
    <s v="0.43-0.47"/>
    <s v="1000-1004"/>
    <m/>
    <m/>
    <m/>
    <m/>
    <m/>
    <x v="0"/>
    <s v="U"/>
    <x v="7"/>
    <s v="C06-SR16-0.45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BASEER AND CO"/>
  </r>
  <r>
    <n v="743"/>
    <d v="2025-07-25T00:00:00"/>
    <s v="ZBTO"/>
    <n v="9518957720"/>
    <n v="6"/>
    <s v="9518957720-6"/>
    <s v="Aug'25"/>
    <s v="Released"/>
    <x v="0"/>
    <x v="1"/>
    <x v="5"/>
    <m/>
    <s v="1000-IPPE"/>
    <m/>
    <s v="VINJAMURU"/>
    <s v="BANG"/>
    <n v="188750"/>
    <s v="Colorshine Coated Pvt.Ltd."/>
    <n v="4096236"/>
    <s v="GL COIL HARD  Y550GL H7GL 0.350X1235"/>
    <s v="B04"/>
    <s v="Y550GL"/>
    <s v="H7GL"/>
    <n v="0.35"/>
    <n v="1235"/>
    <n v="0"/>
    <s v="T2 DONE"/>
    <s v="aZ70"/>
    <s v=""/>
    <n v="5.75"/>
    <n v="20"/>
    <n v="251.999"/>
    <n v="226.43"/>
    <n v="25.568999999999999"/>
    <n v="-2.0310000000000001"/>
    <n v="0"/>
    <n v="0"/>
    <n v="0"/>
    <s v=""/>
    <s v=""/>
    <n v="16.62"/>
    <s v=""/>
    <s v=""/>
    <s v=""/>
    <s v=""/>
    <s v=""/>
    <s v=""/>
    <s v=""/>
    <s v=""/>
    <n v="0"/>
    <s v=""/>
    <n v="10.98"/>
    <s v=""/>
    <s v=""/>
    <n v="27.6"/>
    <n v="27.6"/>
    <n v="0"/>
    <n v="-2.0310000000000024"/>
    <s v="0.32-0.36"/>
    <s v="1235-1255"/>
    <m/>
    <m/>
    <m/>
    <m/>
    <m/>
    <x v="0"/>
    <s v="U"/>
    <x v="10"/>
    <s v="B04-H7GL-0.35-1235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Colorshine Coated Pvt.Ltd."/>
  </r>
  <r>
    <n v="742"/>
    <d v="2025-07-25T00:00:00"/>
    <s v="ZBTO"/>
    <n v="9518957825"/>
    <n v="5"/>
    <s v="9518957825-5"/>
    <s v="Sep'25"/>
    <s v="Released"/>
    <x v="0"/>
    <x v="0"/>
    <x v="6"/>
    <m/>
    <s v="2000-BPRS"/>
    <m/>
    <s v="HOWRAH"/>
    <s v="CALS"/>
    <n v="925093"/>
    <s v="PSPL STEEL PROCESSORS PRIVATE LIMIT"/>
    <n v="3240772"/>
    <s v="CRCA SHEET TSBCRC SR15 0.600X900X2500"/>
    <s v="C06"/>
    <s v="TSBCRC"/>
    <s v="SR15"/>
    <n v="0.6"/>
    <n v="900"/>
    <n v="2500"/>
    <s v="T2 DONE"/>
    <s v=" "/>
    <s v=""/>
    <n v="2"/>
    <n v="3"/>
    <n v="20.998999999999999"/>
    <n v="0"/>
    <n v="20.998999999999999"/>
    <n v="20.998999999999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0.998999999999999"/>
    <s v="0.57-0.6"/>
    <s v="900-902"/>
    <m/>
    <m/>
    <m/>
    <m/>
    <m/>
    <x v="0"/>
    <s v="T"/>
    <x v="7"/>
    <s v="C06-SR15-0.6-900"/>
    <s v="B69-SH69-2.5-925"/>
    <x v="2"/>
    <x v="7"/>
    <x v="7"/>
    <x v="7"/>
    <x v="7"/>
    <x v="3"/>
    <x v="30"/>
    <m/>
    <m/>
    <m/>
    <m/>
    <m/>
    <m/>
    <m/>
    <m/>
    <m/>
    <m/>
    <m/>
    <m/>
    <m/>
    <m/>
    <m/>
    <m/>
    <m/>
    <m/>
    <m/>
    <s v="PSPL STEEL PROCESSORS PRIVATE LIMIT"/>
  </r>
  <r>
    <n v="742"/>
    <d v="2025-07-10T00:00:00"/>
    <s v="ZBTO"/>
    <n v="9518919474"/>
    <n v="1"/>
    <s v="9518919474-1"/>
    <s v="No Priority"/>
    <s v="Released"/>
    <x v="0"/>
    <x v="0"/>
    <x v="6"/>
    <m/>
    <s v="2000-BPRS"/>
    <m/>
    <s v="HOWRAH"/>
    <s v="CALS"/>
    <n v="925093"/>
    <s v="PSPL STEEL PROCESSORS PRIVATE LIMIT"/>
    <n v="3892602"/>
    <s v="BLOCKED BY QAD"/>
    <s v="C06"/>
    <s v="TSBCRC"/>
    <s v="SR15"/>
    <n v="0.45"/>
    <n v="1000"/>
    <n v="2500"/>
    <s v="T1 REJECT"/>
    <s v=" "/>
    <s v=""/>
    <n v="2"/>
    <n v="3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42-0.45"/>
    <s v="1000-1002"/>
    <m/>
    <m/>
    <m/>
    <m/>
    <m/>
    <x v="0"/>
    <s v="T"/>
    <x v="3"/>
    <s v="C06-SR15-0.4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s v="PSPL STEEL PROCESSORS PRIVATE LIMIT"/>
  </r>
  <r>
    <n v="742"/>
    <d v="2025-07-31T00:00:00"/>
    <s v="ZBTO"/>
    <n v="9518980071"/>
    <n v="3"/>
    <s v="9518980071-3"/>
    <s v="Sep'25"/>
    <s v="Released"/>
    <x v="0"/>
    <x v="0"/>
    <x v="6"/>
    <m/>
    <s v="2000-BPRS"/>
    <m/>
    <s v="HOWRAH"/>
    <s v="CALS"/>
    <n v="101278"/>
    <s v="RAMESH COMPANY"/>
    <n v="3239536"/>
    <s v="CRCA SHEET TATCRC SR16 0.350X900X2500"/>
    <s v="C06"/>
    <s v="TATCRC"/>
    <s v="SR16"/>
    <n v="0.35"/>
    <n v="900"/>
    <n v="2500"/>
    <s v="T2 DONE"/>
    <s v=" "/>
    <s v=""/>
    <n v="0.1"/>
    <n v="9.9"/>
    <n v="21"/>
    <n v="0"/>
    <n v="21"/>
    <n v="0.56000000000000005"/>
    <n v="0"/>
    <n v="0"/>
    <n v="0"/>
    <s v=""/>
    <s v=""/>
    <s v=""/>
    <s v=""/>
    <s v=""/>
    <s v=""/>
    <s v=""/>
    <n v="20.440000000000001"/>
    <s v=""/>
    <s v=""/>
    <s v=""/>
    <n v="0"/>
    <s v=""/>
    <s v=""/>
    <s v=""/>
    <s v=""/>
    <n v="20.440000000000001"/>
    <n v="20.440000000000001"/>
    <n v="0"/>
    <n v="0.55999999999999872"/>
    <s v="0.32-0.35"/>
    <s v="900-902"/>
    <m/>
    <m/>
    <m/>
    <m/>
    <m/>
    <x v="0"/>
    <s v="T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RAMESH COMPANY"/>
  </r>
  <r>
    <n v="742"/>
    <d v="2025-08-06T00:00:00"/>
    <s v="ZBTF"/>
    <n v="9518998049"/>
    <n v="5"/>
    <s v="9518998049-5"/>
    <s v="Sep'25"/>
    <s v="Released"/>
    <x v="0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135"/>
    <n v="0"/>
    <n v="135"/>
    <n v="3.55"/>
    <n v="0"/>
    <n v="0"/>
    <n v="0"/>
    <s v=""/>
    <s v=""/>
    <s v=""/>
    <s v=""/>
    <s v=""/>
    <s v=""/>
    <s v=""/>
    <s v=""/>
    <n v="131.44999999999999"/>
    <s v=""/>
    <s v=""/>
    <n v="0"/>
    <s v=""/>
    <s v=""/>
    <s v=""/>
    <s v=""/>
    <n v="131.44999999999999"/>
    <n v="131.44999999999999"/>
    <n v="0"/>
    <n v="3.5500000000000114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8-28T00:00:00"/>
    <s v="ZBTF"/>
    <n v="9519056395"/>
    <n v="1"/>
    <s v="9519056395-1"/>
    <s v="Sep'25"/>
    <s v="Released"/>
    <x v="0"/>
    <x v="5"/>
    <x v="10"/>
    <m/>
    <s v="2000-BPRS"/>
    <m/>
    <s v="KHOPOLI"/>
    <s v="TSMK"/>
    <n v="650783"/>
    <s v="Khopoli Wider CRM"/>
    <n v="4015454"/>
    <s v="CR COIL TATFHC TR10 0.449X1235"/>
    <s v="C09"/>
    <s v="TATFHC"/>
    <s v="TR10"/>
    <n v="0.44900000000000001"/>
    <n v="1235"/>
    <n v="0"/>
    <s v="T2 DONE"/>
    <s v=" "/>
    <s v=""/>
    <n v="22"/>
    <n v="25"/>
    <n v="168"/>
    <n v="0"/>
    <n v="168"/>
    <n v="-2.95"/>
    <n v="0"/>
    <n v="0"/>
    <n v="24.68"/>
    <n v="48.28"/>
    <s v=""/>
    <s v=""/>
    <s v=""/>
    <s v=""/>
    <s v=""/>
    <s v=""/>
    <s v=""/>
    <s v=""/>
    <s v=""/>
    <s v=""/>
    <n v="0"/>
    <n v="48.980000000000004"/>
    <s v=""/>
    <s v=""/>
    <n v="49.01"/>
    <n v="170.95000000000002"/>
    <n v="170.95000000000002"/>
    <n v="0"/>
    <n v="-2.9500000000000171"/>
    <s v="0.449-0.554"/>
    <s v="1235-1255"/>
    <m/>
    <m/>
    <m/>
    <m/>
    <m/>
    <x v="0"/>
    <s v="U"/>
    <x v="3"/>
    <s v="C09-TR10-0.449-1235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s v="Khopoli Wider CRM"/>
  </r>
  <r>
    <n v="743"/>
    <d v="2025-08-21T00:00:00"/>
    <s v="ZBTO"/>
    <n v="9519035728"/>
    <n v="2"/>
    <s v="9519035728-2"/>
    <s v="Stocks"/>
    <s v="Released"/>
    <x v="0"/>
    <x v="1"/>
    <x v="4"/>
    <m/>
    <s v="1000-IPPE"/>
    <m/>
    <s v="TATANAGAR"/>
    <s v="BOMB"/>
    <n v="942284"/>
    <s v="TATA BLUESCOPE STEEL PRIVATE LIMITE"/>
    <n v="3931932"/>
    <s v="GL C YS550 M306 0.35BMT(0.37TCT)X900"/>
    <s v="B04"/>
    <s v="Y550GL"/>
    <s v="M306"/>
    <n v="0.35"/>
    <n v="900"/>
    <n v="0"/>
    <s v="T2 DONE"/>
    <s v="aZ70"/>
    <s v=""/>
    <n v="3"/>
    <n v="5"/>
    <n v="84"/>
    <n v="13.725"/>
    <n v="70.275000000000006"/>
    <n v="70.275000000000006"/>
    <n v="13.725000000000001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70.275000000000006"/>
    <s v="0.33-0.37"/>
    <s v="900-902"/>
    <m/>
    <m/>
    <m/>
    <m/>
    <m/>
    <x v="0"/>
    <s v="R"/>
    <x v="16"/>
    <s v="B04-M306-0.35-900"/>
    <s v="727-SF93-2-903"/>
    <x v="1"/>
    <x v="4"/>
    <x v="4"/>
    <x v="4"/>
    <x v="2"/>
    <x v="15"/>
    <x v="32"/>
    <m/>
    <m/>
    <m/>
    <m/>
    <m/>
    <m/>
    <m/>
    <m/>
    <m/>
    <m/>
    <m/>
    <m/>
    <m/>
    <m/>
    <m/>
    <m/>
    <m/>
    <m/>
    <m/>
    <s v="TATA BLUESCOPE STEEL PRIVATE LIMITE"/>
  </r>
  <r>
    <n v="742"/>
    <d v="2025-07-19T00:00:00"/>
    <s v="ZBTO"/>
    <n v="9518941704"/>
    <n v="1"/>
    <s v="9518941704-1"/>
    <s v="Sep'25"/>
    <s v="Released"/>
    <x v="0"/>
    <x v="0"/>
    <x v="6"/>
    <m/>
    <s v="2000-BPRS"/>
    <m/>
    <s v="WEST BOKARO"/>
    <s v="JAMS"/>
    <n v="185794"/>
    <s v="Shree Bajrang Steel Udyog"/>
    <n v="2427612"/>
    <s v="CRCA SHEET TATCRC SR16 0.300X900X2500"/>
    <s v="C06"/>
    <s v="TATCRC"/>
    <s v="SR16"/>
    <n v="0.3"/>
    <n v="900"/>
    <n v="2500"/>
    <s v="T2 DONE"/>
    <s v=" "/>
    <s v=""/>
    <n v="2.5"/>
    <n v="3.2"/>
    <n v="84"/>
    <n v="0"/>
    <n v="84"/>
    <n v="0.56999999999999995"/>
    <n v="0"/>
    <n v="0"/>
    <n v="0"/>
    <n v="41.93"/>
    <s v=""/>
    <s v=""/>
    <s v=""/>
    <s v=""/>
    <s v=""/>
    <n v="41.5"/>
    <s v=""/>
    <s v=""/>
    <s v=""/>
    <s v=""/>
    <n v="0"/>
    <s v=""/>
    <s v=""/>
    <s v=""/>
    <s v=""/>
    <n v="83.43"/>
    <n v="83.43"/>
    <n v="0"/>
    <n v="0.56999999999999318"/>
    <s v="0.28-0.32"/>
    <s v="900-904"/>
    <m/>
    <m/>
    <m/>
    <m/>
    <m/>
    <x v="0"/>
    <s v="M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Shree Bajrang Steel Udyog"/>
  </r>
  <r>
    <n v="742"/>
    <d v="2025-07-19T00:00:00"/>
    <s v="ZBTO"/>
    <n v="9518941704"/>
    <n v="2"/>
    <s v="9518941704-2"/>
    <s v="Sep'25"/>
    <s v="Released"/>
    <x v="0"/>
    <x v="0"/>
    <x v="6"/>
    <m/>
    <s v="2000-BPRS"/>
    <m/>
    <s v="WEST BOKARO"/>
    <s v="JAMS"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5"/>
    <n v="3.2"/>
    <n v="84"/>
    <n v="0"/>
    <n v="84"/>
    <n v="-0.41"/>
    <n v="0"/>
    <n v="0"/>
    <n v="84.41"/>
    <s v=""/>
    <s v=""/>
    <s v=""/>
    <s v=""/>
    <s v=""/>
    <s v=""/>
    <s v=""/>
    <s v=""/>
    <s v=""/>
    <s v=""/>
    <s v=""/>
    <n v="0"/>
    <s v=""/>
    <s v=""/>
    <s v=""/>
    <s v=""/>
    <n v="84.41"/>
    <n v="84.41"/>
    <n v="0"/>
    <n v="-0.40999999999999659"/>
    <s v="0.33-0.37"/>
    <s v="900-904"/>
    <m/>
    <m/>
    <m/>
    <m/>
    <m/>
    <x v="0"/>
    <s v="M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Shree Bajrang Steel Udyog"/>
  </r>
  <r>
    <n v="742"/>
    <d v="2025-07-19T00:00:00"/>
    <s v="ZBTO"/>
    <n v="9518941704"/>
    <n v="3"/>
    <s v="9518941704-3"/>
    <s v="Sep'25"/>
    <s v="Released"/>
    <x v="0"/>
    <x v="0"/>
    <x v="6"/>
    <m/>
    <s v="2000-BPRS"/>
    <m/>
    <s v="WEST BOKARO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5"/>
    <n v="3.2"/>
    <n v="24"/>
    <n v="0"/>
    <n v="24"/>
    <n v="2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4"/>
    <s v="0.33-0.37"/>
    <s v="1000-1002"/>
    <m/>
    <m/>
    <m/>
    <m/>
    <m/>
    <x v="0"/>
    <s v="M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Shree Bajrang Steel Udyog"/>
  </r>
  <r>
    <n v="743"/>
    <d v="2025-07-15T00:00:00"/>
    <s v="ZBTO"/>
    <n v="9518930025"/>
    <n v="1"/>
    <s v="9518930025-1"/>
    <s v="Sep'25"/>
    <s v="Released"/>
    <x v="1"/>
    <x v="3"/>
    <x v="7"/>
    <m/>
    <s v="2000-BPRS"/>
    <m/>
    <s v="PATNA"/>
    <s v="PATN"/>
    <n v="103227"/>
    <s v="BMW VENTURES LIMITED"/>
    <n v="1851054"/>
    <s v="GP COIL SOFT-TATXGP-GK09-0.2X900"/>
    <s v="C02"/>
    <s v="TATXGP"/>
    <s v="GK09"/>
    <n v="0.2"/>
    <n v="900"/>
    <n v="0"/>
    <s v="T2 DONE"/>
    <s v="Z80"/>
    <s v=""/>
    <n v="2"/>
    <n v="4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95-0.21"/>
    <s v="900-904"/>
    <m/>
    <m/>
    <m/>
    <m/>
    <m/>
    <x v="0"/>
    <s v="S"/>
    <x v="8"/>
    <s v="C02-GK09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BMW VENTURES LIMITED"/>
  </r>
  <r>
    <n v="743"/>
    <d v="2025-08-01T00:00:00"/>
    <s v="ZBTF"/>
    <n v="9518985721"/>
    <n v="1"/>
    <s v="9518985721-1"/>
    <s v="Aug'25"/>
    <s v="Released"/>
    <x v="0"/>
    <x v="3"/>
    <x v="11"/>
    <m/>
    <s v="2000-BPRS"/>
    <m/>
    <s v="GAMHARIA"/>
    <s v="COMD"/>
    <n v="650743"/>
    <s v="ANGUL GALVANIZING PLANT"/>
    <n v="3708867"/>
    <s v="GP COIL TATGPH GP02 0.300X900"/>
    <s v="C05"/>
    <s v="TATGPH"/>
    <s v="GP02"/>
    <n v="0.3"/>
    <n v="900"/>
    <n v="0"/>
    <s v="T2 DONE"/>
    <s v="Z120"/>
    <s v=""/>
    <n v="8.1"/>
    <n v="24"/>
    <n v="104.999"/>
    <n v="56.225000000000001"/>
    <n v="48.774000000000001"/>
    <n v="10.273999999999999"/>
    <n v="0"/>
    <n v="0"/>
    <n v="0"/>
    <s v=""/>
    <s v=""/>
    <s v=""/>
    <n v="38.5"/>
    <s v=""/>
    <s v=""/>
    <s v=""/>
    <s v=""/>
    <s v=""/>
    <s v=""/>
    <s v=""/>
    <n v="0"/>
    <s v=""/>
    <s v=""/>
    <s v=""/>
    <s v=""/>
    <n v="38.5"/>
    <n v="38.5"/>
    <n v="0"/>
    <n v="10.274000000000001"/>
    <s v="0.28-0.3"/>
    <s v="900-902"/>
    <m/>
    <m/>
    <m/>
    <m/>
    <m/>
    <x v="0"/>
    <s v="U"/>
    <x v="14"/>
    <s v="C05-GP02-0.3-900"/>
    <s v="B69-SF93-2-925"/>
    <x v="2"/>
    <x v="4"/>
    <x v="4"/>
    <x v="4"/>
    <x v="2"/>
    <x v="3"/>
    <x v="34"/>
    <m/>
    <m/>
    <m/>
    <m/>
    <m/>
    <m/>
    <m/>
    <m/>
    <m/>
    <m/>
    <m/>
    <m/>
    <m/>
    <m/>
    <m/>
    <m/>
    <m/>
    <m/>
    <m/>
    <s v="ANGUL GALVANIZING PLANT"/>
  </r>
  <r>
    <n v="743"/>
    <d v="2025-08-01T00:00:00"/>
    <s v="ZBTF"/>
    <n v="9518985721"/>
    <n v="2"/>
    <s v="9518985721-2"/>
    <s v="Aug'25"/>
    <s v="Released"/>
    <x v="1"/>
    <x v="3"/>
    <x v="11"/>
    <m/>
    <s v="2000-BPRS"/>
    <m/>
    <s v="GAMHARIA"/>
    <s v="COMD"/>
    <n v="650743"/>
    <s v="ANGUL GALVANIZING PLANT"/>
    <n v="3777531"/>
    <s v="GP COIL TATGPH GP02 0.300X1015"/>
    <s v="C05"/>
    <s v="TATGPH"/>
    <s v="GP02"/>
    <n v="0.3"/>
    <n v="1015"/>
    <n v="0"/>
    <s v="T2 DONE"/>
    <s v="Z120"/>
    <s v=""/>
    <n v="8.1"/>
    <n v="24"/>
    <n v="160.999"/>
    <n v="0"/>
    <n v="160.999"/>
    <n v="160.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60.999"/>
    <s v="0.28-0.3"/>
    <s v="1015-1017"/>
    <m/>
    <m/>
    <m/>
    <m/>
    <m/>
    <x v="0"/>
    <s v="U"/>
    <x v="14"/>
    <s v="C05-GP02-0.3-1015"/>
    <s v="B69-SF93-2-1035"/>
    <x v="2"/>
    <x v="4"/>
    <x v="4"/>
    <x v="4"/>
    <x v="2"/>
    <x v="6"/>
    <x v="35"/>
    <m/>
    <m/>
    <m/>
    <m/>
    <m/>
    <m/>
    <m/>
    <m/>
    <m/>
    <m/>
    <m/>
    <m/>
    <m/>
    <m/>
    <m/>
    <m/>
    <m/>
    <m/>
    <m/>
    <s v="ANGUL GALVANIZING PLANT"/>
  </r>
  <r>
    <n v="743"/>
    <d v="2025-08-01T00:00:00"/>
    <s v="ZBTF"/>
    <n v="9518985721"/>
    <n v="3"/>
    <s v="9518985721-3"/>
    <s v="Stocks"/>
    <s v="Released"/>
    <x v="1"/>
    <x v="3"/>
    <x v="11"/>
    <m/>
    <s v="2000-BPRS"/>
    <m/>
    <s v="GAMHARIA"/>
    <s v="COMD"/>
    <n v="650743"/>
    <s v="ANGUL GALVANIZING PLANT"/>
    <n v="3768542"/>
    <s v="GP COIL TATGPH GP02 0.350X900"/>
    <s v="C05"/>
    <s v="TATGPH"/>
    <s v="GP02"/>
    <n v="0.35"/>
    <n v="900"/>
    <n v="0"/>
    <s v="T2 DONE"/>
    <s v="Z120"/>
    <s v=""/>
    <n v="8.1"/>
    <n v="24"/>
    <n v="187"/>
    <n v="144.69999999999999"/>
    <n v="42.3"/>
    <n v="42.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.3"/>
    <s v="0.33-0.35"/>
    <s v="900-902"/>
    <m/>
    <m/>
    <m/>
    <m/>
    <m/>
    <x v="0"/>
    <s v="U"/>
    <x v="14"/>
    <s v="C05-GP02-0.35-900"/>
    <s v="B69-SF93-2-925"/>
    <x v="2"/>
    <x v="4"/>
    <x v="4"/>
    <x v="4"/>
    <x v="2"/>
    <x v="3"/>
    <x v="34"/>
    <m/>
    <m/>
    <m/>
    <m/>
    <m/>
    <m/>
    <m/>
    <m/>
    <m/>
    <m/>
    <m/>
    <m/>
    <m/>
    <m/>
    <m/>
    <m/>
    <m/>
    <m/>
    <m/>
    <s v="ANGUL GALVANIZING PLANT"/>
  </r>
  <r>
    <n v="743"/>
    <d v="2025-08-01T00:00:00"/>
    <s v="ZBTF"/>
    <n v="9518985721"/>
    <n v="4"/>
    <s v="9518985721-4"/>
    <s v="Aug'25"/>
    <s v="Released"/>
    <x v="0"/>
    <x v="3"/>
    <x v="11"/>
    <m/>
    <s v="2000-BPRS"/>
    <m/>
    <s v="GAMHARIA"/>
    <s v="COMD"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0.6"/>
    <n v="24"/>
    <n v="149.995"/>
    <n v="98.984999999999999"/>
    <n v="51.01"/>
    <n v="4.3899999999999997"/>
    <n v="0"/>
    <n v="0"/>
    <n v="0"/>
    <s v=""/>
    <n v="46.62"/>
    <s v=""/>
    <s v=""/>
    <s v=""/>
    <s v=""/>
    <s v=""/>
    <s v=""/>
    <s v=""/>
    <s v=""/>
    <s v=""/>
    <n v="0"/>
    <s v=""/>
    <s v=""/>
    <s v=""/>
    <s v=""/>
    <n v="46.62"/>
    <n v="46.62"/>
    <n v="0"/>
    <n v="4.3900000000000006"/>
    <s v="0.38-0.4"/>
    <s v="1015-1017"/>
    <m/>
    <m/>
    <m/>
    <m/>
    <m/>
    <x v="0"/>
    <s v="U"/>
    <x v="14"/>
    <s v="C05-GP02-0.4-1015"/>
    <s v="B69-SF93-2.25-1035"/>
    <x v="2"/>
    <x v="4"/>
    <x v="4"/>
    <x v="4"/>
    <x v="4"/>
    <x v="6"/>
    <x v="36"/>
    <m/>
    <m/>
    <m/>
    <m/>
    <m/>
    <m/>
    <m/>
    <m/>
    <m/>
    <m/>
    <m/>
    <m/>
    <m/>
    <m/>
    <m/>
    <m/>
    <m/>
    <m/>
    <m/>
    <s v="ANGUL GALVANIZING PLANT"/>
  </r>
  <r>
    <n v="742"/>
    <d v="2025-07-19T00:00:00"/>
    <s v="ZBTO"/>
    <n v="9518942225"/>
    <n v="9"/>
    <s v="9518942225-9"/>
    <s v="Sep'25"/>
    <s v="Released"/>
    <x v="0"/>
    <x v="0"/>
    <x v="6"/>
    <m/>
    <s v="2000-BPRS"/>
    <m/>
    <s v="SILIGURI TOWN"/>
    <s v="GWAH"/>
    <n v="948783"/>
    <s v="SAGAR STEELS"/>
    <n v="3239533"/>
    <s v="CRCA SHEET TATCRC SR16 0.300X1000X2500"/>
    <s v="C06"/>
    <s v="TATCRC"/>
    <s v="SR16"/>
    <n v="0.3"/>
    <n v="1000"/>
    <n v="2500"/>
    <s v="T2 DONE"/>
    <s v=" "/>
    <s v=""/>
    <n v="2"/>
    <n v="3"/>
    <n v="23"/>
    <n v="0"/>
    <n v="23"/>
    <n v="3.08"/>
    <n v="0"/>
    <n v="0"/>
    <n v="0"/>
    <s v=""/>
    <s v=""/>
    <s v=""/>
    <s v=""/>
    <s v=""/>
    <s v=""/>
    <s v=""/>
    <s v=""/>
    <s v=""/>
    <s v=""/>
    <s v=""/>
    <n v="0.17"/>
    <n v="19.75"/>
    <s v=""/>
    <s v=""/>
    <s v=""/>
    <n v="19.920000000000002"/>
    <n v="19.920000000000002"/>
    <n v="0"/>
    <n v="3.0799999999999983"/>
    <s v="0.27-0.3"/>
    <s v="2500-2502"/>
    <m/>
    <m/>
    <m/>
    <m/>
    <m/>
    <x v="0"/>
    <s v="T"/>
    <x v="7"/>
    <s v="C06-SR16-0.3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SAGAR STEELS"/>
  </r>
  <r>
    <n v="742"/>
    <d v="2025-06-25T00:00:00"/>
    <s v="ZBTO"/>
    <n v="9518878640"/>
    <n v="1"/>
    <s v="9518878640-1"/>
    <s v="Stocks"/>
    <s v="Released"/>
    <x v="0"/>
    <x v="0"/>
    <x v="5"/>
    <m/>
    <s v="1000-IPPE"/>
    <m/>
    <s v="RAJKOT"/>
    <s v="AMED"/>
    <n v="188891"/>
    <s v="Galaxy Stamping Pvt. Ltd."/>
    <n v="1804785"/>
    <s v="CRCA COIL-TATCRC-TR20-0.5X1250"/>
    <s v="C01"/>
    <s v="TATCRC"/>
    <s v="TR20"/>
    <n v="0.5"/>
    <n v="1250"/>
    <n v="0"/>
    <s v="T2 DONE"/>
    <s v=" "/>
    <s v=""/>
    <n v="6"/>
    <n v="8"/>
    <n v="232"/>
    <n v="99.745000000000005"/>
    <n v="132.255"/>
    <n v="132.25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32.255"/>
    <s v="0.48-0.52"/>
    <s v="1250-1252"/>
    <m/>
    <m/>
    <m/>
    <m/>
    <m/>
    <x v="0"/>
    <s v="T"/>
    <x v="17"/>
    <s v="C01-TR20-0.5-1250"/>
    <s v="367-SF98-2.5-1250"/>
    <x v="0"/>
    <x v="11"/>
    <x v="11"/>
    <x v="11"/>
    <x v="7"/>
    <x v="0"/>
    <x v="2"/>
    <m/>
    <m/>
    <m/>
    <m/>
    <m/>
    <m/>
    <m/>
    <m/>
    <m/>
    <m/>
    <m/>
    <m/>
    <m/>
    <m/>
    <m/>
    <m/>
    <m/>
    <m/>
    <m/>
    <s v="Galaxy Stamping Pvt. Ltd."/>
  </r>
  <r>
    <n v="742"/>
    <d v="2025-07-19T00:00:00"/>
    <s v="ZBTO"/>
    <n v="9518942225"/>
    <n v="10"/>
    <s v="9518942225-10"/>
    <s v="Sep'25"/>
    <s v="Released"/>
    <x v="1"/>
    <x v="0"/>
    <x v="6"/>
    <m/>
    <s v="2000-BPRS"/>
    <m/>
    <s v="SILIGURI TOWN"/>
    <s v="GWAH"/>
    <n v="948783"/>
    <s v="SAGAR STEELS"/>
    <n v="3239542"/>
    <s v="CRCA SHEET TATCRC SR16 0.350X1000X2500"/>
    <s v="C06"/>
    <s v="TATCRC"/>
    <s v="SR16"/>
    <n v="0.35"/>
    <n v="1000"/>
    <n v="2500"/>
    <s v="T2 DONE"/>
    <s v=" "/>
    <s v=""/>
    <n v="2"/>
    <n v="3"/>
    <n v="24"/>
    <n v="0"/>
    <n v="24"/>
    <n v="2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4"/>
    <s v="0.33-0.35"/>
    <s v="1000-1020"/>
    <m/>
    <m/>
    <m/>
    <m/>
    <m/>
    <x v="0"/>
    <s v="T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SAGAR STEELS"/>
  </r>
  <r>
    <n v="742"/>
    <d v="2025-07-19T00:00:00"/>
    <s v="ZBTO"/>
    <n v="9518942225"/>
    <n v="16"/>
    <s v="9518942225-16"/>
    <s v="Oct'25"/>
    <s v="Released"/>
    <x v="1"/>
    <x v="0"/>
    <x v="6"/>
    <m/>
    <s v="2000-BPRS"/>
    <m/>
    <s v="SILIGURI TOWN"/>
    <s v="GWAH"/>
    <n v="948783"/>
    <s v="SAGAR STEELS"/>
    <n v="3402254"/>
    <s v="CRCA SHEET TSBCRC SR15 0.600X1000X2000"/>
    <s v="C06"/>
    <s v="TSBCRC"/>
    <s v="SR15"/>
    <n v="0.6"/>
    <n v="1000"/>
    <n v="2000"/>
    <s v="T2 DONE"/>
    <s v=" "/>
    <s v=""/>
    <n v="2"/>
    <n v="3"/>
    <n v="24"/>
    <n v="0"/>
    <n v="24"/>
    <n v="2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4"/>
    <s v="0.57-0.6"/>
    <s v="1000-1020"/>
    <m/>
    <m/>
    <m/>
    <m/>
    <m/>
    <x v="0"/>
    <s v="T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SAGAR STEELS"/>
  </r>
  <r>
    <n v="742"/>
    <d v="2025-08-22T00:00:00"/>
    <s v="ZBTO"/>
    <n v="9519040245"/>
    <n v="1"/>
    <s v="9519040245-1"/>
    <s v="Sep'25"/>
    <s v="Released"/>
    <x v="0"/>
    <x v="0"/>
    <x v="5"/>
    <m/>
    <s v="1000-IPPE"/>
    <m/>
    <s v="CHENNAI"/>
    <s v="NPUR"/>
    <n v="187214"/>
    <s v="BALMER LAWRIE &amp; CO. LIMITED.."/>
    <n v="2164800"/>
    <s v="CRCA COIL TATXXD BT02 0.970X913"/>
    <s v="C01"/>
    <s v="TATXXD"/>
    <s v="BT02"/>
    <n v="0.97"/>
    <n v="913"/>
    <n v="0"/>
    <s v="T2 DONE"/>
    <s v=" "/>
    <s v=""/>
    <n v="6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26"/>
    <n v="0"/>
    <s v="0.96-0.99"/>
    <s v="913-914"/>
    <m/>
    <m/>
    <m/>
    <m/>
    <m/>
    <x v="0"/>
    <s v="T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s v="BALMER LAWRIE &amp; CO. LIMITED.."/>
  </r>
  <r>
    <n v="742"/>
    <d v="2025-08-22T00:00:00"/>
    <s v="ZBTO"/>
    <n v="9519040469"/>
    <n v="3"/>
    <s v="9519040469-3"/>
    <s v="No Priority"/>
    <s v="Released"/>
    <x v="1"/>
    <x v="0"/>
    <x v="5"/>
    <m/>
    <s v="1000-IPPE"/>
    <m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s v="T2 DONE"/>
    <s v=" "/>
    <s v=""/>
    <n v="6"/>
    <n v="10.130000000000001"/>
    <n v="294"/>
    <n v="0"/>
    <n v="294"/>
    <n v="29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4"/>
    <s v="0.95-1"/>
    <s v="913-914"/>
    <m/>
    <m/>
    <m/>
    <m/>
    <m/>
    <x v="0"/>
    <s v="T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s v="Balmer Lawrie And Co. Ltd."/>
  </r>
  <r>
    <n v="742"/>
    <d v="2025-08-22T00:00:00"/>
    <s v="ZBTO"/>
    <n v="9519040469"/>
    <n v="4"/>
    <s v="9519040469-4"/>
    <s v="Sep'25"/>
    <s v="Released"/>
    <x v="0"/>
    <x v="0"/>
    <x v="5"/>
    <m/>
    <s v="1000-IPPE"/>
    <m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s v="T2 DONE"/>
    <s v=" "/>
    <s v=""/>
    <n v="6"/>
    <n v="10.130000000000001"/>
    <n v="105"/>
    <n v="0"/>
    <n v="105"/>
    <n v="-1.01"/>
    <n v="0"/>
    <n v="0"/>
    <n v="106.01"/>
    <s v=""/>
    <s v=""/>
    <s v=""/>
    <s v=""/>
    <s v=""/>
    <s v=""/>
    <s v=""/>
    <s v=""/>
    <s v=""/>
    <s v=""/>
    <s v=""/>
    <n v="0"/>
    <s v=""/>
    <s v=""/>
    <s v=""/>
    <s v=""/>
    <n v="106.01"/>
    <n v="106.01"/>
    <n v="0"/>
    <n v="-1.0100000000000051"/>
    <s v="0.95-1"/>
    <s v="913-914"/>
    <m/>
    <m/>
    <m/>
    <m/>
    <m/>
    <x v="0"/>
    <s v="T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s v="Balmer Lawrie And Co. Ltd."/>
  </r>
  <r>
    <n v="742"/>
    <d v="2025-08-22T00:00:00"/>
    <s v="ZBTO"/>
    <n v="9519040469"/>
    <n v="6"/>
    <s v="9519040469-6"/>
    <s v="Sep'25"/>
    <s v="Released"/>
    <x v="0"/>
    <x v="0"/>
    <x v="5"/>
    <m/>
    <s v="1000-IPPE"/>
    <m/>
    <s v="VILLAGE DADRA"/>
    <s v="NPUR"/>
    <n v="189405"/>
    <s v="Balmer Lawrie And Co. Ltd."/>
    <n v="2164803"/>
    <s v="CRCA COIL TATXXD BT02 1.200X910"/>
    <s v="C01"/>
    <s v="TATXXD"/>
    <s v="BT02"/>
    <n v="1.2"/>
    <n v="910"/>
    <n v="0"/>
    <s v="T2 DONE"/>
    <s v=" "/>
    <s v=""/>
    <n v="6"/>
    <n v="12"/>
    <n v="252"/>
    <n v="0"/>
    <n v="252"/>
    <n v="25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0"/>
    <s v="1.17-1.23"/>
    <s v="910-911"/>
    <m/>
    <m/>
    <m/>
    <m/>
    <m/>
    <x v="0"/>
    <s v="T"/>
    <x v="6"/>
    <s v="C01-BT02-1.2-910"/>
    <s v="B69-SH67-3.2-935"/>
    <x v="2"/>
    <x v="6"/>
    <x v="6"/>
    <x v="6"/>
    <x v="3"/>
    <x v="16"/>
    <x v="38"/>
    <m/>
    <m/>
    <m/>
    <m/>
    <m/>
    <m/>
    <m/>
    <m/>
    <m/>
    <m/>
    <m/>
    <m/>
    <m/>
    <m/>
    <m/>
    <m/>
    <m/>
    <m/>
    <m/>
    <s v="Balmer Lawrie And Co. Ltd."/>
  </r>
  <r>
    <n v="742"/>
    <d v="2025-08-22T00:00:00"/>
    <s v="ZBTO"/>
    <n v="9519040469"/>
    <n v="7"/>
    <s v="9519040469-7"/>
    <s v="No Priority"/>
    <s v="Released"/>
    <x v="1"/>
    <x v="0"/>
    <x v="5"/>
    <m/>
    <s v="1000-IPPE"/>
    <m/>
    <s v="VILLAGE DADRA"/>
    <s v="NPUR"/>
    <n v="189405"/>
    <s v="Balmer Lawrie And Co. Ltd."/>
    <n v="2164792"/>
    <s v="CRCA COIL TATXXD BT02 0.900X913"/>
    <s v="C01"/>
    <s v="TATXXD"/>
    <s v="BT02"/>
    <n v="0.9"/>
    <n v="913"/>
    <n v="0"/>
    <s v="T2 DONE"/>
    <s v=" "/>
    <s v=""/>
    <n v="6"/>
    <n v="10.4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88-0.92"/>
    <s v="913-914"/>
    <m/>
    <m/>
    <m/>
    <m/>
    <m/>
    <x v="0"/>
    <s v="T"/>
    <x v="6"/>
    <s v="C01-BT02-0.9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s v="Balmer Lawrie And Co. Ltd."/>
  </r>
  <r>
    <n v="743"/>
    <d v="2025-07-28T00:00:00"/>
    <s v="ZBTO"/>
    <n v="9518968397"/>
    <n v="1"/>
    <s v="9518968397-1"/>
    <s v="Sep'25"/>
    <s v="Released"/>
    <x v="0"/>
    <x v="3"/>
    <x v="12"/>
    <m/>
    <s v="2000-BPRS"/>
    <m/>
    <s v="SRINAGAR"/>
    <s v="LUDH"/>
    <n v="115190"/>
    <s v="SHEYRUB AGENCIES"/>
    <n v="3777533"/>
    <s v="GP COIL TATGPH GP02 0.500X1015"/>
    <s v="C05"/>
    <s v="TATGPH"/>
    <s v="GP02"/>
    <n v="0.5"/>
    <n v="1015"/>
    <n v="0"/>
    <s v="T2 DONE"/>
    <s v="Z120"/>
    <s v=""/>
    <n v="3"/>
    <n v="5"/>
    <n v="23"/>
    <n v="0"/>
    <n v="23"/>
    <n v="-0.42"/>
    <n v="0"/>
    <n v="0"/>
    <n v="0"/>
    <s v=""/>
    <n v="23.42"/>
    <s v=""/>
    <s v=""/>
    <s v=""/>
    <s v=""/>
    <s v=""/>
    <s v=""/>
    <s v=""/>
    <s v=""/>
    <s v=""/>
    <n v="0"/>
    <s v=""/>
    <s v=""/>
    <s v=""/>
    <s v=""/>
    <n v="23.42"/>
    <n v="23.42"/>
    <n v="0"/>
    <n v="-0.42000000000000171"/>
    <s v="0.47-0.51"/>
    <s v="1015-1018"/>
    <m/>
    <m/>
    <m/>
    <m/>
    <m/>
    <x v="0"/>
    <s v="U"/>
    <x v="14"/>
    <s v="C05-GP02-0.5-1015"/>
    <s v="B69-SF93-2.5-1035"/>
    <x v="2"/>
    <x v="4"/>
    <x v="4"/>
    <x v="4"/>
    <x v="7"/>
    <x v="6"/>
    <x v="39"/>
    <m/>
    <m/>
    <m/>
    <m/>
    <m/>
    <m/>
    <m/>
    <m/>
    <m/>
    <m/>
    <m/>
    <m/>
    <m/>
    <m/>
    <m/>
    <m/>
    <m/>
    <m/>
    <m/>
    <s v="SHEYRUB AGENCIES"/>
  </r>
  <r>
    <n v="742"/>
    <d v="2025-06-30T00:00:00"/>
    <s v="ZBTO"/>
    <n v="9518896127"/>
    <n v="4"/>
    <s v="9518896127-4"/>
    <s v="Stocks"/>
    <s v="Released"/>
    <x v="0"/>
    <x v="2"/>
    <x v="3"/>
    <m/>
    <s v="2000-BPRS"/>
    <m/>
    <s v="HOWRAH"/>
    <s v="CALS"/>
    <n v="154464"/>
    <s v="TATA STEEL DOWNSTREAM PRODUCTS LIMI"/>
    <n v="1252834"/>
    <s v="HR COILS-PO IS 1079 HR2 3.0X1250"/>
    <n v="768"/>
    <s v="THR099"/>
    <s v="HR99"/>
    <n v="3"/>
    <n v="1250"/>
    <n v="0"/>
    <s v="T2 DONE"/>
    <s v=" "/>
    <s v=""/>
    <n v="17"/>
    <n v="29"/>
    <n v="87"/>
    <n v="65.349999999999994"/>
    <n v="21.65"/>
    <n v="21.6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.65"/>
    <s v=""/>
    <s v=""/>
    <m/>
    <m/>
    <m/>
    <m/>
    <m/>
    <x v="0"/>
    <s v="U"/>
    <x v="12"/>
    <s v="768-HR99-3-1250"/>
    <s v="367-HR99-3-1250"/>
    <x v="0"/>
    <x v="9"/>
    <x v="9"/>
    <x v="9"/>
    <x v="1"/>
    <x v="0"/>
    <x v="40"/>
    <m/>
    <m/>
    <m/>
    <m/>
    <m/>
    <m/>
    <m/>
    <m/>
    <m/>
    <m/>
    <m/>
    <m/>
    <m/>
    <m/>
    <m/>
    <m/>
    <m/>
    <m/>
    <m/>
    <s v="TATA STEEL DOWNSTREAM PRODUCTS LIMI"/>
  </r>
  <r>
    <n v="743"/>
    <d v="2025-07-26T00:00:00"/>
    <s v="ZBTO"/>
    <n v="9518962848"/>
    <n v="1"/>
    <s v="9518962848-1"/>
    <s v="Aug'25"/>
    <s v="Released"/>
    <x v="0"/>
    <x v="1"/>
    <x v="4"/>
    <m/>
    <s v="1000-IPPE"/>
    <m/>
    <s v=" "/>
    <s v="BOMB"/>
    <n v="942283"/>
    <s v="TATA BLUESCOPE STEEL PRIVATE LIMITE"/>
    <n v="2148241"/>
    <s v="GL C Y300GL T12L 0.55BMT(0.60TCT)X1220"/>
    <s v="B03"/>
    <s v="Y300GL"/>
    <s v="T12L"/>
    <n v="0.55000000000000004"/>
    <n v="1220"/>
    <n v="0"/>
    <s v="T2 DONE"/>
    <s v="AZ150"/>
    <s v=""/>
    <n v="3"/>
    <n v="5"/>
    <n v="112"/>
    <n v="81.09"/>
    <n v="30.91"/>
    <n v="2.86"/>
    <n v="55.335000000000001"/>
    <n v="0"/>
    <n v="28.05"/>
    <s v=""/>
    <s v=""/>
    <s v=""/>
    <s v=""/>
    <s v=""/>
    <s v=""/>
    <s v=""/>
    <s v=""/>
    <s v=""/>
    <s v=""/>
    <s v=""/>
    <n v="0"/>
    <s v=""/>
    <s v=""/>
    <s v=""/>
    <s v=""/>
    <n v="28.05"/>
    <n v="28.05"/>
    <n v="0"/>
    <n v="2.8599999999999994"/>
    <s v="0.53-0.57"/>
    <s v="1220-1222"/>
    <m/>
    <m/>
    <m/>
    <m/>
    <m/>
    <x v="0"/>
    <s v="R"/>
    <x v="16"/>
    <s v="B03-T12L-0.5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2"/>
    <d v="2025-07-15T00:00:00"/>
    <s v="ZBTO"/>
    <n v="9518931316"/>
    <n v="1"/>
    <s v="9518931316-1"/>
    <s v="Sep'25"/>
    <s v="Released"/>
    <x v="0"/>
    <x v="0"/>
    <x v="6"/>
    <m/>
    <s v="2000-BPRS"/>
    <m/>
    <s v="URLA"/>
    <s v="RPUR"/>
    <n v="139336"/>
    <s v="PASA ASSOCIATES PRIVATE LIMITED"/>
    <n v="3239536"/>
    <s v="CRCA SHEET TATCRC SR16 0.350X900X2500"/>
    <s v="C06"/>
    <s v="TATCRC"/>
    <s v="SR16"/>
    <n v="0.35"/>
    <n v="900"/>
    <n v="2500"/>
    <s v="T2 DONE"/>
    <s v=" "/>
    <s v=""/>
    <n v="1"/>
    <n v="5"/>
    <n v="21"/>
    <n v="0"/>
    <n v="21"/>
    <n v="0.56000000000000005"/>
    <n v="0"/>
    <n v="0"/>
    <n v="0"/>
    <s v=""/>
    <s v=""/>
    <s v=""/>
    <s v=""/>
    <s v=""/>
    <s v=""/>
    <s v=""/>
    <n v="20.440000000000001"/>
    <s v=""/>
    <s v=""/>
    <s v=""/>
    <n v="0"/>
    <s v=""/>
    <s v=""/>
    <s v=""/>
    <s v=""/>
    <n v="20.440000000000001"/>
    <n v="20.440000000000001"/>
    <n v="0"/>
    <n v="0.55999999999999872"/>
    <s v="0.32-0.352"/>
    <s v="900-902"/>
    <m/>
    <m/>
    <m/>
    <m/>
    <m/>
    <x v="0"/>
    <s v="R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PASA ASSOCIATES PRIVATE LIMITED"/>
  </r>
  <r>
    <n v="742"/>
    <d v="2025-07-11T00:00:00"/>
    <s v="ZBTO"/>
    <n v="9518922956"/>
    <n v="2"/>
    <s v="9518922956-2"/>
    <s v="Sep'25"/>
    <s v="Released"/>
    <x v="0"/>
    <x v="0"/>
    <x v="6"/>
    <m/>
    <s v="2000-BPRS"/>
    <m/>
    <s v="HOWRAH"/>
    <s v="CALS"/>
    <n v="101278"/>
    <s v="RAMESH COMPANY"/>
    <n v="3239536"/>
    <s v="CRCA SHEET TATCRC SR16 0.350X900X2500"/>
    <s v="C06"/>
    <s v="TATCRC"/>
    <s v="SR16"/>
    <n v="0.35"/>
    <n v="900"/>
    <n v="2500"/>
    <s v="T2 DONE"/>
    <s v=" "/>
    <s v=""/>
    <n v="0"/>
    <n v="0"/>
    <n v="20.998999999999999"/>
    <n v="0"/>
    <n v="20.998999999999999"/>
    <n v="-123.571"/>
    <n v="0"/>
    <n v="0"/>
    <n v="21.04"/>
    <n v="21"/>
    <s v=""/>
    <s v=""/>
    <s v=""/>
    <s v=""/>
    <s v=""/>
    <n v="41.6"/>
    <n v="60.93"/>
    <s v=""/>
    <s v=""/>
    <s v=""/>
    <n v="0"/>
    <s v=""/>
    <s v=""/>
    <s v=""/>
    <s v=""/>
    <n v="144.57"/>
    <n v="144.57"/>
    <n v="0"/>
    <n v="-123.571"/>
    <s v="0.33-0.35"/>
    <s v="900-902"/>
    <m/>
    <m/>
    <m/>
    <m/>
    <m/>
    <x v="0"/>
    <s v="T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RAMESH COMPANY"/>
  </r>
  <r>
    <n v="742"/>
    <d v="2025-06-03T00:00:00"/>
    <s v="ZBTO"/>
    <n v="9518822216"/>
    <n v="7"/>
    <s v="9518822216-7"/>
    <s v="Sep'25"/>
    <s v="Released"/>
    <x v="0"/>
    <x v="0"/>
    <x v="0"/>
    <m/>
    <s v="2000-BPRS"/>
    <m/>
    <s v="LONI"/>
    <s v="FBAD"/>
    <n v="123052"/>
    <s v="G R GUPTA &amp; BROS"/>
    <n v="2193598"/>
    <s v="CRCA COIL TATXXD AU03 1.900X1250"/>
    <s v="C01"/>
    <s v="TATXXD"/>
    <s v="AU03"/>
    <n v="1.9"/>
    <n v="1250"/>
    <n v="0"/>
    <s v="T2 DONE"/>
    <s v=" "/>
    <s v=""/>
    <n v="10"/>
    <n v="30"/>
    <n v="116"/>
    <n v="92.765000000000001"/>
    <n v="23.234999999999999"/>
    <n v="-3.165"/>
    <n v="0"/>
    <n v="0"/>
    <n v="0"/>
    <s v=""/>
    <s v=""/>
    <s v=""/>
    <s v=""/>
    <s v=""/>
    <s v=""/>
    <s v=""/>
    <s v=""/>
    <n v="26.400000000000002"/>
    <s v=""/>
    <s v=""/>
    <n v="0"/>
    <s v=""/>
    <s v=""/>
    <s v=""/>
    <s v=""/>
    <n v="26.400000000000002"/>
    <n v="26.400000000000002"/>
    <n v="0"/>
    <n v="-3.1650000000000027"/>
    <s v="1.87-1.91"/>
    <s v="1250-1252"/>
    <m/>
    <m/>
    <m/>
    <m/>
    <m/>
    <x v="0"/>
    <s v="U"/>
    <x v="0"/>
    <s v="C01-AU03-1.9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s v="G R GUPTA &amp; BROS"/>
  </r>
  <r>
    <n v="743"/>
    <d v="2025-08-08T00:00:00"/>
    <s v="ZBTF"/>
    <n v="9519003944"/>
    <n v="1"/>
    <s v="9519003944-1"/>
    <s v="Sep'25"/>
    <s v="Released"/>
    <x v="0"/>
    <x v="3"/>
    <x v="11"/>
    <m/>
    <s v="2000-BPRS"/>
    <m/>
    <s v="GAMHARIA"/>
    <s v="COMD"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1"/>
    <n v="24"/>
    <n v="92"/>
    <n v="0"/>
    <n v="92"/>
    <n v="-0.9"/>
    <n v="0"/>
    <n v="0"/>
    <n v="70.09"/>
    <s v=""/>
    <n v="22.81"/>
    <s v=""/>
    <s v=""/>
    <s v=""/>
    <s v=""/>
    <s v=""/>
    <s v=""/>
    <s v=""/>
    <s v=""/>
    <s v=""/>
    <n v="0"/>
    <s v=""/>
    <s v=""/>
    <s v=""/>
    <s v=""/>
    <n v="92.9"/>
    <n v="92.9"/>
    <n v="0"/>
    <n v="-0.90000000000000568"/>
    <s v="0.38-0.4"/>
    <s v="1015-1017"/>
    <m/>
    <m/>
    <m/>
    <m/>
    <m/>
    <x v="0"/>
    <s v="U"/>
    <x v="14"/>
    <s v="C05-GP02-0.5-1015"/>
    <s v="B69-SF93-2.5-1035"/>
    <x v="2"/>
    <x v="4"/>
    <x v="4"/>
    <x v="4"/>
    <x v="7"/>
    <x v="6"/>
    <x v="39"/>
    <m/>
    <m/>
    <m/>
    <m/>
    <m/>
    <m/>
    <m/>
    <m/>
    <m/>
    <m/>
    <m/>
    <m/>
    <m/>
    <m/>
    <m/>
    <m/>
    <m/>
    <m/>
    <m/>
    <s v="ANGUL GALVANIZING PLANT"/>
  </r>
  <r>
    <n v="743"/>
    <d v="2025-07-29T00:00:00"/>
    <s v="ZBTO"/>
    <n v="9518971601"/>
    <n v="7"/>
    <s v="9518971601-7"/>
    <s v="No Priority"/>
    <s v="Released"/>
    <x v="0"/>
    <x v="3"/>
    <x v="3"/>
    <m/>
    <s v="2000-BPRS"/>
    <m/>
    <s v="LONI"/>
    <s v="GBAD"/>
    <n v="931234"/>
    <s v="JAI LAXMI STEELS"/>
    <n v="1851762"/>
    <s v="GP COIL SOFT-TSBXGP-T1GP-0.25X1000"/>
    <s v="C02"/>
    <s v="TSBXGP"/>
    <s v="T1GP"/>
    <n v="0.25"/>
    <n v="1000"/>
    <n v="0"/>
    <s v="T2 DONE"/>
    <s v="Z80"/>
    <s v=""/>
    <n v="4"/>
    <n v="6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22-0.25"/>
    <s v="1000-1003"/>
    <m/>
    <m/>
    <m/>
    <m/>
    <m/>
    <x v="0"/>
    <s v="R"/>
    <x v="4"/>
    <s v="C02-T1GP-0.25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JAI LAXMI STEELS"/>
  </r>
  <r>
    <n v="742"/>
    <d v="2025-07-23T00:00:00"/>
    <s v="ZBTF"/>
    <n v="9518952949"/>
    <n v="1"/>
    <s v="9518952949-1"/>
    <s v="No Priority"/>
    <s v="Released"/>
    <x v="0"/>
    <x v="0"/>
    <x v="8"/>
    <m/>
    <s v="2000-BPRS"/>
    <m/>
    <s v="YESHWANTHPURA"/>
    <s v="TUBE"/>
    <n v="650742"/>
    <s v="Angul Cold Rolling Mill"/>
    <n v="2150940"/>
    <s v="CRCA COIL SA1008 TU98 1.200X1250"/>
    <s v="C01"/>
    <s v="SA1008"/>
    <s v="TU98"/>
    <n v="1.2"/>
    <n v="1250"/>
    <n v="0"/>
    <s v="T2 DONE"/>
    <s v=" "/>
    <s v=""/>
    <n v="10"/>
    <n v="27"/>
    <n v="261"/>
    <n v="234.065"/>
    <n v="26.934999999999999"/>
    <n v="-1.5149999999999999"/>
    <n v="0"/>
    <n v="0"/>
    <n v="0"/>
    <s v=""/>
    <s v=""/>
    <s v=""/>
    <s v=""/>
    <s v=""/>
    <s v=""/>
    <s v=""/>
    <s v=""/>
    <n v="28.45"/>
    <s v=""/>
    <s v=""/>
    <n v="0"/>
    <s v=""/>
    <s v=""/>
    <s v=""/>
    <s v=""/>
    <n v="28.45"/>
    <n v="28.45"/>
    <n v="0"/>
    <n v="-1.5150000000000006"/>
    <s v="1.17-1.23"/>
    <s v="1250-1270"/>
    <m/>
    <m/>
    <m/>
    <m/>
    <m/>
    <x v="0"/>
    <s v="U"/>
    <x v="18"/>
    <s v="C01-TU98-1.2-1250"/>
    <s v="367-SH69-3.2-1250"/>
    <x v="0"/>
    <x v="7"/>
    <x v="7"/>
    <x v="7"/>
    <x v="3"/>
    <x v="0"/>
    <x v="43"/>
    <m/>
    <m/>
    <m/>
    <m/>
    <m/>
    <m/>
    <m/>
    <m/>
    <m/>
    <m/>
    <m/>
    <m/>
    <m/>
    <m/>
    <m/>
    <m/>
    <m/>
    <m/>
    <m/>
    <s v="Angul Cold Rolling Mill"/>
  </r>
  <r>
    <n v="742"/>
    <d v="2025-07-18T00:00:00"/>
    <s v="ZBTO"/>
    <n v="9518938765"/>
    <n v="16"/>
    <s v="9518938765-16"/>
    <s v="No Priority"/>
    <s v="Released"/>
    <x v="0"/>
    <x v="0"/>
    <x v="6"/>
    <m/>
    <s v="2000-BPRS"/>
    <m/>
    <s v="PATNA"/>
    <s v="PATN"/>
    <n v="103227"/>
    <s v="BMW VENTURES LIMITED"/>
    <n v="3240757"/>
    <s v="CRCA SHEET TSBCRC SR15 0.500X1000X2000"/>
    <s v="C06"/>
    <s v="TSBCRC"/>
    <s v="SR15"/>
    <n v="0.5"/>
    <n v="1000"/>
    <n v="2000"/>
    <s v="T2 DONE"/>
    <s v=" "/>
    <s v=""/>
    <n v="0"/>
    <n v="0"/>
    <n v="22.998999999999999"/>
    <n v="0"/>
    <n v="22.998999999999999"/>
    <n v="1.9990000000000001"/>
    <n v="0"/>
    <n v="0"/>
    <n v="0"/>
    <s v=""/>
    <s v=""/>
    <s v=""/>
    <s v=""/>
    <s v=""/>
    <s v=""/>
    <s v=""/>
    <s v=""/>
    <n v="21"/>
    <s v=""/>
    <s v=""/>
    <n v="0"/>
    <s v=""/>
    <s v=""/>
    <s v=""/>
    <s v=""/>
    <n v="21"/>
    <n v="21"/>
    <n v="0"/>
    <n v="1.9989999999999988"/>
    <s v="0.47-0.5"/>
    <s v="1000-1002"/>
    <m/>
    <m/>
    <m/>
    <m/>
    <m/>
    <x v="0"/>
    <s v="T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s v="BMW VENTURES LIMITED"/>
  </r>
  <r>
    <n v="742"/>
    <d v="2025-07-18T00:00:00"/>
    <s v="ZBTO"/>
    <n v="9518938765"/>
    <n v="17"/>
    <s v="9518938765-17"/>
    <s v="Stocks"/>
    <s v="Released"/>
    <x v="0"/>
    <x v="0"/>
    <x v="6"/>
    <m/>
    <s v="2000-BPRS"/>
    <m/>
    <s v="PATNA"/>
    <s v="PATN"/>
    <n v="103227"/>
    <s v="BMW VENTURES LIMITED"/>
    <n v="3903194"/>
    <s v="CRCA SHEET TSBCRC SR15 0.500X1250X2000"/>
    <s v="C06"/>
    <s v="TSBCRC"/>
    <s v="SR15"/>
    <n v="0.5"/>
    <n v="1250"/>
    <n v="2000"/>
    <s v="T2 DONE"/>
    <s v=" "/>
    <s v=""/>
    <n v="2"/>
    <n v="3"/>
    <n v="28.998999999999999"/>
    <n v="2.7850000000000001"/>
    <n v="26.213999999999999"/>
    <n v="26.213999999999999"/>
    <n v="2.7850000000000001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6.213999999999999"/>
    <s v="0.47-0.5"/>
    <s v="1250-1252"/>
    <m/>
    <m/>
    <m/>
    <m/>
    <m/>
    <x v="0"/>
    <s v="T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BMW VENTURES LIMITED"/>
  </r>
  <r>
    <n v="742"/>
    <d v="2025-07-18T00:00:00"/>
    <s v="ZBTO"/>
    <n v="9518938766"/>
    <n v="1"/>
    <s v="9518938766-1"/>
    <s v="Oct'25"/>
    <s v="Released"/>
    <x v="1"/>
    <x v="0"/>
    <x v="6"/>
    <m/>
    <s v="2000-BPRS"/>
    <m/>
    <s v="PURNIA"/>
    <s v="PATN"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7-0.3"/>
    <s v="900-902"/>
    <m/>
    <m/>
    <m/>
    <m/>
    <m/>
    <x v="0"/>
    <s v="T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7-25T00:00:00"/>
    <s v="ZBTO"/>
    <n v="9518960457"/>
    <n v="1"/>
    <s v="9518960457-1"/>
    <s v="No Priority"/>
    <s v="Released"/>
    <x v="0"/>
    <x v="0"/>
    <x v="5"/>
    <m/>
    <s v="1000-IPPE"/>
    <m/>
    <s v="VILLAGE DADRA"/>
    <s v="BOMB"/>
    <n v="801535"/>
    <s v="E-CON PACKAGING PVT. LTD."/>
    <n v="3854918"/>
    <s v="CR COIL TATXXD BT01 1.500X1320"/>
    <s v="C01"/>
    <s v="TATXXD"/>
    <s v="BT01"/>
    <n v="1.5"/>
    <n v="1320"/>
    <n v="0"/>
    <s v="T2 DONE"/>
    <s v=" "/>
    <s v=""/>
    <n v="7"/>
    <n v="13"/>
    <n v="30"/>
    <n v="0"/>
    <n v="30"/>
    <n v="3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0"/>
    <s v="1.48-1.52"/>
    <s v="1320-1322"/>
    <m/>
    <m/>
    <m/>
    <m/>
    <m/>
    <x v="0"/>
    <s v="C"/>
    <x v="6"/>
    <s v="C01-BT01-1.5-1320"/>
    <s v="367-SH67-4-1330"/>
    <x v="0"/>
    <x v="6"/>
    <x v="6"/>
    <x v="6"/>
    <x v="10"/>
    <x v="17"/>
    <x v="44"/>
    <m/>
    <m/>
    <m/>
    <m/>
    <m/>
    <m/>
    <m/>
    <m/>
    <m/>
    <m/>
    <m/>
    <m/>
    <m/>
    <m/>
    <m/>
    <m/>
    <m/>
    <m/>
    <m/>
    <s v="E-CON PACKAGING PVT. LTD."/>
  </r>
  <r>
    <n v="742"/>
    <d v="2025-07-18T00:00:00"/>
    <s v="ZBTO"/>
    <n v="9518938044"/>
    <n v="1"/>
    <s v="9518938044-1"/>
    <s v="Sep'25"/>
    <s v="Released"/>
    <x v="0"/>
    <x v="0"/>
    <x v="6"/>
    <m/>
    <s v="2000-BPRS"/>
    <m/>
    <s v="URLA"/>
    <s v="RPUR"/>
    <n v="931662"/>
    <s v="PRESTIGE METALLICS PRIVATE LIMITED"/>
    <n v="3239536"/>
    <s v="CRCA SHEET TATCRC SR16 0.350X900X2500"/>
    <s v="C06"/>
    <s v="TATCRC"/>
    <s v="SR16"/>
    <n v="0.35"/>
    <n v="900"/>
    <n v="2500"/>
    <s v="T2 DONE"/>
    <s v=" "/>
    <s v=""/>
    <n v="1"/>
    <n v="5"/>
    <n v="21"/>
    <n v="0"/>
    <n v="21"/>
    <n v="0.82"/>
    <n v="0"/>
    <n v="0"/>
    <n v="0"/>
    <s v=""/>
    <s v=""/>
    <s v=""/>
    <s v=""/>
    <s v=""/>
    <s v=""/>
    <s v=""/>
    <n v="20.18"/>
    <s v=""/>
    <s v=""/>
    <s v=""/>
    <n v="0"/>
    <s v=""/>
    <s v=""/>
    <s v=""/>
    <s v=""/>
    <n v="20.18"/>
    <n v="20.18"/>
    <n v="0"/>
    <n v="0.82000000000000028"/>
    <s v="0.32-0.352"/>
    <s v="900-902"/>
    <m/>
    <m/>
    <m/>
    <m/>
    <m/>
    <x v="0"/>
    <s v="T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PRESTIGE METALLICS PRIVATE LIMITED"/>
  </r>
  <r>
    <n v="742"/>
    <d v="2025-07-31T00:00:00"/>
    <s v="ZBTO"/>
    <n v="9518980071"/>
    <n v="7"/>
    <s v="9518980071-7"/>
    <s v="Sep'25"/>
    <s v="Released"/>
    <x v="1"/>
    <x v="0"/>
    <x v="6"/>
    <m/>
    <s v="2000-BPRS"/>
    <m/>
    <s v="HOWRAH"/>
    <s v="CALS"/>
    <n v="101278"/>
    <s v="RAMESH COMPANY"/>
    <n v="3908482"/>
    <s v="BLOCKED BY QAD"/>
    <s v="C06"/>
    <s v="TSBCRC"/>
    <s v="SR15"/>
    <n v="0.45"/>
    <n v="900"/>
    <n v="2500"/>
    <s v="T2 DONE"/>
    <s v=" "/>
    <s v=""/>
    <n v="0.1"/>
    <n v="9.9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42-0.45"/>
    <s v="900-902"/>
    <m/>
    <m/>
    <m/>
    <m/>
    <m/>
    <x v="0"/>
    <s v="T"/>
    <x v="7"/>
    <s v="C06-SR15-0.45-900"/>
    <s v="B69-SH69-2.5-925"/>
    <x v="2"/>
    <x v="7"/>
    <x v="7"/>
    <x v="7"/>
    <x v="7"/>
    <x v="3"/>
    <x v="30"/>
    <m/>
    <m/>
    <m/>
    <m/>
    <m/>
    <m/>
    <m/>
    <m/>
    <m/>
    <m/>
    <m/>
    <m/>
    <m/>
    <m/>
    <m/>
    <m/>
    <m/>
    <m/>
    <m/>
    <s v="RAMESH COMPANY"/>
  </r>
  <r>
    <n v="742"/>
    <d v="2025-07-31T00:00:00"/>
    <s v="ZBTO"/>
    <n v="9518980071"/>
    <n v="9"/>
    <s v="9518980071-9"/>
    <s v="Sep'25"/>
    <s v="Released"/>
    <x v="1"/>
    <x v="0"/>
    <x v="6"/>
    <m/>
    <s v="2000-BPRS"/>
    <m/>
    <s v="HOWRAH"/>
    <s v="CALS"/>
    <n v="101278"/>
    <s v="RAMESH COMPANY"/>
    <n v="3710840"/>
    <s v="BLOCKED BY QAD"/>
    <s v="C06"/>
    <s v="TSBCRC"/>
    <s v="SR15"/>
    <n v="0.45"/>
    <n v="1250"/>
    <n v="2500"/>
    <s v="T2 DONE"/>
    <s v=" "/>
    <s v=""/>
    <n v="0.1"/>
    <n v="9.9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2-0.45"/>
    <s v="1250-1252"/>
    <m/>
    <m/>
    <m/>
    <m/>
    <m/>
    <x v="0"/>
    <s v="T"/>
    <x v="7"/>
    <s v="C06-SR15-0.45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s v="RAMESH COMPANY"/>
  </r>
  <r>
    <n v="742"/>
    <d v="2025-07-18T00:00:00"/>
    <s v="ZBTO"/>
    <n v="9518938766"/>
    <n v="3"/>
    <s v="9518938766-3"/>
    <s v="Oct'25"/>
    <s v="Released"/>
    <x v="1"/>
    <x v="0"/>
    <x v="6"/>
    <m/>
    <s v="2000-BPRS"/>
    <m/>
    <s v="PURNIA"/>
    <s v="PATN"/>
    <n v="103227"/>
    <s v="BMW VENTURES LIMITED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2-0.35"/>
    <s v="900-902"/>
    <m/>
    <m/>
    <m/>
    <m/>
    <m/>
    <x v="0"/>
    <s v="T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7-18T00:00:00"/>
    <s v="ZBTO"/>
    <n v="9518938766"/>
    <n v="4"/>
    <s v="9518938766-4"/>
    <s v="Sep'25"/>
    <s v="Released"/>
    <x v="0"/>
    <x v="0"/>
    <x v="6"/>
    <m/>
    <s v="2000-BPRS"/>
    <m/>
    <s v="PURNIA"/>
    <s v="PATN"/>
    <n v="103227"/>
    <s v="BMW VENTURES LIMITED"/>
    <n v="3539044"/>
    <s v="CRCA SHEET TATCRC SR16 0.380X900X2500"/>
    <s v="C06"/>
    <s v="TATCRC"/>
    <s v="SR16"/>
    <n v="0.38"/>
    <n v="900"/>
    <n v="2500"/>
    <s v="T2 DONE"/>
    <s v=" "/>
    <s v=""/>
    <n v="2"/>
    <n v="3"/>
    <n v="20.998999999999999"/>
    <n v="0"/>
    <n v="20.998999999999999"/>
    <n v="0.749"/>
    <n v="0"/>
    <n v="0"/>
    <n v="0"/>
    <s v=""/>
    <s v=""/>
    <s v=""/>
    <s v=""/>
    <s v=""/>
    <s v=""/>
    <s v=""/>
    <n v="20.25"/>
    <s v=""/>
    <s v=""/>
    <s v=""/>
    <n v="0"/>
    <s v=""/>
    <s v=""/>
    <s v=""/>
    <s v=""/>
    <n v="20.25"/>
    <n v="20.25"/>
    <n v="0"/>
    <n v="0.74899999999999878"/>
    <s v="0.35-0.38"/>
    <s v="900-903"/>
    <m/>
    <m/>
    <m/>
    <m/>
    <m/>
    <x v="0"/>
    <s v="T"/>
    <x v="7"/>
    <s v="C06-SR16-0.38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7-18T00:00:00"/>
    <s v="ZBTO"/>
    <n v="9518938766"/>
    <n v="5"/>
    <s v="9518938766-5"/>
    <s v="No Priority"/>
    <s v="Released"/>
    <x v="0"/>
    <x v="0"/>
    <x v="6"/>
    <m/>
    <s v="2000-BPRS"/>
    <m/>
    <s v="PURNIA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5-0.38"/>
    <s v="1000-1002"/>
    <m/>
    <m/>
    <m/>
    <m/>
    <m/>
    <x v="0"/>
    <s v="T"/>
    <x v="7"/>
    <s v="C06-SR16-0.38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BMW VENTURES LIMITED"/>
  </r>
  <r>
    <n v="742"/>
    <d v="2025-07-25T00:00:00"/>
    <s v="ZBTO"/>
    <n v="9518957825"/>
    <n v="1"/>
    <s v="9518957825-1"/>
    <s v="Oct'25"/>
    <s v="Released"/>
    <x v="1"/>
    <x v="0"/>
    <x v="6"/>
    <m/>
    <s v="2000-BPRS"/>
    <m/>
    <s v="HOWRAH"/>
    <s v="CALS"/>
    <n v="925093"/>
    <s v="PSPL STEEL PROCESSORS PRIVATE LIMIT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32-0.35"/>
    <s v="900-902"/>
    <m/>
    <m/>
    <m/>
    <m/>
    <m/>
    <x v="0"/>
    <s v="T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PSPL STEEL PROCESSORS PRIVATE LIMIT"/>
  </r>
  <r>
    <n v="742"/>
    <d v="2025-07-18T00:00:00"/>
    <s v="ZBTO"/>
    <n v="9518938765"/>
    <n v="5"/>
    <s v="9518938765-5"/>
    <s v="Sep'25"/>
    <s v="Released"/>
    <x v="0"/>
    <x v="0"/>
    <x v="6"/>
    <m/>
    <s v="2000-BPRS"/>
    <m/>
    <s v="PATNA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5-0.38"/>
    <s v="1000-1002"/>
    <m/>
    <m/>
    <m/>
    <m/>
    <m/>
    <x v="0"/>
    <s v="T"/>
    <x v="7"/>
    <s v="C06-SR16-0.38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BMW VENTURES LIMITED"/>
  </r>
  <r>
    <n v="743"/>
    <d v="2025-07-29T00:00:00"/>
    <s v="ZBTO"/>
    <n v="9518971601"/>
    <n v="5"/>
    <s v="9518971601-5"/>
    <s v="Sep'25"/>
    <s v="Released"/>
    <x v="1"/>
    <x v="3"/>
    <x v="7"/>
    <m/>
    <s v="2000-BPRS"/>
    <m/>
    <s v="LONI"/>
    <s v="GBAD"/>
    <n v="931234"/>
    <s v="JAI LAXMI STEELS"/>
    <n v="1851065"/>
    <s v="GP COIL SOFT-TATXGP-GK09-0.25X900"/>
    <s v="C02"/>
    <s v="TATXGP"/>
    <s v="GK09"/>
    <n v="0.25"/>
    <n v="900"/>
    <n v="0"/>
    <s v="T2 DONE"/>
    <s v="Z80"/>
    <s v=""/>
    <n v="4"/>
    <n v="6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22-0.25"/>
    <s v="900-903"/>
    <m/>
    <m/>
    <m/>
    <m/>
    <m/>
    <x v="0"/>
    <s v="R"/>
    <x v="8"/>
    <s v="C02-GK09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JAI LAXMI STEELS"/>
  </r>
  <r>
    <n v="742"/>
    <d v="2025-07-18T00:00:00"/>
    <s v="ZBTO"/>
    <n v="9518938765"/>
    <n v="3"/>
    <s v="9518938765-3"/>
    <s v="Oct'25"/>
    <s v="Released"/>
    <x v="1"/>
    <x v="0"/>
    <x v="6"/>
    <m/>
    <s v="2000-BPRS"/>
    <m/>
    <s v="PATNA"/>
    <s v="PATN"/>
    <n v="103227"/>
    <s v="BMW VENTURES LIMITED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2-0.35"/>
    <s v="900-902"/>
    <m/>
    <m/>
    <m/>
    <m/>
    <m/>
    <x v="0"/>
    <s v="T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7-18T00:00:00"/>
    <s v="ZBTO"/>
    <n v="9518938765"/>
    <n v="4"/>
    <s v="9518938765-4"/>
    <s v="Sep'25"/>
    <s v="Released"/>
    <x v="0"/>
    <x v="0"/>
    <x v="6"/>
    <m/>
    <s v="2000-BPRS"/>
    <m/>
    <s v="PATNA"/>
    <s v="PATN"/>
    <n v="103227"/>
    <s v="BMW VENTURES LIMITED"/>
    <n v="3539044"/>
    <s v="CRCA SHEET TATCRC SR16 0.380X900X2500"/>
    <s v="C06"/>
    <s v="TATCRC"/>
    <s v="SR16"/>
    <n v="0.38"/>
    <n v="900"/>
    <n v="2500"/>
    <s v="T2 DONE"/>
    <s v=" "/>
    <s v=""/>
    <n v="0"/>
    <n v="0"/>
    <n v="20.998999999999999"/>
    <n v="0"/>
    <n v="20.998999999999999"/>
    <n v="-39.540999999999997"/>
    <n v="0"/>
    <n v="0"/>
    <n v="0"/>
    <s v=""/>
    <s v=""/>
    <s v=""/>
    <s v=""/>
    <s v=""/>
    <s v=""/>
    <s v=""/>
    <n v="60.54"/>
    <s v=""/>
    <s v=""/>
    <s v=""/>
    <n v="0"/>
    <s v=""/>
    <s v=""/>
    <s v=""/>
    <s v=""/>
    <n v="60.54"/>
    <n v="60.54"/>
    <n v="0"/>
    <n v="-39.540999999999997"/>
    <s v="0.35-0.38"/>
    <s v="900-903"/>
    <m/>
    <m/>
    <m/>
    <m/>
    <m/>
    <x v="0"/>
    <s v="T"/>
    <x v="7"/>
    <s v="C06-SR16-0.38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4"/>
    <d v="2025-08-01T00:00:00"/>
    <s v="ZBTO"/>
    <n v="9518985918"/>
    <n v="2"/>
    <s v="9518985918-2"/>
    <s v="Sep'25"/>
    <s v="Released"/>
    <x v="0"/>
    <x v="4"/>
    <x v="4"/>
    <m/>
    <s v="1000-IPPE"/>
    <m/>
    <s v=" 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OYAL BLUE TSL 1815"/>
    <n v="2"/>
    <n v="5.2"/>
    <n v="55.997999999999998"/>
    <n v="17.225000000000001"/>
    <n v="38.773000000000003"/>
    <n v="-16.562000000000001"/>
    <n v="0"/>
    <n v="0"/>
    <n v="0"/>
    <s v=""/>
    <s v=""/>
    <s v=""/>
    <s v=""/>
    <s v=""/>
    <n v="55.335000000000001"/>
    <s v=""/>
    <s v=""/>
    <s v=""/>
    <s v=""/>
    <s v=""/>
    <n v="0"/>
    <s v=""/>
    <s v=""/>
    <s v=""/>
    <s v=""/>
    <n v="55.335000000000001"/>
    <n v="55.335000000000001"/>
    <n v="0"/>
    <n v="-16.561999999999998"/>
    <s v="0.45-0.49"/>
    <s v="1220-1222"/>
    <m/>
    <m/>
    <m/>
    <m/>
    <m/>
    <x v="0"/>
    <s v="M"/>
    <x v="5"/>
    <s v="B18-D0C9-0.47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3"/>
    <d v="2025-07-29T00:00:00"/>
    <s v="ZBTO"/>
    <n v="9518972366"/>
    <n v="5"/>
    <s v="9518972366-5"/>
    <s v="Sep'25"/>
    <s v="Released"/>
    <x v="1"/>
    <x v="3"/>
    <x v="7"/>
    <m/>
    <s v="2000-BPRS"/>
    <m/>
    <s v="LONI"/>
    <s v="GBAD"/>
    <n v="931235"/>
    <s v="K D J P STEELS PVT LTD"/>
    <n v="1142902"/>
    <s v="GP COIL SOFT-TATXGP-GLK1-0.35X1000"/>
    <s v="C02"/>
    <s v="TATXGP"/>
    <s v="GLK1"/>
    <n v="0.35"/>
    <n v="1000"/>
    <n v="0"/>
    <s v="T2 DONE"/>
    <s v="Z80"/>
    <s v=""/>
    <n v="4"/>
    <n v="6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2-0.35"/>
    <s v="1250-1253"/>
    <m/>
    <m/>
    <m/>
    <m/>
    <m/>
    <x v="0"/>
    <s v="R"/>
    <x v="8"/>
    <s v="C02-GLK1-0.35-1000"/>
    <s v="B69-HG02-2.25-1025"/>
    <x v="2"/>
    <x v="1"/>
    <x v="1"/>
    <x v="1"/>
    <x v="4"/>
    <x v="7"/>
    <x v="46"/>
    <m/>
    <m/>
    <m/>
    <m/>
    <m/>
    <m/>
    <m/>
    <m/>
    <m/>
    <m/>
    <m/>
    <m/>
    <m/>
    <m/>
    <m/>
    <m/>
    <m/>
    <m/>
    <m/>
    <s v="K D J P STEELS PVT LTD"/>
  </r>
  <r>
    <n v="742"/>
    <d v="2025-08-26T00:00:00"/>
    <s v="ZBTO"/>
    <n v="9519050497"/>
    <n v="1"/>
    <s v="9519050497-1"/>
    <s v="Oct'25"/>
    <s v="Released"/>
    <x v="1"/>
    <x v="0"/>
    <x v="6"/>
    <m/>
    <s v="2000-BPRS"/>
    <m/>
    <s v="JAIPUR"/>
    <s v="JPUR"/>
    <n v="116137"/>
    <s v="PELIKAN DOSSIER (P) LTD "/>
    <n v="3239557"/>
    <s v="CRCA SHEET TATCRC SR16 0.400X1250X2500"/>
    <s v="C06"/>
    <s v="TATCRC"/>
    <s v="SR16"/>
    <n v="0.4"/>
    <n v="1250"/>
    <n v="2500"/>
    <s v="T2 DONE"/>
    <s v=" "/>
    <s v=""/>
    <n v="1"/>
    <n v="3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37-0.4"/>
    <s v="1250-1252"/>
    <m/>
    <m/>
    <m/>
    <m/>
    <m/>
    <x v="0"/>
    <s v="T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PELIKAN DOSSIER (P) LTD "/>
  </r>
  <r>
    <n v="742"/>
    <d v="2025-08-20T00:00:00"/>
    <s v="ZBTO"/>
    <n v="9519031476"/>
    <n v="11"/>
    <s v="9519031476-11"/>
    <s v="No Priority"/>
    <s v="Released"/>
    <x v="0"/>
    <x v="0"/>
    <x v="6"/>
    <m/>
    <s v="2000-BPRS"/>
    <m/>
    <s v="TANGI"/>
    <s v="BHUB"/>
    <n v="117061"/>
    <s v="BHARTIA  DISTRIBUTORS PVT. LTD."/>
    <n v="3240857"/>
    <s v="CRCA SHEET TSBCRC SR15 2X1250X2500"/>
    <s v="C06"/>
    <s v="TSBCRC"/>
    <s v="SR15"/>
    <n v="2"/>
    <n v="1250"/>
    <n v="2500"/>
    <s v="T2 DONE"/>
    <s v=" "/>
    <s v=""/>
    <n v="0.1"/>
    <n v="5"/>
    <n v="29"/>
    <n v="0"/>
    <n v="29"/>
    <n v="3.88"/>
    <n v="0"/>
    <n v="0"/>
    <n v="0"/>
    <s v=""/>
    <s v=""/>
    <s v=""/>
    <s v=""/>
    <s v=""/>
    <s v=""/>
    <s v=""/>
    <s v=""/>
    <s v=""/>
    <s v=""/>
    <s v=""/>
    <n v="25.12"/>
    <s v=""/>
    <s v=""/>
    <s v=""/>
    <s v=""/>
    <n v="25.12"/>
    <n v="25.12"/>
    <n v="0"/>
    <n v="3.879999999999999"/>
    <s v="1.97-2"/>
    <s v="1250-1251"/>
    <m/>
    <m/>
    <m/>
    <m/>
    <m/>
    <x v="0"/>
    <s v="T"/>
    <x v="7"/>
    <s v="C06-SR15-2-1250"/>
    <s v="367-SH69-4.5-1260"/>
    <x v="0"/>
    <x v="7"/>
    <x v="7"/>
    <x v="7"/>
    <x v="9"/>
    <x v="10"/>
    <x v="48"/>
    <m/>
    <m/>
    <m/>
    <m/>
    <m/>
    <m/>
    <m/>
    <m/>
    <m/>
    <m/>
    <m/>
    <m/>
    <m/>
    <m/>
    <m/>
    <m/>
    <m/>
    <m/>
    <m/>
    <s v="BHARTIA  DISTRIBUTORS PVT. LTD."/>
  </r>
  <r>
    <n v="742"/>
    <d v="2025-07-29T00:00:00"/>
    <s v="ZBTO"/>
    <n v="9518969804"/>
    <n v="1"/>
    <s v="9518969804-1"/>
    <s v="No Priority"/>
    <s v="Released"/>
    <x v="0"/>
    <x v="0"/>
    <x v="5"/>
    <m/>
    <s v="1000-IPPE"/>
    <m/>
    <s v="VAPI"/>
    <s v="NPUR"/>
    <n v="950185"/>
    <s v="EBULLIENT PACKAGING PVT LTD"/>
    <n v="4097387"/>
    <s v="CRCA SHEET TATXXD BT01 0.900X1310X655"/>
    <s v="C06"/>
    <s v="TATXXD"/>
    <s v="BT01"/>
    <n v="0.9"/>
    <n v="1310"/>
    <n v="655"/>
    <s v="T2 DONE"/>
    <s v=" "/>
    <s v=""/>
    <n v="25"/>
    <n v="30"/>
    <n v="30"/>
    <n v="0"/>
    <n v="30"/>
    <n v="3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0"/>
    <s v="0.88-0.92"/>
    <s v="1310-1311"/>
    <m/>
    <m/>
    <m/>
    <m/>
    <m/>
    <x v="0"/>
    <s v="T"/>
    <x v="6"/>
    <s v="C06-BT01-0.9-1310"/>
    <s v="367-SH67-2.8-1320"/>
    <x v="0"/>
    <x v="6"/>
    <x v="6"/>
    <x v="6"/>
    <x v="0"/>
    <x v="18"/>
    <x v="49"/>
    <m/>
    <m/>
    <m/>
    <m/>
    <m/>
    <m/>
    <m/>
    <m/>
    <m/>
    <m/>
    <m/>
    <m/>
    <m/>
    <m/>
    <m/>
    <m/>
    <m/>
    <m/>
    <m/>
    <s v="EBULLIENT PACKAGING PVT LTD"/>
  </r>
  <r>
    <n v="742"/>
    <d v="2025-08-20T00:00:00"/>
    <s v="ZBTO"/>
    <n v="9519031476"/>
    <n v="9"/>
    <s v="9519031476-9"/>
    <s v="No Priority"/>
    <s v="Released"/>
    <x v="0"/>
    <x v="0"/>
    <x v="6"/>
    <m/>
    <s v="2000-BPRS"/>
    <m/>
    <s v="TANGI"/>
    <s v="BHUB"/>
    <n v="117061"/>
    <s v="BHARTIA  DISTRIBUTORS PVT. LTD."/>
    <n v="3240842"/>
    <s v="CRCA SHEET TSBCRC SR15 1X1250X2500"/>
    <s v="C06"/>
    <s v="TSBCRC"/>
    <s v="SR15"/>
    <n v="1"/>
    <n v="1250"/>
    <n v="2500"/>
    <s v="T2 DONE"/>
    <s v=" "/>
    <s v=""/>
    <n v="0.1"/>
    <n v="5"/>
    <n v="58"/>
    <n v="26.52"/>
    <n v="31.48"/>
    <n v="30.52"/>
    <n v="26.52"/>
    <n v="0"/>
    <n v="0"/>
    <s v=""/>
    <s v=""/>
    <s v=""/>
    <s v=""/>
    <s v=""/>
    <s v=""/>
    <s v=""/>
    <s v=""/>
    <s v=""/>
    <s v=""/>
    <s v=""/>
    <n v="0.96"/>
    <s v=""/>
    <s v=""/>
    <s v=""/>
    <s v=""/>
    <n v="0.96"/>
    <n v="0.96"/>
    <n v="31"/>
    <n v="-0.48000000000000043"/>
    <s v="0.97-1"/>
    <s v="1250-1251"/>
    <m/>
    <m/>
    <m/>
    <m/>
    <m/>
    <x v="0"/>
    <s v="T"/>
    <x v="7"/>
    <s v="C06-SR15-1-1250"/>
    <s v="367-SH69-3.2-1260"/>
    <x v="0"/>
    <x v="7"/>
    <x v="7"/>
    <x v="7"/>
    <x v="3"/>
    <x v="10"/>
    <x v="50"/>
    <m/>
    <m/>
    <m/>
    <m/>
    <m/>
    <m/>
    <m/>
    <m/>
    <m/>
    <m/>
    <m/>
    <m/>
    <m/>
    <m/>
    <m/>
    <m/>
    <m/>
    <m/>
    <m/>
    <s v="BHARTIA  DISTRIBUTORS PVT. LTD."/>
  </r>
  <r>
    <n v="742"/>
    <d v="2025-07-21T00:00:00"/>
    <s v="ZBTO"/>
    <n v="9518946015"/>
    <n v="2"/>
    <s v="9518946015-2"/>
    <s v="Sep'25"/>
    <s v="Released"/>
    <x v="1"/>
    <x v="0"/>
    <x v="6"/>
    <m/>
    <s v="2000-BPRS"/>
    <m/>
    <s v="TANGI"/>
    <s v="BHUB"/>
    <n v="117061"/>
    <s v="BHARTIA  DISTRIBUTORS PVT. LTD."/>
    <n v="3239542"/>
    <s v="CRCA SHEET TATCRC SR16 0.350X1000X2500"/>
    <s v="C06"/>
    <s v="TATCRC"/>
    <s v="SR16"/>
    <n v="0.35"/>
    <n v="1000"/>
    <n v="2500"/>
    <s v="T2 DONE"/>
    <s v=" "/>
    <s v=""/>
    <n v="0.1"/>
    <n v="5"/>
    <n v="69"/>
    <n v="0"/>
    <n v="69"/>
    <n v="6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9"/>
    <s v="0.32-0.35"/>
    <s v="1000-1002"/>
    <m/>
    <m/>
    <m/>
    <m/>
    <m/>
    <x v="0"/>
    <s v="T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BHARTIA  DISTRIBUTORS PVT. LTD."/>
  </r>
  <r>
    <n v="742"/>
    <d v="2025-07-21T00:00:00"/>
    <s v="ZBTO"/>
    <n v="9518946015"/>
    <n v="7"/>
    <s v="9518946015-7"/>
    <s v="Sep'25"/>
    <s v="Released"/>
    <x v="1"/>
    <x v="0"/>
    <x v="6"/>
    <m/>
    <s v="2000-BPRS"/>
    <m/>
    <s v="TANGI"/>
    <s v="BHUB"/>
    <n v="117061"/>
    <s v="BHARTIA  DISTRIBUTORS PVT. LTD."/>
    <n v="3240790"/>
    <s v="CRCA SHEET TSBCRC SR15 0.700X1000X2500"/>
    <s v="C06"/>
    <s v="TSBCRC"/>
    <s v="SR15"/>
    <n v="0.7"/>
    <n v="1000"/>
    <n v="2500"/>
    <s v="T2 DONE"/>
    <s v=" "/>
    <s v=""/>
    <n v="0.1"/>
    <n v="5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67-0.7"/>
    <s v="1000-1002"/>
    <m/>
    <m/>
    <m/>
    <m/>
    <m/>
    <x v="0"/>
    <s v="R"/>
    <x v="7"/>
    <s v="C06-SR15-0.7-1000"/>
    <s v="B69-SH69-2.8-1025"/>
    <x v="2"/>
    <x v="7"/>
    <x v="7"/>
    <x v="7"/>
    <x v="0"/>
    <x v="7"/>
    <x v="51"/>
    <m/>
    <m/>
    <m/>
    <m/>
    <m/>
    <m/>
    <m/>
    <m/>
    <m/>
    <m/>
    <m/>
    <m/>
    <m/>
    <m/>
    <m/>
    <m/>
    <m/>
    <m/>
    <m/>
    <s v="BHARTIA  DISTRIBUTORS PVT. LTD."/>
  </r>
  <r>
    <n v="742"/>
    <d v="2025-07-18T00:00:00"/>
    <s v="ZBTO"/>
    <n v="9518938044"/>
    <n v="3"/>
    <s v="9518938044-3"/>
    <s v="Aug'25"/>
    <s v="Released"/>
    <x v="0"/>
    <x v="0"/>
    <x v="6"/>
    <m/>
    <s v="2000-BPRS"/>
    <m/>
    <s v="URLA"/>
    <s v="RPUR"/>
    <n v="931662"/>
    <s v="PRESTIGE METALLICS PRIVATE LIMITED"/>
    <n v="3240778"/>
    <s v="CRCA SHEET TSBCRC SR15 0.600X1000X2500"/>
    <s v="C06"/>
    <s v="TSBCRC"/>
    <s v="SR15"/>
    <n v="0.6"/>
    <n v="1000"/>
    <n v="2500"/>
    <s v="T2 DONE"/>
    <s v=" "/>
    <s v=""/>
    <n v="1"/>
    <n v="5"/>
    <n v="23"/>
    <n v="0"/>
    <n v="23"/>
    <n v="1.67"/>
    <n v="0"/>
    <n v="0"/>
    <n v="0"/>
    <s v=""/>
    <s v=""/>
    <s v=""/>
    <s v=""/>
    <s v=""/>
    <s v=""/>
    <s v=""/>
    <s v=""/>
    <n v="21.330000000000002"/>
    <s v=""/>
    <s v=""/>
    <n v="0"/>
    <s v=""/>
    <s v=""/>
    <s v=""/>
    <s v=""/>
    <n v="21.330000000000002"/>
    <n v="21.330000000000002"/>
    <n v="0"/>
    <n v="1.6699999999999982"/>
    <s v="0.57-0.61"/>
    <s v="1000-1003"/>
    <m/>
    <m/>
    <m/>
    <m/>
    <m/>
    <x v="0"/>
    <s v="T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PRESTIGE METALLICS PRIVATE LIMITED"/>
  </r>
  <r>
    <n v="742"/>
    <d v="2025-06-30T00:00:00"/>
    <s v="ZBTO"/>
    <n v="9518896127"/>
    <n v="1"/>
    <s v="9518896127-1"/>
    <s v="Aug'25"/>
    <s v="Released"/>
    <x v="0"/>
    <x v="2"/>
    <x v="3"/>
    <m/>
    <s v="2000-BPRS"/>
    <m/>
    <s v="HOWRAH"/>
    <s v="CALS"/>
    <n v="154464"/>
    <s v="TATA STEEL DOWNSTREAM PRODUCTS LIMI"/>
    <n v="4060921"/>
    <s v="HR COILS-PO I09497 1.80X1270"/>
    <n v="768"/>
    <s v="I09497"/>
    <s v="HG01"/>
    <n v="1.8"/>
    <n v="1270"/>
    <n v="0"/>
    <s v="T2 DONE"/>
    <s v=" "/>
    <s v=""/>
    <n v="13"/>
    <n v="3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9"/>
    <n v="0"/>
    <s v=""/>
    <s v=""/>
    <m/>
    <m/>
    <m/>
    <m/>
    <m/>
    <x v="0"/>
    <s v="U"/>
    <x v="12"/>
    <s v="768-HG01-1.8-1270"/>
    <s v="367-HG01-1.8-1270"/>
    <x v="0"/>
    <x v="12"/>
    <x v="12"/>
    <x v="12"/>
    <x v="11"/>
    <x v="8"/>
    <x v="52"/>
    <m/>
    <m/>
    <m/>
    <m/>
    <m/>
    <m/>
    <m/>
    <m/>
    <m/>
    <m/>
    <m/>
    <m/>
    <m/>
    <m/>
    <m/>
    <m/>
    <m/>
    <m/>
    <m/>
    <s v="TATA STEEL DOWNSTREAM PRODUCTS LIMI"/>
  </r>
  <r>
    <n v="743"/>
    <d v="2025-08-07T00:00:00"/>
    <s v="ZBTO"/>
    <n v="9519001255"/>
    <n v="1"/>
    <s v="9519001255-1"/>
    <s v="Sep'25"/>
    <s v="Released"/>
    <x v="0"/>
    <x v="1"/>
    <x v="1"/>
    <m/>
    <s v="1000-IPPE"/>
    <m/>
    <s v="VIKARABAD"/>
    <s v="SBAD"/>
    <n v="947959"/>
    <s v="PENNAR INDUSTRIES LIMITED"/>
    <n v="3924555"/>
    <s v="GL COIL HARD  Y550GL HGL6 0.900X1045"/>
    <s v="B04"/>
    <s v="Y550GL"/>
    <s v="HGL6"/>
    <n v="0.9"/>
    <n v="1045"/>
    <n v="0"/>
    <s v="T2 DONE"/>
    <s v="AZ150"/>
    <s v=""/>
    <n v="6"/>
    <n v="15"/>
    <n v="120"/>
    <n v="0"/>
    <n v="120"/>
    <n v="12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20"/>
    <n v="0"/>
    <s v="0.86-0.92"/>
    <s v="1045-1049"/>
    <m/>
    <m/>
    <m/>
    <m/>
    <m/>
    <x v="0"/>
    <s v="R"/>
    <x v="1"/>
    <s v="B04-HGL6-0.9-1045"/>
    <s v="367-HG02-2.8-1060"/>
    <x v="0"/>
    <x v="1"/>
    <x v="1"/>
    <x v="1"/>
    <x v="0"/>
    <x v="19"/>
    <x v="53"/>
    <m/>
    <m/>
    <m/>
    <m/>
    <m/>
    <m/>
    <m/>
    <m/>
    <m/>
    <m/>
    <m/>
    <m/>
    <m/>
    <m/>
    <m/>
    <m/>
    <m/>
    <m/>
    <m/>
    <s v="PENNAR INDUSTRIES LIMITED"/>
  </r>
  <r>
    <n v="742"/>
    <d v="2025-08-04T00:00:00"/>
    <s v="ZBTO"/>
    <n v="9518992992"/>
    <n v="1"/>
    <s v="9518992992-1"/>
    <s v="Sep'25"/>
    <s v="Released"/>
    <x v="0"/>
    <x v="2"/>
    <x v="3"/>
    <m/>
    <s v="2000-BPRS"/>
    <m/>
    <s v="NAGPUR"/>
    <s v="NPUR"/>
    <n v="937885"/>
    <s v="PRINCE STEEL INDUSTRIES (P) LTD."/>
    <n v="1210097"/>
    <s v="HR COILS-PO IS 1079 HR2 5X1250"/>
    <n v="768"/>
    <s v="THR099"/>
    <s v="HR99"/>
    <n v="5"/>
    <n v="1250"/>
    <n v="0"/>
    <s v="T2 DONE"/>
    <s v=" "/>
    <s v=""/>
    <n v="17"/>
    <n v="29.2"/>
    <n v="87"/>
    <n v="43.59"/>
    <n v="43.41"/>
    <n v="-1.01"/>
    <n v="0"/>
    <n v="0"/>
    <n v="0"/>
    <s v=""/>
    <s v=""/>
    <s v=""/>
    <s v=""/>
    <s v=""/>
    <s v=""/>
    <s v=""/>
    <s v=""/>
    <s v=""/>
    <s v=""/>
    <s v=""/>
    <n v="0"/>
    <s v=""/>
    <n v="22.42"/>
    <s v=""/>
    <n v="22"/>
    <n v="44.42"/>
    <n v="44.42"/>
    <n v="0"/>
    <n v="-1.0100000000000051"/>
    <s v=""/>
    <s v=""/>
    <m/>
    <m/>
    <m/>
    <m/>
    <m/>
    <x v="0"/>
    <s v="U"/>
    <x v="12"/>
    <s v="768-HR99-5-1250"/>
    <s v="367-HR99-5-1250"/>
    <x v="0"/>
    <x v="9"/>
    <x v="9"/>
    <x v="9"/>
    <x v="12"/>
    <x v="0"/>
    <x v="54"/>
    <m/>
    <m/>
    <m/>
    <m/>
    <m/>
    <m/>
    <m/>
    <m/>
    <m/>
    <m/>
    <m/>
    <m/>
    <m/>
    <m/>
    <m/>
    <m/>
    <m/>
    <m/>
    <m/>
    <s v="PRINCE STEEL INDUSTRIES (P) LTD."/>
  </r>
  <r>
    <n v="743"/>
    <d v="2025-07-15T00:00:00"/>
    <s v="ZBTO"/>
    <n v="9518930025"/>
    <n v="7"/>
    <s v="9518930025-7"/>
    <s v="Sep'25"/>
    <s v="Released"/>
    <x v="0"/>
    <x v="3"/>
    <x v="7"/>
    <m/>
    <s v="2000-BPRS"/>
    <m/>
    <s v="PATNA"/>
    <s v="PATN"/>
    <n v="103227"/>
    <s v="BMW VENTURES LIMITED"/>
    <n v="1854418"/>
    <s v="GP COIL SOFT-TATXGP-GK09-0.5X900"/>
    <s v="C02"/>
    <s v="TATXGP"/>
    <s v="GK09"/>
    <n v="0.5"/>
    <n v="900"/>
    <n v="0"/>
    <s v="T2 DONE"/>
    <s v="Z80"/>
    <s v=""/>
    <n v="2"/>
    <n v="4"/>
    <n v="252"/>
    <n v="0"/>
    <n v="252"/>
    <n v="188.87"/>
    <n v="0"/>
    <n v="0"/>
    <n v="0"/>
    <n v="63.13"/>
    <s v=""/>
    <s v=""/>
    <s v=""/>
    <s v=""/>
    <s v=""/>
    <s v=""/>
    <s v=""/>
    <s v=""/>
    <s v=""/>
    <s v=""/>
    <n v="0"/>
    <s v=""/>
    <s v=""/>
    <s v=""/>
    <s v=""/>
    <n v="63.13"/>
    <n v="63.13"/>
    <n v="189"/>
    <n v="-0.12999999999999545"/>
    <s v="0.48-0.51"/>
    <s v="900-904"/>
    <m/>
    <m/>
    <m/>
    <m/>
    <m/>
    <x v="0"/>
    <s v="S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BMW VENTURES LIMITED"/>
  </r>
  <r>
    <n v="743"/>
    <d v="2025-07-15T00:00:00"/>
    <s v="ZBTO"/>
    <n v="9518930025"/>
    <n v="8"/>
    <s v="9518930025-8"/>
    <s v="Sep'25"/>
    <s v="Released"/>
    <x v="0"/>
    <x v="3"/>
    <x v="7"/>
    <m/>
    <s v="2000-BPRS"/>
    <m/>
    <s v="PATNA"/>
    <s v="PATN"/>
    <n v="103227"/>
    <s v="BMW VENTURES LIMITED"/>
    <n v="1854424"/>
    <s v="GP COIL SOFT-TATXGP-GK09-0.6X900"/>
    <s v="C02"/>
    <s v="TATXGP"/>
    <s v="GK09"/>
    <n v="0.6"/>
    <n v="900"/>
    <n v="0"/>
    <s v="T2 DONE"/>
    <s v="Z80"/>
    <s v=""/>
    <n v="2"/>
    <n v="4"/>
    <n v="210"/>
    <n v="0"/>
    <n v="210"/>
    <n v="21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10"/>
    <n v="0"/>
    <s v="0.58-0.61"/>
    <s v="900-904"/>
    <m/>
    <m/>
    <m/>
    <m/>
    <m/>
    <x v="0"/>
    <s v="S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BMW VENTURES LIMITED"/>
  </r>
  <r>
    <n v="742"/>
    <d v="2025-07-23T00:00:00"/>
    <s v="ZBTO"/>
    <n v="9518952529"/>
    <n v="5"/>
    <s v="9518952529-5"/>
    <s v="Aug'25"/>
    <s v="Released"/>
    <x v="0"/>
    <x v="0"/>
    <x v="5"/>
    <m/>
    <s v="1000-IPPE"/>
    <m/>
    <s v="CHENNAI"/>
    <s v="NPUR"/>
    <n v="187214"/>
    <s v="BALMER LAWRIE &amp; CO. LIMITED.."/>
    <n v="2421724"/>
    <s v="CRCA COIL TATXXD BT01 0.970X1310"/>
    <s v="C01"/>
    <s v="TATXXD"/>
    <s v="BT01"/>
    <n v="0.97"/>
    <n v="1310"/>
    <n v="0"/>
    <s v="T2 DONE"/>
    <s v=" "/>
    <s v=""/>
    <n v="6"/>
    <n v="12"/>
    <n v="180"/>
    <n v="160.185"/>
    <n v="19.815000000000001"/>
    <n v="19.81500000000000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0"/>
    <s v="0.96-0.99"/>
    <s v="1310-1311"/>
    <m/>
    <m/>
    <m/>
    <m/>
    <m/>
    <x v="0"/>
    <s v="T"/>
    <x v="6"/>
    <s v="C01-BT01-0.97-1310"/>
    <s v="367-SH67-2.8-1330"/>
    <x v="0"/>
    <x v="6"/>
    <x v="6"/>
    <x v="6"/>
    <x v="0"/>
    <x v="17"/>
    <x v="55"/>
    <m/>
    <m/>
    <m/>
    <m/>
    <m/>
    <m/>
    <m/>
    <m/>
    <m/>
    <m/>
    <m/>
    <m/>
    <m/>
    <m/>
    <m/>
    <m/>
    <m/>
    <m/>
    <m/>
    <s v="BALMER LAWRIE &amp; CO. LIMITED.."/>
  </r>
  <r>
    <n v="744"/>
    <d v="2025-08-05T00:00:00"/>
    <s v="ZBTO"/>
    <n v="9518994979"/>
    <n v="1"/>
    <s v="9518994979-1"/>
    <s v="Sep'25"/>
    <s v="Released"/>
    <x v="0"/>
    <x v="4"/>
    <x v="4"/>
    <m/>
    <s v="1000-IPPE"/>
    <m/>
    <s v="TAMILNADU"/>
    <s v="BOMB"/>
    <n v="940074"/>
    <s v="TATA BLUESCOPE STEEL PRIVATE LIMITE"/>
    <n v="3996225"/>
    <s v="PPGL C Y550 HPL6 0.40BMT(0.47TPT)X1220"/>
    <s v="B18"/>
    <s v="Y550PL"/>
    <s v="HPL6"/>
    <n v="0.4"/>
    <n v="1220"/>
    <n v="0"/>
    <s v="T2 DONE"/>
    <s v="AZ150"/>
    <s v="NG SMART GREY TSL 1905"/>
    <n v="3"/>
    <n v="5"/>
    <n v="56"/>
    <n v="0"/>
    <n v="56"/>
    <n v="0.68"/>
    <n v="0"/>
    <n v="0"/>
    <n v="0"/>
    <s v=""/>
    <s v=""/>
    <s v=""/>
    <s v=""/>
    <s v=""/>
    <n v="55.32"/>
    <s v=""/>
    <s v=""/>
    <s v=""/>
    <s v=""/>
    <s v=""/>
    <n v="0"/>
    <s v=""/>
    <s v=""/>
    <s v=""/>
    <s v=""/>
    <n v="55.32"/>
    <n v="55.32"/>
    <n v="0"/>
    <n v="0.67999999999999972"/>
    <s v="0.38-0.42"/>
    <s v="1220-1222"/>
    <m/>
    <m/>
    <m/>
    <m/>
    <m/>
    <x v="0"/>
    <s v="M"/>
    <x v="5"/>
    <s v="B18-HPL6-0.4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RIVATE LIMITE"/>
  </r>
  <r>
    <n v="742"/>
    <d v="2025-07-24T00:00:00"/>
    <s v="ZBTO"/>
    <n v="9518956389"/>
    <n v="17"/>
    <s v="9518956389-17"/>
    <s v="Oct'25"/>
    <s v="Released"/>
    <x v="1"/>
    <x v="0"/>
    <x v="0"/>
    <m/>
    <s v="2000-BPRS"/>
    <m/>
    <s v="YESHWANTHPURA"/>
    <s v="BANG"/>
    <n v="932244"/>
    <s v="DURGA TRADERS"/>
    <n v="2229968"/>
    <s v="CRCA COIL TATXXD AU03 0.750X1250"/>
    <s v="C01"/>
    <s v="TATXXD"/>
    <s v="AU03"/>
    <n v="0.75"/>
    <n v="1250"/>
    <n v="0"/>
    <s v="T2 DONE"/>
    <s v=" "/>
    <s v=""/>
    <n v="10"/>
    <n v="28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71-0.75"/>
    <s v="1250-1262"/>
    <m/>
    <m/>
    <m/>
    <m/>
    <m/>
    <x v="0"/>
    <s v="U"/>
    <x v="3"/>
    <s v="C01-AU03-0.75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DURGA TRADERS"/>
  </r>
  <r>
    <n v="742"/>
    <d v="2025-08-19T00:00:00"/>
    <s v="ZBTO"/>
    <n v="9519028293"/>
    <n v="2"/>
    <s v="9519028293-2"/>
    <s v="Oct'25"/>
    <s v="Released"/>
    <x v="1"/>
    <x v="0"/>
    <x v="6"/>
    <m/>
    <s v="2000-BPRS"/>
    <m/>
    <s v="CHENNAI"/>
    <s v="MADS"/>
    <n v="938550"/>
    <s v="BASEER AND CO"/>
    <n v="3239552"/>
    <s v="CRCA SHEET TATCRC SR16 0.400X1000X1980"/>
    <s v="C06"/>
    <s v="TATCRC"/>
    <s v="SR16"/>
    <n v="0.4"/>
    <n v="1000"/>
    <n v="1980"/>
    <s v="T2 DONE"/>
    <s v=" "/>
    <s v=""/>
    <n v="0"/>
    <n v="0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38-0.42"/>
    <s v="1000-1004"/>
    <m/>
    <m/>
    <m/>
    <m/>
    <m/>
    <x v="0"/>
    <s v="M"/>
    <x v="7"/>
    <s v="C06-SR16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BASEER AND CO"/>
  </r>
  <r>
    <n v="742"/>
    <d v="2025-08-19T00:00:00"/>
    <s v="ZBTO"/>
    <n v="9519028293"/>
    <n v="4"/>
    <s v="9519028293-4"/>
    <s v="Oct'25"/>
    <s v="Released"/>
    <x v="1"/>
    <x v="0"/>
    <x v="6"/>
    <m/>
    <s v="2000-BPRS"/>
    <m/>
    <s v="CHENNAI"/>
    <s v="MADS"/>
    <n v="938550"/>
    <s v="BASEER AND CO"/>
    <n v="3239557"/>
    <s v="CRCA SHEET TATCRC SR16 0.400X1250X2500"/>
    <s v="C06"/>
    <s v="TATCRC"/>
    <s v="SR16"/>
    <n v="0.4"/>
    <n v="1250"/>
    <n v="2500"/>
    <s v="T2 DONE"/>
    <s v=" "/>
    <s v=""/>
    <n v="0"/>
    <n v="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38-0.42"/>
    <s v="1250-1254"/>
    <m/>
    <m/>
    <m/>
    <m/>
    <m/>
    <x v="0"/>
    <s v="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BASEER AND CO"/>
  </r>
  <r>
    <n v="742"/>
    <d v="2025-08-18T00:00:00"/>
    <s v="ZBTO"/>
    <n v="9519025273"/>
    <n v="4"/>
    <s v="9519025273-4"/>
    <s v="Oct'25"/>
    <s v="Released"/>
    <x v="1"/>
    <x v="0"/>
    <x v="6"/>
    <m/>
    <s v="2000-BPRS"/>
    <m/>
    <s v="HOWRAH"/>
    <s v="CALS"/>
    <n v="925093"/>
    <s v="PSPL STEEL PROCESSORS PRIVATE LIMIT"/>
    <n v="3239560"/>
    <s v="CRCA SHEET TATCRC SR16 0.450X900X2500"/>
    <s v="C06"/>
    <s v="TATCRC"/>
    <s v="SR16"/>
    <n v="0.45"/>
    <n v="900"/>
    <n v="2500"/>
    <s v="T2 DONE"/>
    <s v=" "/>
    <s v=""/>
    <n v="0"/>
    <n v="0"/>
    <n v="84"/>
    <n v="0"/>
    <n v="84"/>
    <n v="8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4"/>
    <s v="0.42-0.45"/>
    <s v="900-902"/>
    <m/>
    <m/>
    <m/>
    <m/>
    <m/>
    <x v="0"/>
    <s v="T"/>
    <x v="19"/>
    <s v="C06-SR16-0.45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s v="PSPL STEEL PROCESSORS PRIVATE LIMIT"/>
  </r>
  <r>
    <n v="742"/>
    <d v="2025-08-26T00:00:00"/>
    <s v="ZBTF"/>
    <n v="9519049786"/>
    <n v="1"/>
    <s v="9519049786-1"/>
    <s v="Sep'25"/>
    <s v="Released"/>
    <x v="0"/>
    <x v="5"/>
    <x v="10"/>
    <m/>
    <s v="2000-BPRS"/>
    <m/>
    <s v="KHOPOLI"/>
    <s v="TSMK"/>
    <n v="650783"/>
    <s v="Khopoli Wider CRM"/>
    <n v="4083645"/>
    <s v="CR COIL TATFHC TR10 0.359X1235"/>
    <s v="C09"/>
    <s v="TATFHC"/>
    <s v="TR10"/>
    <n v="0.35899999999999999"/>
    <n v="1235"/>
    <n v="0"/>
    <s v="T2 DONE"/>
    <s v=" "/>
    <s v=""/>
    <n v="22"/>
    <n v="25"/>
    <n v="300"/>
    <n v="190.78"/>
    <n v="109.22"/>
    <n v="13.48"/>
    <n v="0"/>
    <n v="0"/>
    <n v="0"/>
    <n v="23.71"/>
    <s v=""/>
    <s v=""/>
    <s v=""/>
    <s v=""/>
    <s v=""/>
    <s v=""/>
    <s v=""/>
    <s v=""/>
    <s v=""/>
    <s v=""/>
    <n v="0"/>
    <n v="48.67"/>
    <s v=""/>
    <s v=""/>
    <n v="23.36"/>
    <n v="95.74"/>
    <n v="95.74"/>
    <n v="0"/>
    <n v="13.480000000000004"/>
    <s v="0.359-0.364"/>
    <s v="1235-1255"/>
    <m/>
    <m/>
    <m/>
    <m/>
    <m/>
    <x v="0"/>
    <s v="U"/>
    <x v="13"/>
    <s v="C09-TR10-0.359-1235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Khopoli Wider CRM"/>
  </r>
  <r>
    <n v="742"/>
    <d v="2025-08-26T00:00:00"/>
    <s v="ZBTF"/>
    <n v="9519049786"/>
    <n v="4"/>
    <s v="9519049786-4"/>
    <s v="Sep'25"/>
    <s v="Released"/>
    <x v="0"/>
    <x v="5"/>
    <x v="10"/>
    <m/>
    <s v="2000-BPRS"/>
    <m/>
    <s v="KHOPOLI"/>
    <s v="TSMK"/>
    <n v="650783"/>
    <s v="Khopoli Wider CRM"/>
    <n v="4083739"/>
    <s v="CR COIL TATFHC TR10 0.459X1235"/>
    <s v="C09"/>
    <s v="TATFHC"/>
    <s v="TR10"/>
    <n v="0.45900000000000002"/>
    <n v="1235"/>
    <n v="0"/>
    <s v="T2 DONE"/>
    <s v=" "/>
    <s v=""/>
    <n v="22"/>
    <n v="25"/>
    <n v="300"/>
    <n v="146.72999999999999"/>
    <n v="153.27000000000001"/>
    <n v="6.02"/>
    <n v="24.52"/>
    <n v="0"/>
    <n v="0"/>
    <n v="49.44"/>
    <s v=""/>
    <s v=""/>
    <s v=""/>
    <s v=""/>
    <s v=""/>
    <s v=""/>
    <s v=""/>
    <s v=""/>
    <s v=""/>
    <s v=""/>
    <n v="0"/>
    <n v="24.5"/>
    <s v=""/>
    <s v=""/>
    <n v="73.31"/>
    <n v="147.25"/>
    <n v="147.25"/>
    <n v="0"/>
    <n v="6.0200000000000102"/>
    <s v="0.459-0.464"/>
    <s v="1235-1255"/>
    <m/>
    <m/>
    <m/>
    <m/>
    <m/>
    <x v="0"/>
    <s v="U"/>
    <x v="13"/>
    <s v="C09-TR10-0.459-1235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s v="Khopoli Wider CRM"/>
  </r>
  <r>
    <n v="742"/>
    <d v="2025-08-26T00:00:00"/>
    <s v="ZBTF"/>
    <n v="9519049786"/>
    <n v="5"/>
    <s v="9519049786-5"/>
    <s v="Sep'25"/>
    <s v="Released"/>
    <x v="0"/>
    <x v="5"/>
    <x v="10"/>
    <m/>
    <s v="2000-BPRS"/>
    <m/>
    <s v="KHOPOLI"/>
    <s v="TSMK"/>
    <n v="650783"/>
    <s v="Khopoli Wider CRM"/>
    <n v="4083738"/>
    <s v="CR COIL TATFHC TR10 0.559X1235"/>
    <s v="C09"/>
    <s v="TATFHC"/>
    <s v="TR10"/>
    <n v="0.55900000000000005"/>
    <n v="1235"/>
    <n v="0"/>
    <s v="T2 DONE"/>
    <s v=" "/>
    <s v=""/>
    <n v="22"/>
    <n v="25"/>
    <n v="200"/>
    <n v="97.32"/>
    <n v="102.68"/>
    <n v="6.88"/>
    <n v="0"/>
    <n v="0"/>
    <n v="0"/>
    <n v="48.15"/>
    <s v=""/>
    <s v=""/>
    <s v=""/>
    <s v=""/>
    <s v=""/>
    <s v=""/>
    <s v=""/>
    <s v=""/>
    <s v=""/>
    <s v=""/>
    <n v="0"/>
    <n v="23.44"/>
    <s v=""/>
    <s v=""/>
    <n v="24.21"/>
    <n v="95.800000000000011"/>
    <n v="95.800000000000011"/>
    <n v="0"/>
    <n v="6.8799999999999955"/>
    <s v="0.559-0.564"/>
    <s v="1235-1255"/>
    <m/>
    <m/>
    <m/>
    <m/>
    <m/>
    <x v="0"/>
    <s v="U"/>
    <x v="13"/>
    <s v="C09-TR10-0.559-1235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s v="Khopoli Wider CRM"/>
  </r>
  <r>
    <n v="742"/>
    <d v="2025-08-26T00:00:00"/>
    <s v="ZBTF"/>
    <n v="9519050606"/>
    <n v="1"/>
    <s v="9519050606-1"/>
    <s v="Sep'25"/>
    <s v="Released"/>
    <x v="0"/>
    <x v="5"/>
    <x v="10"/>
    <m/>
    <s v="2000-BPRS"/>
    <m/>
    <s v="KHOPOLI"/>
    <s v="TSMK"/>
    <n v="650783"/>
    <s v="Khopoli Wider CRM"/>
    <n v="4083644"/>
    <s v="CR COIL TATFHC TR10 0.309X1235"/>
    <s v="C09"/>
    <s v="TATFHC"/>
    <s v="TR10"/>
    <n v="0.309"/>
    <n v="1235"/>
    <n v="0"/>
    <s v="T2 DONE"/>
    <s v=" "/>
    <s v=""/>
    <n v="22"/>
    <n v="25"/>
    <n v="170"/>
    <n v="48.39"/>
    <n v="121.61"/>
    <n v="-0.65"/>
    <n v="48.39"/>
    <n v="0"/>
    <n v="0"/>
    <n v="24.72"/>
    <s v=""/>
    <s v=""/>
    <s v=""/>
    <s v=""/>
    <s v=""/>
    <s v=""/>
    <s v=""/>
    <s v=""/>
    <s v=""/>
    <s v=""/>
    <n v="0"/>
    <s v=""/>
    <s v=""/>
    <s v=""/>
    <n v="97.54"/>
    <n v="122.26"/>
    <n v="122.26"/>
    <n v="0"/>
    <n v="-0.65000000000000568"/>
    <s v="0.309-0.314"/>
    <s v="1235-1255"/>
    <m/>
    <m/>
    <m/>
    <m/>
    <m/>
    <x v="0"/>
    <s v="U"/>
    <x v="13"/>
    <s v="C09-TR10-0.309-1235"/>
    <s v="367-HG02-2-1235"/>
    <x v="0"/>
    <x v="1"/>
    <x v="1"/>
    <x v="1"/>
    <x v="2"/>
    <x v="4"/>
    <x v="27"/>
    <m/>
    <m/>
    <m/>
    <m/>
    <m/>
    <m/>
    <m/>
    <m/>
    <m/>
    <m/>
    <m/>
    <m/>
    <m/>
    <m/>
    <m/>
    <m/>
    <m/>
    <m/>
    <m/>
    <s v="Khopoli Wider CRM"/>
  </r>
  <r>
    <n v="742"/>
    <d v="2025-08-07T00:00:00"/>
    <s v="ZBTO"/>
    <n v="9518999629"/>
    <n v="1"/>
    <s v="9518999629-1"/>
    <s v="Sep'25"/>
    <s v="Released"/>
    <x v="1"/>
    <x v="0"/>
    <x v="5"/>
    <m/>
    <s v="1000-IPPE"/>
    <m/>
    <s v="PATTANCHERY"/>
    <s v="SBAD"/>
    <n v="947865"/>
    <s v="CHANDRA CONTAINER MANUFACTURERS"/>
    <n v="4006905"/>
    <s v="CR COIL TATXXD BT04 0.450X848"/>
    <s v="C01"/>
    <s v="TATXXD"/>
    <s v="BT04"/>
    <n v="0.45"/>
    <n v="848"/>
    <n v="0"/>
    <s v="T2 DONE"/>
    <s v=" "/>
    <s v=""/>
    <n v="4"/>
    <n v="8"/>
    <n v="99.99"/>
    <n v="0"/>
    <n v="99.99"/>
    <n v="99.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00"/>
    <n v="99.99"/>
    <s v="0.43-0.45"/>
    <s v="848-849"/>
    <m/>
    <m/>
    <m/>
    <m/>
    <m/>
    <x v="0"/>
    <s v="C"/>
    <x v="6"/>
    <s v="C01-BT04-0.45-848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2"/>
    <s v="9518999629-2"/>
    <s v="Sep'25"/>
    <s v="Released"/>
    <x v="1"/>
    <x v="0"/>
    <x v="5"/>
    <m/>
    <s v="1000-IPPE"/>
    <m/>
    <s v="PATTANCHERY"/>
    <s v="SBAD"/>
    <n v="947865"/>
    <s v="CHANDRA CONTAINER MANUFACTURERS"/>
    <n v="4005822"/>
    <s v="CR COIL TATXXD BT04 0.500X1020"/>
    <s v="C01"/>
    <s v="TATXXD"/>
    <s v="BT04"/>
    <n v="0.5"/>
    <n v="1020"/>
    <n v="0"/>
    <s v="T2 DONE"/>
    <s v=" "/>
    <s v=""/>
    <n v="4"/>
    <n v="8"/>
    <n v="22.99"/>
    <n v="0"/>
    <n v="22.99"/>
    <n v="22.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2.99"/>
    <s v="0.48-0.5"/>
    <s v="1020-1021"/>
    <m/>
    <m/>
    <m/>
    <m/>
    <m/>
    <x v="0"/>
    <s v="C"/>
    <x v="6"/>
    <s v="C01-BT04-0.5-1020"/>
    <s v="B69-SH67-2.25-1035"/>
    <x v="2"/>
    <x v="6"/>
    <x v="6"/>
    <x v="6"/>
    <x v="4"/>
    <x v="6"/>
    <x v="8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3"/>
    <s v="9518999629-3"/>
    <s v="Sep'25"/>
    <s v="Released"/>
    <x v="1"/>
    <x v="0"/>
    <x v="5"/>
    <m/>
    <s v="1000-IPPE"/>
    <m/>
    <s v="PATTANCHERY"/>
    <s v="SBAD"/>
    <n v="947865"/>
    <s v="CHANDRA CONTAINER MANUFACTURERS"/>
    <n v="3878062"/>
    <s v="CR COIL TATXXD BT04 0.500X1000"/>
    <s v="C01"/>
    <s v="TATXXD"/>
    <s v="BT04"/>
    <n v="0.5"/>
    <n v="1000"/>
    <n v="0"/>
    <s v="T2 DONE"/>
    <s v=" "/>
    <s v=""/>
    <n v="4"/>
    <n v="8"/>
    <n v="45.99"/>
    <n v="0"/>
    <n v="45.99"/>
    <n v="45.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5.99"/>
    <s v="0.48-0.5"/>
    <s v="1000-1001"/>
    <m/>
    <m/>
    <m/>
    <m/>
    <m/>
    <x v="0"/>
    <s v="C"/>
    <x v="6"/>
    <s v="C01-BT04-0.5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5"/>
    <s v="9518999629-5"/>
    <s v="Sep'25"/>
    <s v="Released"/>
    <x v="1"/>
    <x v="0"/>
    <x v="5"/>
    <m/>
    <s v="1000-IPPE"/>
    <m/>
    <s v="PATTANCHERY"/>
    <s v="SBAD"/>
    <n v="947865"/>
    <s v="CHANDRA CONTAINER MANUFACTURERS"/>
    <n v="4005007"/>
    <s v="CR COIL TATXXD BT04 0.450X1020"/>
    <s v="C01"/>
    <s v="TATXXD"/>
    <s v="BT04"/>
    <n v="0.45"/>
    <n v="1020"/>
    <n v="0"/>
    <s v="T2 DONE"/>
    <s v=" "/>
    <s v=""/>
    <n v="4"/>
    <n v="8"/>
    <n v="45.99"/>
    <n v="0"/>
    <n v="45.99"/>
    <n v="45.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5.99"/>
    <s v="0.43-0.45"/>
    <s v="1020-1021"/>
    <m/>
    <m/>
    <m/>
    <m/>
    <m/>
    <x v="0"/>
    <s v="C"/>
    <x v="6"/>
    <s v="C01-BT04-0.45-1020"/>
    <s v="B69-SH67-2.25-1035"/>
    <x v="2"/>
    <x v="6"/>
    <x v="6"/>
    <x v="6"/>
    <x v="4"/>
    <x v="6"/>
    <x v="8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6"/>
    <s v="9518999629-6"/>
    <s v="Sep'25"/>
    <s v="Released"/>
    <x v="1"/>
    <x v="0"/>
    <x v="5"/>
    <m/>
    <s v="1000-IPPE"/>
    <m/>
    <s v="PATTANCHERY"/>
    <s v="SBAD"/>
    <n v="947865"/>
    <s v="CHANDRA CONTAINER MANUFACTURERS"/>
    <n v="4042197"/>
    <s v="CR COIL TATXXD BT04 0.400X1020"/>
    <s v="C01"/>
    <s v="TATXXD"/>
    <s v="BT04"/>
    <n v="0.4"/>
    <n v="1020"/>
    <n v="0"/>
    <s v="T2 DONE"/>
    <s v=" "/>
    <s v=""/>
    <n v="4"/>
    <n v="8"/>
    <n v="22.99"/>
    <n v="0"/>
    <n v="22.99"/>
    <n v="22.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2.99"/>
    <s v="0.38-0.4"/>
    <s v="1020-1021"/>
    <m/>
    <m/>
    <m/>
    <m/>
    <m/>
    <x v="0"/>
    <s v="C"/>
    <x v="6"/>
    <s v="C01-BT04-0.4-1020"/>
    <s v="B69-SH67-2.25-1035"/>
    <x v="2"/>
    <x v="6"/>
    <x v="6"/>
    <x v="6"/>
    <x v="4"/>
    <x v="6"/>
    <x v="8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7"/>
    <s v="9518999629-7"/>
    <s v="Sep'25"/>
    <s v="Released"/>
    <x v="0"/>
    <x v="0"/>
    <x v="5"/>
    <m/>
    <s v="1000-IPPE"/>
    <m/>
    <s v="PATTANCHERY"/>
    <s v="SBAD"/>
    <n v="947865"/>
    <s v="CHANDRA CONTAINER MANUFACTURERS"/>
    <n v="3884110"/>
    <s v="CR COIL TATXXD BT04 0.450X900"/>
    <s v="C01"/>
    <s v="TATXXD"/>
    <s v="BT04"/>
    <n v="0.45"/>
    <n v="900"/>
    <n v="0"/>
    <s v="T2 DONE"/>
    <s v=" "/>
    <s v=""/>
    <n v="4"/>
    <n v="7"/>
    <n v="20.99"/>
    <n v="0"/>
    <n v="20.99"/>
    <n v="0.79"/>
    <n v="0"/>
    <n v="0"/>
    <n v="0"/>
    <s v=""/>
    <s v=""/>
    <s v=""/>
    <s v=""/>
    <s v=""/>
    <s v=""/>
    <s v=""/>
    <n v="20.2"/>
    <s v=""/>
    <s v=""/>
    <s v=""/>
    <n v="0"/>
    <s v=""/>
    <s v=""/>
    <s v=""/>
    <s v=""/>
    <n v="20.2"/>
    <n v="20.2"/>
    <n v="0"/>
    <n v="0.78999999999999915"/>
    <s v="0.43-0.45"/>
    <s v="900-901"/>
    <m/>
    <m/>
    <m/>
    <m/>
    <m/>
    <x v="0"/>
    <s v="C"/>
    <x v="6"/>
    <s v="C01-BT04-0.45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8"/>
    <s v="9518999629-8"/>
    <s v="Sep'25"/>
    <s v="Released"/>
    <x v="1"/>
    <x v="0"/>
    <x v="5"/>
    <m/>
    <s v="1000-IPPE"/>
    <m/>
    <s v="PATTANCHERY"/>
    <s v="SBAD"/>
    <n v="947865"/>
    <s v="CHANDRA CONTAINER MANUFACTURERS"/>
    <n v="4099869"/>
    <s v="CR COIL TATXXD BT04 0.400X1000"/>
    <s v="C01"/>
    <s v="TATXXD"/>
    <s v="BT04"/>
    <n v="0.4"/>
    <n v="1000"/>
    <n v="0"/>
    <s v="T2 DONE"/>
    <s v=" "/>
    <s v=""/>
    <n v="4"/>
    <n v="8"/>
    <n v="22.99"/>
    <n v="0"/>
    <n v="22.99"/>
    <n v="22.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3"/>
    <n v="22.99"/>
    <s v="0.38-0.4"/>
    <s v="1000-1001"/>
    <m/>
    <m/>
    <m/>
    <m/>
    <m/>
    <x v="0"/>
    <s v="C"/>
    <x v="6"/>
    <s v="C01-BT04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CHANDRA CONTAINER MANUFACTURERS"/>
  </r>
  <r>
    <n v="742"/>
    <d v="2025-08-13T00:00:00"/>
    <s v="ZBTO"/>
    <n v="9519013975"/>
    <n v="1"/>
    <s v="9519013975-1"/>
    <s v="Sep'25"/>
    <s v="Released"/>
    <x v="1"/>
    <x v="0"/>
    <x v="5"/>
    <m/>
    <s v="1000-IPPE"/>
    <m/>
    <s v="PATTANCHERY"/>
    <s v="SBAD"/>
    <n v="947865"/>
    <s v="CHANDRA CONTAINER MANUFACTURERS"/>
    <n v="4101931"/>
    <s v="CR COIL TATXXD BT04 0.400X848"/>
    <s v="C01"/>
    <s v="TATXXD"/>
    <s v="BT04"/>
    <n v="0.4"/>
    <n v="848"/>
    <n v="0"/>
    <s v="T2 DONE"/>
    <s v=" "/>
    <s v=""/>
    <n v="4"/>
    <n v="8"/>
    <n v="40"/>
    <n v="0"/>
    <n v="40"/>
    <n v="4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40"/>
    <n v="40"/>
    <s v="0.38-0.4"/>
    <s v="848-849"/>
    <m/>
    <m/>
    <m/>
    <m/>
    <m/>
    <x v="0"/>
    <s v="C"/>
    <x v="6"/>
    <s v="C01-BT04-0.4-848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s v="CHANDRA CONTAINER MANUFACTURERS"/>
  </r>
  <r>
    <n v="742"/>
    <d v="2025-08-08T00:00:00"/>
    <s v="ZBTO"/>
    <n v="9519003457"/>
    <n v="2"/>
    <s v="9519003457-2"/>
    <s v="Sep'25"/>
    <s v="Released"/>
    <x v="0"/>
    <x v="2"/>
    <x v="2"/>
    <m/>
    <s v="3000-IPPE"/>
    <m/>
    <s v="YESHWANTHPURA"/>
    <s v="BANG"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61"/>
    <n v="0"/>
    <n v="261"/>
    <n v="26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61"/>
    <n v="0"/>
    <s v=""/>
    <s v=""/>
    <m/>
    <m/>
    <m/>
    <m/>
    <m/>
    <x v="0"/>
    <s v="U"/>
    <x v="2"/>
    <s v="768-HA58-2-1250"/>
    <s v="367-HA58-2-1250"/>
    <x v="0"/>
    <x v="2"/>
    <x v="2"/>
    <x v="2"/>
    <x v="2"/>
    <x v="0"/>
    <x v="4"/>
    <m/>
    <m/>
    <m/>
    <m/>
    <m/>
    <m/>
    <m/>
    <m/>
    <m/>
    <m/>
    <m/>
    <m/>
    <m/>
    <m/>
    <m/>
    <m/>
    <m/>
    <m/>
    <m/>
    <s v="TATA STEEL DOWNSTREAM PRODUCTS LIMI"/>
  </r>
  <r>
    <n v="742"/>
    <d v="2025-07-29T00:00:00"/>
    <s v="ZBTO"/>
    <n v="9518972719"/>
    <n v="13"/>
    <s v="9518972719-13"/>
    <s v="Sep'25"/>
    <s v="Released"/>
    <x v="0"/>
    <x v="0"/>
    <x v="0"/>
    <m/>
    <s v="2000-BPRS"/>
    <m/>
    <s v="VALPARAI"/>
    <s v="MADS"/>
    <n v="116465"/>
    <s v="SRI BALAJI STEEL TRADERS"/>
    <n v="325986"/>
    <s v="CRCA SHEET TATXXD AU03 2.5X1250X2500"/>
    <s v="C06"/>
    <s v="TATXXD"/>
    <s v="AU03"/>
    <n v="2.5"/>
    <n v="1250"/>
    <n v="2500"/>
    <s v="T2 DONE"/>
    <s v=" "/>
    <s v=""/>
    <n v="0"/>
    <n v="0"/>
    <n v="28.998999999999999"/>
    <n v="0"/>
    <n v="28.998999999999999"/>
    <n v="5.8239999999999998"/>
    <n v="0"/>
    <n v="0"/>
    <n v="0"/>
    <s v=""/>
    <s v=""/>
    <s v=""/>
    <s v=""/>
    <s v=""/>
    <s v=""/>
    <s v=""/>
    <s v=""/>
    <s v=""/>
    <s v=""/>
    <s v=""/>
    <n v="23.175000000000001"/>
    <s v=""/>
    <s v=""/>
    <s v=""/>
    <s v=""/>
    <n v="23.175000000000001"/>
    <n v="23.175000000000001"/>
    <n v="0"/>
    <n v="5.8239999999999981"/>
    <s v="2.48-2.52"/>
    <s v="1250-1254"/>
    <m/>
    <m/>
    <m/>
    <m/>
    <m/>
    <x v="0"/>
    <s v="U"/>
    <x v="0"/>
    <s v="C06-AU03-2.5-1250"/>
    <s v="367-SH08-5-1260"/>
    <x v="0"/>
    <x v="0"/>
    <x v="0"/>
    <x v="0"/>
    <x v="12"/>
    <x v="10"/>
    <x v="57"/>
    <m/>
    <m/>
    <m/>
    <m/>
    <m/>
    <m/>
    <m/>
    <m/>
    <m/>
    <m/>
    <m/>
    <m/>
    <m/>
    <m/>
    <m/>
    <m/>
    <m/>
    <m/>
    <m/>
    <s v="SRI BALAJI STEEL TRADERS"/>
  </r>
  <r>
    <n v="742"/>
    <d v="2025-08-08T00:00:00"/>
    <s v="ZBTO"/>
    <n v="9519003457"/>
    <n v="1"/>
    <s v="9519003457-1"/>
    <s v="Sep'25"/>
    <s v="Released"/>
    <x v="0"/>
    <x v="2"/>
    <x v="2"/>
    <m/>
    <s v="3000-IPPE"/>
    <m/>
    <s v="YESHWANTHPURA"/>
    <s v="BANG"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61"/>
    <n v="64.37"/>
    <n v="196.63"/>
    <n v="196.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97"/>
    <n v="0"/>
    <s v=""/>
    <s v=""/>
    <m/>
    <m/>
    <m/>
    <m/>
    <m/>
    <x v="0"/>
    <s v="U"/>
    <x v="2"/>
    <s v="768-HA58-2-1250"/>
    <s v="367-HA58-2-1250"/>
    <x v="0"/>
    <x v="2"/>
    <x v="2"/>
    <x v="2"/>
    <x v="2"/>
    <x v="0"/>
    <x v="4"/>
    <m/>
    <m/>
    <m/>
    <m/>
    <m/>
    <m/>
    <m/>
    <m/>
    <m/>
    <m/>
    <m/>
    <m/>
    <m/>
    <m/>
    <m/>
    <m/>
    <m/>
    <m/>
    <m/>
    <s v="TATA STEEL DOWNSTREAM PRODUCTS LIMI"/>
  </r>
  <r>
    <n v="744"/>
    <d v="2025-08-21T00:00:00"/>
    <s v="ZBTO"/>
    <n v="9519034052"/>
    <n v="1"/>
    <s v="9519034052-1"/>
    <s v="Sep'25"/>
    <s v="Released"/>
    <x v="0"/>
    <x v="4"/>
    <x v="4"/>
    <m/>
    <s v="1000-IPPE"/>
    <m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84"/>
    <n v="63.3"/>
    <n v="20.7"/>
    <n v="16.905000000000001"/>
    <n v="0"/>
    <n v="0"/>
    <n v="0"/>
    <s v=""/>
    <s v=""/>
    <s v=""/>
    <s v=""/>
    <s v=""/>
    <n v="3.7950000000000004"/>
    <s v=""/>
    <s v=""/>
    <s v=""/>
    <s v=""/>
    <s v=""/>
    <n v="0"/>
    <s v=""/>
    <s v=""/>
    <s v=""/>
    <s v=""/>
    <n v="3.7950000000000004"/>
    <n v="3.7950000000000004"/>
    <n v="17"/>
    <n v="-9.5000000000002416E-2"/>
    <s v="0.41-0.45"/>
    <s v="1220-1222"/>
    <m/>
    <m/>
    <m/>
    <m/>
    <m/>
    <x v="0"/>
    <s v="M"/>
    <x v="5"/>
    <s v="B18-D0C7-0.43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2"/>
    <d v="2025-08-21T00:00:00"/>
    <s v="ZBTF"/>
    <n v="9519034241"/>
    <n v="1"/>
    <s v="9519034241-1"/>
    <s v="No Priority"/>
    <s v="Released"/>
    <x v="0"/>
    <x v="0"/>
    <x v="0"/>
    <m/>
    <s v="2000-BPRS"/>
    <m/>
    <s v="THIRUVALLUR"/>
    <s v="TATA"/>
    <n v="600250"/>
    <s v="TATA CENTER"/>
    <n v="27569"/>
    <s v="CR COIL-ICF  DQ TATXXD AU03 0.60 X 1250"/>
    <s v="C01"/>
    <s v="TATXXD"/>
    <s v="AU03"/>
    <n v="0.6"/>
    <n v="1250"/>
    <n v="0"/>
    <s v="T2 DONE"/>
    <s v=" "/>
    <s v=""/>
    <n v="10"/>
    <n v="28"/>
    <n v="167.995"/>
    <n v="114.235"/>
    <n v="53.76"/>
    <n v="1.03"/>
    <n v="0"/>
    <n v="0"/>
    <n v="0"/>
    <s v=""/>
    <s v=""/>
    <s v=""/>
    <s v=""/>
    <s v=""/>
    <s v=""/>
    <s v=""/>
    <n v="26.25"/>
    <n v="26.48"/>
    <s v=""/>
    <s v=""/>
    <n v="0"/>
    <s v=""/>
    <s v=""/>
    <s v=""/>
    <s v=""/>
    <n v="52.730000000000004"/>
    <n v="52.730000000000004"/>
    <n v="0"/>
    <n v="1.029999999999994"/>
    <s v="0.57-0.63"/>
    <s v="1250-1262"/>
    <m/>
    <m/>
    <m/>
    <m/>
    <m/>
    <x v="0"/>
    <s v="U"/>
    <x v="0"/>
    <s v="C01-AU03-0.6-1250"/>
    <s v="367-SH08-2.5-1260"/>
    <x v="0"/>
    <x v="0"/>
    <x v="0"/>
    <x v="0"/>
    <x v="7"/>
    <x v="10"/>
    <x v="17"/>
    <m/>
    <m/>
    <m/>
    <m/>
    <m/>
    <m/>
    <m/>
    <m/>
    <m/>
    <m/>
    <m/>
    <m/>
    <m/>
    <m/>
    <m/>
    <m/>
    <m/>
    <m/>
    <m/>
    <s v="TATA CENTER"/>
  </r>
  <r>
    <n v="742"/>
    <d v="2025-08-21T00:00:00"/>
    <s v="ZBTF"/>
    <n v="9519034241"/>
    <n v="3"/>
    <s v="9519034241-3"/>
    <s v="Stocks"/>
    <s v="Released"/>
    <x v="0"/>
    <x v="0"/>
    <x v="0"/>
    <m/>
    <s v="2000-BPRS"/>
    <m/>
    <s v="THIRUVALLUR"/>
    <s v="TATA"/>
    <n v="600250"/>
    <s v="TATA CENTER"/>
    <n v="187529"/>
    <s v="CR COIL-ICF  DQ TATXXD AU03 1.20 X 1250"/>
    <s v="C01"/>
    <s v="TATXXD"/>
    <s v="AU03"/>
    <n v="1.2"/>
    <n v="1250"/>
    <n v="0"/>
    <s v="T2 DONE"/>
    <s v=" "/>
    <s v=""/>
    <n v="10"/>
    <n v="28"/>
    <n v="215.995"/>
    <n v="145.41"/>
    <n v="70.584999999999994"/>
    <n v="0.79500000000000004"/>
    <n v="0"/>
    <n v="0"/>
    <n v="0"/>
    <s v=""/>
    <s v=""/>
    <s v=""/>
    <s v=""/>
    <s v=""/>
    <s v=""/>
    <s v=""/>
    <s v=""/>
    <n v="69.790000000000006"/>
    <s v=""/>
    <s v=""/>
    <n v="0"/>
    <s v=""/>
    <s v=""/>
    <s v=""/>
    <s v=""/>
    <n v="69.790000000000006"/>
    <n v="69.790000000000006"/>
    <n v="0"/>
    <n v="0.79499999999998749"/>
    <s v="1.17-1.23"/>
    <s v="1250-1262"/>
    <m/>
    <m/>
    <m/>
    <m/>
    <m/>
    <x v="0"/>
    <s v="U"/>
    <x v="0"/>
    <s v="C01-AU03-1.2-1250"/>
    <s v="367-SH08-3.2-1250"/>
    <x v="0"/>
    <x v="0"/>
    <x v="0"/>
    <x v="0"/>
    <x v="3"/>
    <x v="0"/>
    <x v="58"/>
    <m/>
    <m/>
    <m/>
    <m/>
    <m/>
    <m/>
    <m/>
    <m/>
    <m/>
    <m/>
    <m/>
    <m/>
    <m/>
    <m/>
    <m/>
    <m/>
    <m/>
    <m/>
    <m/>
    <s v="TATA CENTER"/>
  </r>
  <r>
    <n v="742"/>
    <d v="2025-08-21T00:00:00"/>
    <s v="ZBTF"/>
    <n v="9519034241"/>
    <n v="4"/>
    <s v="9519034241-4"/>
    <s v="Stocks"/>
    <s v="Released"/>
    <x v="0"/>
    <x v="0"/>
    <x v="0"/>
    <m/>
    <s v="2000-BPRS"/>
    <m/>
    <s v="THIRUVALLUR"/>
    <s v="TATA"/>
    <n v="600250"/>
    <s v="TATA CENTER"/>
    <n v="185675"/>
    <s v="CRCA COIL-TATXXD-AU03-0.5X1250"/>
    <s v="C01"/>
    <s v="TATXXD"/>
    <s v="AU03"/>
    <n v="0.5"/>
    <n v="1250"/>
    <n v="0"/>
    <s v="T2 DONE"/>
    <s v=" "/>
    <s v=""/>
    <n v="10"/>
    <n v="28"/>
    <n v="287.995"/>
    <n v="20.63"/>
    <n v="267.36500000000001"/>
    <n v="267.3650000000000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67.36500000000001"/>
    <s v="0.47-0.53"/>
    <s v="1250-1262"/>
    <m/>
    <m/>
    <m/>
    <m/>
    <m/>
    <x v="0"/>
    <s v="U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TATA CENTER"/>
  </r>
  <r>
    <n v="742"/>
    <d v="2025-07-18T00:00:00"/>
    <s v="ZBTO"/>
    <n v="9518938766"/>
    <n v="10"/>
    <s v="9518938766-10"/>
    <s v="Oct'25"/>
    <s v="Released"/>
    <x v="1"/>
    <x v="0"/>
    <x v="6"/>
    <m/>
    <s v="2000-BPRS"/>
    <m/>
    <s v="PURNIA"/>
    <s v="PATN"/>
    <n v="103227"/>
    <s v="BMW VENTURES LIMITED"/>
    <n v="3239572"/>
    <s v="CRCA SHEET TATCRC SR16 0.480X1000X2500"/>
    <s v="C06"/>
    <s v="TATCRC"/>
    <s v="SR16"/>
    <n v="0.48"/>
    <n v="1000"/>
    <n v="250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45-0.48"/>
    <s v="1000-1002"/>
    <m/>
    <m/>
    <m/>
    <m/>
    <m/>
    <x v="0"/>
    <s v="T"/>
    <x v="7"/>
    <s v="C06-SR16-0.48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BMW VENTURES LIMITED"/>
  </r>
  <r>
    <n v="743"/>
    <d v="2025-08-14T00:00:00"/>
    <s v="ZBTO"/>
    <n v="9519017657"/>
    <n v="1"/>
    <s v="9519017657-1"/>
    <s v="Sep'25"/>
    <s v="Released"/>
    <x v="0"/>
    <x v="1"/>
    <x v="5"/>
    <m/>
    <s v="1000-IPPE"/>
    <m/>
    <s v="ZAHIRABAD"/>
    <s v="SBAD"/>
    <n v="188152"/>
    <s v="Metalkraft Forming Industries Pvt L"/>
    <n v="4031999"/>
    <s v="GL COIL SOFT  Y300GL T12L 0.500X1221"/>
    <s v="B03"/>
    <s v="Y300GL"/>
    <s v="T12L"/>
    <n v="0.5"/>
    <n v="1221"/>
    <n v="0"/>
    <s v="T2 DONE"/>
    <s v="AZ150"/>
    <s v=""/>
    <n v="8"/>
    <n v="12"/>
    <n v="224"/>
    <n v="17.45"/>
    <n v="206.55"/>
    <n v="3.66"/>
    <n v="17.45"/>
    <n v="0"/>
    <n v="0"/>
    <s v=""/>
    <s v=""/>
    <n v="165.53"/>
    <s v=""/>
    <n v="17.525000000000002"/>
    <s v=""/>
    <s v=""/>
    <s v=""/>
    <s v=""/>
    <s v=""/>
    <s v=""/>
    <n v="0"/>
    <s v=""/>
    <n v="9.6050000000000004"/>
    <s v=""/>
    <n v="10.23"/>
    <n v="202.89"/>
    <n v="202.89"/>
    <n v="0"/>
    <n v="3.660000000000025"/>
    <s v="0.47-0.51"/>
    <s v="1221-1225"/>
    <m/>
    <m/>
    <m/>
    <m/>
    <m/>
    <x v="0"/>
    <s v="R"/>
    <x v="10"/>
    <s v="B03-T12L-0.5-1221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Metalkraft Forming Industries Pvt L"/>
  </r>
  <r>
    <n v="742"/>
    <d v="2025-09-01T00:00:00"/>
    <s v="ZBTO"/>
    <n v="9519071445"/>
    <n v="1"/>
    <s v="9519071445-1"/>
    <s v="Oct'25"/>
    <s v="Released"/>
    <x v="1"/>
    <x v="0"/>
    <x v="6"/>
    <m/>
    <s v="2000-BPRS"/>
    <m/>
    <s v="JAIPUR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s v=" "/>
    <s v=""/>
    <n v="1"/>
    <n v="3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0.47-0.5"/>
    <s v="1250-1252"/>
    <m/>
    <m/>
    <m/>
    <m/>
    <m/>
    <x v="0"/>
    <s v="T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PELIKAN DOSSIER (P) LTD "/>
  </r>
  <r>
    <n v="742"/>
    <d v="2025-09-01T00:00:00"/>
    <s v="ZBTO"/>
    <n v="9519071445"/>
    <n v="2"/>
    <s v="9519071445-2"/>
    <s v="Oct'25"/>
    <s v="Released"/>
    <x v="1"/>
    <x v="0"/>
    <x v="6"/>
    <m/>
    <s v="2000-BPRS"/>
    <m/>
    <s v="JAIPUR"/>
    <s v="JPUR"/>
    <n v="116137"/>
    <s v="PELIKAN DOSSIER (P) LTD "/>
    <n v="3240785"/>
    <s v="CRCA SHEET TSBCRC SR15 0.600X1250X2500"/>
    <s v="C06"/>
    <s v="TSBCRC"/>
    <s v="SR15"/>
    <n v="0.6"/>
    <n v="1250"/>
    <n v="2500"/>
    <s v="T2 DONE"/>
    <s v=" "/>
    <s v=""/>
    <n v="1"/>
    <n v="3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57-0.6"/>
    <s v="1250-1252"/>
    <m/>
    <m/>
    <m/>
    <m/>
    <m/>
    <x v="0"/>
    <s v="T"/>
    <x v="7"/>
    <s v="C06-SR15-0.6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s v="PELIKAN DOSSIER (P) LTD "/>
  </r>
  <r>
    <n v="742"/>
    <d v="2025-09-01T00:00:00"/>
    <s v="ZBTO"/>
    <n v="9519071445"/>
    <n v="3"/>
    <s v="9519071445-3"/>
    <s v="No Priority"/>
    <s v="Released"/>
    <x v="0"/>
    <x v="0"/>
    <x v="6"/>
    <m/>
    <s v="2000-BPRS"/>
    <m/>
    <s v="JAIPUR"/>
    <s v="JPUR"/>
    <n v="116137"/>
    <s v="PELIKAN DOSSIER (P) LTD "/>
    <n v="3240786"/>
    <s v="CRCA SHEET TSBCRC SR15 0.700X1250X2500"/>
    <s v="C06"/>
    <s v="TSBCRC"/>
    <s v="SR15"/>
    <n v="0.7"/>
    <n v="1250"/>
    <n v="2500"/>
    <s v="T2 DONE"/>
    <s v=" "/>
    <s v=""/>
    <n v="1"/>
    <n v="3"/>
    <n v="58"/>
    <n v="13.93"/>
    <n v="44.07"/>
    <n v="43.65"/>
    <n v="0"/>
    <n v="0"/>
    <n v="0"/>
    <s v=""/>
    <s v=""/>
    <s v=""/>
    <s v=""/>
    <s v=""/>
    <s v=""/>
    <s v=""/>
    <s v=""/>
    <s v=""/>
    <s v=""/>
    <s v=""/>
    <n v="0.42"/>
    <s v=""/>
    <s v=""/>
    <s v=""/>
    <s v=""/>
    <n v="0.42"/>
    <n v="0.42"/>
    <n v="0"/>
    <n v="44.07"/>
    <s v="0.67-0.7"/>
    <s v="1250-1252"/>
    <m/>
    <m/>
    <m/>
    <m/>
    <m/>
    <x v="0"/>
    <s v="T"/>
    <x v="7"/>
    <s v="C06-SR15-0.7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s v="PELIKAN DOSSIER (P) LTD "/>
  </r>
  <r>
    <n v="742"/>
    <d v="2025-08-26T00:00:00"/>
    <s v="ZBTF"/>
    <n v="9519049786"/>
    <n v="2"/>
    <s v="9519049786-2"/>
    <s v="Sep'25"/>
    <s v="Released"/>
    <x v="0"/>
    <x v="5"/>
    <x v="10"/>
    <m/>
    <s v="2000-BPRS"/>
    <m/>
    <s v="KHOPOLI"/>
    <s v="TSMK"/>
    <n v="650783"/>
    <s v="Khopoli Wider CRM"/>
    <n v="4083646"/>
    <s v="CR COIL TATFHC TR10 0.409X1235"/>
    <s v="C09"/>
    <s v="TATFHC"/>
    <s v="TR10"/>
    <n v="0.40899999999999997"/>
    <n v="1235"/>
    <n v="0"/>
    <s v="T2 DONE"/>
    <s v=" "/>
    <s v=""/>
    <n v="12"/>
    <n v="25"/>
    <n v="125"/>
    <n v="67.099999999999994"/>
    <n v="57.9"/>
    <n v="8.3699999999999992"/>
    <n v="23.330000000000002"/>
    <n v="0"/>
    <n v="0"/>
    <n v="24.88"/>
    <s v=""/>
    <s v=""/>
    <s v=""/>
    <s v=""/>
    <s v=""/>
    <s v=""/>
    <s v=""/>
    <s v=""/>
    <s v=""/>
    <s v=""/>
    <n v="0"/>
    <s v=""/>
    <s v=""/>
    <s v=""/>
    <n v="24.650000000000002"/>
    <n v="49.53"/>
    <n v="49.53"/>
    <n v="0"/>
    <n v="8.3699999999999974"/>
    <s v="0.409-0.414"/>
    <s v="1235-1255"/>
    <m/>
    <m/>
    <m/>
    <m/>
    <m/>
    <x v="0"/>
    <s v="U"/>
    <x v="13"/>
    <s v="C09-TR10-0.409-1235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s v="Khopoli Wider CRM"/>
  </r>
  <r>
    <n v="743"/>
    <d v="2025-07-08T00:00:00"/>
    <s v="ZBTO"/>
    <n v="9518914760"/>
    <n v="3"/>
    <s v="9518914760-3"/>
    <s v="Sep'25"/>
    <s v="Released"/>
    <x v="1"/>
    <x v="3"/>
    <x v="7"/>
    <m/>
    <s v="2000-BPRS"/>
    <m/>
    <s v="LONI"/>
    <s v="GBAD"/>
    <n v="931235"/>
    <s v="K D J P STEELS PVT LTD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27-0.3"/>
    <s v="1000-1003"/>
    <m/>
    <m/>
    <m/>
    <m/>
    <m/>
    <x v="0"/>
    <s v="R"/>
    <x v="8"/>
    <s v="C02-GLK1-0.3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K D J P STEELS PVT LTD"/>
  </r>
  <r>
    <n v="742"/>
    <d v="2025-07-01T00:00:00"/>
    <s v="ZBTO"/>
    <n v="9518900193"/>
    <n v="10"/>
    <s v="9518900193-10"/>
    <s v="Sep'25"/>
    <s v="Released"/>
    <x v="1"/>
    <x v="0"/>
    <x v="0"/>
    <m/>
    <s v="2000-BPRS"/>
    <m/>
    <s v="COCHIN HARBOUR "/>
    <s v="MADS"/>
    <n v="116650"/>
    <s v="KUMMENCHERY STEELS"/>
    <n v="1804870"/>
    <s v="CRCA COIL-TATXXD-AU03-2X1000"/>
    <s v="C01"/>
    <s v="TATXXD"/>
    <s v="AU03"/>
    <n v="2"/>
    <n v="1000"/>
    <n v="0"/>
    <s v="T2 DONE"/>
    <s v=" "/>
    <s v=""/>
    <n v="6"/>
    <n v="18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1.98-2.02"/>
    <s v="1000-1004"/>
    <m/>
    <m/>
    <m/>
    <m/>
    <m/>
    <x v="0"/>
    <s v="R"/>
    <x v="0"/>
    <s v="C01-AU03-2-1000"/>
    <s v="B69-SH08-4.5-1025"/>
    <x v="2"/>
    <x v="0"/>
    <x v="0"/>
    <x v="0"/>
    <x v="9"/>
    <x v="7"/>
    <x v="60"/>
    <m/>
    <m/>
    <m/>
    <m/>
    <m/>
    <m/>
    <m/>
    <m/>
    <m/>
    <m/>
    <m/>
    <m/>
    <m/>
    <m/>
    <m/>
    <m/>
    <m/>
    <m/>
    <m/>
    <s v="KUMMENCHERY STEELS"/>
  </r>
  <r>
    <n v="743"/>
    <d v="2025-07-29T00:00:00"/>
    <s v="ZBTO"/>
    <n v="9518972366"/>
    <n v="4"/>
    <s v="9518972366-4"/>
    <s v="Sep'25"/>
    <s v="Released"/>
    <x v="1"/>
    <x v="3"/>
    <x v="7"/>
    <m/>
    <s v="2000-BPRS"/>
    <m/>
    <s v="LONI"/>
    <s v="GBAD"/>
    <n v="931235"/>
    <s v="K D J P STEELS PVT LTD"/>
    <n v="1142901"/>
    <s v="GP COIL SOFT-TATXGP-GLK1-0.3X1000"/>
    <s v="C02"/>
    <s v="TATXGP"/>
    <s v="GLK1"/>
    <n v="0.3"/>
    <n v="1000"/>
    <n v="0"/>
    <s v="T2 DONE"/>
    <s v="Z80"/>
    <s v=""/>
    <n v="4"/>
    <n v="6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27-0.3"/>
    <s v="1000-1003"/>
    <m/>
    <m/>
    <m/>
    <m/>
    <m/>
    <x v="0"/>
    <s v="R"/>
    <x v="8"/>
    <s v="C02-GLK1-0.3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K D J P STEELS PVT LTD"/>
  </r>
  <r>
    <n v="743"/>
    <d v="2025-07-08T00:00:00"/>
    <s v="ZBTO"/>
    <n v="9518914709"/>
    <n v="2"/>
    <s v="9518914709-2"/>
    <s v="Sep'25"/>
    <s v="Released"/>
    <x v="1"/>
    <x v="3"/>
    <x v="7"/>
    <m/>
    <s v="2000-BPRS"/>
    <m/>
    <s v="LONI"/>
    <s v="GBAD"/>
    <n v="183259"/>
    <s v="Rakesh Steel Inds.(P) Ltd."/>
    <n v="2270690"/>
    <s v="GP COIL SOFT TATXGP GLK1 0.25X1000"/>
    <s v="C02"/>
    <s v="TATXGP"/>
    <s v="GLK1"/>
    <n v="0.25"/>
    <n v="1000"/>
    <n v="0"/>
    <s v="T2 DONE"/>
    <s v="Z80"/>
    <s v=""/>
    <n v="4"/>
    <n v="6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22-0.25"/>
    <s v="1000-1002"/>
    <m/>
    <m/>
    <m/>
    <m/>
    <m/>
    <x v="0"/>
    <s v="R"/>
    <x v="8"/>
    <s v="C02-GLK1-0.25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Rakesh Steel Inds.(P) Ltd."/>
  </r>
  <r>
    <n v="743"/>
    <d v="2025-07-08T00:00:00"/>
    <s v="ZBTO"/>
    <n v="9518914709"/>
    <n v="6"/>
    <s v="9518914709-6"/>
    <s v="Sep'25"/>
    <s v="Released"/>
    <x v="1"/>
    <x v="3"/>
    <x v="7"/>
    <m/>
    <s v="2000-BPRS"/>
    <m/>
    <s v="LONI"/>
    <s v="GBAD"/>
    <n v="183259"/>
    <s v="Rakesh Steel Inds.(P) Ltd."/>
    <n v="1319275"/>
    <s v="GP COIL SOFT-TATXGP-GLK1-0.2X900"/>
    <s v="C02"/>
    <s v="TATXGP"/>
    <s v="GLK1"/>
    <n v="0.2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7-0.2"/>
    <s v="900-902"/>
    <m/>
    <m/>
    <m/>
    <m/>
    <m/>
    <x v="0"/>
    <s v="R"/>
    <x v="8"/>
    <s v="C02-GLK1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Rakesh Steel Inds.(P) Ltd."/>
  </r>
  <r>
    <n v="743"/>
    <d v="2025-07-08T00:00:00"/>
    <s v="ZBTO"/>
    <n v="9518915062"/>
    <n v="6"/>
    <s v="9518915062-6"/>
    <s v="Sep'25"/>
    <s v="Released"/>
    <x v="1"/>
    <x v="3"/>
    <x v="7"/>
    <m/>
    <s v="2000-BPRS"/>
    <m/>
    <s v="LONI"/>
    <s v="GBAD"/>
    <n v="931235"/>
    <s v="K D J P STEELS PVT LTD"/>
    <n v="1319275"/>
    <s v="GP COIL SOFT-TATXGP-GLK1-0.2X900"/>
    <s v="C02"/>
    <s v="TATXGP"/>
    <s v="GLK1"/>
    <n v="0.2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7-0.2"/>
    <s v="900-902"/>
    <m/>
    <m/>
    <m/>
    <m/>
    <m/>
    <x v="0"/>
    <s v="R"/>
    <x v="8"/>
    <s v="C02-GLK1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K D J P STEELS PVT LTD"/>
  </r>
  <r>
    <n v="743"/>
    <d v="2025-07-29T00:00:00"/>
    <s v="ZBTO"/>
    <n v="9518971601"/>
    <n v="1"/>
    <s v="9518971601-1"/>
    <s v="Sep'25"/>
    <s v="Released"/>
    <x v="0"/>
    <x v="3"/>
    <x v="13"/>
    <m/>
    <s v="2000-BPRS"/>
    <m/>
    <s v="LONI"/>
    <s v="GBAD"/>
    <n v="931234"/>
    <s v="JAI LAXMI STEELS"/>
    <n v="1327809"/>
    <s v="GP COIL SOFT-TATXGP-GLK1-0.3X1250"/>
    <s v="C02"/>
    <s v="TATXGP"/>
    <s v="GLK1"/>
    <n v="0.3"/>
    <n v="1250"/>
    <n v="0"/>
    <s v="T2 DONE"/>
    <s v="Z80"/>
    <s v=""/>
    <n v="4"/>
    <n v="6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9"/>
    <n v="0"/>
    <s v="0.27-0.3"/>
    <s v="1250-1253"/>
    <m/>
    <m/>
    <m/>
    <m/>
    <m/>
    <x v="0"/>
    <s v="R"/>
    <x v="8"/>
    <s v="C02-GLK1-0.3-1250"/>
    <s v="367-HG02-2-1265"/>
    <x v="0"/>
    <x v="1"/>
    <x v="1"/>
    <x v="1"/>
    <x v="2"/>
    <x v="1"/>
    <x v="61"/>
    <m/>
    <m/>
    <m/>
    <m/>
    <m/>
    <m/>
    <m/>
    <m/>
    <m/>
    <m/>
    <m/>
    <m/>
    <m/>
    <m/>
    <m/>
    <m/>
    <m/>
    <m/>
    <m/>
    <s v="JAI LAXMI STEELS"/>
  </r>
  <r>
    <n v="743"/>
    <d v="2025-07-29T00:00:00"/>
    <s v="ZBTO"/>
    <n v="9518971601"/>
    <n v="2"/>
    <s v="9518971601-2"/>
    <s v="Sep'25"/>
    <s v="Released"/>
    <x v="1"/>
    <x v="3"/>
    <x v="7"/>
    <m/>
    <s v="2000-BPRS"/>
    <m/>
    <s v="LONI"/>
    <s v="GBAD"/>
    <n v="931234"/>
    <s v="JAI LAXMI STEELS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27-0.3"/>
    <s v="1000-1003"/>
    <m/>
    <m/>
    <m/>
    <m/>
    <m/>
    <x v="0"/>
    <s v="R"/>
    <x v="8"/>
    <s v="C02-GLK1-0.3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JAI LAXMI STEELS"/>
  </r>
  <r>
    <n v="743"/>
    <d v="2025-07-29T00:00:00"/>
    <s v="ZBTO"/>
    <n v="9518971601"/>
    <n v="3"/>
    <s v="9518971601-3"/>
    <s v="Sep'25"/>
    <s v="Released"/>
    <x v="1"/>
    <x v="3"/>
    <x v="7"/>
    <m/>
    <s v="2000-BPRS"/>
    <m/>
    <s v="LONI"/>
    <s v="GBAD"/>
    <n v="931234"/>
    <s v="JAI LAXMI STEELS"/>
    <n v="1319275"/>
    <s v="GP COIL SOFT-TATXGP-GLK1-0.2X900"/>
    <s v="C02"/>
    <s v="TATXGP"/>
    <s v="GLK1"/>
    <n v="0.2"/>
    <n v="900"/>
    <n v="0"/>
    <s v="T2 DONE"/>
    <s v="Z80"/>
    <s v=""/>
    <n v="4"/>
    <n v="6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17-0.2"/>
    <s v="900-903"/>
    <m/>
    <m/>
    <m/>
    <m/>
    <m/>
    <x v="0"/>
    <s v="R"/>
    <x v="8"/>
    <s v="C02-GLK1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JAI LAXMI STEELS"/>
  </r>
  <r>
    <n v="743"/>
    <d v="2025-07-29T00:00:00"/>
    <s v="ZBTO"/>
    <n v="9518971601"/>
    <n v="4"/>
    <s v="9518971601-4"/>
    <s v="Sep'25"/>
    <s v="Released"/>
    <x v="1"/>
    <x v="3"/>
    <x v="7"/>
    <m/>
    <s v="2000-BPRS"/>
    <m/>
    <s v="LONI"/>
    <s v="GBAD"/>
    <n v="931234"/>
    <s v="JAI LAXMI STEELS"/>
    <n v="1854363"/>
    <s v="GP COIL SOFT-TATXGP-GLK1-0.22X900"/>
    <s v="C02"/>
    <s v="TATXGP"/>
    <s v="GLK1"/>
    <n v="0.22"/>
    <n v="900"/>
    <n v="0"/>
    <s v="T2 DONE"/>
    <s v="Z80"/>
    <s v=""/>
    <n v="4"/>
    <n v="6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19-0.22"/>
    <s v="900-903"/>
    <m/>
    <m/>
    <m/>
    <m/>
    <m/>
    <x v="0"/>
    <s v="R"/>
    <x v="8"/>
    <s v="C02-GLK1-0.22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JAI LAXMI STEELS"/>
  </r>
  <r>
    <n v="743"/>
    <d v="2025-07-29T00:00:00"/>
    <s v="ZBTO"/>
    <n v="9518971601"/>
    <n v="6"/>
    <s v="9518971601-6"/>
    <s v="Sep'25"/>
    <s v="Released"/>
    <x v="1"/>
    <x v="3"/>
    <x v="7"/>
    <m/>
    <s v="2000-BPRS"/>
    <m/>
    <s v="LONI"/>
    <s v="GBAD"/>
    <n v="931234"/>
    <s v="JAI LAXMI STEELS"/>
    <n v="1851066"/>
    <s v="GP COIL SOFT-TATXGP-GLK1-0.25X900"/>
    <s v="C02"/>
    <s v="TATXGP"/>
    <s v="GLK1"/>
    <n v="0.25"/>
    <n v="900"/>
    <n v="0"/>
    <s v="T2 DONE"/>
    <s v="Z80"/>
    <s v=""/>
    <n v="4"/>
    <n v="6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22-0.25"/>
    <s v="900-903"/>
    <m/>
    <m/>
    <m/>
    <m/>
    <m/>
    <x v="0"/>
    <s v="R"/>
    <x v="8"/>
    <s v="C02-GLK1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JAI LAXMI STEELS"/>
  </r>
  <r>
    <n v="742"/>
    <d v="2025-07-29T00:00:00"/>
    <s v="ZBTO"/>
    <n v="9518972719"/>
    <n v="3"/>
    <s v="9518972719-3"/>
    <s v="Sep'25"/>
    <s v="Released"/>
    <x v="1"/>
    <x v="0"/>
    <x v="0"/>
    <m/>
    <s v="2000-BPRS"/>
    <m/>
    <s v="VALPARAI"/>
    <s v="MADS"/>
    <n v="116465"/>
    <s v="SRI BALAJI STEEL TRADERS"/>
    <n v="1804852"/>
    <s v="CRCA COIL-TATXXD-AU03-1.2X1000"/>
    <s v="C01"/>
    <s v="TATXXD"/>
    <s v="AU03"/>
    <n v="1.2"/>
    <n v="1000"/>
    <n v="0"/>
    <s v="T2 DONE"/>
    <s v=" "/>
    <s v=""/>
    <n v="6"/>
    <n v="18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1.18-1.22"/>
    <s v="1000-1002"/>
    <m/>
    <m/>
    <m/>
    <m/>
    <m/>
    <x v="0"/>
    <s v="C"/>
    <x v="0"/>
    <s v="C01-AU03-1.2-1000"/>
    <s v="B69-SH08-3.2-1025"/>
    <x v="2"/>
    <x v="0"/>
    <x v="0"/>
    <x v="0"/>
    <x v="3"/>
    <x v="7"/>
    <x v="62"/>
    <m/>
    <m/>
    <m/>
    <m/>
    <m/>
    <m/>
    <m/>
    <m/>
    <m/>
    <m/>
    <m/>
    <m/>
    <m/>
    <m/>
    <m/>
    <m/>
    <m/>
    <m/>
    <m/>
    <s v="SRI BALAJI STEEL TRADERS"/>
  </r>
  <r>
    <n v="742"/>
    <d v="2025-07-29T00:00:00"/>
    <s v="ZBTO"/>
    <n v="9518972719"/>
    <n v="4"/>
    <s v="9518972719-4"/>
    <s v="Sep'25"/>
    <s v="Released"/>
    <x v="1"/>
    <x v="0"/>
    <x v="0"/>
    <m/>
    <s v="2000-BPRS"/>
    <m/>
    <s v="VALPARAI"/>
    <s v="MADS"/>
    <n v="116465"/>
    <s v="SRI BALAJI STEEL TRADERS"/>
    <n v="1804866"/>
    <s v="CRCA COIL-TATXXD-AU03-1.6X1000"/>
    <s v="C01"/>
    <s v="TATXXD"/>
    <s v="AU03"/>
    <n v="1.6"/>
    <n v="1000"/>
    <n v="0"/>
    <s v="T2 DONE"/>
    <s v=" "/>
    <s v=""/>
    <n v="6"/>
    <n v="18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1.58-1.62"/>
    <s v="1000-1002"/>
    <m/>
    <m/>
    <m/>
    <m/>
    <m/>
    <x v="0"/>
    <s v="C"/>
    <x v="0"/>
    <s v="C01-AU03-1.6-1000"/>
    <s v="B69-SH08-4-1025"/>
    <x v="2"/>
    <x v="0"/>
    <x v="0"/>
    <x v="0"/>
    <x v="10"/>
    <x v="7"/>
    <x v="63"/>
    <m/>
    <m/>
    <m/>
    <m/>
    <m/>
    <m/>
    <m/>
    <m/>
    <m/>
    <m/>
    <m/>
    <m/>
    <m/>
    <m/>
    <m/>
    <m/>
    <m/>
    <m/>
    <m/>
    <s v="SRI BALAJI STEEL TRADERS"/>
  </r>
  <r>
    <n v="742"/>
    <d v="2025-07-29T00:00:00"/>
    <s v="ZBTO"/>
    <n v="9518972719"/>
    <n v="5"/>
    <s v="9518972719-5"/>
    <s v="Sep'25"/>
    <s v="Released"/>
    <x v="1"/>
    <x v="0"/>
    <x v="0"/>
    <m/>
    <s v="2000-BPRS"/>
    <m/>
    <s v="VALPARAI"/>
    <s v="MADS"/>
    <n v="116465"/>
    <s v="SRI BALAJI STEEL TRADERS"/>
    <n v="1804870"/>
    <s v="CRCA COIL-TATXXD-AU03-2X1000"/>
    <s v="C01"/>
    <s v="TATXXD"/>
    <s v="AU03"/>
    <n v="2"/>
    <n v="1000"/>
    <n v="0"/>
    <s v="T2 DONE"/>
    <s v=" "/>
    <s v=""/>
    <n v="6"/>
    <n v="18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1.98-2.02"/>
    <s v="1000-1002"/>
    <m/>
    <m/>
    <m/>
    <m/>
    <m/>
    <x v="0"/>
    <s v="C"/>
    <x v="0"/>
    <s v="C01-AU03-2-1000"/>
    <s v="B69-SH08-4.5-1025"/>
    <x v="2"/>
    <x v="0"/>
    <x v="0"/>
    <x v="0"/>
    <x v="9"/>
    <x v="7"/>
    <x v="60"/>
    <m/>
    <m/>
    <m/>
    <m/>
    <m/>
    <m/>
    <m/>
    <m/>
    <m/>
    <m/>
    <m/>
    <m/>
    <m/>
    <m/>
    <m/>
    <m/>
    <m/>
    <m/>
    <m/>
    <s v="SRI BALAJI STEEL TRADERS"/>
  </r>
  <r>
    <n v="743"/>
    <d v="2025-07-29T00:00:00"/>
    <s v="ZBTO"/>
    <n v="9518971045"/>
    <n v="1"/>
    <s v="9518971045-1"/>
    <s v="Sep'25"/>
    <s v="Released"/>
    <x v="1"/>
    <x v="3"/>
    <x v="7"/>
    <m/>
    <s v="2000-BPRS"/>
    <m/>
    <s v="LONI"/>
    <s v="GBAD"/>
    <n v="183259"/>
    <s v="Rakesh Steel Inds.(P) Ltd."/>
    <n v="2270690"/>
    <s v="GP COIL SOFT TATXGP GLK1 0.25X1000"/>
    <s v="C02"/>
    <s v="TATXGP"/>
    <s v="GLK1"/>
    <n v="0.25"/>
    <n v="1000"/>
    <n v="0"/>
    <s v="T2 DONE"/>
    <s v="Z80"/>
    <s v=""/>
    <n v="4"/>
    <n v="6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22-0.25"/>
    <s v="1000-1002"/>
    <m/>
    <m/>
    <m/>
    <m/>
    <m/>
    <x v="0"/>
    <s v="M"/>
    <x v="8"/>
    <s v="C02-GLK1-0.25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Rakesh Steel Inds.(P) Ltd."/>
  </r>
  <r>
    <n v="743"/>
    <d v="2025-07-29T00:00:00"/>
    <s v="ZBTO"/>
    <n v="9518971045"/>
    <n v="2"/>
    <s v="9518971045-2"/>
    <s v="Sep'25"/>
    <s v="Released"/>
    <x v="1"/>
    <x v="3"/>
    <x v="7"/>
    <m/>
    <s v="2000-BPRS"/>
    <m/>
    <s v="LONI"/>
    <s v="GBAD"/>
    <n v="183259"/>
    <s v="Rakesh Steel Inds.(P) Ltd."/>
    <n v="1854363"/>
    <s v="GP COIL SOFT-TATXGP-GLK1-0.22X900"/>
    <s v="C02"/>
    <s v="TATXGP"/>
    <s v="GLK1"/>
    <n v="0.22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9-0.22"/>
    <s v="900-902"/>
    <m/>
    <m/>
    <m/>
    <m/>
    <m/>
    <x v="0"/>
    <s v="M"/>
    <x v="8"/>
    <s v="C02-GLK1-0.22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Rakesh Steel Inds.(P) Ltd."/>
  </r>
  <r>
    <n v="743"/>
    <d v="2025-07-29T00:00:00"/>
    <s v="ZBTO"/>
    <n v="9518971045"/>
    <n v="3"/>
    <s v="9518971045-3"/>
    <s v="Sep'25"/>
    <s v="Released"/>
    <x v="1"/>
    <x v="3"/>
    <x v="7"/>
    <m/>
    <s v="2000-BPRS"/>
    <m/>
    <s v="LONI"/>
    <s v="GBAD"/>
    <n v="183259"/>
    <s v="Rakesh Steel Inds.(P) Ltd."/>
    <n v="1319275"/>
    <s v="GP COIL SOFT-TATXGP-GLK1-0.2X900"/>
    <s v="C02"/>
    <s v="TATXGP"/>
    <s v="GLK1"/>
    <n v="0.2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7-0.2"/>
    <s v="900-902"/>
    <m/>
    <m/>
    <m/>
    <m/>
    <m/>
    <x v="0"/>
    <s v="M"/>
    <x v="8"/>
    <s v="C02-GLK1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Rakesh Steel Inds.(P) Ltd."/>
  </r>
  <r>
    <n v="742"/>
    <d v="2025-08-26T00:00:00"/>
    <s v="ZBTO"/>
    <n v="9519050823"/>
    <n v="1"/>
    <s v="9519050823-1"/>
    <s v="Oct'25"/>
    <s v="Released"/>
    <x v="1"/>
    <x v="0"/>
    <x v="0"/>
    <m/>
    <s v="2000-BPRS"/>
    <m/>
    <s v="JAIPUR"/>
    <s v="JPUR"/>
    <n v="116137"/>
    <s v="PELIKAN DOSSIER (P) LTD "/>
    <n v="1800890"/>
    <s v="CRCA COIL-TATXXD-AU03-0.35X1250"/>
    <s v="C01"/>
    <s v="TATXXD"/>
    <s v="AU03"/>
    <n v="0.35"/>
    <n v="1250"/>
    <n v="0"/>
    <s v="T2 DONE"/>
    <s v=" "/>
    <s v=""/>
    <n v="10"/>
    <n v="25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2-0.35"/>
    <s v="1250-1252"/>
    <m/>
    <m/>
    <m/>
    <m/>
    <m/>
    <x v="0"/>
    <s v="M"/>
    <x v="0"/>
    <s v="C01-AU03-0.35-1250"/>
    <s v="367-SH08-2-1275"/>
    <x v="0"/>
    <x v="0"/>
    <x v="0"/>
    <x v="0"/>
    <x v="2"/>
    <x v="11"/>
    <x v="19"/>
    <m/>
    <m/>
    <m/>
    <m/>
    <m/>
    <m/>
    <m/>
    <m/>
    <m/>
    <m/>
    <m/>
    <m/>
    <m/>
    <m/>
    <m/>
    <m/>
    <m/>
    <m/>
    <m/>
    <s v="PELIKAN DOSSIER (P) LTD "/>
  </r>
  <r>
    <n v="742"/>
    <d v="2025-09-05T00:00:00"/>
    <s v="ZBTO"/>
    <n v="9519081551"/>
    <n v="2"/>
    <s v="9519081551-2"/>
    <s v="No Priority"/>
    <s v="Released"/>
    <x v="0"/>
    <x v="2"/>
    <x v="3"/>
    <m/>
    <s v="2000-BPRS"/>
    <m/>
    <s v="YESHWANTHPURA"/>
    <s v="BANG"/>
    <n v="932179"/>
    <s v="DURGA STEEL INDUSTRIES"/>
    <n v="1309822"/>
    <s v="HR COILS-PO IS 1079-HR2 4X1250"/>
    <n v="768"/>
    <s v="THA058"/>
    <s v="HA58"/>
    <n v="4"/>
    <n v="1250"/>
    <n v="0"/>
    <s v="T2 DONE"/>
    <s v=" "/>
    <s v=""/>
    <n v="15"/>
    <n v="3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"/>
    <s v="1250-1275"/>
    <m/>
    <m/>
    <m/>
    <m/>
    <m/>
    <x v="0"/>
    <s v="U"/>
    <x v="2"/>
    <s v="768-HA58-4-1250"/>
    <s v="367-HA58-4-1250"/>
    <x v="0"/>
    <x v="2"/>
    <x v="2"/>
    <x v="2"/>
    <x v="10"/>
    <x v="0"/>
    <x v="64"/>
    <m/>
    <m/>
    <m/>
    <m/>
    <m/>
    <m/>
    <m/>
    <m/>
    <m/>
    <m/>
    <m/>
    <m/>
    <m/>
    <m/>
    <m/>
    <m/>
    <m/>
    <m/>
    <m/>
    <s v="DURGA STEEL INDUSTRIES"/>
  </r>
  <r>
    <n v="742"/>
    <d v="2025-09-05T00:00:00"/>
    <s v="ZBTO"/>
    <n v="9519081551"/>
    <n v="3"/>
    <s v="9519081551-3"/>
    <s v="No Priority"/>
    <s v="Released"/>
    <x v="0"/>
    <x v="2"/>
    <x v="3"/>
    <m/>
    <s v="2000-BPRS"/>
    <m/>
    <s v="YESHWANTHPURA"/>
    <s v="BANG"/>
    <n v="932179"/>
    <s v="DURGA STEEL INDUSTRIES"/>
    <n v="1210083"/>
    <s v="HR COILS-PO IS 1079 HR2 2X1250"/>
    <n v="768"/>
    <s v="THR099"/>
    <s v="HR99"/>
    <n v="2"/>
    <n v="1250"/>
    <n v="0"/>
    <s v="T2 DONE"/>
    <s v=" "/>
    <s v=""/>
    <n v="15"/>
    <n v="30"/>
    <n v="58"/>
    <n v="0"/>
    <n v="58"/>
    <n v="35.869999999999997"/>
    <n v="0"/>
    <n v="0"/>
    <n v="22.13"/>
    <s v=""/>
    <s v=""/>
    <s v=""/>
    <s v=""/>
    <s v=""/>
    <s v=""/>
    <s v=""/>
    <s v=""/>
    <s v=""/>
    <s v=""/>
    <s v=""/>
    <n v="0"/>
    <s v=""/>
    <s v=""/>
    <s v=""/>
    <s v=""/>
    <n v="22.13"/>
    <n v="22.13"/>
    <n v="0"/>
    <n v="35.870000000000005"/>
    <s v=""/>
    <s v="1250-1275"/>
    <m/>
    <m/>
    <m/>
    <m/>
    <m/>
    <x v="0"/>
    <s v="U"/>
    <x v="12"/>
    <s v="768-HR99-2-1250"/>
    <s v="367-HR99-2-1250"/>
    <x v="0"/>
    <x v="9"/>
    <x v="9"/>
    <x v="9"/>
    <x v="2"/>
    <x v="0"/>
    <x v="65"/>
    <m/>
    <m/>
    <m/>
    <m/>
    <m/>
    <m/>
    <m/>
    <m/>
    <m/>
    <m/>
    <m/>
    <m/>
    <m/>
    <m/>
    <m/>
    <m/>
    <m/>
    <m/>
    <m/>
    <s v="DURGA STEEL INDUSTRIES"/>
  </r>
  <r>
    <n v="742"/>
    <d v="2025-08-26T00:00:00"/>
    <s v="ZBTO"/>
    <n v="9519049599"/>
    <n v="1"/>
    <s v="9519049599-1"/>
    <s v="Sep'25"/>
    <s v="Released"/>
    <x v="0"/>
    <x v="5"/>
    <x v="5"/>
    <m/>
    <s v="1000-IPPE"/>
    <m/>
    <s v="VILLAGE-PRAGPAR"/>
    <s v="AMED"/>
    <n v="189108"/>
    <s v="Manaksia Coated Metals &amp; Industries"/>
    <n v="2320878"/>
    <s v="CRFH COIL TATFHC TR10 0.360X1250"/>
    <s v="C09"/>
    <s v="TATFHC"/>
    <s v="TR10"/>
    <n v="0.36"/>
    <n v="1250"/>
    <n v="0"/>
    <s v="T2 DONE"/>
    <s v=" "/>
    <s v=""/>
    <n v="10"/>
    <n v="20"/>
    <n v="232"/>
    <n v="44.75"/>
    <n v="187.25"/>
    <n v="187.25"/>
    <n v="11.14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87"/>
    <n v="0"/>
    <s v="0.345-0.37"/>
    <s v="1250-1253"/>
    <m/>
    <m/>
    <m/>
    <m/>
    <m/>
    <x v="0"/>
    <s v="T"/>
    <x v="20"/>
    <s v="C09-TR10-0.36-1250"/>
    <s v="367-HG02-2.25-1250"/>
    <x v="0"/>
    <x v="1"/>
    <x v="1"/>
    <x v="1"/>
    <x v="4"/>
    <x v="0"/>
    <x v="66"/>
    <m/>
    <m/>
    <m/>
    <m/>
    <m/>
    <m/>
    <m/>
    <m/>
    <m/>
    <m/>
    <m/>
    <m/>
    <m/>
    <m/>
    <m/>
    <m/>
    <m/>
    <m/>
    <m/>
    <s v="Manaksia Coated Metals &amp; Industries"/>
  </r>
  <r>
    <n v="742"/>
    <d v="2025-08-28T00:00:00"/>
    <s v="ZBTF"/>
    <n v="4000516624"/>
    <n v="1"/>
    <s v="4000516624-1"/>
    <s v="Sep'25"/>
    <s v="Released"/>
    <x v="0"/>
    <x v="2"/>
    <x v="8"/>
    <m/>
    <s v="2000-BPRS"/>
    <m/>
    <s v="YESHWANTHPURA"/>
    <s v=""/>
    <n v="600103"/>
    <s v="TATA STEEL LIMITED"/>
    <n v="3226987"/>
    <s v="HR COILS-PO THR099 HR99 1.90X1250"/>
    <n v="768"/>
    <s v="THR099"/>
    <s v="HR99"/>
    <n v="1.9"/>
    <n v="1250"/>
    <n v="0"/>
    <s v="T2 DONE"/>
    <s v=" "/>
    <s v=""/>
    <n v="10"/>
    <n v="27"/>
    <n v="290.00099999999998"/>
    <n v="0"/>
    <n v="290.00099999999998"/>
    <n v="290.0009999999999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0.00099999999998"/>
    <s v=""/>
    <s v=""/>
    <m/>
    <m/>
    <m/>
    <m/>
    <m/>
    <x v="0"/>
    <s v="U"/>
    <x v="12"/>
    <s v="768-HR99-1.9-1250"/>
    <s v="367-HR99-1.9-1250"/>
    <x v="0"/>
    <x v="9"/>
    <x v="9"/>
    <x v="9"/>
    <x v="8"/>
    <x v="0"/>
    <x v="18"/>
    <m/>
    <m/>
    <m/>
    <m/>
    <m/>
    <m/>
    <m/>
    <m/>
    <m/>
    <m/>
    <m/>
    <m/>
    <m/>
    <m/>
    <m/>
    <m/>
    <m/>
    <m/>
    <m/>
    <s v="TATA STEEL LIMITED"/>
  </r>
  <r>
    <n v="742"/>
    <d v="2025-09-09T00:00:00"/>
    <s v="ZBTF"/>
    <n v="4000517561"/>
    <n v="1"/>
    <s v="4000517561-1"/>
    <s v="No Priority"/>
    <s v="Released"/>
    <x v="0"/>
    <x v="2"/>
    <x v="8"/>
    <m/>
    <s v="2000-BPRS"/>
    <m/>
    <s v="YESHWANTHPURA"/>
    <s v=""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5"/>
    <n v="28"/>
    <n v="290"/>
    <n v="0"/>
    <n v="290"/>
    <n v="29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0"/>
    <s v=""/>
    <s v=""/>
    <m/>
    <m/>
    <m/>
    <m/>
    <m/>
    <x v="0"/>
    <s v="U"/>
    <x v="12"/>
    <s v="768-HR99-2-1250"/>
    <s v="367-HR99-2-1250"/>
    <x v="0"/>
    <x v="9"/>
    <x v="9"/>
    <x v="9"/>
    <x v="2"/>
    <x v="0"/>
    <x v="65"/>
    <m/>
    <m/>
    <m/>
    <m/>
    <m/>
    <m/>
    <m/>
    <m/>
    <m/>
    <m/>
    <m/>
    <m/>
    <m/>
    <m/>
    <m/>
    <m/>
    <m/>
    <m/>
    <m/>
    <s v="TATA STEEL LIMITED"/>
  </r>
  <r>
    <n v="742"/>
    <d v="2025-09-09T00:00:00"/>
    <s v="ZBTF"/>
    <n v="4000517561"/>
    <n v="2"/>
    <s v="4000517561-2"/>
    <s v="No Priority"/>
    <s v="Released"/>
    <x v="0"/>
    <x v="2"/>
    <x v="8"/>
    <m/>
    <s v="2000-BPRS"/>
    <m/>
    <s v="YESHWANTHPURA"/>
    <s v=""/>
    <n v="600103"/>
    <s v="TATA STEEL LIMITED"/>
    <n v="1250221"/>
    <s v="HR COILS-PO IS 1079 HR2 2.50X1250"/>
    <n v="768"/>
    <s v="THR099"/>
    <s v="HR99"/>
    <n v="2.5"/>
    <n v="1250"/>
    <n v="0"/>
    <s v="T2 DONE"/>
    <s v=" "/>
    <s v=""/>
    <n v="15"/>
    <n v="28"/>
    <n v="290"/>
    <n v="0"/>
    <n v="290"/>
    <n v="29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0"/>
    <s v=""/>
    <s v=""/>
    <m/>
    <m/>
    <m/>
    <m/>
    <m/>
    <x v="0"/>
    <s v="U"/>
    <x v="12"/>
    <s v="768-HR99-2.5-1250"/>
    <s v="367-HR99-2.5-1250"/>
    <x v="0"/>
    <x v="9"/>
    <x v="9"/>
    <x v="9"/>
    <x v="7"/>
    <x v="0"/>
    <x v="67"/>
    <m/>
    <m/>
    <m/>
    <m/>
    <m/>
    <m/>
    <m/>
    <m/>
    <m/>
    <m/>
    <m/>
    <m/>
    <m/>
    <m/>
    <m/>
    <m/>
    <m/>
    <m/>
    <m/>
    <s v="TATA STEEL LIMITED"/>
  </r>
  <r>
    <n v="743"/>
    <d v="2025-08-21T00:00:00"/>
    <s v="ZBTO"/>
    <n v="9519035790"/>
    <n v="1"/>
    <s v="9519035790-1"/>
    <s v="Sep'25"/>
    <s v="Released"/>
    <x v="1"/>
    <x v="3"/>
    <x v="7"/>
    <m/>
    <s v="2000-BPRS"/>
    <m/>
    <s v=" "/>
    <s v="JAMS"/>
    <n v="121328"/>
    <s v="R. S. BOKARO METAL (P) LTD."/>
    <n v="1851065"/>
    <s v="GP COIL SOFT-TATXGP-GK09-0.25X900"/>
    <s v="C02"/>
    <s v="TATXGP"/>
    <s v="GK09"/>
    <n v="0.25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3-0.27"/>
    <s v="900-904"/>
    <m/>
    <m/>
    <m/>
    <m/>
    <m/>
    <x v="0"/>
    <s v="S"/>
    <x v="8"/>
    <s v="C02-GK09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R. S. BOKARO METAL (P) LTD."/>
  </r>
  <r>
    <n v="743"/>
    <d v="2025-08-21T00:00:00"/>
    <s v="ZBTO"/>
    <n v="9519036143"/>
    <n v="1"/>
    <s v="9519036143-1"/>
    <s v="No Priority"/>
    <s v="Released"/>
    <x v="1"/>
    <x v="3"/>
    <x v="7"/>
    <m/>
    <s v="2000-BPRS"/>
    <m/>
    <s v="WEST BOKARO"/>
    <s v="JAMS"/>
    <n v="185794"/>
    <s v="Shree Bajrang Steel Udyog"/>
    <n v="1851065"/>
    <s v="GP COIL SOFT-TATXGP-GK09-0.25X900"/>
    <s v="C02"/>
    <s v="TATXGP"/>
    <s v="GK09"/>
    <n v="0.25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3-0.27"/>
    <s v="900-904"/>
    <m/>
    <m/>
    <m/>
    <m/>
    <m/>
    <x v="0"/>
    <s v="S"/>
    <x v="8"/>
    <s v="C02-GK09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Shree Bajrang Steel Udyog"/>
  </r>
  <r>
    <n v="742"/>
    <d v="2025-08-28T00:00:00"/>
    <s v="ZBTO"/>
    <n v="9519057462"/>
    <n v="1"/>
    <s v="9519057462-1"/>
    <s v="No Priority"/>
    <s v="Released"/>
    <x v="0"/>
    <x v="5"/>
    <x v="5"/>
    <m/>
    <s v="1000-IPPE"/>
    <m/>
    <s v="PURBA MEDINIPUR"/>
    <s v="CALS"/>
    <n v="189406"/>
    <s v="Manaksia Steels Limited"/>
    <n v="43577"/>
    <s v="CR COIL C09 TATFHC TR10 0.41 X 1220"/>
    <s v="C09"/>
    <s v="TATFHC"/>
    <s v="TR10"/>
    <n v="0.41"/>
    <n v="1220"/>
    <n v="0"/>
    <s v="T2 DONE"/>
    <s v=" "/>
    <s v=""/>
    <n v="10"/>
    <n v="22"/>
    <n v="252"/>
    <n v="0"/>
    <n v="252"/>
    <n v="2.99"/>
    <n v="0"/>
    <n v="0"/>
    <n v="249.01"/>
    <s v=""/>
    <s v=""/>
    <s v=""/>
    <s v=""/>
    <s v=""/>
    <s v=""/>
    <s v=""/>
    <s v=""/>
    <s v=""/>
    <s v=""/>
    <s v=""/>
    <n v="0"/>
    <s v=""/>
    <s v=""/>
    <s v=""/>
    <s v=""/>
    <n v="249.01"/>
    <n v="249.01"/>
    <n v="0"/>
    <n v="2.9900000000000091"/>
    <s v="0.39-0.43"/>
    <s v="1220-1223"/>
    <m/>
    <m/>
    <m/>
    <m/>
    <m/>
    <x v="0"/>
    <s v="R"/>
    <x v="21"/>
    <s v="C09-TR10-0.41-1220"/>
    <s v="367-HG02-2-1235"/>
    <x v="0"/>
    <x v="1"/>
    <x v="1"/>
    <x v="1"/>
    <x v="2"/>
    <x v="4"/>
    <x v="27"/>
    <m/>
    <m/>
    <m/>
    <m/>
    <m/>
    <m/>
    <m/>
    <m/>
    <m/>
    <m/>
    <m/>
    <m/>
    <m/>
    <m/>
    <m/>
    <m/>
    <m/>
    <m/>
    <m/>
    <s v="Manaksia Steels Limited"/>
  </r>
  <r>
    <n v="742"/>
    <d v="2025-08-28T00:00:00"/>
    <s v="ZBTO"/>
    <n v="9519057462"/>
    <n v="2"/>
    <s v="9519057462-2"/>
    <s v="No Priority"/>
    <s v="Released"/>
    <x v="1"/>
    <x v="5"/>
    <x v="5"/>
    <n v="500"/>
    <s v="1000-IPPE"/>
    <m/>
    <s v="PURBA MEDINIPUR"/>
    <s v="CALS"/>
    <n v="189406"/>
    <s v="Manaksia Steels Limited"/>
    <n v="43577"/>
    <s v="CR COIL C09 TATFHC TR10 0.41 X 1220"/>
    <s v="C09"/>
    <s v="TATFHC"/>
    <s v="TR10"/>
    <n v="0.41"/>
    <n v="1220"/>
    <n v="0"/>
    <s v="T2 DONE"/>
    <s v=" "/>
    <s v=""/>
    <n v="10"/>
    <n v="22"/>
    <n v="252"/>
    <n v="0"/>
    <n v="252"/>
    <n v="25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52"/>
    <s v="0.39-0.43"/>
    <s v="1220-1223"/>
    <m/>
    <m/>
    <m/>
    <m/>
    <m/>
    <x v="0"/>
    <s v="R"/>
    <x v="21"/>
    <s v="C09-TR10-0.41-1220"/>
    <s v="367-HG02-2-1235"/>
    <x v="0"/>
    <x v="1"/>
    <x v="1"/>
    <x v="1"/>
    <x v="2"/>
    <x v="4"/>
    <x v="27"/>
    <m/>
    <m/>
    <m/>
    <m/>
    <m/>
    <m/>
    <m/>
    <m/>
    <m/>
    <m/>
    <m/>
    <m/>
    <m/>
    <m/>
    <m/>
    <m/>
    <m/>
    <m/>
    <m/>
    <s v="Manaksia Steels Limited"/>
  </r>
  <r>
    <n v="743"/>
    <d v="2025-07-19T00:00:00"/>
    <s v="ZBTO"/>
    <n v="9518941556"/>
    <n v="2"/>
    <s v="9518941556-2"/>
    <s v="Sep'25"/>
    <s v="Released"/>
    <x v="0"/>
    <x v="3"/>
    <x v="7"/>
    <m/>
    <s v="2000-BPRS"/>
    <m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4"/>
    <n v="12"/>
    <n v="210"/>
    <n v="179.29"/>
    <n v="30.71"/>
    <n v="12.045"/>
    <n v="0"/>
    <n v="0"/>
    <n v="0"/>
    <s v=""/>
    <s v=""/>
    <s v=""/>
    <n v="18.664999999999999"/>
    <s v=""/>
    <s v=""/>
    <s v=""/>
    <s v=""/>
    <s v=""/>
    <s v=""/>
    <s v=""/>
    <n v="0"/>
    <s v=""/>
    <s v=""/>
    <s v=""/>
    <s v=""/>
    <n v="18.664999999999999"/>
    <n v="18.664999999999999"/>
    <n v="0"/>
    <n v="12.045000000000002"/>
    <s v="0.33-0.37"/>
    <s v="900-904"/>
    <m/>
    <m/>
    <m/>
    <m/>
    <m/>
    <x v="0"/>
    <s v="S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hree Bajrang Steel Udyog"/>
  </r>
  <r>
    <n v="744"/>
    <d v="2025-08-14T00:00:00"/>
    <s v="ZBTO"/>
    <n v="9519016553"/>
    <n v="1"/>
    <s v="9519016553-1"/>
    <s v="Sep'25"/>
    <s v="Released"/>
    <x v="0"/>
    <x v="4"/>
    <x v="4"/>
    <m/>
    <s v="1000-IPPE"/>
    <m/>
    <s v=" "/>
    <s v="BOMB"/>
    <n v="941597"/>
    <s v="TATA BLUESCOPE STEEL PRIVATE LIMITE"/>
    <n v="3941967"/>
    <s v="PPGL C HARD Y550PL D0C9 0.60(TPT)X1220"/>
    <s v="B18"/>
    <s v="Y550PL"/>
    <s v="D0C9"/>
    <n v="0.6"/>
    <n v="1220"/>
    <n v="0"/>
    <s v="T2 DONE"/>
    <s v="AZ150"/>
    <s v="CHERRY RED TSL 1855"/>
    <n v="3"/>
    <n v="5"/>
    <n v="27.998999999999999"/>
    <n v="0"/>
    <n v="27.998999999999999"/>
    <n v="-0.14099999999999999"/>
    <n v="0"/>
    <n v="0"/>
    <n v="28.14"/>
    <s v=""/>
    <s v=""/>
    <s v=""/>
    <s v=""/>
    <s v=""/>
    <s v=""/>
    <s v=""/>
    <s v=""/>
    <s v=""/>
    <s v=""/>
    <s v=""/>
    <n v="0"/>
    <s v=""/>
    <s v=""/>
    <s v=""/>
    <s v=""/>
    <n v="28.14"/>
    <n v="28.14"/>
    <n v="0"/>
    <n v="-0.14100000000000179"/>
    <s v="0.58-0.62"/>
    <s v="1220-1222"/>
    <m/>
    <m/>
    <m/>
    <m/>
    <m/>
    <x v="0"/>
    <s v="M"/>
    <x v="5"/>
    <s v="B18-D0C9-0.6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3"/>
    <d v="2025-08-21T00:00:00"/>
    <s v="ZBTO"/>
    <n v="9519036674"/>
    <n v="1"/>
    <s v="9519036674-1"/>
    <s v="Stocks"/>
    <s v="Released"/>
    <x v="0"/>
    <x v="1"/>
    <x v="5"/>
    <m/>
    <s v="1000-IPPE"/>
    <m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330"/>
    <n v="276.70999999999998"/>
    <n v="53.29"/>
    <n v="53.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3.29"/>
    <s v="0.41-0.45"/>
    <s v="1240-1265"/>
    <m/>
    <m/>
    <m/>
    <m/>
    <m/>
    <x v="0"/>
    <s v="U"/>
    <x v="10"/>
    <s v="B04-H7GL-0.44-124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JINDAL INDIA LIMITED"/>
  </r>
  <r>
    <n v="743"/>
    <d v="2025-08-21T00:00:00"/>
    <s v="ZBTO"/>
    <n v="9519036674"/>
    <n v="2"/>
    <s v="9519036674-2"/>
    <s v="Sep'25"/>
    <s v="Released"/>
    <x v="0"/>
    <x v="1"/>
    <x v="5"/>
    <m/>
    <s v="1000-IPPE"/>
    <m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330"/>
    <n v="300.733"/>
    <n v="29.266999999999999"/>
    <n v="8.5169999999999995"/>
    <n v="0"/>
    <n v="0"/>
    <n v="0"/>
    <s v=""/>
    <s v=""/>
    <s v=""/>
    <s v=""/>
    <s v=""/>
    <s v=""/>
    <s v=""/>
    <s v=""/>
    <s v=""/>
    <s v=""/>
    <s v=""/>
    <n v="0"/>
    <s v=""/>
    <s v=""/>
    <s v=""/>
    <n v="20.75"/>
    <n v="20.75"/>
    <n v="20.75"/>
    <n v="0"/>
    <n v="8.5169999999999995"/>
    <s v="0.41-0.45"/>
    <s v="1240-1265"/>
    <m/>
    <m/>
    <m/>
    <m/>
    <m/>
    <x v="0"/>
    <s v="U"/>
    <x v="10"/>
    <s v="B04-H7GL-0.44-124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JINDAL INDIA LIMITED"/>
  </r>
  <r>
    <n v="743"/>
    <d v="2025-08-21T00:00:00"/>
    <s v="ZBTO"/>
    <n v="9519036674"/>
    <n v="3"/>
    <s v="9519036674-3"/>
    <s v="Sep'25"/>
    <s v="Released"/>
    <x v="0"/>
    <x v="1"/>
    <x v="5"/>
    <m/>
    <s v="1000-IPPE"/>
    <m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9.99900000000002"/>
    <n v="240.86500000000001"/>
    <n v="39.134"/>
    <n v="30.658999999999999"/>
    <n v="0"/>
    <n v="0"/>
    <n v="0"/>
    <s v=""/>
    <s v=""/>
    <s v=""/>
    <s v=""/>
    <s v=""/>
    <s v=""/>
    <s v=""/>
    <s v=""/>
    <s v=""/>
    <s v=""/>
    <s v=""/>
    <n v="0"/>
    <s v=""/>
    <s v=""/>
    <s v=""/>
    <n v="8.4749999999999996"/>
    <n v="8.4749999999999996"/>
    <n v="8.4749999999999996"/>
    <n v="31"/>
    <n v="-0.34100000000000108"/>
    <s v="0.41-0.45"/>
    <s v="1240-1265"/>
    <m/>
    <m/>
    <m/>
    <m/>
    <m/>
    <x v="0"/>
    <s v="U"/>
    <x v="10"/>
    <s v="B04-H7GL-0.44-124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JINDAL INDIA LIMITED"/>
  </r>
  <r>
    <n v="743"/>
    <d v="2025-08-21T00:00:00"/>
    <s v="ZBTO"/>
    <n v="9519036674"/>
    <n v="4"/>
    <s v="9519036674-4"/>
    <s v="Sep'25"/>
    <s v="Released"/>
    <x v="0"/>
    <x v="1"/>
    <x v="5"/>
    <m/>
    <s v="1000-IPPE"/>
    <m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9.99900000000002"/>
    <n v="218.03"/>
    <n v="61.969000000000001"/>
    <n v="7.7750000000000004"/>
    <n v="0"/>
    <n v="0"/>
    <n v="0"/>
    <s v=""/>
    <s v=""/>
    <n v="5.7490000000000006"/>
    <s v=""/>
    <n v="22.185000000000002"/>
    <s v=""/>
    <s v=""/>
    <s v=""/>
    <s v=""/>
    <s v=""/>
    <s v=""/>
    <n v="0"/>
    <s v=""/>
    <s v=""/>
    <s v=""/>
    <n v="26.26"/>
    <n v="54.194000000000003"/>
    <n v="54.194000000000003"/>
    <n v="0"/>
    <n v="7.7749999999999986"/>
    <s v="0.41-0.45"/>
    <s v="1240-1265"/>
    <m/>
    <m/>
    <m/>
    <m/>
    <m/>
    <x v="0"/>
    <s v="U"/>
    <x v="10"/>
    <s v="B04-H7GL-0.44-124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JINDAL INDIA LIMITED"/>
  </r>
  <r>
    <n v="743"/>
    <d v="2025-08-21T00:00:00"/>
    <s v="ZBTO"/>
    <n v="9519036674"/>
    <n v="8"/>
    <s v="9519036674-8"/>
    <s v="Sep'25"/>
    <s v="Released"/>
    <x v="0"/>
    <x v="1"/>
    <x v="5"/>
    <m/>
    <s v="1000-IPPE"/>
    <m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9.99900000000002"/>
    <n v="253.45"/>
    <n v="26.548999999999999"/>
    <n v="13.834"/>
    <n v="8.7249999999999996"/>
    <n v="0"/>
    <n v="0"/>
    <s v=""/>
    <s v=""/>
    <s v=""/>
    <s v=""/>
    <n v="12.715"/>
    <s v=""/>
    <s v=""/>
    <s v=""/>
    <s v=""/>
    <s v=""/>
    <s v=""/>
    <n v="0"/>
    <s v=""/>
    <s v=""/>
    <s v=""/>
    <s v=""/>
    <n v="12.715"/>
    <n v="12.715"/>
    <n v="0"/>
    <n v="13.834"/>
    <s v="0.41-0.45"/>
    <s v="1240-1265"/>
    <m/>
    <m/>
    <m/>
    <m/>
    <m/>
    <x v="0"/>
    <s v="U"/>
    <x v="10"/>
    <s v="B04-H7GL-0.44-124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JINDAL INDIA LIMITED"/>
  </r>
  <r>
    <n v="743"/>
    <d v="2025-08-29T00:00:00"/>
    <s v="ZBTO"/>
    <n v="9519061532"/>
    <n v="1"/>
    <s v="9519061532-1"/>
    <s v="No Priority"/>
    <s v="Released"/>
    <x v="1"/>
    <x v="3"/>
    <x v="3"/>
    <m/>
    <s v="2000-BPRS"/>
    <m/>
    <s v="LONI"/>
    <s v="GBAD"/>
    <n v="931234"/>
    <s v="JAI LAXMI STEELS"/>
    <n v="1851024"/>
    <s v="GP COIL SOFT-TSBXGP-T1GP-0.22X900"/>
    <s v="C02"/>
    <s v="TSBXGP"/>
    <s v="T1GP"/>
    <n v="0.22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9-0.22"/>
    <s v="900-903"/>
    <m/>
    <m/>
    <m/>
    <m/>
    <m/>
    <x v="0"/>
    <s v="S"/>
    <x v="3"/>
    <s v="C02-T1GP-0.22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JAI LAXMI STEELS"/>
  </r>
  <r>
    <n v="742"/>
    <d v="2025-08-20T00:00:00"/>
    <s v="ZBTO"/>
    <n v="9519030995"/>
    <n v="1"/>
    <s v="9519030995-1"/>
    <s v="No Priority"/>
    <s v="Released"/>
    <x v="0"/>
    <x v="2"/>
    <x v="3"/>
    <m/>
    <s v="2000-BPRS"/>
    <m/>
    <s v="HOWRAH"/>
    <s v="CALS"/>
    <n v="154464"/>
    <s v="TATA STEEL DOWNSTREAM PRODUCTS LIMI"/>
    <n v="4060921"/>
    <s v="HR COILS-PO I09497 1.80X1270"/>
    <n v="768"/>
    <s v="I09497"/>
    <s v="HG01"/>
    <n v="1.8"/>
    <n v="1270"/>
    <n v="0"/>
    <s v="T2 DONE"/>
    <s v=" "/>
    <s v=""/>
    <n v="13"/>
    <n v="3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58"/>
    <n v="0"/>
    <s v=""/>
    <s v=""/>
    <m/>
    <m/>
    <m/>
    <m/>
    <m/>
    <x v="0"/>
    <s v="U"/>
    <x v="12"/>
    <s v="768-HG01-1.8-1270"/>
    <s v="367-HG01-1.8-1270"/>
    <x v="0"/>
    <x v="12"/>
    <x v="12"/>
    <x v="12"/>
    <x v="11"/>
    <x v="8"/>
    <x v="52"/>
    <m/>
    <m/>
    <m/>
    <m/>
    <m/>
    <m/>
    <m/>
    <m/>
    <m/>
    <m/>
    <m/>
    <m/>
    <m/>
    <m/>
    <m/>
    <m/>
    <m/>
    <m/>
    <m/>
    <s v="TATA STEEL DOWNSTREAM PRODUCTS LIMI"/>
  </r>
  <r>
    <n v="742"/>
    <d v="2025-07-22T00:00:00"/>
    <s v="ZBTO"/>
    <n v="9518949530"/>
    <n v="2"/>
    <s v="9518949530-2"/>
    <s v="Sep'25"/>
    <s v="Released"/>
    <x v="0"/>
    <x v="0"/>
    <x v="6"/>
    <m/>
    <s v="2000-BPRS"/>
    <m/>
    <s v="URLA"/>
    <s v="RPUR"/>
    <n v="139336"/>
    <s v="PASA ASSOCIATES PRIVATE LIMITED"/>
    <n v="3240869"/>
    <s v="CRCA SHEET TSBCRC SR15 2X1250X2500"/>
    <s v="C06"/>
    <s v="TSBCRC"/>
    <s v="SR15"/>
    <n v="2"/>
    <n v="1250"/>
    <n v="2500"/>
    <s v="T2 DONE"/>
    <s v=" "/>
    <s v=""/>
    <n v="1"/>
    <n v="5"/>
    <n v="29"/>
    <n v="0"/>
    <n v="29"/>
    <n v="4.4249999999999998"/>
    <n v="0"/>
    <n v="0"/>
    <n v="0"/>
    <s v=""/>
    <s v=""/>
    <s v=""/>
    <s v=""/>
    <s v=""/>
    <s v=""/>
    <s v=""/>
    <s v=""/>
    <s v=""/>
    <s v=""/>
    <s v=""/>
    <n v="24.574999999999999"/>
    <s v=""/>
    <s v=""/>
    <s v=""/>
    <s v=""/>
    <n v="24.574999999999999"/>
    <n v="24.574999999999999"/>
    <n v="0"/>
    <n v="4.4250000000000007"/>
    <s v="1.96-2.01"/>
    <s v="1250-1253"/>
    <m/>
    <m/>
    <m/>
    <m/>
    <m/>
    <x v="0"/>
    <s v="R"/>
    <x v="7"/>
    <s v="C06-SR15-2-1250"/>
    <s v="367-SH69-4.5-1260"/>
    <x v="0"/>
    <x v="7"/>
    <x v="7"/>
    <x v="7"/>
    <x v="9"/>
    <x v="10"/>
    <x v="48"/>
    <m/>
    <m/>
    <m/>
    <m/>
    <m/>
    <m/>
    <m/>
    <m/>
    <m/>
    <m/>
    <m/>
    <m/>
    <m/>
    <m/>
    <m/>
    <m/>
    <m/>
    <m/>
    <m/>
    <s v="PASA ASSOCIATES PRIVATE LIMITED"/>
  </r>
  <r>
    <n v="742"/>
    <d v="2025-08-02T00:00:00"/>
    <s v="ZBTO"/>
    <n v="9518988369"/>
    <n v="1"/>
    <s v="9518988369-1"/>
    <s v="No Priority"/>
    <s v="Released"/>
    <x v="0"/>
    <x v="0"/>
    <x v="0"/>
    <m/>
    <s v="2000-BPRS"/>
    <m/>
    <s v="FARIDABAD"/>
    <s v="GBAD"/>
    <n v="184986"/>
    <s v="SWASTIK STEEL PROCESSOR LLP"/>
    <n v="1804772"/>
    <s v="CRCA COIL TATXXD AU03 0.4X1250"/>
    <s v="C01"/>
    <s v="TATXXD"/>
    <s v="AU03"/>
    <n v="0.4"/>
    <n v="1250"/>
    <n v="0"/>
    <s v="T2 DONE"/>
    <s v=" "/>
    <s v=""/>
    <n v="15"/>
    <n v="29"/>
    <n v="116"/>
    <n v="0"/>
    <n v="116"/>
    <n v="76.14"/>
    <n v="0"/>
    <n v="0"/>
    <n v="0"/>
    <s v=""/>
    <s v=""/>
    <s v=""/>
    <s v=""/>
    <s v=""/>
    <s v=""/>
    <s v=""/>
    <n v="26.990000000000002"/>
    <s v=""/>
    <s v=""/>
    <s v=""/>
    <n v="0"/>
    <s v=""/>
    <n v="12.870000000000001"/>
    <s v=""/>
    <s v=""/>
    <n v="39.86"/>
    <n v="39.86"/>
    <n v="0"/>
    <n v="76.14"/>
    <s v="0.36-0.46"/>
    <s v="1250-1262"/>
    <m/>
    <m/>
    <m/>
    <m/>
    <m/>
    <x v="0"/>
    <s v="U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SWASTIK STEEL PROCESSOR LLP"/>
  </r>
  <r>
    <n v="742"/>
    <d v="2025-07-24T00:00:00"/>
    <s v="ZBTO"/>
    <n v="9518956389"/>
    <n v="14"/>
    <s v="9518956389-14"/>
    <s v="Sep'25"/>
    <s v="Released"/>
    <x v="0"/>
    <x v="0"/>
    <x v="0"/>
    <m/>
    <s v="2000-BPRS"/>
    <m/>
    <s v="YESHWANTHPURA"/>
    <s v="BANG"/>
    <n v="932244"/>
    <s v="DURGA TRADERS"/>
    <n v="2193598"/>
    <s v="CRCA COIL TATXXD AU03 1.900X1250"/>
    <s v="C01"/>
    <s v="TATXXD"/>
    <s v="AU03"/>
    <n v="1.9"/>
    <n v="1250"/>
    <n v="0"/>
    <s v="T2 DONE"/>
    <s v=" "/>
    <s v=""/>
    <n v="10"/>
    <n v="28"/>
    <n v="116"/>
    <n v="51.765000000000001"/>
    <n v="64.234999999999999"/>
    <n v="64.234999999999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64"/>
    <n v="0"/>
    <s v="1.85-1.9"/>
    <s v="1250-1262"/>
    <m/>
    <m/>
    <m/>
    <m/>
    <m/>
    <x v="0"/>
    <s v="U"/>
    <x v="0"/>
    <s v="C01-AU03-1.9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s v="DURGA TRADERS"/>
  </r>
  <r>
    <n v="742"/>
    <d v="2025-08-22T00:00:00"/>
    <s v="ZBTO"/>
    <n v="9519039845"/>
    <n v="1"/>
    <s v="9519039845-1"/>
    <s v="No Priority"/>
    <s v="Released"/>
    <x v="0"/>
    <x v="0"/>
    <x v="0"/>
    <m/>
    <s v="2000-BPRS"/>
    <m/>
    <s v="YESHWANTHPURA"/>
    <s v="BANG"/>
    <n v="932244"/>
    <s v="DURGA TRADERS"/>
    <n v="1800890"/>
    <s v="CRCA COIL-TATXXD-AU03-0.35X1250"/>
    <s v="C01"/>
    <s v="TATXXD"/>
    <s v="AU03"/>
    <n v="0.35"/>
    <n v="1250"/>
    <n v="0"/>
    <s v="T2 DONE"/>
    <s v=" "/>
    <s v=""/>
    <n v="10"/>
    <n v="28"/>
    <n v="116"/>
    <n v="0"/>
    <n v="116"/>
    <n v="11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16"/>
    <s v="0.32-0.35"/>
    <s v="1250-1262"/>
    <m/>
    <m/>
    <m/>
    <m/>
    <m/>
    <x v="0"/>
    <s v="U"/>
    <x v="0"/>
    <s v="C01-AU03-0.35-1250"/>
    <s v="367-SH08-2-1275"/>
    <x v="0"/>
    <x v="0"/>
    <x v="0"/>
    <x v="0"/>
    <x v="2"/>
    <x v="11"/>
    <x v="19"/>
    <m/>
    <m/>
    <m/>
    <m/>
    <m/>
    <m/>
    <m/>
    <m/>
    <m/>
    <m/>
    <m/>
    <m/>
    <m/>
    <m/>
    <m/>
    <m/>
    <m/>
    <m/>
    <m/>
    <s v="DURGA TRADERS"/>
  </r>
  <r>
    <n v="742"/>
    <d v="2025-08-22T00:00:00"/>
    <s v="ZBTO"/>
    <n v="9519039845"/>
    <n v="2"/>
    <s v="9519039845-2"/>
    <s v="No Priority"/>
    <s v="Released"/>
    <x v="0"/>
    <x v="0"/>
    <x v="0"/>
    <m/>
    <s v="2000-BPRS"/>
    <m/>
    <s v="YESHWANTHPURA"/>
    <s v="BANG"/>
    <n v="932244"/>
    <s v="DURGA TRADERS"/>
    <n v="1801022"/>
    <s v="CRCA COIL-TATXXD-AU03-0.45X1250"/>
    <s v="C01"/>
    <s v="TATXXD"/>
    <s v="AU03"/>
    <n v="0.45"/>
    <n v="1250"/>
    <n v="0"/>
    <s v="T2 DONE"/>
    <s v=" "/>
    <s v=""/>
    <n v="10"/>
    <n v="28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42-0.45"/>
    <s v="1250-1262"/>
    <m/>
    <m/>
    <m/>
    <m/>
    <m/>
    <x v="0"/>
    <s v="U"/>
    <x v="0"/>
    <s v="C01-AU03-0.45-1250"/>
    <s v="367-SH08-2.25-1250"/>
    <x v="0"/>
    <x v="0"/>
    <x v="0"/>
    <x v="0"/>
    <x v="4"/>
    <x v="0"/>
    <x v="15"/>
    <m/>
    <m/>
    <m/>
    <m/>
    <m/>
    <m/>
    <m/>
    <m/>
    <m/>
    <m/>
    <m/>
    <m/>
    <m/>
    <m/>
    <m/>
    <m/>
    <m/>
    <m/>
    <m/>
    <s v="DURGA TRADERS"/>
  </r>
  <r>
    <n v="742"/>
    <d v="2025-08-19T00:00:00"/>
    <s v="ZBTO"/>
    <n v="9519028090"/>
    <n v="1"/>
    <s v="9519028090-1"/>
    <s v="Sep'25"/>
    <s v="Released"/>
    <x v="1"/>
    <x v="0"/>
    <x v="0"/>
    <m/>
    <s v="2000-BPRS"/>
    <m/>
    <s v="JSR"/>
    <s v="CALS"/>
    <n v="155536"/>
    <s v="TATA STEEL DOWNSTREAM PRODUCTS LIMI"/>
    <n v="2390329"/>
    <s v="CRCA COIL TATXXD AU03 0.900X1000"/>
    <s v="C01"/>
    <s v="TATXXD"/>
    <s v="AU03"/>
    <n v="0.9"/>
    <n v="1000"/>
    <n v="0"/>
    <s v="T2 DONE"/>
    <s v=" "/>
    <s v=""/>
    <n v="13"/>
    <n v="29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87-0.9"/>
    <s v="1000-1002"/>
    <m/>
    <m/>
    <m/>
    <m/>
    <m/>
    <x v="0"/>
    <s v="C"/>
    <x v="0"/>
    <s v="C01-AU03-0.9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TATA STEEL DOWNSTREAM PRODUCTS LIMI"/>
  </r>
  <r>
    <n v="743"/>
    <d v="2025-08-22T00:00:00"/>
    <s v="ZBTF"/>
    <n v="9519039649"/>
    <n v="1"/>
    <s v="9519039649-1"/>
    <s v="Stocks"/>
    <s v="Released"/>
    <x v="1"/>
    <x v="3"/>
    <x v="3"/>
    <m/>
    <s v="2000-BPRS"/>
    <m/>
    <s v="TCIL-JAMSHEDPUR"/>
    <s v="COMD"/>
    <n v="600250"/>
    <s v="TATA CENTER"/>
    <n v="3230681"/>
    <s v="GP COIL TATXGP GLR1 0.420X1220"/>
    <s v="C02"/>
    <s v="TATXGP"/>
    <s v="GLR1"/>
    <n v="0.42"/>
    <n v="1220"/>
    <n v="0"/>
    <s v="T2 DONE"/>
    <s v="Z80"/>
    <s v=""/>
    <n v="5.4"/>
    <n v="8"/>
    <n v="252"/>
    <n v="133.03"/>
    <n v="118.97"/>
    <n v="118.97"/>
    <n v="6.95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18.97"/>
    <s v="0.4-0.42"/>
    <s v="1220-1222"/>
    <m/>
    <m/>
    <m/>
    <m/>
    <m/>
    <x v="0"/>
    <s v="R"/>
    <x v="3"/>
    <s v="C02-GLR1-0.42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TATA CENTER"/>
  </r>
  <r>
    <n v="743"/>
    <d v="2025-09-02T00:00:00"/>
    <s v="ZBTO"/>
    <n v="9519072501"/>
    <n v="1"/>
    <s v="9519072501-1"/>
    <s v="No Priority"/>
    <s v="Released"/>
    <x v="1"/>
    <x v="1"/>
    <x v="5"/>
    <n v="3500"/>
    <s v="1000-IPPE"/>
    <m/>
    <s v="TAMBATI"/>
    <s v="BOMB"/>
    <n v="942186"/>
    <s v="PRABHAT GLOBAL COLOURCOATED PRIVATE"/>
    <n v="2258434"/>
    <s v="GL COIL HARD  Y550GL H7GL 0.47X1220"/>
    <s v="B04"/>
    <s v="Y550GL"/>
    <s v="H7GL"/>
    <n v="0.47"/>
    <n v="1220"/>
    <n v="0"/>
    <s v="T2 DONE"/>
    <s v="aZ70"/>
    <s v=""/>
    <n v="8"/>
    <n v="12"/>
    <n v="56"/>
    <n v="0"/>
    <n v="56"/>
    <n v="5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6"/>
    <s v="0.43-0.47"/>
    <s v="1220-1225"/>
    <m/>
    <m/>
    <m/>
    <m/>
    <m/>
    <x v="0"/>
    <s v="T"/>
    <x v="10"/>
    <s v="B04-H7GL-0.47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PRABHAT GLOBAL COLOURCOATED PRIVATE"/>
  </r>
  <r>
    <n v="743"/>
    <d v="2025-09-02T00:00:00"/>
    <s v="ZBTO"/>
    <n v="9519072501"/>
    <n v="2"/>
    <s v="9519072501-2"/>
    <s v="No Priority"/>
    <s v="Released"/>
    <x v="1"/>
    <x v="1"/>
    <x v="5"/>
    <m/>
    <s v="1000-IPPE"/>
    <m/>
    <s v="TAMBATI"/>
    <s v="BOMB"/>
    <n v="942186"/>
    <s v="PRABHAT GLOBAL COLOURCOATED PRIVATE"/>
    <n v="1882436"/>
    <s v="GL COIL HARD -Y550GL-H7GL-0.37X1220"/>
    <s v="B04"/>
    <s v="Y550GL"/>
    <s v="H7GL"/>
    <n v="0.37"/>
    <n v="1220"/>
    <n v="0"/>
    <s v="T2 DONE"/>
    <s v="aZ70"/>
    <s v=""/>
    <n v="8"/>
    <n v="12"/>
    <n v="56"/>
    <n v="0"/>
    <n v="56"/>
    <n v="5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6"/>
    <s v="0.34-0.38"/>
    <s v="1220-1225"/>
    <m/>
    <m/>
    <m/>
    <m/>
    <m/>
    <x v="0"/>
    <s v="T"/>
    <x v="3"/>
    <s v="B04-H7GL-0.37-12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PRABHAT GLOBAL COLOURCOATED PRIVATE"/>
  </r>
  <r>
    <n v="742"/>
    <d v="2025-09-05T00:00:00"/>
    <s v="ZBTO"/>
    <n v="9519081427"/>
    <n v="1"/>
    <s v="9519081427-1"/>
    <s v="No Priority"/>
    <s v="Released"/>
    <x v="0"/>
    <x v="2"/>
    <x v="3"/>
    <m/>
    <s v="2000-BPRS"/>
    <m/>
    <s v="VALPARAI"/>
    <s v="MADS"/>
    <n v="116465"/>
    <s v="SRI BALAJI STEEL TRADERS"/>
    <n v="1210083"/>
    <s v="HR COILS-PO IS 1079 HR2 2X1250"/>
    <n v="768"/>
    <s v="THR099"/>
    <s v="HR99"/>
    <n v="2"/>
    <n v="1250"/>
    <n v="0"/>
    <s v="T2 DONE"/>
    <s v=" "/>
    <s v=""/>
    <n v="17"/>
    <n v="29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"/>
    <s v=""/>
    <m/>
    <m/>
    <m/>
    <m/>
    <m/>
    <x v="0"/>
    <s v="U"/>
    <x v="12"/>
    <s v="768-HR99-2-1250"/>
    <s v="367-HR99-2-1250"/>
    <x v="0"/>
    <x v="9"/>
    <x v="9"/>
    <x v="9"/>
    <x v="2"/>
    <x v="0"/>
    <x v="65"/>
    <m/>
    <m/>
    <m/>
    <m/>
    <m/>
    <m/>
    <m/>
    <m/>
    <m/>
    <m/>
    <m/>
    <m/>
    <m/>
    <m/>
    <m/>
    <m/>
    <m/>
    <m/>
    <m/>
    <s v="SRI BALAJI STEEL TRADERS"/>
  </r>
  <r>
    <n v="742"/>
    <d v="2025-07-18T00:00:00"/>
    <s v="ZBTO"/>
    <n v="9518940039"/>
    <n v="1"/>
    <s v="9518940039-1"/>
    <s v="Aug'25"/>
    <s v="Released"/>
    <x v="0"/>
    <x v="0"/>
    <x v="14"/>
    <m/>
    <s v="2000-BPRS"/>
    <m/>
    <s v="YESHWANTHPURA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s v=" "/>
    <s v=""/>
    <n v="15"/>
    <n v="28"/>
    <n v="203"/>
    <n v="171.89"/>
    <n v="31.11"/>
    <n v="27.51"/>
    <n v="0"/>
    <n v="0"/>
    <n v="0"/>
    <s v=""/>
    <s v=""/>
    <s v=""/>
    <s v=""/>
    <s v=""/>
    <s v=""/>
    <s v=""/>
    <s v=""/>
    <s v=""/>
    <s v=""/>
    <s v=""/>
    <n v="0"/>
    <s v=""/>
    <n v="3.6"/>
    <s v=""/>
    <s v=""/>
    <n v="3.6"/>
    <n v="3.6"/>
    <n v="28"/>
    <n v="-0.49000000000000199"/>
    <s v="0.46-0.5"/>
    <s v="1250-1270"/>
    <m/>
    <m/>
    <m/>
    <m/>
    <m/>
    <x v="0"/>
    <s v="M"/>
    <x v="11"/>
    <s v="C01-EL03-0.5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s v="TATA STEEL DOWNSTREAM PRODUCTS LIMI"/>
  </r>
  <r>
    <n v="742"/>
    <d v="2025-08-02T00:00:00"/>
    <s v="ZBTO"/>
    <n v="9518988288"/>
    <n v="3"/>
    <s v="9518988288-3"/>
    <s v="No Priority"/>
    <s v="Released"/>
    <x v="0"/>
    <x v="0"/>
    <x v="6"/>
    <m/>
    <s v="2000-BPRS"/>
    <m/>
    <s v="SILIGURI TOWN"/>
    <s v="GWAH"/>
    <n v="948783"/>
    <s v="SAGAR STEELS"/>
    <n v="2427624"/>
    <s v="CRCA SHEET TSBCRC SR15 0.500X1000X2000"/>
    <s v="C06"/>
    <s v="TSBCRC"/>
    <s v="SR15"/>
    <n v="0.5"/>
    <n v="1000"/>
    <n v="2000"/>
    <s v="T2 DONE"/>
    <s v=" "/>
    <s v=""/>
    <n v="2"/>
    <n v="3"/>
    <n v="22.998999999999999"/>
    <n v="0"/>
    <n v="22.998999999999999"/>
    <n v="1.8240000000000001"/>
    <n v="0"/>
    <n v="0"/>
    <n v="0"/>
    <s v=""/>
    <s v=""/>
    <s v=""/>
    <s v=""/>
    <s v=""/>
    <s v=""/>
    <s v=""/>
    <s v=""/>
    <n v="21.175000000000001"/>
    <s v=""/>
    <s v=""/>
    <n v="0"/>
    <s v=""/>
    <s v=""/>
    <s v=""/>
    <s v=""/>
    <n v="21.175000000000001"/>
    <n v="21.175000000000001"/>
    <n v="0"/>
    <n v="1.8239999999999981"/>
    <s v="0.47-0.5"/>
    <s v="1000-1002"/>
    <m/>
    <m/>
    <m/>
    <m/>
    <m/>
    <x v="0"/>
    <s v="T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s v="SAGAR STEELS"/>
  </r>
  <r>
    <n v="742"/>
    <d v="2025-08-22T00:00:00"/>
    <s v="ZBTO"/>
    <n v="9519040469"/>
    <n v="5"/>
    <s v="9519040469-5"/>
    <s v="Sep'25"/>
    <s v="Released"/>
    <x v="0"/>
    <x v="0"/>
    <x v="5"/>
    <m/>
    <s v="1000-IPPE"/>
    <m/>
    <s v="VILLAGE DADRA"/>
    <s v="NPUR"/>
    <n v="189405"/>
    <s v="Balmer Lawrie And Co. Ltd."/>
    <n v="2170009"/>
    <s v="CRCA COIL TATXXD BT02 1.200X914"/>
    <s v="C01"/>
    <s v="TATXXD"/>
    <s v="BT02"/>
    <n v="1.2"/>
    <n v="914"/>
    <n v="0"/>
    <s v="T2 DONE"/>
    <s v=" "/>
    <s v=""/>
    <n v="6"/>
    <n v="10"/>
    <n v="42"/>
    <n v="0"/>
    <n v="42"/>
    <n v="24.36"/>
    <n v="0"/>
    <n v="0"/>
    <n v="0"/>
    <s v=""/>
    <s v=""/>
    <s v=""/>
    <s v=""/>
    <s v=""/>
    <s v=""/>
    <s v=""/>
    <s v=""/>
    <s v=""/>
    <s v=""/>
    <n v="17.64"/>
    <n v="0"/>
    <s v=""/>
    <s v=""/>
    <s v=""/>
    <s v=""/>
    <n v="17.64"/>
    <n v="17.64"/>
    <n v="24"/>
    <n v="0.35999999999999943"/>
    <s v="1.17-1.23"/>
    <s v="914-915"/>
    <m/>
    <m/>
    <m/>
    <m/>
    <m/>
    <x v="0"/>
    <s v="T"/>
    <x v="6"/>
    <s v="C01-BT02-1.2-914"/>
    <s v="B69-SH67-3.2-935"/>
    <x v="2"/>
    <x v="6"/>
    <x v="6"/>
    <x v="6"/>
    <x v="3"/>
    <x v="16"/>
    <x v="38"/>
    <m/>
    <m/>
    <m/>
    <m/>
    <m/>
    <m/>
    <m/>
    <m/>
    <m/>
    <m/>
    <m/>
    <m/>
    <m/>
    <m/>
    <m/>
    <m/>
    <m/>
    <m/>
    <m/>
    <s v="Balmer Lawrie And Co. Ltd."/>
  </r>
  <r>
    <n v="742"/>
    <d v="2025-07-23T00:00:00"/>
    <s v="ZBTO"/>
    <n v="9518953337"/>
    <n v="1"/>
    <s v="9518953337-1"/>
    <s v="Sep'25"/>
    <s v="Released"/>
    <x v="0"/>
    <x v="2"/>
    <x v="3"/>
    <m/>
    <s v="2000-BPRS"/>
    <m/>
    <s v="CHENNAI"/>
    <s v="MADS"/>
    <n v="161312"/>
    <s v="GOVINDARAJA MUDALIAR SONS PVT LTD"/>
    <n v="1210097"/>
    <s v="HR COILS-PO IS 1079 HR2 5X1250"/>
    <n v="768"/>
    <s v="THR099"/>
    <s v="HR99"/>
    <n v="5"/>
    <n v="1250"/>
    <n v="0"/>
    <s v="T2 DONE"/>
    <s v=" "/>
    <s v=""/>
    <n v="18"/>
    <n v="34"/>
    <n v="58"/>
    <n v="0"/>
    <n v="58"/>
    <n v="-9.2899999999999991"/>
    <n v="0"/>
    <n v="0"/>
    <n v="44.85"/>
    <s v=""/>
    <s v=""/>
    <s v=""/>
    <s v=""/>
    <s v=""/>
    <s v=""/>
    <s v=""/>
    <s v=""/>
    <s v=""/>
    <s v=""/>
    <s v=""/>
    <n v="0"/>
    <s v=""/>
    <n v="22.44"/>
    <s v=""/>
    <s v=""/>
    <n v="67.290000000000006"/>
    <n v="67.290000000000006"/>
    <n v="0"/>
    <n v="-9.2900000000000063"/>
    <s v=""/>
    <s v=""/>
    <m/>
    <m/>
    <m/>
    <m/>
    <m/>
    <x v="0"/>
    <s v="U"/>
    <x v="12"/>
    <s v="768-HR99-5-1250"/>
    <s v="367-HR99-5-1250"/>
    <x v="0"/>
    <x v="9"/>
    <x v="9"/>
    <x v="9"/>
    <x v="12"/>
    <x v="0"/>
    <x v="54"/>
    <m/>
    <m/>
    <m/>
    <m/>
    <m/>
    <m/>
    <m/>
    <m/>
    <m/>
    <m/>
    <m/>
    <m/>
    <m/>
    <m/>
    <m/>
    <m/>
    <m/>
    <m/>
    <m/>
    <s v="GOVINDARAJA MUDALIAR SONS PVT LTD"/>
  </r>
  <r>
    <n v="743"/>
    <d v="2025-08-22T00:00:00"/>
    <s v="ZBTO"/>
    <n v="9519037676"/>
    <n v="1"/>
    <s v="9519037676-1"/>
    <s v="Sep'25 additional"/>
    <s v="Released"/>
    <x v="1"/>
    <x v="3"/>
    <x v="3"/>
    <m/>
    <s v="2200-BPRS"/>
    <m/>
    <s v="CHENNAI"/>
    <s v="MADS"/>
    <n v="822271"/>
    <s v="TATA STEEL DOWNSTREAM PRODUCTS LIMI"/>
    <n v="1851847"/>
    <s v="GP COIL SOFT-TSBXGP-T1GP-0.3X1220"/>
    <s v="C02"/>
    <s v="TSBXGP"/>
    <s v="T1GP"/>
    <n v="0.3"/>
    <n v="1220"/>
    <n v="0"/>
    <s v="T2 DONE"/>
    <s v="Z80"/>
    <s v=""/>
    <n v="3"/>
    <n v="5"/>
    <n v="280"/>
    <n v="4.7949999999999999"/>
    <n v="275.20499999999998"/>
    <n v="270.625"/>
    <n v="4.7949999999999999"/>
    <n v="0"/>
    <n v="0"/>
    <s v=""/>
    <s v=""/>
    <s v=""/>
    <s v=""/>
    <s v=""/>
    <s v=""/>
    <s v=""/>
    <s v=""/>
    <s v=""/>
    <s v=""/>
    <s v=""/>
    <n v="0"/>
    <n v="4.58"/>
    <s v=""/>
    <s v=""/>
    <s v=""/>
    <n v="4.58"/>
    <n v="4.58"/>
    <n v="0"/>
    <n v="270.625"/>
    <s v="0.28-0.32"/>
    <s v="1220-1224"/>
    <m/>
    <m/>
    <m/>
    <m/>
    <m/>
    <x v="0"/>
    <s v="R"/>
    <x v="4"/>
    <s v="C02-T1GP-0.3-1220"/>
    <s v="367-HG02-2-1235"/>
    <x v="0"/>
    <x v="1"/>
    <x v="1"/>
    <x v="1"/>
    <x v="2"/>
    <x v="4"/>
    <x v="27"/>
    <m/>
    <m/>
    <m/>
    <m/>
    <m/>
    <m/>
    <m/>
    <m/>
    <m/>
    <m/>
    <m/>
    <m/>
    <m/>
    <m/>
    <m/>
    <m/>
    <m/>
    <m/>
    <m/>
    <s v="TATA STEEL DOWNSTREAM PRODUCTS LIMI"/>
  </r>
  <r>
    <n v="743"/>
    <d v="2025-08-20T00:00:00"/>
    <s v="ZBTO"/>
    <n v="9519032510"/>
    <n v="1"/>
    <s v="9519032510-1"/>
    <s v="Sep'25"/>
    <s v="Released"/>
    <x v="0"/>
    <x v="3"/>
    <x v="7"/>
    <m/>
    <s v="2000-BPRS"/>
    <m/>
    <s v="PATNA"/>
    <s v="PATN"/>
    <n v="103227"/>
    <s v="BMW VENTURES LIMITED"/>
    <n v="1851066"/>
    <s v="GP COIL SOFT-TATXGP-GLK1-0.25X900"/>
    <s v="C02"/>
    <s v="TATXGP"/>
    <s v="GLK1"/>
    <n v="0.25"/>
    <n v="900"/>
    <n v="0"/>
    <s v="T2 DONE"/>
    <s v="Z80"/>
    <s v=""/>
    <n v="2"/>
    <n v="6"/>
    <n v="63"/>
    <n v="7.5"/>
    <n v="55.5"/>
    <n v="-7.65"/>
    <n v="0"/>
    <n v="0"/>
    <n v="42.18"/>
    <n v="20.97"/>
    <s v=""/>
    <s v=""/>
    <s v=""/>
    <s v=""/>
    <s v=""/>
    <s v=""/>
    <s v=""/>
    <s v=""/>
    <s v=""/>
    <s v=""/>
    <n v="0"/>
    <s v=""/>
    <s v=""/>
    <s v=""/>
    <s v=""/>
    <n v="63.15"/>
    <n v="63.15"/>
    <n v="0"/>
    <n v="-7.6499999999999986"/>
    <s v="0.215-0.26"/>
    <s v="900-904"/>
    <m/>
    <m/>
    <m/>
    <m/>
    <m/>
    <x v="0"/>
    <s v="S"/>
    <x v="8"/>
    <s v="C02-GLK1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BMW VENTURES LIMITED"/>
  </r>
  <r>
    <n v="743"/>
    <d v="2025-07-29T00:00:00"/>
    <s v="ZBTO"/>
    <n v="9518973099"/>
    <n v="1"/>
    <s v="9518973099-1"/>
    <s v="Aug'25"/>
    <s v="Released"/>
    <x v="1"/>
    <x v="3"/>
    <x v="12"/>
    <m/>
    <s v="2000-BPRS"/>
    <m/>
    <s v="GAUHATI"/>
    <s v="GWAH"/>
    <n v="103671"/>
    <s v="BAJRANG STEEL (SALES) CORPORATION"/>
    <n v="3708867"/>
    <s v="GP COIL TATGPH GP02 0.300X900"/>
    <s v="C05"/>
    <s v="TATGPH"/>
    <s v="GP02"/>
    <n v="0.3"/>
    <n v="900"/>
    <n v="0"/>
    <s v="T2 DONE"/>
    <s v="Z120"/>
    <s v=""/>
    <n v="1"/>
    <n v="5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27-0.3"/>
    <s v="900-920"/>
    <m/>
    <m/>
    <m/>
    <m/>
    <m/>
    <x v="0"/>
    <s v="R"/>
    <x v="14"/>
    <s v="C05-GP02-0.3-900"/>
    <s v="B69-SF93-2-925"/>
    <x v="2"/>
    <x v="4"/>
    <x v="4"/>
    <x v="4"/>
    <x v="2"/>
    <x v="3"/>
    <x v="34"/>
    <m/>
    <m/>
    <m/>
    <m/>
    <m/>
    <m/>
    <m/>
    <m/>
    <m/>
    <m/>
    <m/>
    <m/>
    <m/>
    <m/>
    <m/>
    <m/>
    <m/>
    <m/>
    <m/>
    <s v="BAJRANG STEEL (SALES) CORPORATION"/>
  </r>
  <r>
    <n v="742"/>
    <d v="2025-08-01T00:00:00"/>
    <s v="ZBTO"/>
    <n v="9518985861"/>
    <n v="7"/>
    <s v="9518985861-7"/>
    <s v="Sep'25"/>
    <s v="Released"/>
    <x v="0"/>
    <x v="2"/>
    <x v="3"/>
    <m/>
    <s v="2200-BPRS"/>
    <m/>
    <s v="YESHWANTHPURA"/>
    <s v="BANG"/>
    <n v="801611"/>
    <s v="SHIVA FERRIC PVT LTD"/>
    <n v="3947394"/>
    <s v="HR COILS-PO I09497 5X1250"/>
    <n v="768"/>
    <s v="I09497"/>
    <s v="HG01"/>
    <n v="5"/>
    <n v="1250"/>
    <n v="0"/>
    <s v="T2 DONE"/>
    <s v=" "/>
    <s v=""/>
    <n v="15"/>
    <n v="29.5"/>
    <n v="86.998999999999995"/>
    <n v="66.965000000000003"/>
    <n v="20.033999999999999"/>
    <n v="20.033999999999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0"/>
    <n v="0"/>
    <s v=""/>
    <s v=""/>
    <m/>
    <m/>
    <m/>
    <m/>
    <m/>
    <x v="0"/>
    <s v="U"/>
    <x v="12"/>
    <s v="768-HG01-5-1250"/>
    <s v="367-HG01-5-1250"/>
    <x v="0"/>
    <x v="12"/>
    <x v="12"/>
    <x v="12"/>
    <x v="12"/>
    <x v="0"/>
    <x v="69"/>
    <m/>
    <m/>
    <m/>
    <m/>
    <m/>
    <m/>
    <m/>
    <m/>
    <m/>
    <m/>
    <m/>
    <m/>
    <m/>
    <m/>
    <m/>
    <m/>
    <m/>
    <m/>
    <m/>
    <s v="SHIVA FERRIC PVT LTD"/>
  </r>
  <r>
    <n v="742"/>
    <d v="2025-09-05T00:00:00"/>
    <s v="ZBTO"/>
    <n v="9519081380"/>
    <n v="1"/>
    <s v="9519081380-1"/>
    <s v="No Priority"/>
    <s v="Released"/>
    <x v="0"/>
    <x v="2"/>
    <x v="3"/>
    <m/>
    <s v="2000-BPRS"/>
    <m/>
    <s v="CHENNAI"/>
    <s v="MADS"/>
    <n v="116465"/>
    <s v="SRI BALAJI STEEL TRADERS"/>
    <n v="1309822"/>
    <s v="HR COILS-PO IS 1079-HR2 4X1250"/>
    <n v="768"/>
    <s v="THA058"/>
    <s v="HA58"/>
    <n v="4"/>
    <n v="1250"/>
    <n v="0"/>
    <s v="T2 DONE"/>
    <s v=" "/>
    <s v=""/>
    <n v="17"/>
    <n v="29"/>
    <n v="29"/>
    <n v="0"/>
    <n v="29"/>
    <n v="7.05"/>
    <n v="0"/>
    <n v="0"/>
    <n v="0"/>
    <s v=""/>
    <s v=""/>
    <s v=""/>
    <s v=""/>
    <s v=""/>
    <s v=""/>
    <s v=""/>
    <s v=""/>
    <s v=""/>
    <s v=""/>
    <s v=""/>
    <n v="0"/>
    <s v=""/>
    <n v="21.95"/>
    <s v=""/>
    <s v=""/>
    <n v="21.95"/>
    <n v="21.95"/>
    <n v="0"/>
    <n v="7.0500000000000007"/>
    <s v=""/>
    <s v=""/>
    <m/>
    <m/>
    <m/>
    <m/>
    <m/>
    <x v="0"/>
    <s v="U"/>
    <x v="2"/>
    <s v="768-HA58-4-1250"/>
    <s v="367-HA58-4-1250"/>
    <x v="0"/>
    <x v="2"/>
    <x v="2"/>
    <x v="2"/>
    <x v="10"/>
    <x v="0"/>
    <x v="64"/>
    <m/>
    <m/>
    <m/>
    <m/>
    <m/>
    <m/>
    <m/>
    <m/>
    <m/>
    <m/>
    <m/>
    <m/>
    <m/>
    <m/>
    <m/>
    <m/>
    <m/>
    <m/>
    <m/>
    <s v="SRI BALAJI STEEL TRADERS"/>
  </r>
  <r>
    <n v="742"/>
    <d v="2025-09-05T00:00:00"/>
    <s v="ZBTO"/>
    <n v="9519081446"/>
    <n v="1"/>
    <s v="9519081446-1"/>
    <s v="No Priority"/>
    <s v="Released"/>
    <x v="0"/>
    <x v="2"/>
    <x v="3"/>
    <m/>
    <s v="2000-BPRS"/>
    <m/>
    <s v="GUMMIDIPOONDI"/>
    <s v="MADS"/>
    <n v="161312"/>
    <s v="GOVINDARAJA MUDALIAR SONS PVT LTD"/>
    <n v="4015513"/>
    <s v="HR COILS-PO IS 5986 205 FE330 3.20X1250"/>
    <n v="768"/>
    <s v="THA117"/>
    <s v="HA17"/>
    <n v="3.2"/>
    <n v="1250"/>
    <n v="0"/>
    <s v="T2 DONE"/>
    <s v=" "/>
    <s v=""/>
    <n v="17"/>
    <n v="29"/>
    <n v="58"/>
    <n v="21.52"/>
    <n v="36.479999999999997"/>
    <n v="14.72"/>
    <n v="0"/>
    <n v="0"/>
    <n v="21.76"/>
    <s v=""/>
    <s v=""/>
    <s v=""/>
    <s v=""/>
    <s v=""/>
    <s v=""/>
    <s v=""/>
    <s v=""/>
    <s v=""/>
    <s v=""/>
    <s v=""/>
    <n v="0"/>
    <s v=""/>
    <s v=""/>
    <s v=""/>
    <s v=""/>
    <n v="21.76"/>
    <n v="21.76"/>
    <n v="0"/>
    <n v="14.719999999999995"/>
    <s v=""/>
    <s v=""/>
    <m/>
    <m/>
    <m/>
    <m/>
    <m/>
    <x v="0"/>
    <s v="U"/>
    <x v="3"/>
    <s v="768-HA17-3.2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GOVINDARAJA MUDALIAR SONS PVT LTD"/>
  </r>
  <r>
    <n v="742"/>
    <d v="2025-09-05T00:00:00"/>
    <s v="ZBTO"/>
    <n v="9519081518"/>
    <n v="1"/>
    <s v="9519081518-1"/>
    <s v="No Priority"/>
    <s v="Released"/>
    <x v="0"/>
    <x v="2"/>
    <x v="3"/>
    <m/>
    <s v="2000-BPRS"/>
    <m/>
    <s v="CHENNAI"/>
    <s v="MADS"/>
    <n v="861100"/>
    <s v="KARTHIK STEEL"/>
    <n v="1305553"/>
    <s v="HR COILS-PO IS 1079-HR2 6X1250"/>
    <n v="768"/>
    <s v="THA058"/>
    <s v="HA58"/>
    <n v="6"/>
    <n v="1250"/>
    <n v="0"/>
    <s v=""/>
    <s v=" "/>
    <s v=""/>
    <n v="17"/>
    <n v="29"/>
    <n v="58"/>
    <n v="0"/>
    <n v="58"/>
    <n v="13.93"/>
    <n v="0"/>
    <n v="0"/>
    <n v="0"/>
    <s v=""/>
    <s v=""/>
    <s v=""/>
    <s v=""/>
    <s v=""/>
    <s v=""/>
    <s v=""/>
    <s v=""/>
    <s v=""/>
    <s v=""/>
    <s v=""/>
    <n v="0"/>
    <s v=""/>
    <s v=""/>
    <n v="44.07"/>
    <s v=""/>
    <n v="44.07"/>
    <n v="44.07"/>
    <n v="0"/>
    <n v="13.93"/>
    <s v=""/>
    <s v=""/>
    <m/>
    <m/>
    <m/>
    <m/>
    <m/>
    <x v="0"/>
    <s v="U"/>
    <x v="3"/>
    <s v="768-HA58-6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KARTHIK STEEL"/>
  </r>
  <r>
    <n v="743"/>
    <d v="2025-08-20T00:00:00"/>
    <s v="ZBTO"/>
    <n v="9519031683"/>
    <n v="1"/>
    <s v="9519031683-1"/>
    <s v="Sep'25"/>
    <s v="Released"/>
    <x v="0"/>
    <x v="1"/>
    <x v="1"/>
    <m/>
    <s v="1000-IPPE"/>
    <m/>
    <s v="SANAND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s v="AZ150"/>
    <s v=""/>
    <n v="10"/>
    <n v="18"/>
    <n v="290"/>
    <n v="255.77500000000001"/>
    <n v="34.225000000000001"/>
    <n v="-46.44"/>
    <n v="53.95"/>
    <n v="0"/>
    <n v="0"/>
    <s v=""/>
    <n v="1.6500000000000001"/>
    <s v=""/>
    <s v=""/>
    <s v=""/>
    <s v=""/>
    <s v=""/>
    <s v=""/>
    <s v=""/>
    <s v=""/>
    <s v=""/>
    <n v="0"/>
    <n v="13.555000000000001"/>
    <s v=""/>
    <n v="25.27"/>
    <n v="40.19"/>
    <n v="80.664999999999992"/>
    <n v="80.664999999999992"/>
    <n v="0"/>
    <n v="-46.439999999999991"/>
    <s v="0.9-0.94"/>
    <s v="1249-1253"/>
    <m/>
    <m/>
    <m/>
    <m/>
    <m/>
    <x v="0"/>
    <s v="R"/>
    <x v="1"/>
    <s v="B04-H0GL-0.9-1249"/>
    <s v="367-HG02-2.8-1265"/>
    <x v="0"/>
    <x v="1"/>
    <x v="1"/>
    <x v="1"/>
    <x v="0"/>
    <x v="1"/>
    <x v="1"/>
    <m/>
    <m/>
    <m/>
    <m/>
    <m/>
    <m/>
    <m/>
    <m/>
    <m/>
    <m/>
    <m/>
    <m/>
    <m/>
    <m/>
    <m/>
    <m/>
    <m/>
    <m/>
    <m/>
    <s v="PURSHOTAM PROFILES PRIVATE LIMITED"/>
  </r>
  <r>
    <n v="742"/>
    <d v="2025-09-11T00:00:00"/>
    <s v="ZBTF"/>
    <n v="4000518020"/>
    <n v="2"/>
    <s v="4000518020-2"/>
    <s v="No Priority"/>
    <s v="Released"/>
    <x v="0"/>
    <x v="2"/>
    <x v="8"/>
    <m/>
    <s v="2000-BPRS"/>
    <m/>
    <s v="YESHWANTHPURA"/>
    <s v=""/>
    <n v="650789"/>
    <s v="Hosur Tube Plant"/>
    <n v="4116633"/>
    <s v="HR COILS-PO THR099 2.50X1245"/>
    <n v="768"/>
    <s v="THR099"/>
    <s v="HR99"/>
    <n v="2.5"/>
    <n v="1245"/>
    <n v="0"/>
    <s v="T2 DONE"/>
    <s v=" "/>
    <s v=""/>
    <n v="12"/>
    <n v="28"/>
    <n v="58"/>
    <n v="22.25"/>
    <n v="35.75"/>
    <n v="35.7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5.75"/>
    <s v=""/>
    <s v=""/>
    <m/>
    <m/>
    <m/>
    <m/>
    <m/>
    <x v="0"/>
    <s v="U"/>
    <x v="3"/>
    <s v="768-HR99-2.5-1245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Hosur Tube Plant"/>
  </r>
  <r>
    <n v="742"/>
    <d v="2025-09-11T00:00:00"/>
    <s v="ZBTF"/>
    <n v="4000518020"/>
    <n v="3"/>
    <s v="4000518020-3"/>
    <s v="No Priority"/>
    <s v="Released"/>
    <x v="0"/>
    <x v="2"/>
    <x v="8"/>
    <m/>
    <s v="2000-BPRS"/>
    <m/>
    <s v="YESHWANTHPURA"/>
    <s v=""/>
    <n v="650789"/>
    <s v="Hosur Tube Plant"/>
    <n v="4116634"/>
    <s v="HR COILS-PO THR099 2.50X1255"/>
    <n v="768"/>
    <s v="THR099"/>
    <s v="HR99"/>
    <n v="2.5"/>
    <n v="1255"/>
    <n v="0"/>
    <s v="T2 DONE"/>
    <s v=" "/>
    <s v=""/>
    <n v="10"/>
    <n v="28"/>
    <n v="116"/>
    <n v="22.3"/>
    <n v="93.7"/>
    <n v="93.7"/>
    <n v="22.3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93.7"/>
    <s v=""/>
    <s v=""/>
    <m/>
    <m/>
    <m/>
    <m/>
    <m/>
    <x v="0"/>
    <s v="U"/>
    <x v="3"/>
    <s v="768-HR99-2.5-1255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Hosur Tube Plant"/>
  </r>
  <r>
    <n v="742"/>
    <d v="2025-09-11T00:00:00"/>
    <s v="ZBTF"/>
    <n v="4000518020"/>
    <n v="4"/>
    <s v="4000518020-4"/>
    <s v="No Priority"/>
    <s v="Released"/>
    <x v="0"/>
    <x v="2"/>
    <x v="8"/>
    <m/>
    <s v="2000-BPRS"/>
    <m/>
    <s v="YESHWANTHPURA"/>
    <s v=""/>
    <n v="650789"/>
    <s v="Hosur Tube Plant"/>
    <n v="1210083"/>
    <s v="HR COILS-PO IS 1079 HR2 2X1250"/>
    <n v="768"/>
    <s v="THR099"/>
    <s v="HR99"/>
    <n v="2"/>
    <n v="1250"/>
    <n v="0"/>
    <s v="T2 DONE"/>
    <s v=" "/>
    <s v=""/>
    <n v="10"/>
    <n v="28"/>
    <n v="116"/>
    <n v="0"/>
    <n v="116"/>
    <n v="11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16"/>
    <s v=""/>
    <s v=""/>
    <m/>
    <m/>
    <m/>
    <m/>
    <m/>
    <x v="0"/>
    <s v="U"/>
    <x v="12"/>
    <s v="768-HR99-2-1250"/>
    <s v="367-HR99-2-1250"/>
    <x v="0"/>
    <x v="9"/>
    <x v="9"/>
    <x v="9"/>
    <x v="2"/>
    <x v="0"/>
    <x v="65"/>
    <m/>
    <m/>
    <m/>
    <m/>
    <m/>
    <m/>
    <m/>
    <m/>
    <m/>
    <m/>
    <m/>
    <m/>
    <m/>
    <m/>
    <m/>
    <m/>
    <m/>
    <m/>
    <m/>
    <s v="Hosur Tube Plant"/>
  </r>
  <r>
    <n v="743"/>
    <d v="2025-08-20T00:00:00"/>
    <s v="ZBTO"/>
    <n v="9519031560"/>
    <n v="1"/>
    <s v="9519031560-1"/>
    <s v="Sep'25"/>
    <s v="Released"/>
    <x v="0"/>
    <x v="1"/>
    <x v="1"/>
    <m/>
    <s v="1000-IPPE"/>
    <m/>
    <s v="SANAND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s v="AZ150"/>
    <s v=""/>
    <n v="10"/>
    <n v="18"/>
    <n v="290"/>
    <n v="269.26499999999999"/>
    <n v="20.734999999999999"/>
    <n v="-6.0149999999999997"/>
    <n v="0"/>
    <n v="0"/>
    <n v="0"/>
    <s v=""/>
    <s v=""/>
    <s v=""/>
    <s v=""/>
    <n v="13.185"/>
    <s v=""/>
    <s v=""/>
    <s v=""/>
    <s v=""/>
    <s v=""/>
    <s v=""/>
    <n v="0"/>
    <s v=""/>
    <s v=""/>
    <s v=""/>
    <n v="13.565000000000001"/>
    <n v="26.75"/>
    <n v="26.75"/>
    <n v="0"/>
    <n v="-6.0150000000000006"/>
    <s v="0.9-0.94"/>
    <s v="1249-1253"/>
    <m/>
    <m/>
    <m/>
    <m/>
    <m/>
    <x v="0"/>
    <s v="R"/>
    <x v="1"/>
    <s v="B04-H0GL-0.9-1249"/>
    <s v="367-HG02-2.8-1265"/>
    <x v="0"/>
    <x v="1"/>
    <x v="1"/>
    <x v="1"/>
    <x v="0"/>
    <x v="1"/>
    <x v="1"/>
    <m/>
    <m/>
    <m/>
    <m/>
    <m/>
    <m/>
    <m/>
    <m/>
    <m/>
    <m/>
    <m/>
    <m/>
    <m/>
    <m/>
    <m/>
    <m/>
    <m/>
    <m/>
    <m/>
    <s v="PURSHOTAM PROFILES PRIVATE LIMITED"/>
  </r>
  <r>
    <n v="743"/>
    <d v="2025-08-21T00:00:00"/>
    <s v="ZBTO"/>
    <n v="9519036674"/>
    <n v="5"/>
    <s v="9519036674-5"/>
    <s v="Sep'25"/>
    <s v="Released"/>
    <x v="0"/>
    <x v="1"/>
    <x v="5"/>
    <m/>
    <s v="1000-IPPE"/>
    <m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9.99"/>
    <n v="220.98"/>
    <n v="59.01"/>
    <n v="31.37"/>
    <n v="18.89"/>
    <n v="0"/>
    <n v="0"/>
    <s v=""/>
    <s v=""/>
    <s v=""/>
    <s v=""/>
    <s v=""/>
    <s v=""/>
    <s v=""/>
    <s v=""/>
    <s v=""/>
    <s v=""/>
    <s v=""/>
    <n v="0"/>
    <s v=""/>
    <n v="27.64"/>
    <s v=""/>
    <s v=""/>
    <n v="27.64"/>
    <n v="27.64"/>
    <n v="31"/>
    <n v="0.36999999999999744"/>
    <s v="0.41-0.45"/>
    <s v="1240-1265"/>
    <m/>
    <m/>
    <m/>
    <m/>
    <m/>
    <x v="0"/>
    <s v="U"/>
    <x v="10"/>
    <s v="B04-H7GL-0.44-124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JINDAL INDIA LIMITED"/>
  </r>
  <r>
    <n v="742"/>
    <d v="2025-07-18T00:00:00"/>
    <s v="ZBTO"/>
    <n v="9518940039"/>
    <n v="2"/>
    <s v="9518940039-2"/>
    <s v="Sep'25"/>
    <s v="Released"/>
    <x v="0"/>
    <x v="0"/>
    <x v="0"/>
    <m/>
    <s v="2000-BPRS"/>
    <m/>
    <s v="YESHWANTHPURA"/>
    <s v="BANG"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15"/>
    <n v="28"/>
    <n v="58"/>
    <n v="15.39"/>
    <n v="42.61"/>
    <n v="42.6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43"/>
    <n v="0"/>
    <s v="0.31-0.35"/>
    <s v="1250-1270"/>
    <m/>
    <m/>
    <m/>
    <m/>
    <m/>
    <x v="0"/>
    <s v="M"/>
    <x v="0"/>
    <s v="C01-AU03-0.35-1250"/>
    <s v="367-SH08-2-1275"/>
    <x v="0"/>
    <x v="0"/>
    <x v="0"/>
    <x v="0"/>
    <x v="2"/>
    <x v="11"/>
    <x v="19"/>
    <m/>
    <m/>
    <m/>
    <m/>
    <m/>
    <m/>
    <m/>
    <m/>
    <m/>
    <m/>
    <m/>
    <m/>
    <m/>
    <m/>
    <m/>
    <m/>
    <m/>
    <m/>
    <m/>
    <s v="TATA STEEL DOWNSTREAM PRODUCTS LIMI"/>
  </r>
  <r>
    <n v="742"/>
    <d v="2025-07-18T00:00:00"/>
    <s v="ZBTO"/>
    <n v="9518940039"/>
    <n v="3"/>
    <s v="9518940039-3"/>
    <s v="Sep'25"/>
    <s v="Released"/>
    <x v="0"/>
    <x v="0"/>
    <x v="0"/>
    <m/>
    <s v="2000-BPRS"/>
    <m/>
    <s v="YESHWANTHPURA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15"/>
    <n v="28"/>
    <n v="145"/>
    <n v="0"/>
    <n v="145"/>
    <n v="145"/>
    <n v="0"/>
    <n v="0"/>
    <n v="0"/>
    <s v=""/>
    <s v=""/>
    <s v=""/>
    <s v=""/>
    <s v=""/>
    <s v=""/>
    <s v=""/>
    <s v=""/>
    <s v=""/>
    <s v=""/>
    <s v=""/>
    <n v="0"/>
    <s v=""/>
    <n v="12.870000000000001"/>
    <s v=""/>
    <s v=""/>
    <n v="12.870000000000001"/>
    <n v="12.870000000000001"/>
    <n v="145"/>
    <n v="-12.870000000000005"/>
    <s v="0.35-0.4"/>
    <s v="1250-1270"/>
    <m/>
    <m/>
    <m/>
    <m/>
    <m/>
    <x v="0"/>
    <s v="M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TATA STEEL DOWNSTREAM PRODUCTS LIMI"/>
  </r>
  <r>
    <n v="742"/>
    <d v="2025-07-18T00:00:00"/>
    <s v="ZBTO"/>
    <n v="9518940039"/>
    <n v="4"/>
    <s v="9518940039-4"/>
    <s v="Oct'25"/>
    <s v="Released"/>
    <x v="1"/>
    <x v="0"/>
    <x v="0"/>
    <m/>
    <s v="2000-BPRS"/>
    <m/>
    <s v="YESHWANTHPURA"/>
    <s v="BANG"/>
    <n v="939268"/>
    <s v="TATA STEEL DOWNSTREAM PRODUCTS LIMI"/>
    <n v="1801022"/>
    <s v="CRCA COIL-TATXXD-AU03-0.45X1250"/>
    <s v="C01"/>
    <s v="TATXXD"/>
    <s v="AU03"/>
    <n v="0.45"/>
    <n v="1250"/>
    <n v="0"/>
    <s v="T2 DONE"/>
    <s v=" "/>
    <s v=""/>
    <n v="15"/>
    <n v="28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0.41-0.45"/>
    <s v="1250-1270"/>
    <m/>
    <m/>
    <m/>
    <m/>
    <m/>
    <x v="0"/>
    <s v="M"/>
    <x v="0"/>
    <s v="C01-AU03-0.45-1250"/>
    <s v="367-SH08-2.25-1250"/>
    <x v="0"/>
    <x v="0"/>
    <x v="0"/>
    <x v="0"/>
    <x v="4"/>
    <x v="0"/>
    <x v="15"/>
    <m/>
    <m/>
    <m/>
    <m/>
    <m/>
    <m/>
    <m/>
    <m/>
    <m/>
    <m/>
    <m/>
    <m/>
    <m/>
    <m/>
    <m/>
    <m/>
    <m/>
    <m/>
    <m/>
    <s v="TATA STEEL DOWNSTREAM PRODUCTS LIMI"/>
  </r>
  <r>
    <n v="742"/>
    <d v="2025-07-18T00:00:00"/>
    <s v="ZBTO"/>
    <n v="9518940039"/>
    <n v="5"/>
    <s v="9518940039-5"/>
    <s v="Oct'25"/>
    <s v="Released"/>
    <x v="1"/>
    <x v="0"/>
    <x v="0"/>
    <m/>
    <s v="2000-BPRS"/>
    <m/>
    <s v="YESHWANTHPURA"/>
    <s v="BANG"/>
    <n v="939268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5"/>
    <n v="28"/>
    <n v="203"/>
    <n v="24.08"/>
    <n v="178.92"/>
    <n v="178.9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78.92"/>
    <s v="0.46-0.5"/>
    <s v="1250-1262"/>
    <m/>
    <m/>
    <m/>
    <m/>
    <m/>
    <x v="1"/>
    <s v="U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TATA STEEL DOWNSTREAM PRODUCTS LIMI"/>
  </r>
  <r>
    <n v="742"/>
    <d v="2025-07-24T00:00:00"/>
    <s v="ZBTO"/>
    <n v="9518954971"/>
    <n v="1"/>
    <s v="9518954971-1"/>
    <s v="No Priority"/>
    <s v="Released"/>
    <x v="0"/>
    <x v="0"/>
    <x v="14"/>
    <m/>
    <s v="2000-BPRS"/>
    <m/>
    <s v="YESHWANTHPURA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s v=" "/>
    <s v=""/>
    <n v="7"/>
    <n v="29"/>
    <n v="203"/>
    <n v="52.914999999999999"/>
    <n v="150.08500000000001"/>
    <n v="150.0850000000000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50.08500000000001"/>
    <s v="0.46-0.5"/>
    <s v="1250-1262"/>
    <m/>
    <m/>
    <m/>
    <m/>
    <m/>
    <x v="0"/>
    <s v="U"/>
    <x v="11"/>
    <s v="C01-EL03-0.5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s v="TATA STEEL DOWNSTREAM PRODUCTS LIMI"/>
  </r>
  <r>
    <n v="742"/>
    <d v="2025-08-24T00:00:00"/>
    <s v="ZBTO"/>
    <n v="9519043423"/>
    <n v="2"/>
    <s v="9519043423-2"/>
    <s v="Sep'25"/>
    <s v="Released"/>
    <x v="0"/>
    <x v="0"/>
    <x v="5"/>
    <m/>
    <s v="1000-IPPE"/>
    <m/>
    <s v="VILLAGE DADRA"/>
    <s v="NPUR"/>
    <n v="187157"/>
    <s v="T &amp; D GALIAKOT CONTAINERS PVT LTD"/>
    <n v="3655055"/>
    <s v="CR COIL TATXXD BT02 0.880X913"/>
    <s v="C01"/>
    <s v="TATXXD"/>
    <s v="BT02"/>
    <n v="0.88"/>
    <n v="913"/>
    <n v="0"/>
    <s v="T2 DONE"/>
    <s v=" "/>
    <s v=""/>
    <n v="6"/>
    <n v="10"/>
    <n v="125.999"/>
    <n v="0"/>
    <n v="125.999"/>
    <n v="125.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26"/>
    <n v="125.999"/>
    <s v="0.85-0.91"/>
    <s v="1220-1221"/>
    <m/>
    <m/>
    <m/>
    <m/>
    <m/>
    <x v="0"/>
    <s v="T"/>
    <x v="6"/>
    <s v="C01-BT02-0.88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s v="T &amp; D GALIAKOT CONTAINERS PVT LTD"/>
  </r>
  <r>
    <n v="742"/>
    <d v="2025-09-04T00:00:00"/>
    <s v="ZBTF"/>
    <n v="9519077973"/>
    <n v="1"/>
    <s v="9519077973-1"/>
    <s v="No Priority"/>
    <s v="Released"/>
    <x v="1"/>
    <x v="5"/>
    <x v="10"/>
    <m/>
    <s v="2000-BPRS"/>
    <m/>
    <s v="KHOPOLI"/>
    <s v="TSMK"/>
    <n v="650783"/>
    <s v="Khopoli Wider CRM"/>
    <n v="4015459"/>
    <s v="CR COIL TATFHC TR10 0.479X1220"/>
    <s v="C09"/>
    <s v="TATFHC"/>
    <s v="TR10"/>
    <n v="0.47899999999999998"/>
    <n v="1220"/>
    <n v="0"/>
    <s v="T2 DONE"/>
    <s v=" "/>
    <s v=""/>
    <n v="12"/>
    <n v="25"/>
    <n v="111.099"/>
    <n v="79.094999999999999"/>
    <n v="32.003999999999998"/>
    <n v="32.00399999999999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2.003999999999998"/>
    <s v="0.479-0.485"/>
    <s v="1220-1223"/>
    <m/>
    <m/>
    <m/>
    <m/>
    <m/>
    <x v="0"/>
    <s v="C"/>
    <x v="3"/>
    <s v="C09-TR10-0.479-12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Khopoli Wider CRM"/>
  </r>
  <r>
    <n v="743"/>
    <d v="2025-08-23T00:00:00"/>
    <s v="ZBTO"/>
    <n v="9519042561"/>
    <n v="1"/>
    <s v="9519042561-1"/>
    <s v="Sep'25"/>
    <s v="Released"/>
    <x v="0"/>
    <x v="1"/>
    <x v="4"/>
    <m/>
    <s v="1000-IPPE"/>
    <m/>
    <s v=" "/>
    <s v="BOMB"/>
    <n v="942283"/>
    <s v="TATA BLUESCOPE STEEL PRIVATE LIMITE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84"/>
    <n v="31.585000000000001"/>
    <n v="52.414999999999999"/>
    <n v="-2.9849999999999999"/>
    <n v="9.56"/>
    <n v="0"/>
    <n v="28.05"/>
    <s v=""/>
    <s v=""/>
    <s v=""/>
    <s v=""/>
    <n v="18.09"/>
    <s v=""/>
    <s v=""/>
    <s v=""/>
    <s v=""/>
    <s v=""/>
    <s v=""/>
    <n v="0"/>
    <n v="9.26"/>
    <s v=""/>
    <s v=""/>
    <s v=""/>
    <n v="55.4"/>
    <n v="55.4"/>
    <n v="0"/>
    <n v="-2.9849999999999994"/>
    <s v="0.53-0.57"/>
    <s v="1220-1222"/>
    <m/>
    <m/>
    <m/>
    <m/>
    <m/>
    <x v="0"/>
    <s v="R"/>
    <x v="16"/>
    <s v="B04-H6GL-0.5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3"/>
    <d v="2025-09-02T00:00:00"/>
    <s v="ZBTO"/>
    <n v="9519073218"/>
    <n v="1"/>
    <s v="9519073218-1"/>
    <s v="No Priority"/>
    <s v="Released"/>
    <x v="0"/>
    <x v="3"/>
    <x v="7"/>
    <m/>
    <s v="2000-BPRS"/>
    <m/>
    <s v="KANPUR"/>
    <s v="KANP"/>
    <n v="933952"/>
    <s v="AGARWAL STEEL TRADERS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96-0.24"/>
    <s v="900-904"/>
    <m/>
    <m/>
    <m/>
    <m/>
    <m/>
    <x v="0"/>
    <s v="S"/>
    <x v="8"/>
    <s v="C02-GK09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AGARWAL STEEL TRADERS"/>
  </r>
  <r>
    <n v="743"/>
    <d v="2025-09-02T00:00:00"/>
    <s v="ZBTO"/>
    <n v="9519073218"/>
    <n v="3"/>
    <s v="9519073218-3"/>
    <s v="Sep'25 additional"/>
    <s v="Released"/>
    <x v="1"/>
    <x v="3"/>
    <x v="13"/>
    <n v="1500"/>
    <s v="2000-BPRS"/>
    <m/>
    <s v="KANPUR"/>
    <s v="KANP"/>
    <n v="933952"/>
    <s v="AGARWAL STEEL TRADERS"/>
    <n v="2428450"/>
    <s v="GP COIL SOFT TATXGP GK09 0.350X1250"/>
    <s v="C02"/>
    <s v="TATXGP"/>
    <s v="GK09"/>
    <n v="0.35"/>
    <n v="1250"/>
    <n v="0"/>
    <s v="T2 DONE"/>
    <s v="Z80"/>
    <s v=""/>
    <n v="4"/>
    <n v="12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1-0.39"/>
    <s v="900-904"/>
    <m/>
    <m/>
    <m/>
    <m/>
    <m/>
    <x v="0"/>
    <s v="S"/>
    <x v="8"/>
    <s v="C02-GK09-0.35-1250"/>
    <s v="367-HG02-2.25-1265"/>
    <x v="0"/>
    <x v="1"/>
    <x v="1"/>
    <x v="1"/>
    <x v="4"/>
    <x v="1"/>
    <x v="70"/>
    <m/>
    <m/>
    <m/>
    <m/>
    <m/>
    <m/>
    <m/>
    <m/>
    <m/>
    <m/>
    <m/>
    <m/>
    <m/>
    <m/>
    <m/>
    <m/>
    <m/>
    <m/>
    <m/>
    <s v="AGARWAL STEEL TRADERS"/>
  </r>
  <r>
    <n v="743"/>
    <d v="2025-08-21T00:00:00"/>
    <s v="ZBTO"/>
    <n v="9519034083"/>
    <n v="1"/>
    <s v="9519034083-1"/>
    <s v="Sep'25"/>
    <s v="Released"/>
    <x v="0"/>
    <x v="1"/>
    <x v="4"/>
    <m/>
    <s v="1000-IPPE"/>
    <m/>
    <s v="RAJASTHAN"/>
    <s v="BOMB"/>
    <n v="942293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114.505"/>
    <n v="81.495000000000005"/>
    <n v="7.19"/>
    <n v="73.14"/>
    <n v="0"/>
    <n v="0"/>
    <s v=""/>
    <s v=""/>
    <n v="25.1"/>
    <s v=""/>
    <n v="27.985000000000003"/>
    <s v=""/>
    <s v=""/>
    <s v=""/>
    <s v=""/>
    <s v=""/>
    <s v=""/>
    <n v="0"/>
    <s v=""/>
    <n v="12.055"/>
    <s v=""/>
    <n v="9.1650000000000009"/>
    <n v="74.305000000000021"/>
    <n v="74.305000000000021"/>
    <n v="0"/>
    <n v="7.1899999999999835"/>
    <s v="0.45-0.49"/>
    <s v="1220-1222"/>
    <m/>
    <m/>
    <m/>
    <m/>
    <m/>
    <x v="0"/>
    <s v="R"/>
    <x v="16"/>
    <s v="B04-M308-0.47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RIVATE LIMITE"/>
  </r>
  <r>
    <n v="743"/>
    <d v="2025-07-29T00:00:00"/>
    <s v="ZBTO"/>
    <n v="9518973099"/>
    <n v="4"/>
    <s v="9518973099-4"/>
    <s v="Aug'25"/>
    <s v="Released"/>
    <x v="0"/>
    <x v="3"/>
    <x v="12"/>
    <m/>
    <s v="2000-BPRS"/>
    <m/>
    <s v="GAUHATI"/>
    <s v="GWAH"/>
    <n v="103671"/>
    <s v="BAJRANG STEEL (SALES) CORPORATION"/>
    <n v="3710431"/>
    <s v="GP COIL TATGPH GP02 0.630X900"/>
    <s v="C05"/>
    <s v="TATGPH"/>
    <s v="GP02"/>
    <n v="0.63"/>
    <n v="900"/>
    <n v="0"/>
    <s v="T2 DONE"/>
    <s v="Z120"/>
    <s v=""/>
    <n v="1"/>
    <n v="5"/>
    <n v="21"/>
    <n v="0"/>
    <n v="21"/>
    <n v="1.625"/>
    <n v="0"/>
    <n v="0"/>
    <n v="0"/>
    <s v=""/>
    <s v=""/>
    <s v=""/>
    <n v="19.375"/>
    <s v=""/>
    <s v=""/>
    <s v=""/>
    <s v=""/>
    <s v=""/>
    <s v=""/>
    <s v=""/>
    <n v="0"/>
    <s v=""/>
    <s v=""/>
    <s v=""/>
    <s v=""/>
    <n v="19.375"/>
    <n v="19.375"/>
    <n v="0"/>
    <n v="1.625"/>
    <s v="0.6-0.63"/>
    <s v="900-920"/>
    <m/>
    <m/>
    <m/>
    <m/>
    <m/>
    <x v="0"/>
    <s v="R"/>
    <x v="14"/>
    <s v="C05-GP02-0.63-900"/>
    <s v="B69-SF93-2.5-925"/>
    <x v="2"/>
    <x v="4"/>
    <x v="4"/>
    <x v="4"/>
    <x v="7"/>
    <x v="3"/>
    <x v="71"/>
    <m/>
    <m/>
    <m/>
    <m/>
    <m/>
    <m/>
    <m/>
    <m/>
    <m/>
    <m/>
    <m/>
    <m/>
    <m/>
    <m/>
    <m/>
    <m/>
    <m/>
    <m/>
    <m/>
    <s v="BAJRANG STEEL (SALES) CORPORATION"/>
  </r>
  <r>
    <n v="742"/>
    <d v="2025-09-17T00:00:00"/>
    <s v="ZBTO"/>
    <n v="9519113382"/>
    <n v="1"/>
    <s v="9519113382-1"/>
    <s v="Oct'25"/>
    <s v="Released"/>
    <x v="1"/>
    <x v="0"/>
    <x v="6"/>
    <m/>
    <s v="2000-BPRS"/>
    <m/>
    <s v="JAIPUR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s v=" "/>
    <s v=""/>
    <n v="1"/>
    <n v="3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7-0.5"/>
    <s v="1250-1252"/>
    <m/>
    <m/>
    <m/>
    <m/>
    <m/>
    <x v="0"/>
    <s v="T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PELIKAN DOSSIER (P) LTD "/>
  </r>
  <r>
    <n v="742"/>
    <d v="2025-09-17T00:00:00"/>
    <s v="ZBTO"/>
    <n v="9519113382"/>
    <n v="2"/>
    <s v="9519113382-2"/>
    <s v="Oct'25"/>
    <s v="Released"/>
    <x v="1"/>
    <x v="0"/>
    <x v="6"/>
    <m/>
    <s v="2000-BPRS"/>
    <m/>
    <s v="JAIPUR"/>
    <s v="JPUR"/>
    <n v="116137"/>
    <s v="PELIKAN DOSSIER (P) LTD "/>
    <n v="3240793"/>
    <s v="CRCA SHEET TSBCRC SR15 0.700X1250X2500"/>
    <s v="C06"/>
    <s v="TSBCRC"/>
    <s v="SR15"/>
    <n v="0.7"/>
    <n v="1250"/>
    <n v="2500"/>
    <s v="T2 DONE"/>
    <s v=" "/>
    <s v=""/>
    <n v="1"/>
    <n v="3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0.67-0.7"/>
    <s v="1250-1252"/>
    <m/>
    <m/>
    <m/>
    <m/>
    <m/>
    <x v="0"/>
    <s v="T"/>
    <x v="7"/>
    <s v="C06-SR15-0.7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s v="PELIKAN DOSSIER (P) LTD "/>
  </r>
  <r>
    <n v="742"/>
    <d v="2025-08-20T00:00:00"/>
    <s v="ZBTO"/>
    <n v="9519032508"/>
    <n v="5"/>
    <s v="9519032508-5"/>
    <s v="Sep'25"/>
    <s v="Released"/>
    <x v="1"/>
    <x v="0"/>
    <x v="0"/>
    <m/>
    <s v="2000-BPRS"/>
    <m/>
    <s v="VISHAKHAPATNAM"/>
    <s v="SBAD"/>
    <n v="946077"/>
    <s v="SITARAM IRON AND STEEL PVT LTD"/>
    <n v="1801286"/>
    <s v="CRCA COIL-TATXXD-AU03-0.6X1000"/>
    <s v="C01"/>
    <s v="TATXXD"/>
    <s v="AU03"/>
    <n v="0.6"/>
    <n v="1000"/>
    <n v="0"/>
    <s v="T2 DONE"/>
    <s v=" "/>
    <s v=""/>
    <n v="8"/>
    <n v="12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58-0.62"/>
    <s v="1000-1005"/>
    <m/>
    <m/>
    <m/>
    <m/>
    <m/>
    <x v="0"/>
    <s v="C"/>
    <x v="0"/>
    <s v="C01-AU03-0.6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SITARAM IRON AND STEEL PVT LTD"/>
  </r>
  <r>
    <n v="742"/>
    <d v="2025-08-20T00:00:00"/>
    <s v="ZBTO"/>
    <n v="9519032508"/>
    <n v="6"/>
    <s v="9519032508-6"/>
    <s v="Sep'25"/>
    <s v="Released"/>
    <x v="1"/>
    <x v="0"/>
    <x v="0"/>
    <m/>
    <s v="2000-BPRS"/>
    <m/>
    <s v="VISHAKHAPATNAM"/>
    <s v="SBAD"/>
    <n v="946077"/>
    <s v="SITARAM IRON AND STEEL PVT LTD"/>
    <n v="1801562"/>
    <s v="CRCA COIL-TATXXD-AU03-0.8X1000"/>
    <s v="C01"/>
    <s v="TATXXD"/>
    <s v="AU03"/>
    <n v="0.8"/>
    <n v="1000"/>
    <n v="0"/>
    <s v="T2 DONE"/>
    <s v=" "/>
    <s v=""/>
    <n v="8"/>
    <n v="12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78-0.82"/>
    <s v="1000-1005"/>
    <m/>
    <m/>
    <m/>
    <m/>
    <m/>
    <x v="0"/>
    <s v="C"/>
    <x v="0"/>
    <s v="C01-AU03-0.8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SITARAM IRON AND STEEL PVT LTD"/>
  </r>
  <r>
    <n v="742"/>
    <d v="2025-07-18T00:00:00"/>
    <s v="ZBTO"/>
    <n v="9518939680"/>
    <n v="1"/>
    <s v="9518939680-1"/>
    <s v="Sep'25"/>
    <s v="Released"/>
    <x v="1"/>
    <x v="0"/>
    <x v="0"/>
    <m/>
    <s v="2000-BPRS"/>
    <m/>
    <s v="CHENNAI"/>
    <s v="MADS"/>
    <n v="938550"/>
    <s v="BASEER AND CO"/>
    <n v="279229"/>
    <s v="CRSHEET TATXXD AU03 0.50X1250X2500"/>
    <s v="C06"/>
    <s v="TATXXD"/>
    <s v="AU03"/>
    <n v="0.5"/>
    <n v="1250"/>
    <n v="2500"/>
    <s v="T2 DONE"/>
    <s v=" "/>
    <s v=""/>
    <n v="0"/>
    <n v="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48-0.52"/>
    <s v="1250-1254"/>
    <m/>
    <m/>
    <m/>
    <m/>
    <m/>
    <x v="1"/>
    <s v="U"/>
    <x v="0"/>
    <s v="C06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19"/>
    <s v="9518939680-19"/>
    <s v="Sep'25"/>
    <s v="Released"/>
    <x v="0"/>
    <x v="0"/>
    <x v="0"/>
    <m/>
    <s v="2000-BPRS"/>
    <m/>
    <s v="CHENNAI"/>
    <s v="MADS"/>
    <n v="938550"/>
    <s v="BASEER AND CO"/>
    <n v="1804770"/>
    <s v="CRCA COIL-TATXXD-AU03-0.4X900"/>
    <s v="C01"/>
    <s v="TATXXD"/>
    <s v="AU03"/>
    <n v="0.4"/>
    <n v="900"/>
    <n v="0"/>
    <s v="T2 DONE"/>
    <s v=" "/>
    <s v=""/>
    <n v="6"/>
    <n v="18"/>
    <n v="42"/>
    <n v="0"/>
    <n v="42"/>
    <n v="0.1"/>
    <n v="0"/>
    <n v="0"/>
    <n v="0"/>
    <n v="41.9"/>
    <s v=""/>
    <s v=""/>
    <s v=""/>
    <s v=""/>
    <s v=""/>
    <s v=""/>
    <s v=""/>
    <s v=""/>
    <s v=""/>
    <s v=""/>
    <n v="0"/>
    <s v=""/>
    <s v=""/>
    <s v=""/>
    <s v=""/>
    <n v="41.9"/>
    <n v="41.9"/>
    <n v="0"/>
    <n v="0.10000000000000142"/>
    <s v="0.38-0.42"/>
    <s v="900-904"/>
    <m/>
    <m/>
    <m/>
    <m/>
    <m/>
    <x v="0"/>
    <s v="R"/>
    <x v="0"/>
    <s v="C01-AU03-0.4-900"/>
    <s v="B69-SH08-2-925"/>
    <x v="2"/>
    <x v="0"/>
    <x v="0"/>
    <x v="0"/>
    <x v="2"/>
    <x v="3"/>
    <x v="72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20"/>
    <s v="9518939680-20"/>
    <s v="Sep'25"/>
    <s v="Released"/>
    <x v="0"/>
    <x v="0"/>
    <x v="0"/>
    <m/>
    <s v="2000-BPRS"/>
    <m/>
    <s v="CHENNAI"/>
    <s v="MADS"/>
    <n v="938550"/>
    <s v="BASEER AND CO"/>
    <n v="1804771"/>
    <s v="CRCA COIL-TATXXD-AU03-0.4X1000"/>
    <s v="C01"/>
    <s v="TATXXD"/>
    <s v="AU03"/>
    <n v="0.4"/>
    <n v="1000"/>
    <n v="0"/>
    <s v="T2 DONE"/>
    <s v=" "/>
    <s v=""/>
    <n v="6"/>
    <n v="18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38-0.42"/>
    <s v="1000-1004"/>
    <m/>
    <m/>
    <m/>
    <m/>
    <m/>
    <x v="0"/>
    <s v="R"/>
    <x v="0"/>
    <s v="C01-AU03-0.4-1000"/>
    <s v="B69-SH08-2.25-1025"/>
    <x v="2"/>
    <x v="0"/>
    <x v="0"/>
    <x v="0"/>
    <x v="4"/>
    <x v="7"/>
    <x v="73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21"/>
    <s v="9518939680-21"/>
    <s v="Sep'25"/>
    <s v="Released"/>
    <x v="0"/>
    <x v="0"/>
    <x v="0"/>
    <m/>
    <s v="2000-BPRS"/>
    <m/>
    <s v="CHENNAI"/>
    <s v="MADS"/>
    <n v="938550"/>
    <s v="BASEER AND CO"/>
    <n v="1149855"/>
    <s v="CRCA COIL-TATXXD-AU03-0.45X900"/>
    <s v="C01"/>
    <s v="TATXXD"/>
    <s v="AU03"/>
    <n v="0.45"/>
    <n v="900"/>
    <n v="0"/>
    <s v="T2 DONE"/>
    <s v=" "/>
    <s v=""/>
    <n v="6"/>
    <n v="18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43-0.47"/>
    <s v="900-904"/>
    <m/>
    <m/>
    <m/>
    <m/>
    <m/>
    <x v="0"/>
    <s v="R"/>
    <x v="0"/>
    <s v="C01-AU03-0.45-900"/>
    <s v="B69-SH08-2-925"/>
    <x v="2"/>
    <x v="0"/>
    <x v="0"/>
    <x v="0"/>
    <x v="2"/>
    <x v="3"/>
    <x v="72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22"/>
    <s v="9518939680-22"/>
    <s v="Sep'25"/>
    <s v="Released"/>
    <x v="0"/>
    <x v="0"/>
    <x v="0"/>
    <m/>
    <s v="2000-BPRS"/>
    <m/>
    <s v="CHENNAI"/>
    <s v="MADS"/>
    <n v="938550"/>
    <s v="BASEER AND CO"/>
    <n v="2397585"/>
    <s v="CRCA COIL TATXXD AU03 0.450X1000"/>
    <s v="C01"/>
    <s v="TATXXD"/>
    <s v="AU03"/>
    <n v="0.45"/>
    <n v="1000"/>
    <n v="0"/>
    <s v="T2 DONE"/>
    <s v=" "/>
    <s v=""/>
    <n v="6"/>
    <n v="18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43-0.47"/>
    <s v="1000-1004"/>
    <m/>
    <m/>
    <m/>
    <m/>
    <m/>
    <x v="0"/>
    <s v="R"/>
    <x v="0"/>
    <s v="C01-AU03-0.45-1000"/>
    <s v="B69-SH08-2.25-1025"/>
    <x v="2"/>
    <x v="0"/>
    <x v="0"/>
    <x v="0"/>
    <x v="4"/>
    <x v="7"/>
    <x v="73"/>
    <m/>
    <m/>
    <m/>
    <m/>
    <m/>
    <m/>
    <m/>
    <m/>
    <m/>
    <m/>
    <m/>
    <m/>
    <m/>
    <m/>
    <m/>
    <m/>
    <m/>
    <m/>
    <m/>
    <s v="BASEER AND CO"/>
  </r>
  <r>
    <n v="743"/>
    <d v="2025-07-05T00:00:00"/>
    <s v="ZBTO"/>
    <n v="9518908638"/>
    <n v="1"/>
    <s v="9518908638-1"/>
    <s v="Sep'25 additional"/>
    <s v="Released"/>
    <x v="1"/>
    <x v="3"/>
    <x v="3"/>
    <m/>
    <s v="2000-BPRS"/>
    <m/>
    <s v="SRINAGAR"/>
    <s v="LUDH"/>
    <n v="115190"/>
    <s v="SHEYRUB AGENCIES"/>
    <n v="3897501"/>
    <s v="GP COIL XXXGPH GPH3 0.500X900"/>
    <s v="C05"/>
    <s v="XXXGPH"/>
    <s v="GPH3"/>
    <n v="0.5"/>
    <n v="900"/>
    <n v="0"/>
    <s v="T2 DONE"/>
    <s v="Z80"/>
    <s v=""/>
    <n v="3"/>
    <n v="5"/>
    <n v="42"/>
    <n v="0"/>
    <n v="42"/>
    <n v="22.85"/>
    <n v="0"/>
    <n v="0"/>
    <n v="0"/>
    <s v=""/>
    <s v=""/>
    <s v=""/>
    <n v="19.150000000000002"/>
    <s v=""/>
    <s v=""/>
    <s v=""/>
    <s v=""/>
    <s v=""/>
    <s v=""/>
    <s v=""/>
    <n v="0"/>
    <s v=""/>
    <s v=""/>
    <s v=""/>
    <s v=""/>
    <n v="19.150000000000002"/>
    <n v="19.150000000000002"/>
    <n v="0"/>
    <n v="22.849999999999998"/>
    <s v="0.47-0.51"/>
    <s v="900-902"/>
    <m/>
    <m/>
    <m/>
    <m/>
    <m/>
    <x v="0"/>
    <s v="R"/>
    <x v="3"/>
    <s v="C05-GPH3-0.5-900"/>
    <s v="B69-SF93-2.5-925"/>
    <x v="2"/>
    <x v="4"/>
    <x v="4"/>
    <x v="4"/>
    <x v="7"/>
    <x v="3"/>
    <x v="71"/>
    <m/>
    <m/>
    <m/>
    <m/>
    <m/>
    <m/>
    <m/>
    <m/>
    <m/>
    <m/>
    <m/>
    <m/>
    <m/>
    <m/>
    <m/>
    <m/>
    <m/>
    <m/>
    <m/>
    <s v="SHEYRUB AGENCIES"/>
  </r>
  <r>
    <n v="743"/>
    <d v="2025-08-20T00:00:00"/>
    <s v="ZBTO"/>
    <n v="9519031945"/>
    <n v="1"/>
    <s v="9519031945-1"/>
    <s v="Sep'25"/>
    <s v="Released"/>
    <x v="0"/>
    <x v="3"/>
    <x v="7"/>
    <m/>
    <s v="2000-BPRS"/>
    <m/>
    <s v="TANGI"/>
    <s v="BHUB"/>
    <n v="117061"/>
    <s v="BHARTIA  DISTRIBUTORS PVT. LTD."/>
    <n v="3484324"/>
    <s v="GP SH SOFT TATXGP GK09 0.300X900X2500"/>
    <s v="B11"/>
    <s v="TATXGP"/>
    <s v="GK09"/>
    <n v="0.3"/>
    <n v="900"/>
    <n v="2500"/>
    <s v="T2 DONE"/>
    <s v="Z80"/>
    <s v=""/>
    <n v="0.1"/>
    <n v="5"/>
    <n v="90"/>
    <n v="0"/>
    <n v="90"/>
    <n v="56.395000000000003"/>
    <n v="0"/>
    <n v="0"/>
    <n v="0"/>
    <s v=""/>
    <s v=""/>
    <s v=""/>
    <s v=""/>
    <s v=""/>
    <s v=""/>
    <s v=""/>
    <s v=""/>
    <s v=""/>
    <s v=""/>
    <s v=""/>
    <n v="33.604999999999997"/>
    <s v=""/>
    <s v=""/>
    <s v=""/>
    <s v=""/>
    <n v="33.604999999999997"/>
    <n v="33.604999999999997"/>
    <n v="56"/>
    <n v="0.39500000000001023"/>
    <s v="0.297-0.3"/>
    <s v="900-903"/>
    <m/>
    <m/>
    <m/>
    <m/>
    <m/>
    <x v="0"/>
    <s v="R"/>
    <x v="8"/>
    <s v="B11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BHARTIA  DISTRIBUTORS PVT. LTD."/>
  </r>
  <r>
    <n v="742"/>
    <d v="2025-07-23T00:00:00"/>
    <s v="ZBTO"/>
    <n v="9518951771"/>
    <n v="2"/>
    <s v="9518951771-2"/>
    <s v="Sep'25"/>
    <s v="Released"/>
    <x v="1"/>
    <x v="0"/>
    <x v="0"/>
    <m/>
    <s v="2000-BPRS"/>
    <m/>
    <s v="GUMMIDIPOONDI"/>
    <s v="MADS"/>
    <n v="161312"/>
    <s v="GOVINDARAJA MUDALIAR SONS PVT LTD"/>
    <n v="2390540"/>
    <s v="CRCA COIL TATXXD AU03 1.800X1250"/>
    <s v="C01"/>
    <s v="TATXXD"/>
    <s v="AU03"/>
    <n v="1.8"/>
    <n v="1250"/>
    <n v="0"/>
    <s v="T2 DONE"/>
    <s v=" "/>
    <s v=""/>
    <n v="5"/>
    <n v="29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1.78-1.82"/>
    <s v="1250-1262"/>
    <m/>
    <m/>
    <m/>
    <m/>
    <m/>
    <x v="1"/>
    <s v="U"/>
    <x v="0"/>
    <s v="C01-AU03-1.8-1250"/>
    <s v="367-SH08-4-1250"/>
    <x v="0"/>
    <x v="0"/>
    <x v="0"/>
    <x v="0"/>
    <x v="10"/>
    <x v="0"/>
    <x v="74"/>
    <m/>
    <m/>
    <m/>
    <m/>
    <m/>
    <m/>
    <m/>
    <m/>
    <m/>
    <m/>
    <m/>
    <m/>
    <m/>
    <m/>
    <m/>
    <m/>
    <m/>
    <m/>
    <m/>
    <s v="GOVINDARAJA MUDALIAR SONS PVT LTD"/>
  </r>
  <r>
    <n v="742"/>
    <d v="2025-07-07T00:00:00"/>
    <s v="ZBTO"/>
    <n v="9518911415"/>
    <n v="8"/>
    <s v="9518911415-8"/>
    <s v="Sep'25"/>
    <s v="Released"/>
    <x v="1"/>
    <x v="0"/>
    <x v="6"/>
    <m/>
    <s v="2000-BPRS"/>
    <m/>
    <s v="VARANASI"/>
    <s v="KANP"/>
    <n v="931525"/>
    <s v="INDIA STEEL INDUSTRIES"/>
    <n v="3912457"/>
    <s v="CRCA SHEET TATCRC SR16 0.400X1250X2020"/>
    <s v="C06"/>
    <s v="TATCRC"/>
    <s v="SR16"/>
    <n v="0.4"/>
    <n v="1250"/>
    <n v="202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8-0.42"/>
    <s v="1250-1254"/>
    <m/>
    <m/>
    <m/>
    <m/>
    <m/>
    <x v="0"/>
    <s v="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INDIA STEEL INDUSTRIES"/>
  </r>
  <r>
    <n v="742"/>
    <d v="2025-08-27T00:00:00"/>
    <s v="ZBTO"/>
    <n v="9519054439"/>
    <n v="1"/>
    <s v="9519054439-1"/>
    <s v="Sep'25"/>
    <s v="Released"/>
    <x v="0"/>
    <x v="5"/>
    <x v="5"/>
    <m/>
    <s v="1000-IPPE"/>
    <m/>
    <s v="VILLAGE-PRAGPAR"/>
    <s v="AMED"/>
    <n v="189108"/>
    <s v="Manaksia Coated Metals &amp; Industries"/>
    <n v="2305888"/>
    <s v="CRFH COIL TATFHC TR10 0.370X1200"/>
    <s v="C09"/>
    <s v="TATFHC"/>
    <s v="TR10"/>
    <n v="0.37"/>
    <n v="1200"/>
    <n v="0"/>
    <s v="T2 DONE"/>
    <s v=" "/>
    <s v=""/>
    <n v="10"/>
    <n v="20"/>
    <n v="107.999"/>
    <n v="0"/>
    <n v="107.999"/>
    <n v="-16.151"/>
    <n v="0"/>
    <n v="0"/>
    <n v="74.709999999999994"/>
    <n v="49.44"/>
    <s v=""/>
    <s v=""/>
    <s v=""/>
    <s v=""/>
    <s v=""/>
    <s v=""/>
    <s v=""/>
    <s v=""/>
    <s v=""/>
    <s v=""/>
    <n v="0"/>
    <s v=""/>
    <s v=""/>
    <s v=""/>
    <s v=""/>
    <n v="124.14999999999999"/>
    <n v="124.14999999999999"/>
    <n v="0"/>
    <n v="-16.150999999999996"/>
    <s v="0.355-0.38"/>
    <s v="1200-1203"/>
    <m/>
    <m/>
    <m/>
    <m/>
    <m/>
    <x v="0"/>
    <s v="T"/>
    <x v="21"/>
    <s v="C09-TR10-0.37-1200"/>
    <s v="367-HG02-2-1200"/>
    <x v="0"/>
    <x v="1"/>
    <x v="1"/>
    <x v="1"/>
    <x v="2"/>
    <x v="20"/>
    <x v="75"/>
    <m/>
    <m/>
    <m/>
    <m/>
    <m/>
    <m/>
    <m/>
    <m/>
    <m/>
    <m/>
    <m/>
    <m/>
    <m/>
    <m/>
    <m/>
    <m/>
    <m/>
    <m/>
    <m/>
    <s v="Manaksia Coated Metals &amp; Industries"/>
  </r>
  <r>
    <n v="743"/>
    <d v="2025-08-27T00:00:00"/>
    <s v="ZBTO"/>
    <n v="9519054666"/>
    <n v="2"/>
    <s v="9519054666-2"/>
    <s v="No Priority"/>
    <s v="Released"/>
    <x v="0"/>
    <x v="3"/>
    <x v="13"/>
    <m/>
    <s v="2000-BPRS"/>
    <m/>
    <s v="GUWAHATI"/>
    <s v="GWAH"/>
    <n v="936511"/>
    <s v="SAGAR STEELS PROCESSING &amp; MANUFACTU"/>
    <n v="1300229"/>
    <s v="GP COIL SOFT-TATXGP-GLK1-0.4X1220"/>
    <s v="C02"/>
    <s v="TATXGP"/>
    <s v="GLK1"/>
    <n v="0.4"/>
    <n v="1220"/>
    <n v="0"/>
    <s v="T2 DONE"/>
    <s v="Z80"/>
    <s v=""/>
    <n v="6"/>
    <n v="24"/>
    <n v="112"/>
    <n v="54.604999999999997"/>
    <n v="57.395000000000003"/>
    <n v="57.395000000000003"/>
    <n v="54.605000000000004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7.395000000000003"/>
    <s v="0.37-0.4"/>
    <s v="1220-1240"/>
    <m/>
    <m/>
    <m/>
    <m/>
    <m/>
    <x v="0"/>
    <s v="R"/>
    <x v="8"/>
    <s v="C02-GLK1-0.4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SAGAR STEELS PROCESSING &amp; MANUFACTU"/>
  </r>
  <r>
    <n v="742"/>
    <d v="2025-08-29T00:00:00"/>
    <s v="ZBTO"/>
    <n v="9519060675"/>
    <n v="3"/>
    <s v="9519060675-3"/>
    <s v="No Priority"/>
    <s v="Released"/>
    <x v="0"/>
    <x v="2"/>
    <x v="3"/>
    <m/>
    <s v="2000-BPRS"/>
    <m/>
    <s v="YESHWANTHPURA"/>
    <s v="BANG"/>
    <n v="932179"/>
    <s v="DURGA STEEL INDUSTRIES"/>
    <n v="1294719"/>
    <s v="HR COILS-POIS 1079 HR2  2.90X1250"/>
    <n v="768"/>
    <s v="THR099"/>
    <s v="HR99"/>
    <n v="2.9"/>
    <n v="1250"/>
    <n v="0"/>
    <s v="T2 DONE"/>
    <s v=" "/>
    <s v=""/>
    <n v="15"/>
    <n v="29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"/>
    <s v="1250-1275"/>
    <m/>
    <m/>
    <m/>
    <m/>
    <m/>
    <x v="0"/>
    <s v="U"/>
    <x v="9"/>
    <s v="768-HR99-2.9-1250"/>
    <s v="367-HR99-2.9-1250"/>
    <x v="0"/>
    <x v="9"/>
    <x v="9"/>
    <x v="9"/>
    <x v="13"/>
    <x v="0"/>
    <x v="76"/>
    <m/>
    <m/>
    <m/>
    <m/>
    <m/>
    <m/>
    <m/>
    <m/>
    <m/>
    <m/>
    <m/>
    <m/>
    <m/>
    <m/>
    <m/>
    <m/>
    <m/>
    <m/>
    <m/>
    <s v="DURGA STEEL INDUSTRIES"/>
  </r>
  <r>
    <n v="742"/>
    <d v="2025-08-29T00:00:00"/>
    <s v="ZBTO"/>
    <n v="9519060675"/>
    <n v="4"/>
    <s v="9519060675-4"/>
    <s v="No Priority"/>
    <s v="Released"/>
    <x v="0"/>
    <x v="2"/>
    <x v="3"/>
    <m/>
    <s v="2000-BPRS"/>
    <m/>
    <s v="YESHWANTHPURA"/>
    <s v="BANG"/>
    <n v="932179"/>
    <s v="DURGA STEEL INDUSTRIES"/>
    <n v="1252834"/>
    <s v="HR COILS-PO IS 1079 HR2 3.0X1250"/>
    <n v="768"/>
    <s v="THR099"/>
    <s v="HR99"/>
    <n v="3"/>
    <n v="1250"/>
    <n v="0"/>
    <s v="T2 DONE"/>
    <s v=" "/>
    <s v=""/>
    <n v="15"/>
    <n v="29"/>
    <n v="87"/>
    <n v="0"/>
    <n v="87"/>
    <n v="19.72"/>
    <n v="0"/>
    <n v="0"/>
    <n v="22.6"/>
    <s v=""/>
    <s v=""/>
    <s v=""/>
    <s v=""/>
    <s v=""/>
    <s v=""/>
    <s v=""/>
    <s v=""/>
    <s v=""/>
    <s v=""/>
    <s v=""/>
    <n v="0"/>
    <s v=""/>
    <s v=""/>
    <s v=""/>
    <n v="44.68"/>
    <n v="67.28"/>
    <n v="67.28"/>
    <n v="0"/>
    <n v="19.72"/>
    <s v=""/>
    <s v="1250-1275"/>
    <m/>
    <m/>
    <m/>
    <m/>
    <m/>
    <x v="0"/>
    <s v="U"/>
    <x v="12"/>
    <s v="768-HR99-3-1250"/>
    <s v="367-HR99-3-1250"/>
    <x v="0"/>
    <x v="9"/>
    <x v="9"/>
    <x v="9"/>
    <x v="1"/>
    <x v="0"/>
    <x v="40"/>
    <m/>
    <m/>
    <m/>
    <m/>
    <m/>
    <m/>
    <m/>
    <m/>
    <m/>
    <m/>
    <m/>
    <m/>
    <m/>
    <m/>
    <m/>
    <m/>
    <m/>
    <m/>
    <m/>
    <s v="DURGA STEEL INDUSTRIES"/>
  </r>
  <r>
    <n v="742"/>
    <d v="2025-08-29T00:00:00"/>
    <s v="ZBTO"/>
    <n v="9519060675"/>
    <n v="5"/>
    <s v="9519060675-5"/>
    <s v="No Priority"/>
    <s v="Released"/>
    <x v="0"/>
    <x v="2"/>
    <x v="3"/>
    <m/>
    <s v="2000-BPRS"/>
    <m/>
    <s v="YESHWANTHPURA"/>
    <s v="BANG"/>
    <n v="932179"/>
    <s v="DURGA STEEL INDUSTRIES"/>
    <n v="1210086"/>
    <s v="HR COILS-PO IS 1079 HR2 4X1250"/>
    <n v="768"/>
    <s v="THR099"/>
    <s v="HR99"/>
    <n v="4"/>
    <n v="1250"/>
    <n v="0"/>
    <s v="T2 DONE"/>
    <s v=" "/>
    <s v=""/>
    <n v="15"/>
    <n v="29"/>
    <n v="58"/>
    <n v="0"/>
    <n v="58"/>
    <n v="14.71"/>
    <n v="0"/>
    <n v="0"/>
    <n v="21.02"/>
    <s v=""/>
    <s v=""/>
    <s v=""/>
    <s v=""/>
    <s v=""/>
    <s v=""/>
    <s v=""/>
    <s v=""/>
    <s v=""/>
    <s v=""/>
    <s v=""/>
    <n v="0"/>
    <s v=""/>
    <s v=""/>
    <s v=""/>
    <n v="22.27"/>
    <n v="43.29"/>
    <n v="43.29"/>
    <n v="0"/>
    <n v="14.71"/>
    <s v=""/>
    <s v="1250-1275"/>
    <m/>
    <m/>
    <m/>
    <m/>
    <m/>
    <x v="0"/>
    <s v="U"/>
    <x v="12"/>
    <s v="768-HR99-4-1250"/>
    <s v="367-HR99-4-1250"/>
    <x v="0"/>
    <x v="9"/>
    <x v="9"/>
    <x v="9"/>
    <x v="10"/>
    <x v="0"/>
    <x v="77"/>
    <m/>
    <m/>
    <m/>
    <m/>
    <m/>
    <m/>
    <m/>
    <m/>
    <m/>
    <m/>
    <m/>
    <m/>
    <m/>
    <m/>
    <m/>
    <m/>
    <m/>
    <m/>
    <m/>
    <s v="DURGA STEEL INDUSTRIES"/>
  </r>
  <r>
    <n v="742"/>
    <d v="2025-08-22T00:00:00"/>
    <s v="ZBTO"/>
    <n v="9519038135"/>
    <n v="3"/>
    <s v="9519038135-3"/>
    <s v="No Priority"/>
    <s v="Released"/>
    <x v="0"/>
    <x v="0"/>
    <x v="0"/>
    <m/>
    <s v="2000-BPRS"/>
    <m/>
    <s v="VALPARAI"/>
    <s v="MADS"/>
    <n v="116465"/>
    <s v="SRI BALAJI STEEL TRADERS"/>
    <n v="1804854"/>
    <s v="CRCA COIL-TATXXD-AU03-1.2X1250"/>
    <s v="C01"/>
    <s v="TATXXD"/>
    <s v="AU03"/>
    <n v="1.2"/>
    <n v="1250"/>
    <n v="0"/>
    <s v="T2 DONE"/>
    <s v=" "/>
    <s v=""/>
    <n v="6"/>
    <n v="18"/>
    <n v="29"/>
    <n v="0"/>
    <n v="29"/>
    <n v="4.3499999999999996"/>
    <n v="0"/>
    <n v="0"/>
    <n v="0"/>
    <s v=""/>
    <s v=""/>
    <s v=""/>
    <s v=""/>
    <s v=""/>
    <s v=""/>
    <s v=""/>
    <s v=""/>
    <n v="24.650000000000002"/>
    <s v=""/>
    <s v=""/>
    <n v="0"/>
    <s v=""/>
    <s v=""/>
    <s v=""/>
    <s v=""/>
    <n v="24.650000000000002"/>
    <n v="24.650000000000002"/>
    <n v="0"/>
    <n v="4.3499999999999979"/>
    <s v="1.18-1.22"/>
    <s v="1250-1262"/>
    <m/>
    <m/>
    <m/>
    <m/>
    <m/>
    <x v="0"/>
    <s v="U"/>
    <x v="0"/>
    <s v="C01-AU03-1.2-1250"/>
    <s v="367-SH08-3.2-1250"/>
    <x v="0"/>
    <x v="0"/>
    <x v="0"/>
    <x v="0"/>
    <x v="3"/>
    <x v="0"/>
    <x v="58"/>
    <m/>
    <m/>
    <m/>
    <m/>
    <m/>
    <m/>
    <m/>
    <m/>
    <m/>
    <m/>
    <m/>
    <m/>
    <m/>
    <m/>
    <m/>
    <m/>
    <m/>
    <m/>
    <m/>
    <s v="SRI BALAJI STEEL TRADERS"/>
  </r>
  <r>
    <n v="743"/>
    <d v="2025-08-30T00:00:00"/>
    <s v="ZBTO"/>
    <n v="9519065058"/>
    <n v="1"/>
    <s v="9519065058-1"/>
    <s v="No Priority"/>
    <s v="Released"/>
    <x v="0"/>
    <x v="1"/>
    <x v="4"/>
    <m/>
    <s v="1000-IPPE"/>
    <m/>
    <s v="TAMILNADU"/>
    <s v="BOMB"/>
    <n v="942294"/>
    <s v="TATA BLUESCOPE STEEL PRIVATE LIMITE"/>
    <n v="4108810"/>
    <s v="GL COIL HARD  Y550GL M310 0.350X1220"/>
    <s v="B04"/>
    <s v="Y550GL"/>
    <s v="M310"/>
    <n v="0.35"/>
    <n v="1220"/>
    <n v="0"/>
    <s v="T2 DONE"/>
    <s v="AZ150"/>
    <s v=""/>
    <n v="3"/>
    <n v="5"/>
    <n v="56"/>
    <n v="0"/>
    <n v="56"/>
    <n v="-0.12"/>
    <n v="0"/>
    <n v="0"/>
    <n v="56.12"/>
    <s v=""/>
    <s v=""/>
    <s v=""/>
    <s v=""/>
    <s v=""/>
    <s v=""/>
    <s v=""/>
    <s v=""/>
    <s v=""/>
    <s v=""/>
    <s v=""/>
    <n v="0"/>
    <s v=""/>
    <s v=""/>
    <s v=""/>
    <s v=""/>
    <n v="56.12"/>
    <n v="56.12"/>
    <n v="0"/>
    <n v="-0.11999999999999744"/>
    <s v="0.33-0.37"/>
    <s v="1220-1222"/>
    <m/>
    <m/>
    <m/>
    <m/>
    <m/>
    <x v="0"/>
    <s v="R"/>
    <x v="22"/>
    <s v="B04-M310-0.3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RIVATE LIMITE"/>
  </r>
  <r>
    <n v="743"/>
    <d v="2025-08-26T00:00:00"/>
    <s v="ZBTO"/>
    <n v="9519051518"/>
    <n v="1"/>
    <s v="9519051518-1"/>
    <s v="No Priority"/>
    <s v="Released"/>
    <x v="0"/>
    <x v="1"/>
    <x v="4"/>
    <m/>
    <s v="1000-IPPE"/>
    <m/>
    <s v="TATANAGAR"/>
    <s v="BOMB"/>
    <n v="942284"/>
    <s v="TATA BLUESCOPE STEEL PRIVATE LIMITE"/>
    <n v="4108810"/>
    <s v="GL COIL HARD  Y550GL M310 0.350X1220"/>
    <s v="B04"/>
    <s v="Y550GL"/>
    <s v="M310"/>
    <n v="0.35"/>
    <n v="1220"/>
    <n v="0"/>
    <s v="T2 DONE"/>
    <s v="AZ150"/>
    <s v=""/>
    <n v="3"/>
    <n v="5"/>
    <n v="28"/>
    <n v="0"/>
    <n v="28"/>
    <n v="-0.05"/>
    <n v="0"/>
    <n v="0"/>
    <n v="28.05"/>
    <s v=""/>
    <s v=""/>
    <s v=""/>
    <s v=""/>
    <s v=""/>
    <s v=""/>
    <s v=""/>
    <s v=""/>
    <s v=""/>
    <s v=""/>
    <s v=""/>
    <n v="0"/>
    <s v=""/>
    <s v=""/>
    <s v=""/>
    <s v=""/>
    <n v="28.05"/>
    <n v="28.05"/>
    <n v="0"/>
    <n v="-5.0000000000000711E-2"/>
    <s v="0.33-0.37"/>
    <s v="1220-1222"/>
    <m/>
    <m/>
    <m/>
    <m/>
    <m/>
    <x v="0"/>
    <s v="R"/>
    <x v="22"/>
    <s v="B04-M310-0.3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RIVATE LIMITE"/>
  </r>
  <r>
    <n v="743"/>
    <d v="2025-09-04T00:00:00"/>
    <s v="ZBTO"/>
    <n v="9519078271"/>
    <n v="1"/>
    <s v="9519078271-1"/>
    <s v="No Priority"/>
    <s v="Released"/>
    <x v="0"/>
    <x v="1"/>
    <x v="1"/>
    <m/>
    <s v="1000-IPPE"/>
    <m/>
    <s v="JAIPUR"/>
    <s v="AMED"/>
    <n v="950529"/>
    <s v="RAYDEAN ENTERPRISES PRIVATE LIMITED"/>
    <n v="3884496"/>
    <s v="GL COIL HARD  Y550GL HGL6 0.900X1220"/>
    <s v="B04"/>
    <s v="Y550GL"/>
    <s v="HGL6"/>
    <n v="0.9"/>
    <n v="1220"/>
    <n v="0"/>
    <s v="T2 DONE"/>
    <s v="AZ150"/>
    <s v=""/>
    <n v="8"/>
    <n v="14"/>
    <n v="168"/>
    <n v="56.015000000000001"/>
    <n v="111.985"/>
    <n v="-9.86"/>
    <n v="56.015000000000001"/>
    <n v="0"/>
    <n v="0"/>
    <s v=""/>
    <s v=""/>
    <n v="3.355"/>
    <s v=""/>
    <n v="30.125"/>
    <s v=""/>
    <s v=""/>
    <s v=""/>
    <s v=""/>
    <s v=""/>
    <s v=""/>
    <n v="0"/>
    <s v=""/>
    <s v=""/>
    <s v=""/>
    <n v="88.365000000000009"/>
    <n v="121.845"/>
    <n v="121.845"/>
    <n v="0"/>
    <n v="-9.86"/>
    <s v="0.88-0.92"/>
    <s v="1220-1222"/>
    <m/>
    <m/>
    <m/>
    <m/>
    <m/>
    <x v="0"/>
    <s v="R"/>
    <x v="3"/>
    <s v="B04-HGL6-0.9-12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RAYDEAN ENTERPRISES PRIVATE LIMITED"/>
  </r>
  <r>
    <n v="742"/>
    <d v="2025-07-21T00:00:00"/>
    <s v="ZBTO"/>
    <n v="9518946807"/>
    <n v="1"/>
    <s v="9518946807-1"/>
    <s v="No Priority"/>
    <s v="Released"/>
    <x v="0"/>
    <x v="0"/>
    <x v="0"/>
    <m/>
    <s v="2000-BPRS"/>
    <m/>
    <s v="ZOSOLA"/>
    <s v="FBAD"/>
    <n v="101499"/>
    <s v="G.R. GUPTA &amp; BROS."/>
    <n v="1800890"/>
    <s v="CRCA COIL-TATXXD-AU03-0.35X1250"/>
    <s v="C01"/>
    <s v="TATXXD"/>
    <s v="AU03"/>
    <n v="0.35"/>
    <n v="1250"/>
    <n v="0"/>
    <s v="T2 DONE"/>
    <s v=" "/>
    <s v=""/>
    <n v="10"/>
    <n v="30"/>
    <n v="29"/>
    <n v="10.414999999999999"/>
    <n v="18.585000000000001"/>
    <n v="18.585000000000001"/>
    <n v="10.415000000000001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8.585000000000001"/>
    <s v="0.32-0.36"/>
    <s v="1250-1252"/>
    <m/>
    <m/>
    <m/>
    <m/>
    <m/>
    <x v="0"/>
    <s v="M"/>
    <x v="0"/>
    <s v="C01-AU03-0.35-1250"/>
    <s v="367-SH08-2-1275"/>
    <x v="0"/>
    <x v="0"/>
    <x v="0"/>
    <x v="0"/>
    <x v="2"/>
    <x v="11"/>
    <x v="19"/>
    <m/>
    <m/>
    <m/>
    <m/>
    <m/>
    <m/>
    <m/>
    <m/>
    <m/>
    <m/>
    <m/>
    <m/>
    <m/>
    <m/>
    <m/>
    <m/>
    <m/>
    <m/>
    <m/>
    <s v="G.R. GUPTA &amp; BROS."/>
  </r>
  <r>
    <n v="743"/>
    <d v="2025-08-21T00:00:00"/>
    <s v="ZBTO"/>
    <n v="9519035025"/>
    <n v="2"/>
    <s v="9519035025-2"/>
    <s v="Sep'25"/>
    <s v="Released"/>
    <x v="0"/>
    <x v="1"/>
    <x v="4"/>
    <m/>
    <s v="1000-IPPE"/>
    <m/>
    <s v="TAMILNADU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68"/>
    <n v="115.94499999999999"/>
    <n v="52.055"/>
    <n v="3.21"/>
    <n v="56.54"/>
    <n v="0"/>
    <n v="0"/>
    <s v=""/>
    <s v=""/>
    <s v=""/>
    <s v=""/>
    <n v="39.815000000000005"/>
    <s v=""/>
    <s v=""/>
    <s v=""/>
    <s v=""/>
    <s v=""/>
    <s v=""/>
    <n v="0"/>
    <s v=""/>
    <s v=""/>
    <s v=""/>
    <n v="9.0299999999999994"/>
    <n v="48.845000000000006"/>
    <n v="48.845000000000006"/>
    <n v="0"/>
    <n v="3.2099999999999937"/>
    <s v="0.45-0.49"/>
    <s v="1220-1222"/>
    <m/>
    <m/>
    <m/>
    <m/>
    <m/>
    <x v="0"/>
    <s v="R"/>
    <x v="16"/>
    <s v="B04-M308-0.47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RIVATE LIMITE"/>
  </r>
  <r>
    <n v="742"/>
    <d v="2025-08-28T00:00:00"/>
    <s v="ZBTF"/>
    <n v="4000516624"/>
    <n v="2"/>
    <s v="4000516624-2"/>
    <s v="Sep'25"/>
    <s v="Released"/>
    <x v="0"/>
    <x v="2"/>
    <x v="8"/>
    <m/>
    <s v="2000-BPRS"/>
    <m/>
    <s v="YESHWANTHPURA"/>
    <s v=""/>
    <n v="600103"/>
    <s v="TATA STEEL LIMITED"/>
    <n v="1250221"/>
    <s v="HR COILS-PO IS 1079 HR2 2.50X1250"/>
    <n v="768"/>
    <s v="THR099"/>
    <s v="HR99"/>
    <n v="2.5"/>
    <n v="1250"/>
    <n v="0"/>
    <s v="T2 DONE"/>
    <s v=" "/>
    <s v=""/>
    <n v="10"/>
    <n v="27"/>
    <n v="290.00099999999998"/>
    <n v="44.35"/>
    <n v="245.65100000000001"/>
    <n v="245.6510000000000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45.65100000000001"/>
    <s v=""/>
    <s v=""/>
    <m/>
    <m/>
    <m/>
    <m/>
    <m/>
    <x v="0"/>
    <s v="U"/>
    <x v="12"/>
    <s v="768-HR99-2.5-1250"/>
    <s v="367-HR99-2.5-1250"/>
    <x v="0"/>
    <x v="9"/>
    <x v="9"/>
    <x v="9"/>
    <x v="7"/>
    <x v="0"/>
    <x v="67"/>
    <m/>
    <m/>
    <m/>
    <m/>
    <m/>
    <m/>
    <m/>
    <m/>
    <m/>
    <m/>
    <m/>
    <m/>
    <m/>
    <m/>
    <m/>
    <m/>
    <m/>
    <m/>
    <m/>
    <s v="TATA STEEL LIMITED"/>
  </r>
  <r>
    <n v="742"/>
    <d v="2025-08-28T00:00:00"/>
    <s v="ZBTF"/>
    <n v="4000516624"/>
    <n v="4"/>
    <s v="4000516624-4"/>
    <s v="Sep'25"/>
    <s v="Released"/>
    <x v="0"/>
    <x v="2"/>
    <x v="8"/>
    <m/>
    <s v="2000-BPRS"/>
    <m/>
    <s v="YESHWANTHPURA"/>
    <s v=""/>
    <n v="600103"/>
    <s v="TATA STEEL LIMITED"/>
    <n v="1294722"/>
    <s v="HR COILS-PO IS 1079 HR2 3.15X1250"/>
    <n v="768"/>
    <s v="THR099"/>
    <s v="HR99"/>
    <n v="3.15"/>
    <n v="1250"/>
    <n v="0"/>
    <s v="T2 DONE"/>
    <s v=" "/>
    <s v=""/>
    <n v="10"/>
    <n v="27"/>
    <n v="174.001"/>
    <n v="0"/>
    <n v="174.001"/>
    <n v="174.00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74.001"/>
    <s v=""/>
    <s v=""/>
    <m/>
    <m/>
    <m/>
    <m/>
    <m/>
    <x v="0"/>
    <s v="U"/>
    <x v="9"/>
    <s v="768-HR99-3.15-1250"/>
    <s v="367-HR99-3.15-1250"/>
    <x v="0"/>
    <x v="9"/>
    <x v="9"/>
    <x v="9"/>
    <x v="14"/>
    <x v="0"/>
    <x v="78"/>
    <m/>
    <m/>
    <m/>
    <m/>
    <m/>
    <m/>
    <m/>
    <m/>
    <m/>
    <m/>
    <m/>
    <m/>
    <m/>
    <m/>
    <m/>
    <m/>
    <m/>
    <m/>
    <m/>
    <s v="TATA STEEL LIMITED"/>
  </r>
  <r>
    <n v="742"/>
    <d v="2025-08-28T00:00:00"/>
    <s v="ZBTF"/>
    <n v="4000516624"/>
    <n v="5"/>
    <s v="4000516624-5"/>
    <s v="Sep'25"/>
    <s v="Released"/>
    <x v="0"/>
    <x v="2"/>
    <x v="8"/>
    <m/>
    <s v="2000-BPRS"/>
    <m/>
    <s v="YESHWANTHPURA"/>
    <s v=""/>
    <n v="600103"/>
    <s v="TATA STEEL LIMITED"/>
    <n v="3226988"/>
    <s v="HR COILS-PO THR099 HR99 3.40X1250"/>
    <n v="768"/>
    <s v="THR099"/>
    <s v="HR99"/>
    <n v="3.4"/>
    <n v="1250"/>
    <n v="0"/>
    <s v="T2 DONE"/>
    <s v=" "/>
    <s v=""/>
    <n v="10"/>
    <n v="27"/>
    <n v="87.001000000000005"/>
    <n v="0"/>
    <n v="87.001000000000005"/>
    <n v="87.0010000000000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.001000000000005"/>
    <s v=""/>
    <s v=""/>
    <m/>
    <m/>
    <m/>
    <m/>
    <m/>
    <x v="0"/>
    <s v="U"/>
    <x v="9"/>
    <s v="768-HR99-3.4-1250"/>
    <s v="367-HR99-3.4-1250"/>
    <x v="0"/>
    <x v="9"/>
    <x v="9"/>
    <x v="9"/>
    <x v="15"/>
    <x v="0"/>
    <x v="79"/>
    <m/>
    <m/>
    <m/>
    <m/>
    <m/>
    <m/>
    <m/>
    <m/>
    <m/>
    <m/>
    <m/>
    <m/>
    <m/>
    <m/>
    <m/>
    <m/>
    <m/>
    <m/>
    <m/>
    <s v="TATA STEEL LIMITED"/>
  </r>
  <r>
    <n v="743"/>
    <d v="2025-09-16T00:00:00"/>
    <s v="ZBTO"/>
    <n v="9519107089"/>
    <n v="5"/>
    <s v="9519107089-5"/>
    <s v="No Priority"/>
    <s v="Released"/>
    <x v="1"/>
    <x v="3"/>
    <x v="7"/>
    <m/>
    <s v="2000-BPRS"/>
    <m/>
    <s v="URLA"/>
    <s v="RPUR"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57-0.61"/>
    <s v="900-903"/>
    <m/>
    <m/>
    <m/>
    <m/>
    <m/>
    <x v="0"/>
    <s v="M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PASA ASSOCIATES PRIVATE LIMITED"/>
  </r>
  <r>
    <n v="742"/>
    <d v="2025-08-20T00:00:00"/>
    <s v="ZBTO"/>
    <n v="9519031476"/>
    <n v="4"/>
    <s v="9519031476-4"/>
    <s v="Oct'25"/>
    <s v="Released"/>
    <x v="1"/>
    <x v="0"/>
    <x v="6"/>
    <m/>
    <s v="2000-BPRS"/>
    <m/>
    <s v="TANGI"/>
    <s v="BHUB"/>
    <n v="117061"/>
    <s v="BHARTIA  DISTRIBUTORS PVT. LTD."/>
    <n v="3240778"/>
    <s v="CRCA SHEET TSBCRC SR15 0.600X1000X2500"/>
    <s v="C06"/>
    <s v="TSBCRC"/>
    <s v="SR15"/>
    <n v="0.6"/>
    <n v="1000"/>
    <n v="2500"/>
    <s v="T2 DONE"/>
    <s v=" "/>
    <s v=""/>
    <n v="0.1"/>
    <n v="5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57-0.6"/>
    <s v="1000-1002"/>
    <m/>
    <m/>
    <m/>
    <m/>
    <m/>
    <x v="0"/>
    <s v="T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BHARTIA  DISTRIBUTORS PVT. LTD."/>
  </r>
  <r>
    <n v="742"/>
    <d v="2025-07-23T00:00:00"/>
    <s v="ZBTO"/>
    <n v="9518951771"/>
    <n v="4"/>
    <s v="9518951771-4"/>
    <s v="No Priority"/>
    <s v="Released"/>
    <x v="0"/>
    <x v="0"/>
    <x v="3"/>
    <m/>
    <s v="2000-BPRS"/>
    <m/>
    <s v="GUMMIDIPOONDI"/>
    <s v="MADS"/>
    <n v="161312"/>
    <s v="GOVINDARAJA MUDALIAR SONS PVT LTD"/>
    <n v="2169610"/>
    <s v="CRCA COIL TATEDD AU09 1X1250"/>
    <s v="C01"/>
    <s v="TATEDD"/>
    <s v="AU09"/>
    <n v="1"/>
    <n v="1250"/>
    <n v="0"/>
    <s v="T2 DONE"/>
    <s v=" "/>
    <s v=""/>
    <n v="5"/>
    <n v="29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98-1.02"/>
    <s v="1250-1262"/>
    <m/>
    <m/>
    <m/>
    <m/>
    <m/>
    <x v="0"/>
    <s v="U"/>
    <x v="3"/>
    <s v="C01-AU09-1-1250"/>
    <s v="367-0-0-1250"/>
    <x v="0"/>
    <x v="13"/>
    <x v="13"/>
    <x v="13"/>
    <x v="16"/>
    <x v="0"/>
    <x v="2"/>
    <m/>
    <m/>
    <m/>
    <m/>
    <m/>
    <m/>
    <m/>
    <m/>
    <m/>
    <m/>
    <m/>
    <m/>
    <m/>
    <m/>
    <m/>
    <m/>
    <m/>
    <m/>
    <m/>
    <s v="GOVINDARAJA MUDALIAR SONS PVT LTD"/>
  </r>
  <r>
    <n v="742"/>
    <d v="2025-07-10T00:00:00"/>
    <s v="ZBTO"/>
    <n v="9518919381"/>
    <n v="1"/>
    <s v="9518919381-1"/>
    <s v="Oct'25"/>
    <s v="Released"/>
    <x v="1"/>
    <x v="0"/>
    <x v="15"/>
    <m/>
    <s v="2000-BPRS"/>
    <m/>
    <s v="HOWRAH"/>
    <s v="CALS"/>
    <n v="154464"/>
    <s v="TATA STEEL DOWNSTREAM PRODUCTS LIMI"/>
    <n v="2438381"/>
    <s v="CRCA COIL TATXXD AH03 0.900X1320"/>
    <s v="C01"/>
    <s v="TATXXD"/>
    <s v="AH03"/>
    <n v="0.9"/>
    <n v="1320"/>
    <n v="0"/>
    <s v="T2 DONE"/>
    <s v=" "/>
    <s v=""/>
    <n v="13"/>
    <n v="29"/>
    <n v="120"/>
    <n v="0"/>
    <n v="120"/>
    <n v="12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0"/>
    <s v="0.87-0.9"/>
    <s v="1320-1340"/>
    <m/>
    <m/>
    <m/>
    <m/>
    <m/>
    <x v="0"/>
    <s v="U"/>
    <x v="3"/>
    <s v="C01-AH03-0.9-1320"/>
    <s v="367-SH67-2.8-1320"/>
    <x v="0"/>
    <x v="6"/>
    <x v="6"/>
    <x v="6"/>
    <x v="0"/>
    <x v="18"/>
    <x v="49"/>
    <m/>
    <m/>
    <m/>
    <m/>
    <m/>
    <m/>
    <m/>
    <m/>
    <m/>
    <m/>
    <m/>
    <m/>
    <m/>
    <m/>
    <m/>
    <m/>
    <m/>
    <m/>
    <m/>
    <s v="TATA STEEL DOWNSTREAM PRODUCTS LIMI"/>
  </r>
  <r>
    <n v="742"/>
    <d v="2025-07-02T00:00:00"/>
    <s v="ZBTO"/>
    <n v="9518902661"/>
    <n v="1"/>
    <s v="9518902661-1"/>
    <s v="Sep'25"/>
    <s v="Released"/>
    <x v="0"/>
    <x v="0"/>
    <x v="15"/>
    <m/>
    <s v="2000-BPRS"/>
    <m/>
    <s v="HOWRAH"/>
    <s v="CALS"/>
    <n v="154464"/>
    <s v="TATA STEEL DOWNSTREAM PRODUCTS LIMI"/>
    <n v="2438381"/>
    <s v="CRCA COIL TATXXD AH03 0.900X1320"/>
    <s v="C01"/>
    <s v="TATXXD"/>
    <s v="AH03"/>
    <n v="0.9"/>
    <n v="1320"/>
    <n v="0"/>
    <s v="T2 DONE"/>
    <s v=" "/>
    <s v=""/>
    <n v="13"/>
    <n v="29"/>
    <n v="120"/>
    <n v="54.16"/>
    <n v="65.84"/>
    <n v="65.8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66"/>
    <n v="0"/>
    <s v="0.87-0.9"/>
    <s v="1320-1340"/>
    <m/>
    <m/>
    <m/>
    <m/>
    <m/>
    <x v="0"/>
    <s v="U"/>
    <x v="3"/>
    <s v="C01-AH03-0.9-1320"/>
    <s v="367-SH67-2.8-1320"/>
    <x v="0"/>
    <x v="6"/>
    <x v="6"/>
    <x v="6"/>
    <x v="0"/>
    <x v="18"/>
    <x v="49"/>
    <m/>
    <m/>
    <m/>
    <m/>
    <m/>
    <m/>
    <m/>
    <m/>
    <m/>
    <m/>
    <m/>
    <m/>
    <m/>
    <m/>
    <m/>
    <m/>
    <m/>
    <m/>
    <m/>
    <s v="TATA STEEL DOWNSTREAM PRODUCTS LIMI"/>
  </r>
  <r>
    <n v="742"/>
    <d v="2025-07-24T00:00:00"/>
    <s v="ZBTO"/>
    <n v="9518956502"/>
    <n v="2"/>
    <s v="9518956502-2"/>
    <s v="Stocks"/>
    <s v="Released"/>
    <x v="0"/>
    <x v="0"/>
    <x v="5"/>
    <m/>
    <s v="1000-IPPE"/>
    <m/>
    <s v="VADODARA"/>
    <s v="NPUR"/>
    <n v="189022"/>
    <s v="Balmer Lawrie And Company Limited"/>
    <n v="2164800"/>
    <s v="CRCA COIL TATXXD BT02 0.970X913"/>
    <s v="C01"/>
    <s v="TATXXD"/>
    <s v="BT02"/>
    <n v="0.97"/>
    <n v="913"/>
    <n v="0"/>
    <s v="T2 DONE"/>
    <s v=" "/>
    <s v=""/>
    <n v="6"/>
    <n v="10"/>
    <n v="252"/>
    <n v="233.63499999999999"/>
    <n v="18.364999999999998"/>
    <n v="18.36499999999999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8.364999999999998"/>
    <s v="0.95-1"/>
    <s v="913-914"/>
    <m/>
    <m/>
    <m/>
    <m/>
    <m/>
    <x v="0"/>
    <s v="T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s v="Balmer Lawrie And Company Limited"/>
  </r>
  <r>
    <n v="742"/>
    <d v="2025-07-23T00:00:00"/>
    <s v="ZBTO"/>
    <n v="9518952391"/>
    <n v="2"/>
    <s v="9518952391-2"/>
    <s v="Aug'25"/>
    <s v="Released"/>
    <x v="0"/>
    <x v="0"/>
    <x v="5"/>
    <m/>
    <s v="1000-IPPE"/>
    <m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s v="T2 DONE"/>
    <s v=" "/>
    <s v=""/>
    <n v="6"/>
    <n v="10"/>
    <n v="168"/>
    <n v="130.083"/>
    <n v="37.917000000000002"/>
    <n v="37.917000000000002"/>
    <n v="15.55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38"/>
    <n v="0"/>
    <s v="0.95-1"/>
    <s v="913-914"/>
    <m/>
    <m/>
    <m/>
    <m/>
    <m/>
    <x v="0"/>
    <s v="T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s v="Balmer Lawrie And Co. Ltd."/>
  </r>
  <r>
    <n v="742"/>
    <d v="2025-07-31T00:00:00"/>
    <s v="ZBTO"/>
    <n v="9518980071"/>
    <n v="2"/>
    <s v="9518980071-2"/>
    <s v="Sep'25"/>
    <s v="Released"/>
    <x v="1"/>
    <x v="0"/>
    <x v="6"/>
    <m/>
    <s v="2000-BPRS"/>
    <m/>
    <s v="HOWRAH"/>
    <s v="CALS"/>
    <n v="101278"/>
    <s v="RAMESH COMPANY"/>
    <n v="2441000"/>
    <s v="CRCA SHEET TATCRC SR16 0.330X1250X2500"/>
    <s v="C06"/>
    <s v="TATCRC"/>
    <s v="SR16"/>
    <n v="0.33"/>
    <n v="1250"/>
    <n v="2500"/>
    <s v="T2 DONE"/>
    <s v=" "/>
    <s v=""/>
    <n v="0.1"/>
    <n v="9.9"/>
    <n v="29"/>
    <n v="8.27"/>
    <n v="20.73"/>
    <n v="20.7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0.73"/>
    <s v="0.3-0.33"/>
    <s v="1250-1252"/>
    <m/>
    <m/>
    <m/>
    <m/>
    <m/>
    <x v="0"/>
    <s v="T"/>
    <x v="7"/>
    <s v="C06-SR16-0.33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s v="RAMESH COMPANY"/>
  </r>
  <r>
    <n v="742"/>
    <d v="2025-07-08T00:00:00"/>
    <s v="ZBTO"/>
    <n v="9518915269"/>
    <n v="1"/>
    <s v="9518915269-1"/>
    <s v="Sep'25"/>
    <s v="Released"/>
    <x v="0"/>
    <x v="2"/>
    <x v="3"/>
    <m/>
    <s v="2000-BPRS"/>
    <m/>
    <s v="GUMMIDIPOONDI"/>
    <s v="MADS"/>
    <n v="116465"/>
    <s v="SRI BALAJI STEEL TRADERS"/>
    <n v="1224970"/>
    <s v="HR COILS-PO IS 1079 HR2 1.60X1250"/>
    <n v="768"/>
    <s v="THR099"/>
    <s v="HR99"/>
    <n v="1.6"/>
    <n v="1250"/>
    <n v="0"/>
    <s v="T2 DONE"/>
    <s v=" "/>
    <s v=""/>
    <n v="17"/>
    <n v="29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9"/>
    <n v="0"/>
    <s v=""/>
    <s v=""/>
    <m/>
    <m/>
    <m/>
    <m/>
    <m/>
    <x v="0"/>
    <s v="U"/>
    <x v="12"/>
    <s v="768-HR99-1.6-1250"/>
    <s v="367-HR99-1.6-1250"/>
    <x v="0"/>
    <x v="9"/>
    <x v="9"/>
    <x v="9"/>
    <x v="6"/>
    <x v="0"/>
    <x v="81"/>
    <m/>
    <m/>
    <m/>
    <m/>
    <m/>
    <m/>
    <m/>
    <m/>
    <m/>
    <m/>
    <m/>
    <m/>
    <m/>
    <m/>
    <m/>
    <m/>
    <m/>
    <m/>
    <m/>
    <s v="SRI BALAJI STEEL TRADERS"/>
  </r>
  <r>
    <n v="744"/>
    <d v="2025-08-30T00:00:00"/>
    <s v="ZBTO"/>
    <n v="9519064390"/>
    <n v="1"/>
    <s v="9519064390-1"/>
    <s v="Sep'25"/>
    <s v="Released"/>
    <x v="0"/>
    <x v="4"/>
    <x v="4"/>
    <m/>
    <s v="1000-IPPE"/>
    <m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112"/>
    <n v="6.8049999999999997"/>
    <n v="105.19499999999999"/>
    <n v="-7.2649999999999997"/>
    <n v="6.8050000000000006"/>
    <n v="0"/>
    <n v="112.46"/>
    <s v=""/>
    <s v=""/>
    <s v=""/>
    <s v=""/>
    <s v=""/>
    <s v=""/>
    <s v=""/>
    <s v=""/>
    <s v=""/>
    <s v=""/>
    <s v=""/>
    <n v="0"/>
    <s v=""/>
    <s v=""/>
    <s v=""/>
    <s v=""/>
    <n v="112.46"/>
    <n v="112.46"/>
    <n v="0"/>
    <n v="-7.2650000000000006"/>
    <s v="0.38-0.42"/>
    <s v="1220-1222"/>
    <m/>
    <m/>
    <m/>
    <m/>
    <m/>
    <x v="0"/>
    <s v="M"/>
    <x v="5"/>
    <s v="B18-D0C7-0.4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2"/>
    <d v="2025-08-29T00:00:00"/>
    <s v="ZBTO"/>
    <n v="9519062631"/>
    <n v="2"/>
    <s v="9519062631-2"/>
    <s v="Oct'25"/>
    <s v="Released"/>
    <x v="1"/>
    <x v="0"/>
    <x v="6"/>
    <m/>
    <s v="2000-BPRS"/>
    <m/>
    <s v="VARANASI"/>
    <s v="FBAD"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0"/>
    <n v="0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58-0.62"/>
    <s v="1000-1004"/>
    <m/>
    <m/>
    <m/>
    <m/>
    <m/>
    <x v="0"/>
    <s v="M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INDIA STEEL INDUSTRIES"/>
  </r>
  <r>
    <n v="742"/>
    <d v="2025-08-29T00:00:00"/>
    <s v="ZBTO"/>
    <n v="9519062631"/>
    <n v="3"/>
    <s v="9519062631-3"/>
    <s v="No Priority"/>
    <s v="Released"/>
    <x v="0"/>
    <x v="0"/>
    <x v="6"/>
    <m/>
    <s v="2000-BPRS"/>
    <m/>
    <s v="VARANASI"/>
    <s v="FBAD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s v=""/>
    <n v="2.5"/>
    <n v="3"/>
    <n v="22.998999999999999"/>
    <n v="0"/>
    <n v="22.998999999999999"/>
    <n v="1.7589999999999999"/>
    <n v="0"/>
    <n v="0"/>
    <n v="0"/>
    <s v=""/>
    <s v=""/>
    <s v=""/>
    <s v=""/>
    <s v=""/>
    <s v=""/>
    <s v=""/>
    <s v=""/>
    <n v="21.240000000000002"/>
    <s v=""/>
    <s v=""/>
    <n v="0"/>
    <s v=""/>
    <s v=""/>
    <s v=""/>
    <s v=""/>
    <n v="21.240000000000002"/>
    <n v="21.240000000000002"/>
    <n v="0"/>
    <n v="1.7589999999999968"/>
    <s v="0.68-0.72"/>
    <s v="1000-1004"/>
    <m/>
    <m/>
    <m/>
    <m/>
    <m/>
    <x v="0"/>
    <s v="M"/>
    <x v="7"/>
    <s v="C06-SR15-0.7-1000"/>
    <s v="B69-SH69-2.8-1025"/>
    <x v="2"/>
    <x v="7"/>
    <x v="7"/>
    <x v="7"/>
    <x v="0"/>
    <x v="7"/>
    <x v="51"/>
    <m/>
    <m/>
    <m/>
    <m/>
    <m/>
    <m/>
    <m/>
    <m/>
    <m/>
    <m/>
    <m/>
    <m/>
    <m/>
    <m/>
    <m/>
    <m/>
    <m/>
    <m/>
    <m/>
    <s v="INDIA STEEL INDUSTRIES"/>
  </r>
  <r>
    <n v="742"/>
    <d v="2025-08-29T00:00:00"/>
    <s v="ZBTO"/>
    <n v="9519062631"/>
    <n v="4"/>
    <s v="9519062631-4"/>
    <s v="Oct'25"/>
    <s v="Released"/>
    <x v="1"/>
    <x v="0"/>
    <x v="6"/>
    <m/>
    <s v="2000-BPRS"/>
    <m/>
    <s v="VARANASI"/>
    <s v="FBAD"/>
    <n v="931525"/>
    <s v="INDIA STEEL INDUSTRIES"/>
    <n v="3247971"/>
    <s v="CRCA SHEET TSBCRC SR15 0.500X1250X2020"/>
    <s v="C06"/>
    <s v="TSBCRC"/>
    <s v="SR15"/>
    <n v="0.5"/>
    <n v="1250"/>
    <n v="202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8-0.52"/>
    <s v="1250-1254"/>
    <m/>
    <m/>
    <m/>
    <m/>
    <m/>
    <x v="0"/>
    <s v="M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INDIA STEEL INDUSTRIES"/>
  </r>
  <r>
    <n v="742"/>
    <d v="2025-08-29T00:00:00"/>
    <s v="ZBTO"/>
    <n v="9519062631"/>
    <n v="6"/>
    <s v="9519062631-6"/>
    <s v="No Priority"/>
    <s v="Released"/>
    <x v="0"/>
    <x v="0"/>
    <x v="6"/>
    <m/>
    <s v="2000-BPRS"/>
    <m/>
    <s v="VARANASI"/>
    <s v="FBAD"/>
    <n v="931525"/>
    <s v="INDIA STEEL INDUSTRIES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3-0.37"/>
    <s v="900-904"/>
    <m/>
    <m/>
    <m/>
    <m/>
    <m/>
    <x v="0"/>
    <s v="M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INDIA STEEL INDUSTRIES"/>
  </r>
  <r>
    <n v="742"/>
    <d v="2025-08-12T00:00:00"/>
    <s v="ZBTO"/>
    <n v="9519011538"/>
    <n v="3"/>
    <s v="9519011538-3"/>
    <s v="Oct'25"/>
    <s v="Released"/>
    <x v="1"/>
    <x v="0"/>
    <x v="6"/>
    <m/>
    <s v="2000-BPRS"/>
    <m/>
    <s v="VARANASI"/>
    <s v="KANP"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58-0.62"/>
    <s v="1250-1254"/>
    <m/>
    <m/>
    <m/>
    <m/>
    <m/>
    <x v="0"/>
    <s v="M"/>
    <x v="7"/>
    <s v="C06-SR15-0.6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s v="O.V.S. ISPAT UDYOG"/>
  </r>
  <r>
    <n v="742"/>
    <d v="2025-07-02T00:00:00"/>
    <s v="ZBTO"/>
    <n v="9518902003"/>
    <n v="1"/>
    <s v="9518902003-1"/>
    <s v="No Priority"/>
    <s v="Released"/>
    <x v="0"/>
    <x v="0"/>
    <x v="6"/>
    <m/>
    <s v="2000-BPRS"/>
    <m/>
    <s v="NAGPUR"/>
    <s v="NPUR"/>
    <n v="103092"/>
    <s v="TEJRAM RAMNIWAS AGARWAL"/>
    <n v="3239543"/>
    <s v="CRCA SHEET TATCRC SR16 0.350X1250X2500"/>
    <s v="C06"/>
    <s v="TATCRC"/>
    <s v="SR16"/>
    <n v="0.35"/>
    <n v="1250"/>
    <n v="2500"/>
    <s v="T2 DONE"/>
    <s v=" "/>
    <s v=""/>
    <n v="1"/>
    <n v="3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3-0.37"/>
    <s v="1250-1251"/>
    <m/>
    <m/>
    <m/>
    <m/>
    <m/>
    <x v="0"/>
    <s v="M"/>
    <x v="7"/>
    <s v="C06-SR16-0.35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s v="TEJRAM RAMNIWAS AGARWAL"/>
  </r>
  <r>
    <n v="742"/>
    <d v="2025-08-21T00:00:00"/>
    <s v="ZBTO"/>
    <n v="9519036272"/>
    <n v="7"/>
    <s v="9519036272-7"/>
    <s v="Oct'25"/>
    <s v="Released"/>
    <x v="1"/>
    <x v="0"/>
    <x v="6"/>
    <m/>
    <s v="2000-BPRS"/>
    <m/>
    <s v="WEST BOKARO"/>
    <s v="JAMS"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5"/>
    <n v="3.2"/>
    <n v="92"/>
    <n v="0"/>
    <n v="92"/>
    <n v="9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92"/>
    <s v="0.48-0.52"/>
    <s v="1000-1002"/>
    <m/>
    <m/>
    <m/>
    <m/>
    <m/>
    <x v="0"/>
    <s v="R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s v="Shree Bajrang Steel Udyog"/>
  </r>
  <r>
    <n v="742"/>
    <d v="2025-08-21T00:00:00"/>
    <s v="ZBTO"/>
    <n v="9519036272"/>
    <n v="8"/>
    <s v="9519036272-8"/>
    <s v="Oct'25"/>
    <s v="Released"/>
    <x v="1"/>
    <x v="0"/>
    <x v="6"/>
    <m/>
    <s v="2000-BPRS"/>
    <m/>
    <s v="WEST BOKARO"/>
    <s v="JAMS"/>
    <n v="185794"/>
    <s v="Shree Bajrang Steel Udyog"/>
    <n v="3240765"/>
    <s v="CRCA SHEET TSBCRC SR15 0.500X1250X2500"/>
    <s v="C06"/>
    <s v="TSBCRC"/>
    <s v="SR15"/>
    <n v="0.5"/>
    <n v="1250"/>
    <n v="2500"/>
    <s v="T2 DONE"/>
    <s v=" "/>
    <s v=""/>
    <n v="2.5"/>
    <n v="3.2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48-0.52"/>
    <s v="1250-1252"/>
    <m/>
    <m/>
    <m/>
    <m/>
    <m/>
    <x v="0"/>
    <s v="R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Shree Bajrang Steel Udyog"/>
  </r>
  <r>
    <n v="742"/>
    <d v="2025-08-12T00:00:00"/>
    <s v="ZBTO"/>
    <n v="9519011539"/>
    <n v="2"/>
    <s v="9519011539-2"/>
    <s v="No Priority"/>
    <s v="Released"/>
    <x v="0"/>
    <x v="0"/>
    <x v="6"/>
    <m/>
    <s v="2000-BPRS"/>
    <m/>
    <s v="GORAKHPUR"/>
    <s v="KANP"/>
    <n v="115841"/>
    <s v="O.V.S. ISPAT UDYOG"/>
    <n v="3240760"/>
    <s v="CRCA SHEET TSBCRC SR15 0.500X1000X2500"/>
    <s v="C06"/>
    <s v="TSBCRC"/>
    <s v="SR15"/>
    <n v="0.5"/>
    <n v="1000"/>
    <n v="2500"/>
    <s v="T2 DONE"/>
    <s v=" "/>
    <s v=""/>
    <n v="0"/>
    <n v="0"/>
    <n v="19.295000000000002"/>
    <n v="0"/>
    <n v="19.295000000000002"/>
    <n v="-1.9850000000000001"/>
    <n v="0"/>
    <n v="0"/>
    <n v="0"/>
    <s v=""/>
    <s v=""/>
    <s v=""/>
    <s v=""/>
    <s v=""/>
    <s v=""/>
    <s v=""/>
    <s v=""/>
    <n v="21.28"/>
    <s v=""/>
    <s v=""/>
    <n v="0"/>
    <s v=""/>
    <s v=""/>
    <s v=""/>
    <s v=""/>
    <n v="21.28"/>
    <n v="21.28"/>
    <n v="0"/>
    <n v="-1.9849999999999994"/>
    <s v="0.48-0.52"/>
    <s v="1000-1004"/>
    <m/>
    <m/>
    <m/>
    <m/>
    <m/>
    <x v="0"/>
    <s v="M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s v="O.V.S. ISPAT UDYOG"/>
  </r>
  <r>
    <n v="742"/>
    <d v="2025-08-12T00:00:00"/>
    <s v="ZBTO"/>
    <n v="9519011539"/>
    <n v="3"/>
    <s v="9519011539-3"/>
    <s v="Oct'25"/>
    <s v="Released"/>
    <x v="1"/>
    <x v="0"/>
    <x v="6"/>
    <m/>
    <s v="2000-BPRS"/>
    <m/>
    <s v="GORAKHPUR"/>
    <s v="KANP"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8-0.52"/>
    <s v="1250-1254"/>
    <m/>
    <m/>
    <m/>
    <m/>
    <m/>
    <x v="0"/>
    <s v="M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O.V.S. ISPAT UDYOG"/>
  </r>
  <r>
    <n v="742"/>
    <d v="2025-08-18T00:00:00"/>
    <s v="ZBTO"/>
    <n v="9519025598"/>
    <n v="1"/>
    <s v="9519025598-1"/>
    <s v="Oct'25"/>
    <s v="Released"/>
    <x v="1"/>
    <x v="0"/>
    <x v="6"/>
    <m/>
    <s v="2000-BPRS"/>
    <m/>
    <s v="GORAKHPUR"/>
    <s v="KANP"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8-0.52"/>
    <s v="1250-1254"/>
    <m/>
    <m/>
    <m/>
    <m/>
    <m/>
    <x v="0"/>
    <s v="M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O.V.S. ISPAT UDYOG"/>
  </r>
  <r>
    <n v="742"/>
    <d v="2025-08-28T00:00:00"/>
    <s v="ZBTO"/>
    <n v="9519056703"/>
    <n v="3"/>
    <s v="9519056703-3"/>
    <s v="Oct'25"/>
    <s v="Released"/>
    <x v="1"/>
    <x v="0"/>
    <x v="6"/>
    <m/>
    <s v="2000-BPRS"/>
    <m/>
    <s v="VARANASI"/>
    <s v="FBAD"/>
    <n v="931525"/>
    <s v="INDIA STEEL INDUSTRIES"/>
    <n v="3765561"/>
    <s v="CRCA SHEET TSBCRC SR15 0.700X1000X1930"/>
    <s v="C06"/>
    <s v="TSBCRC"/>
    <s v="SR15"/>
    <n v="0.7"/>
    <n v="1000"/>
    <n v="193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68-0.72"/>
    <s v="1000-1004"/>
    <m/>
    <m/>
    <m/>
    <m/>
    <m/>
    <x v="0"/>
    <s v="M"/>
    <x v="7"/>
    <s v="C06-SR15-0.7-1000"/>
    <s v="B69-SH69-2.8-1025"/>
    <x v="2"/>
    <x v="7"/>
    <x v="7"/>
    <x v="7"/>
    <x v="0"/>
    <x v="7"/>
    <x v="51"/>
    <m/>
    <m/>
    <m/>
    <m/>
    <m/>
    <m/>
    <m/>
    <m/>
    <m/>
    <m/>
    <m/>
    <m/>
    <m/>
    <m/>
    <m/>
    <m/>
    <m/>
    <m/>
    <m/>
    <s v="INDIA STEEL INDUSTRIES"/>
  </r>
  <r>
    <n v="742"/>
    <d v="2025-08-28T00:00:00"/>
    <s v="ZBTO"/>
    <n v="9519056703"/>
    <n v="4"/>
    <s v="9519056703-4"/>
    <s v="No Priority"/>
    <s v="Released"/>
    <x v="0"/>
    <x v="0"/>
    <x v="6"/>
    <m/>
    <s v="2000-BPRS"/>
    <m/>
    <s v="VARANASI"/>
    <s v="FBAD"/>
    <n v="931525"/>
    <s v="INDIA STEEL INDUSTRIES"/>
    <n v="3240794"/>
    <s v="CRCA SHEET TSBCRC SR15 0.700X1250X1930"/>
    <s v="C06"/>
    <s v="TSBCRC"/>
    <s v="SR15"/>
    <n v="0.7"/>
    <n v="1250"/>
    <n v="1930"/>
    <s v="T2 DONE"/>
    <s v=" "/>
    <s v=""/>
    <n v="2.5"/>
    <n v="3"/>
    <n v="28.998999999999999"/>
    <n v="0"/>
    <n v="28.998999999999999"/>
    <n v="3.6190000000000002"/>
    <n v="0"/>
    <n v="0"/>
    <n v="0"/>
    <s v=""/>
    <s v=""/>
    <s v=""/>
    <s v=""/>
    <s v=""/>
    <s v=""/>
    <s v=""/>
    <s v=""/>
    <s v=""/>
    <s v=""/>
    <s v=""/>
    <n v="25.38"/>
    <s v=""/>
    <s v=""/>
    <s v=""/>
    <s v=""/>
    <n v="25.38"/>
    <n v="25.38"/>
    <n v="0"/>
    <n v="3.6189999999999998"/>
    <s v="0.68-0.72"/>
    <s v="1250-1254"/>
    <m/>
    <m/>
    <m/>
    <m/>
    <m/>
    <x v="0"/>
    <s v="M"/>
    <x v="7"/>
    <s v="C06-SR15-0.7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s v="INDIA STEEL INDUSTRIES"/>
  </r>
  <r>
    <n v="742"/>
    <d v="2025-08-18T00:00:00"/>
    <s v="ZBTO"/>
    <n v="9519025593"/>
    <n v="3"/>
    <s v="9519025593-3"/>
    <s v="Oct'25"/>
    <s v="Released"/>
    <x v="0"/>
    <x v="0"/>
    <x v="6"/>
    <m/>
    <s v="2000-BPRS"/>
    <m/>
    <s v="VARANASI"/>
    <s v="KANP"/>
    <n v="115841"/>
    <s v="O.V.S. ISPAT UDYOG"/>
    <n v="3240761"/>
    <s v="CRCA SHEET TSBCRC SR15 0.500X1250X2030"/>
    <s v="C06"/>
    <s v="TSBCRC"/>
    <s v="SR15"/>
    <n v="0.5"/>
    <n v="1250"/>
    <n v="2030"/>
    <s v="T2 DONE"/>
    <s v=" "/>
    <s v=""/>
    <n v="2.5"/>
    <n v="3"/>
    <n v="57.999000000000002"/>
    <n v="3"/>
    <n v="54.999000000000002"/>
    <n v="54.999000000000002"/>
    <n v="3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55"/>
    <n v="0"/>
    <s v="0.48-0.52"/>
    <s v="1250-1254"/>
    <m/>
    <m/>
    <m/>
    <m/>
    <m/>
    <x v="0"/>
    <s v="M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O.V.S. ISPAT UDYOG"/>
  </r>
  <r>
    <n v="742"/>
    <d v="2025-08-18T00:00:00"/>
    <s v="ZBTO"/>
    <n v="9519025593"/>
    <n v="4"/>
    <s v="9519025593-4"/>
    <s v="Oct'25"/>
    <s v="Released"/>
    <x v="1"/>
    <x v="0"/>
    <x v="6"/>
    <m/>
    <s v="2000-BPRS"/>
    <m/>
    <s v="VARANASI"/>
    <s v="KANP"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58-0.62"/>
    <s v="1250-1254"/>
    <m/>
    <m/>
    <m/>
    <m/>
    <m/>
    <x v="0"/>
    <s v="M"/>
    <x v="7"/>
    <s v="C06-SR15-0.6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s v="O.V.S. ISPAT UDYOG"/>
  </r>
  <r>
    <n v="742"/>
    <d v="2025-08-20T00:00:00"/>
    <s v="ZBTO"/>
    <n v="9519031476"/>
    <n v="1"/>
    <s v="9519031476-1"/>
    <s v="Oct'25"/>
    <s v="Released"/>
    <x v="1"/>
    <x v="0"/>
    <x v="6"/>
    <m/>
    <s v="2000-BPRS"/>
    <m/>
    <s v="TANGI"/>
    <s v="BHUB"/>
    <n v="117061"/>
    <s v="BHARTIA  DISTRIBUTORS PVT. LTD."/>
    <n v="3239542"/>
    <s v="CRCA SHEET TATCRC SR16 0.350X1000X2500"/>
    <s v="C06"/>
    <s v="TATCRC"/>
    <s v="SR16"/>
    <n v="0.35"/>
    <n v="1000"/>
    <n v="2500"/>
    <s v="T2 DONE"/>
    <s v=" "/>
    <s v=""/>
    <n v="0.1"/>
    <n v="5"/>
    <n v="69"/>
    <n v="0"/>
    <n v="69"/>
    <n v="6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9"/>
    <s v="0.32-0.35"/>
    <s v="1000-1002"/>
    <m/>
    <m/>
    <m/>
    <m/>
    <m/>
    <x v="0"/>
    <s v="T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BHARTIA  DISTRIBUTORS PVT. LTD."/>
  </r>
  <r>
    <n v="742"/>
    <d v="2025-08-20T00:00:00"/>
    <s v="ZBTO"/>
    <n v="9519031476"/>
    <n v="3"/>
    <s v="9519031476-3"/>
    <s v="No Priority"/>
    <s v="Released"/>
    <x v="0"/>
    <x v="0"/>
    <x v="6"/>
    <m/>
    <s v="2000-BPRS"/>
    <m/>
    <s v="TANGI"/>
    <s v="BHUB"/>
    <n v="117061"/>
    <s v="BHARTIA  DISTRIBUTORS PVT. LTD."/>
    <n v="3240760"/>
    <s v="CRCA SHEET TSBCRC SR15 0.500X1000X2500"/>
    <s v="C06"/>
    <s v="TSBCRC"/>
    <s v="SR15"/>
    <n v="0.5"/>
    <n v="1000"/>
    <n v="2500"/>
    <s v="T2 DONE"/>
    <s v=" "/>
    <s v=""/>
    <n v="0.1"/>
    <n v="5"/>
    <n v="23"/>
    <n v="0"/>
    <n v="23"/>
    <n v="1.62"/>
    <n v="0"/>
    <n v="0"/>
    <n v="0"/>
    <s v=""/>
    <s v=""/>
    <s v=""/>
    <s v=""/>
    <s v=""/>
    <s v=""/>
    <s v=""/>
    <s v=""/>
    <n v="21.38"/>
    <s v=""/>
    <s v=""/>
    <n v="0"/>
    <s v=""/>
    <s v=""/>
    <s v=""/>
    <s v=""/>
    <n v="21.38"/>
    <n v="21.38"/>
    <n v="0"/>
    <n v="1.620000000000001"/>
    <s v="0.47-0.5"/>
    <s v="1000-1002"/>
    <m/>
    <m/>
    <m/>
    <m/>
    <m/>
    <x v="0"/>
    <s v="T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s v="BHARTIA  DISTRIBUTORS PVT. LTD."/>
  </r>
  <r>
    <n v="742"/>
    <d v="2025-08-20T00:00:00"/>
    <s v="ZBTO"/>
    <n v="9519032783"/>
    <n v="1"/>
    <s v="9519032783-1"/>
    <s v="Oct'25"/>
    <s v="Released"/>
    <x v="1"/>
    <x v="0"/>
    <x v="6"/>
    <m/>
    <s v="2000-BPRS"/>
    <m/>
    <s v="SILIGURI TOWN"/>
    <s v="GWAH"/>
    <n v="948783"/>
    <s v="SAGAR STEELS"/>
    <n v="3239543"/>
    <s v="CRCA SHEET TATCRC SR16 0.350X1250X2500"/>
    <s v="C06"/>
    <s v="TATCRC"/>
    <s v="SR16"/>
    <n v="0.35"/>
    <n v="1250"/>
    <n v="2500"/>
    <s v="T2 DONE"/>
    <s v=" "/>
    <s v=""/>
    <n v="2"/>
    <n v="3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3-0.35"/>
    <s v="1250-1262"/>
    <m/>
    <m/>
    <m/>
    <m/>
    <m/>
    <x v="0"/>
    <s v="U"/>
    <x v="7"/>
    <s v="C06-SR16-0.35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s v="SAGAR STEELS"/>
  </r>
  <r>
    <n v="742"/>
    <d v="2025-08-18T00:00:00"/>
    <s v="ZBTO"/>
    <n v="9519025273"/>
    <n v="2"/>
    <s v="9519025273-2"/>
    <s v="Oct'25"/>
    <s v="Released"/>
    <x v="1"/>
    <x v="0"/>
    <x v="6"/>
    <m/>
    <s v="2000-BPRS"/>
    <m/>
    <s v="HOWRAH"/>
    <s v="CALS"/>
    <n v="925093"/>
    <s v="PSPL STEEL PROCESSORS PRIVATE LIMIT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32-0.35"/>
    <s v="900-902"/>
    <m/>
    <m/>
    <m/>
    <m/>
    <m/>
    <x v="0"/>
    <s v="T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PSPL STEEL PROCESSORS PRIVATE LIMIT"/>
  </r>
  <r>
    <n v="744"/>
    <d v="2025-08-31T00:00:00"/>
    <s v="ZBTO"/>
    <n v="9519068944"/>
    <n v="1"/>
    <s v="9519068944-1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28"/>
    <n v="0"/>
    <n v="28"/>
    <n v="2.2799999999999998"/>
    <n v="0"/>
    <n v="0"/>
    <n v="0"/>
    <s v=""/>
    <s v=""/>
    <s v=""/>
    <s v=""/>
    <s v=""/>
    <n v="25.72"/>
    <s v=""/>
    <s v=""/>
    <s v=""/>
    <s v=""/>
    <s v=""/>
    <n v="0"/>
    <s v=""/>
    <s v=""/>
    <s v=""/>
    <s v=""/>
    <n v="25.72"/>
    <n v="25.72"/>
    <n v="0"/>
    <n v="2.2800000000000011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31T00:00:00"/>
    <s v="ZBTO"/>
    <n v="9519068944"/>
    <n v="3"/>
    <s v="9519068944-3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83.998999999999995"/>
    <n v="65.89"/>
    <n v="18.109000000000002"/>
    <n v="10.093999999999999"/>
    <n v="48.805"/>
    <n v="0"/>
    <n v="0"/>
    <s v=""/>
    <s v=""/>
    <s v=""/>
    <s v=""/>
    <s v=""/>
    <n v="8.0150000000000006"/>
    <s v=""/>
    <s v=""/>
    <s v=""/>
    <s v=""/>
    <s v=""/>
    <n v="0"/>
    <s v=""/>
    <s v=""/>
    <s v=""/>
    <s v=""/>
    <n v="8.0150000000000006"/>
    <n v="8.0150000000000006"/>
    <n v="0"/>
    <n v="10.094000000000001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31T00:00:00"/>
    <s v="ZBTO"/>
    <n v="9519068944"/>
    <n v="4"/>
    <s v="9519068944-4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84"/>
    <n v="0"/>
    <n v="84"/>
    <n v="7.1150000000000002"/>
    <n v="0"/>
    <n v="0"/>
    <n v="0"/>
    <s v=""/>
    <s v=""/>
    <s v=""/>
    <s v=""/>
    <s v=""/>
    <n v="76.885000000000005"/>
    <s v=""/>
    <s v=""/>
    <s v=""/>
    <s v=""/>
    <s v=""/>
    <n v="0"/>
    <s v=""/>
    <s v=""/>
    <s v=""/>
    <s v=""/>
    <n v="76.885000000000005"/>
    <n v="76.885000000000005"/>
    <n v="0"/>
    <n v="7.1149999999999949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31T00:00:00"/>
    <s v="ZBTO"/>
    <n v="9519068944"/>
    <n v="5"/>
    <s v="9519068944-5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BRICK RED TSL 1803"/>
    <n v="3"/>
    <n v="5"/>
    <n v="28"/>
    <n v="8.5649999999999995"/>
    <n v="19.434999999999999"/>
    <n v="19.434999999999999"/>
    <n v="8.5650000000000013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9"/>
    <n v="0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31T00:00:00"/>
    <s v="ZBTO"/>
    <n v="9519068944"/>
    <n v="6"/>
    <s v="9519068944-6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83.998999999999995"/>
    <n v="27.71"/>
    <n v="56.289000000000001"/>
    <n v="56.289000000000001"/>
    <n v="9.9700000000000006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56"/>
    <n v="0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2"/>
    <d v="2025-08-26T00:00:00"/>
    <s v="ZBTO"/>
    <n v="9519051346"/>
    <n v="3"/>
    <s v="9519051346-3"/>
    <s v="No Priority"/>
    <s v="Released"/>
    <x v="0"/>
    <x v="0"/>
    <x v="6"/>
    <m/>
    <s v="2000-BPRS"/>
    <m/>
    <s v="VARANASI"/>
    <s v="KANP"/>
    <n v="115841"/>
    <s v="O.V.S. ISPAT UDYOG"/>
    <n v="3409561"/>
    <s v="CRCA SHEET TSBCRC SR15 0.600X1000X1930"/>
    <s v="C06"/>
    <s v="TSBCRC"/>
    <s v="SR15"/>
    <n v="0.6"/>
    <n v="1000"/>
    <n v="193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58-0.62"/>
    <s v="1000-1004"/>
    <m/>
    <m/>
    <m/>
    <m/>
    <m/>
    <x v="0"/>
    <s v="M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O.V.S. ISPAT UDYOG"/>
  </r>
  <r>
    <n v="742"/>
    <d v="2025-08-01T00:00:00"/>
    <s v="ZBTO"/>
    <n v="9518986243"/>
    <n v="2"/>
    <s v="9518986243-2"/>
    <s v="Oct'25"/>
    <s v="Released"/>
    <x v="1"/>
    <x v="0"/>
    <x v="15"/>
    <m/>
    <s v="2000-BPRS"/>
    <m/>
    <s v="AHMEDABAD"/>
    <s v="AMED"/>
    <n v="854773"/>
    <s v="ANM ISPAT PVT LTD"/>
    <n v="2420510"/>
    <s v="CRCA COIL TATXXD AH03 0.600X1250"/>
    <s v="C01"/>
    <s v="TATXXD"/>
    <s v="AH03"/>
    <n v="0.6"/>
    <n v="1250"/>
    <n v="0"/>
    <s v="T2 DONE"/>
    <s v=" "/>
    <s v=""/>
    <n v="13"/>
    <n v="24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58-0.62"/>
    <s v="1250-1252"/>
    <m/>
    <m/>
    <m/>
    <m/>
    <m/>
    <x v="0"/>
    <s v="R"/>
    <x v="23"/>
    <s v="C01-AH03-0.6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s v="ANM ISPAT PVT LTD"/>
  </r>
  <r>
    <n v="742"/>
    <d v="2025-08-29T00:00:00"/>
    <s v="ZBTO"/>
    <n v="9519062631"/>
    <n v="1"/>
    <s v="9519062631-1"/>
    <s v="Oct'25"/>
    <s v="Released"/>
    <x v="1"/>
    <x v="0"/>
    <x v="6"/>
    <m/>
    <s v="2000-BPRS"/>
    <m/>
    <s v="VARANASI"/>
    <s v="FBAD"/>
    <n v="931525"/>
    <s v="INDIA STEEL INDUSTRIES"/>
    <n v="3247971"/>
    <s v="CRCA SHEET TSBCRC SR15 0.500X1250X2020"/>
    <s v="C06"/>
    <s v="TSBCRC"/>
    <s v="SR15"/>
    <n v="0.5"/>
    <n v="1250"/>
    <n v="202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8-0.52"/>
    <s v="1250-1254"/>
    <m/>
    <m/>
    <m/>
    <m/>
    <m/>
    <x v="0"/>
    <s v="M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INDIA STEEL INDUSTRIES"/>
  </r>
  <r>
    <n v="742"/>
    <d v="2025-09-10T00:00:00"/>
    <s v="ZBTF"/>
    <n v="9519091566"/>
    <n v="1"/>
    <s v="9519091566-1"/>
    <s v="No Priority"/>
    <s v="Released"/>
    <x v="0"/>
    <x v="5"/>
    <x v="10"/>
    <m/>
    <s v="2000-BPRS"/>
    <m/>
    <s v="KHOPOLI"/>
    <s v="TSMK"/>
    <n v="650783"/>
    <s v="Khopoli Wider CRM"/>
    <n v="4083645"/>
    <s v="CR COIL TATFHC TR10 0.359X1235"/>
    <s v="C09"/>
    <s v="TATFHC"/>
    <s v="TR10"/>
    <n v="0.35899999999999999"/>
    <n v="1235"/>
    <n v="0"/>
    <s v="T2 DONE"/>
    <s v=" "/>
    <s v=""/>
    <n v="22"/>
    <n v="25"/>
    <n v="140"/>
    <n v="118.6"/>
    <n v="21.4"/>
    <n v="-2.12"/>
    <n v="71.430000000000007"/>
    <n v="0"/>
    <n v="0"/>
    <s v=""/>
    <s v=""/>
    <s v=""/>
    <s v=""/>
    <s v=""/>
    <s v=""/>
    <s v=""/>
    <s v=""/>
    <s v=""/>
    <s v=""/>
    <s v=""/>
    <n v="0"/>
    <s v=""/>
    <s v=""/>
    <s v=""/>
    <n v="23.52"/>
    <n v="23.52"/>
    <n v="23.52"/>
    <n v="0"/>
    <n v="-2.120000000000001"/>
    <s v="0.359-0.364"/>
    <s v="1235-1255"/>
    <m/>
    <m/>
    <m/>
    <m/>
    <m/>
    <x v="0"/>
    <s v="U"/>
    <x v="13"/>
    <s v="C09-TR10-0.359-1235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Khopoli Wider CRM"/>
  </r>
  <r>
    <n v="742"/>
    <d v="2025-09-10T00:00:00"/>
    <s v="ZBTF"/>
    <n v="9519091566"/>
    <n v="2"/>
    <s v="9519091566-2"/>
    <s v="No Priority"/>
    <s v="Released"/>
    <x v="0"/>
    <x v="5"/>
    <x v="10"/>
    <m/>
    <s v="2000-BPRS"/>
    <m/>
    <s v="KHOPOLI"/>
    <s v="TSMK"/>
    <n v="650783"/>
    <s v="Khopoli Wider CRM"/>
    <n v="4083739"/>
    <s v="CR COIL TATFHC TR10 0.459X1235"/>
    <s v="C09"/>
    <s v="TATFHC"/>
    <s v="TR10"/>
    <n v="0.45900000000000002"/>
    <n v="1235"/>
    <n v="0"/>
    <s v="T2 DONE"/>
    <s v=" "/>
    <s v=""/>
    <n v="22"/>
    <n v="25"/>
    <n v="252"/>
    <n v="73.099999999999994"/>
    <n v="178.9"/>
    <n v="-16.78"/>
    <n v="73.100000000000009"/>
    <n v="0"/>
    <n v="0"/>
    <n v="24.64"/>
    <s v=""/>
    <s v=""/>
    <s v=""/>
    <s v=""/>
    <s v=""/>
    <s v=""/>
    <s v=""/>
    <s v=""/>
    <s v=""/>
    <s v=""/>
    <n v="0"/>
    <s v=""/>
    <s v=""/>
    <s v=""/>
    <n v="171.04"/>
    <n v="195.68"/>
    <n v="195.68"/>
    <n v="0"/>
    <n v="-16.78"/>
    <s v="0.459-0.464"/>
    <s v="1235-1255"/>
    <m/>
    <m/>
    <m/>
    <m/>
    <m/>
    <x v="0"/>
    <s v="U"/>
    <x v="13"/>
    <s v="C09-TR10-0.459-1235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s v="Khopoli Wider CRM"/>
  </r>
  <r>
    <n v="742"/>
    <d v="2025-09-10T00:00:00"/>
    <s v="ZBTF"/>
    <n v="9519091566"/>
    <n v="3"/>
    <s v="9519091566-3"/>
    <s v="No Priority"/>
    <s v="Released"/>
    <x v="1"/>
    <x v="5"/>
    <x v="10"/>
    <n v="500"/>
    <s v="2000-BPRS"/>
    <m/>
    <s v="KHOPOLI"/>
    <s v="TSMK"/>
    <n v="650783"/>
    <s v="Khopoli Wider CRM"/>
    <n v="4083739"/>
    <s v="CR COIL TATFHC TR10 0.459X1235"/>
    <s v="C09"/>
    <s v="TATFHC"/>
    <s v="TR10"/>
    <n v="0.45900000000000002"/>
    <n v="1235"/>
    <n v="0"/>
    <s v="T2 DONE"/>
    <s v=" "/>
    <s v=""/>
    <n v="22"/>
    <n v="25"/>
    <n v="252"/>
    <n v="0"/>
    <n v="252"/>
    <n v="58.56"/>
    <n v="0"/>
    <n v="0"/>
    <n v="49.7"/>
    <n v="49.53"/>
    <s v=""/>
    <s v=""/>
    <s v=""/>
    <s v=""/>
    <s v=""/>
    <s v=""/>
    <s v=""/>
    <s v=""/>
    <s v=""/>
    <s v=""/>
    <n v="0"/>
    <n v="20.43"/>
    <s v=""/>
    <s v=""/>
    <n v="73.78"/>
    <n v="193.44"/>
    <n v="193.44"/>
    <n v="0"/>
    <n v="58.56"/>
    <s v="0.459-0.464"/>
    <s v="1235-1255"/>
    <m/>
    <m/>
    <m/>
    <m/>
    <m/>
    <x v="0"/>
    <s v="U"/>
    <x v="13"/>
    <s v="C09-TR10-0.459-1235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s v="Khopoli Wider CRM"/>
  </r>
  <r>
    <n v="743"/>
    <d v="2025-09-16T00:00:00"/>
    <s v="ZBTO"/>
    <n v="9519107089"/>
    <n v="2"/>
    <s v="9519107089-2"/>
    <s v="No Priority"/>
    <s v="Released"/>
    <x v="1"/>
    <x v="3"/>
    <x v="7"/>
    <m/>
    <s v="2000-BPRS"/>
    <m/>
    <s v="URLA"/>
    <s v="RPUR"/>
    <n v="139336"/>
    <s v="PASA ASSOCIATES PRIVATE LIMITED"/>
    <n v="1178439"/>
    <s v="GP COIL SOFT-TATXGP-GK09-0.4X900"/>
    <s v="C02"/>
    <s v="TATXGP"/>
    <s v="GK09"/>
    <n v="0.4"/>
    <n v="900"/>
    <n v="0"/>
    <s v="T2 DONE"/>
    <s v="Z80"/>
    <s v=""/>
    <n v="3"/>
    <n v="5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7-0.41"/>
    <s v="900-903"/>
    <m/>
    <m/>
    <m/>
    <m/>
    <m/>
    <x v="0"/>
    <s v="M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PASA ASSOCIATES PRIVATE LIMITED"/>
  </r>
  <r>
    <n v="743"/>
    <d v="2025-09-16T00:00:00"/>
    <s v="ZBTO"/>
    <n v="9519107089"/>
    <n v="4"/>
    <s v="9519107089-4"/>
    <s v="No Priority"/>
    <s v="Released"/>
    <x v="1"/>
    <x v="3"/>
    <x v="7"/>
    <m/>
    <s v="2000-BPRS"/>
    <m/>
    <s v="URLA"/>
    <s v="RPUR"/>
    <n v="139336"/>
    <s v="PASA ASSOCIATES PRIVATE LIMITED"/>
    <n v="1353179"/>
    <s v="GP COIL TATXGP GK09 0.500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47-0.51"/>
    <s v="900-903"/>
    <m/>
    <m/>
    <m/>
    <m/>
    <m/>
    <x v="0"/>
    <s v="M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PASA ASSOCIATES PRIVATE LIMITED"/>
  </r>
  <r>
    <n v="744"/>
    <d v="2025-08-26T00:00:00"/>
    <s v="ZBTO"/>
    <n v="9519050617"/>
    <n v="4"/>
    <s v="9519050617-4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55.999000000000002"/>
    <n v="24.375"/>
    <n v="31.623999999999999"/>
    <n v="9.5340000000000007"/>
    <n v="20.445"/>
    <n v="0"/>
    <n v="0"/>
    <s v=""/>
    <s v=""/>
    <s v=""/>
    <s v=""/>
    <n v="6.23"/>
    <n v="15.860000000000001"/>
    <s v=""/>
    <s v=""/>
    <s v=""/>
    <s v=""/>
    <s v=""/>
    <n v="0"/>
    <s v=""/>
    <s v=""/>
    <s v=""/>
    <s v=""/>
    <n v="22.090000000000003"/>
    <n v="22.090000000000003"/>
    <n v="0"/>
    <n v="9.5339999999999954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5"/>
    <s v="9519050617-5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6011 TSL 1810"/>
    <n v="1.5"/>
    <n v="5.0999999999999996"/>
    <n v="27.998999999999999"/>
    <n v="7.9649999999999999"/>
    <n v="20.033999999999999"/>
    <n v="-5.5659999999999998"/>
    <n v="7.9650000000000007"/>
    <n v="0"/>
    <n v="0"/>
    <s v=""/>
    <s v=""/>
    <s v=""/>
    <s v=""/>
    <s v=""/>
    <n v="25.6"/>
    <s v=""/>
    <s v=""/>
    <s v=""/>
    <s v=""/>
    <s v=""/>
    <n v="0"/>
    <s v=""/>
    <s v=""/>
    <s v=""/>
    <s v=""/>
    <n v="25.6"/>
    <n v="25.6"/>
    <n v="0"/>
    <n v="-5.5660000000000025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6"/>
    <s v="9519050617-6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12"/>
    <n v="0"/>
    <n v="112"/>
    <n v="14.515000000000001"/>
    <n v="0"/>
    <n v="0"/>
    <n v="0"/>
    <s v=""/>
    <s v=""/>
    <s v=""/>
    <s v=""/>
    <s v=""/>
    <n v="97.484999999999999"/>
    <s v=""/>
    <s v=""/>
    <s v=""/>
    <s v=""/>
    <s v=""/>
    <n v="0"/>
    <s v=""/>
    <s v=""/>
    <s v=""/>
    <s v=""/>
    <n v="97.484999999999999"/>
    <n v="97.484999999999999"/>
    <n v="0"/>
    <n v="14.515000000000001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7"/>
    <s v="9519050617-7"/>
    <s v="Sep'25"/>
    <s v="Released"/>
    <x v="0"/>
    <x v="4"/>
    <x v="4"/>
    <m/>
    <s v="1000-IPPE"/>
    <m/>
    <s v=" 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7015 TSL 1805"/>
    <n v="3"/>
    <n v="5"/>
    <n v="28"/>
    <n v="0"/>
    <n v="28"/>
    <n v="-0.05"/>
    <n v="0"/>
    <n v="0"/>
    <n v="0"/>
    <n v="28.05"/>
    <s v=""/>
    <s v=""/>
    <s v=""/>
    <s v=""/>
    <s v=""/>
    <s v=""/>
    <s v=""/>
    <s v=""/>
    <s v=""/>
    <s v=""/>
    <n v="0"/>
    <s v=""/>
    <s v=""/>
    <s v=""/>
    <s v=""/>
    <n v="28.05"/>
    <n v="28.05"/>
    <n v="0"/>
    <n v="-5.0000000000000711E-2"/>
    <s v="0.45-0.49"/>
    <s v="1220-1222"/>
    <m/>
    <m/>
    <m/>
    <m/>
    <m/>
    <x v="0"/>
    <s v="M"/>
    <x v="5"/>
    <s v="B18-D0C9-0.47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8"/>
    <s v="9519050617-8"/>
    <s v="Sep'25"/>
    <s v="Released"/>
    <x v="0"/>
    <x v="4"/>
    <x v="4"/>
    <m/>
    <s v="1000-IPPE"/>
    <m/>
    <s v=" 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5012 TSL 1802"/>
    <n v="3"/>
    <n v="5"/>
    <n v="56"/>
    <n v="0"/>
    <n v="56"/>
    <n v="3.01"/>
    <n v="0"/>
    <n v="0"/>
    <n v="0"/>
    <s v=""/>
    <s v=""/>
    <s v=""/>
    <s v=""/>
    <s v=""/>
    <n v="52.99"/>
    <s v=""/>
    <s v=""/>
    <s v=""/>
    <s v=""/>
    <s v=""/>
    <n v="0"/>
    <s v=""/>
    <s v=""/>
    <s v=""/>
    <s v=""/>
    <n v="52.99"/>
    <n v="52.99"/>
    <n v="0"/>
    <n v="3.009999999999998"/>
    <s v="0.45-0.49"/>
    <s v="1220-1222"/>
    <m/>
    <m/>
    <m/>
    <m/>
    <m/>
    <x v="0"/>
    <s v="M"/>
    <x v="5"/>
    <s v="B18-D0C9-0.47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9"/>
    <s v="9519050617-9"/>
    <s v="Sep'25"/>
    <s v="Released"/>
    <x v="0"/>
    <x v="4"/>
    <x v="4"/>
    <m/>
    <s v="1000-IPPE"/>
    <m/>
    <s v=" 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BRICK RED TSL 1803"/>
    <n v="3"/>
    <n v="5"/>
    <n v="28"/>
    <n v="0"/>
    <n v="28"/>
    <n v="-3.7250000000000001"/>
    <n v="0"/>
    <n v="0"/>
    <n v="0"/>
    <s v=""/>
    <s v=""/>
    <n v="27.8"/>
    <s v=""/>
    <s v=""/>
    <n v="3.9250000000000003"/>
    <s v=""/>
    <s v=""/>
    <s v=""/>
    <s v=""/>
    <s v=""/>
    <n v="0"/>
    <s v=""/>
    <s v=""/>
    <s v=""/>
    <s v=""/>
    <n v="31.725000000000001"/>
    <n v="31.725000000000001"/>
    <n v="0"/>
    <n v="-3.7250000000000014"/>
    <s v="0.45-0.49"/>
    <s v="1220-1222"/>
    <m/>
    <m/>
    <m/>
    <m/>
    <m/>
    <x v="0"/>
    <s v="M"/>
    <x v="5"/>
    <s v="B18-D0C9-0.47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13"/>
    <s v="9519050617-13"/>
    <s v="Sep'25"/>
    <s v="Released"/>
    <x v="0"/>
    <x v="4"/>
    <x v="4"/>
    <m/>
    <s v="1000-IPPE"/>
    <m/>
    <s v=" 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9002 TSL 1801"/>
    <n v="3"/>
    <n v="5"/>
    <n v="84"/>
    <n v="0"/>
    <n v="84"/>
    <n v="0.6"/>
    <n v="0"/>
    <n v="0"/>
    <n v="0"/>
    <s v=""/>
    <s v=""/>
    <n v="83.4"/>
    <s v=""/>
    <s v=""/>
    <s v=""/>
    <s v=""/>
    <s v=""/>
    <s v=""/>
    <s v=""/>
    <s v=""/>
    <n v="0"/>
    <s v=""/>
    <s v=""/>
    <s v=""/>
    <s v=""/>
    <n v="83.4"/>
    <n v="83.4"/>
    <n v="0"/>
    <n v="0.59999999999999432"/>
    <s v="0.45-0.49"/>
    <s v="1220-1222"/>
    <m/>
    <m/>
    <m/>
    <m/>
    <m/>
    <x v="0"/>
    <s v="M"/>
    <x v="5"/>
    <s v="B18-D0C9-0.47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14"/>
    <s v="9519050617-14"/>
    <s v="Sep'25"/>
    <s v="Released"/>
    <x v="0"/>
    <x v="4"/>
    <x v="4"/>
    <m/>
    <s v="1000-IPPE"/>
    <m/>
    <s v=" 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7024 TSL 1806"/>
    <n v="3"/>
    <n v="5"/>
    <n v="28"/>
    <n v="0"/>
    <n v="28"/>
    <n v="-0.19"/>
    <n v="0"/>
    <n v="0"/>
    <n v="28.19"/>
    <s v=""/>
    <s v=""/>
    <s v=""/>
    <s v=""/>
    <s v=""/>
    <s v=""/>
    <s v=""/>
    <s v=""/>
    <s v=""/>
    <s v=""/>
    <s v=""/>
    <n v="0"/>
    <s v=""/>
    <s v=""/>
    <s v=""/>
    <s v=""/>
    <n v="28.19"/>
    <n v="28.19"/>
    <n v="0"/>
    <n v="-0.19000000000000128"/>
    <s v="0.45-0.49"/>
    <s v="1220-1222"/>
    <m/>
    <m/>
    <m/>
    <m/>
    <m/>
    <x v="0"/>
    <s v="M"/>
    <x v="5"/>
    <s v="B18-D0C9-0.47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15"/>
    <s v="9519050617-15"/>
    <s v="Sep'25"/>
    <s v="Released"/>
    <x v="0"/>
    <x v="4"/>
    <x v="4"/>
    <m/>
    <s v="1000-IPPE"/>
    <m/>
    <s v=" 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OYAL BLUE TSL 1815"/>
    <n v="3"/>
    <n v="5"/>
    <n v="56"/>
    <n v="37.049999999999997"/>
    <n v="18.95"/>
    <n v="0.96"/>
    <n v="37.050000000000004"/>
    <n v="0"/>
    <n v="0"/>
    <s v=""/>
    <s v=""/>
    <s v=""/>
    <s v=""/>
    <s v=""/>
    <n v="17.990000000000002"/>
    <s v=""/>
    <s v=""/>
    <s v=""/>
    <s v=""/>
    <s v=""/>
    <n v="0"/>
    <s v=""/>
    <s v=""/>
    <s v=""/>
    <s v=""/>
    <n v="17.990000000000002"/>
    <n v="17.990000000000002"/>
    <n v="0"/>
    <n v="0.9599999999999973"/>
    <s v="0.45-0.49"/>
    <s v="1220-1222"/>
    <m/>
    <m/>
    <m/>
    <m/>
    <m/>
    <x v="0"/>
    <s v="M"/>
    <x v="5"/>
    <s v="B18-D0C9-0.47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2"/>
    <d v="2025-08-01T00:00:00"/>
    <s v="ZBTO"/>
    <n v="9518986243"/>
    <n v="4"/>
    <s v="9518986243-4"/>
    <s v="No Priority"/>
    <s v="Released"/>
    <x v="0"/>
    <x v="0"/>
    <x v="15"/>
    <m/>
    <s v="2000-BPRS"/>
    <m/>
    <s v="AHMEDABAD"/>
    <s v="AMED"/>
    <n v="854773"/>
    <s v="ANM ISPAT PVT LTD"/>
    <n v="2420516"/>
    <s v="CRCA COIL TATXXD AH03 0.900X1250"/>
    <s v="C01"/>
    <s v="TATXXD"/>
    <s v="AH03"/>
    <n v="0.9"/>
    <n v="1250"/>
    <n v="0"/>
    <s v="T2 DONE"/>
    <s v=" "/>
    <s v=""/>
    <n v="13"/>
    <n v="24"/>
    <n v="58"/>
    <n v="24"/>
    <n v="34"/>
    <n v="8.65"/>
    <n v="0"/>
    <n v="0"/>
    <n v="0"/>
    <s v=""/>
    <s v=""/>
    <s v=""/>
    <s v=""/>
    <s v=""/>
    <s v=""/>
    <s v=""/>
    <s v=""/>
    <n v="25.35"/>
    <s v=""/>
    <s v=""/>
    <n v="0"/>
    <s v=""/>
    <s v=""/>
    <s v=""/>
    <s v=""/>
    <n v="25.35"/>
    <n v="25.35"/>
    <n v="0"/>
    <n v="8.6499999999999986"/>
    <s v="0.88-0.92"/>
    <s v="1250-1252"/>
    <m/>
    <m/>
    <m/>
    <m/>
    <m/>
    <x v="0"/>
    <s v="R"/>
    <x v="3"/>
    <s v="C01-AH03-0.9-1250"/>
    <s v="367-SH67-2.8-1250"/>
    <x v="0"/>
    <x v="6"/>
    <x v="6"/>
    <x v="6"/>
    <x v="0"/>
    <x v="0"/>
    <x v="82"/>
    <m/>
    <m/>
    <m/>
    <m/>
    <m/>
    <m/>
    <m/>
    <m/>
    <m/>
    <m/>
    <m/>
    <m/>
    <m/>
    <m/>
    <m/>
    <m/>
    <m/>
    <m/>
    <m/>
    <s v="ANM ISPAT PVT LTD"/>
  </r>
  <r>
    <n v="744"/>
    <d v="2025-08-30T00:00:00"/>
    <s v="ZBTO"/>
    <n v="9519065717"/>
    <n v="1"/>
    <s v="9519065717-1"/>
    <s v="Sep'25"/>
    <s v="Released"/>
    <x v="0"/>
    <x v="4"/>
    <x v="4"/>
    <m/>
    <s v="1000-IPPE"/>
    <m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80"/>
    <n v="0"/>
    <n v="280"/>
    <n v="28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80"/>
    <n v="0"/>
    <s v="0.38-0.42"/>
    <s v="1220-1222"/>
    <m/>
    <m/>
    <m/>
    <m/>
    <m/>
    <x v="0"/>
    <s v="M"/>
    <x v="5"/>
    <s v="B18-D0C7-0.4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4"/>
    <d v="2025-08-30T00:00:00"/>
    <s v="ZBTO"/>
    <n v="9519065717"/>
    <n v="2"/>
    <s v="9519065717-2"/>
    <s v="Sep'25"/>
    <s v="Released"/>
    <x v="0"/>
    <x v="4"/>
    <x v="4"/>
    <m/>
    <s v="1000-IPPE"/>
    <m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24"/>
    <n v="0"/>
    <n v="224"/>
    <n v="10.56"/>
    <n v="0"/>
    <n v="0"/>
    <n v="0"/>
    <s v=""/>
    <s v=""/>
    <s v=""/>
    <s v=""/>
    <s v=""/>
    <n v="213.44"/>
    <s v=""/>
    <s v=""/>
    <s v=""/>
    <s v=""/>
    <s v=""/>
    <n v="0"/>
    <s v=""/>
    <s v=""/>
    <s v=""/>
    <s v=""/>
    <n v="213.44"/>
    <n v="213.44"/>
    <n v="0"/>
    <n v="10.560000000000002"/>
    <s v="0.38-0.42"/>
    <s v="1220-1222"/>
    <m/>
    <m/>
    <m/>
    <m/>
    <m/>
    <x v="0"/>
    <s v="M"/>
    <x v="5"/>
    <s v="B18-D0C7-0.4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2"/>
    <d v="2025-08-18T00:00:00"/>
    <s v="ZBTO"/>
    <n v="9519025593"/>
    <n v="1"/>
    <s v="9519025593-1"/>
    <s v="No Priority"/>
    <s v="Released"/>
    <x v="0"/>
    <x v="0"/>
    <x v="6"/>
    <m/>
    <s v="2000-BPRS"/>
    <m/>
    <s v="VARANASI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8-0.42"/>
    <s v="1250-1254"/>
    <m/>
    <m/>
    <m/>
    <m/>
    <m/>
    <x v="0"/>
    <s v="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O.V.S. ISPAT UDYOG"/>
  </r>
  <r>
    <n v="744"/>
    <d v="2025-08-20T00:00:00"/>
    <s v="ZBTO"/>
    <n v="9519032766"/>
    <n v="3"/>
    <s v="9519032766-3"/>
    <s v="Sep'25"/>
    <s v="Released"/>
    <x v="0"/>
    <x v="4"/>
    <x v="4"/>
    <m/>
    <s v="1000-IPPE"/>
    <m/>
    <s v=" "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ROYAL BLUE TSL 1815"/>
    <n v="3"/>
    <n v="5"/>
    <n v="28"/>
    <n v="0"/>
    <n v="28"/>
    <n v="1.93"/>
    <n v="0"/>
    <n v="0"/>
    <n v="0"/>
    <s v=""/>
    <s v=""/>
    <s v=""/>
    <s v=""/>
    <s v=""/>
    <n v="26.07"/>
    <s v=""/>
    <s v=""/>
    <s v=""/>
    <s v=""/>
    <s v=""/>
    <n v="0"/>
    <s v=""/>
    <s v=""/>
    <s v=""/>
    <s v=""/>
    <n v="26.07"/>
    <n v="26.07"/>
    <n v="0"/>
    <n v="1.9299999999999997"/>
    <s v="0.43-0.47"/>
    <s v="1220-1222"/>
    <m/>
    <m/>
    <m/>
    <m/>
    <m/>
    <x v="0"/>
    <s v="M"/>
    <x v="5"/>
    <s v="B18-D0C9-0.4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2"/>
    <s v="9519042679-2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15 TSL 1805"/>
    <n v="3"/>
    <n v="5"/>
    <n v="56"/>
    <n v="23.97"/>
    <n v="32.03"/>
    <n v="8.2899999999999991"/>
    <n v="23.97"/>
    <n v="0"/>
    <n v="0"/>
    <s v=""/>
    <s v=""/>
    <s v=""/>
    <s v=""/>
    <s v=""/>
    <s v=""/>
    <s v=""/>
    <s v=""/>
    <s v=""/>
    <s v=""/>
    <s v=""/>
    <n v="0"/>
    <s v=""/>
    <s v=""/>
    <n v="23.740000000000002"/>
    <s v=""/>
    <n v="23.740000000000002"/>
    <n v="23.740000000000002"/>
    <n v="0"/>
    <n v="8.2899999999999991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4"/>
    <s v="9519042679-4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12"/>
    <n v="0"/>
    <n v="112"/>
    <n v="36.07"/>
    <n v="0"/>
    <n v="0"/>
    <n v="0"/>
    <s v=""/>
    <s v=""/>
    <s v=""/>
    <s v=""/>
    <s v=""/>
    <n v="75.930000000000007"/>
    <s v=""/>
    <s v=""/>
    <s v=""/>
    <s v=""/>
    <s v=""/>
    <n v="0"/>
    <s v=""/>
    <s v=""/>
    <s v=""/>
    <s v=""/>
    <n v="75.930000000000007"/>
    <n v="75.930000000000007"/>
    <n v="36"/>
    <n v="6.9999999999993179E-2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5"/>
    <s v="9519042679-5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68"/>
    <n v="0"/>
    <n v="168"/>
    <n v="-4.585"/>
    <n v="0"/>
    <n v="0"/>
    <n v="0"/>
    <s v=""/>
    <s v=""/>
    <s v=""/>
    <s v=""/>
    <s v=""/>
    <n v="172.58500000000001"/>
    <s v=""/>
    <s v=""/>
    <s v=""/>
    <s v=""/>
    <s v=""/>
    <n v="0"/>
    <s v=""/>
    <s v=""/>
    <s v=""/>
    <s v=""/>
    <n v="172.58500000000001"/>
    <n v="172.58500000000001"/>
    <n v="0"/>
    <n v="-4.585000000000008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6"/>
    <s v="9519042679-6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84"/>
    <n v="0"/>
    <n v="84"/>
    <n v="8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84"/>
    <n v="0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7"/>
    <s v="9519042679-7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12"/>
    <n v="0"/>
    <n v="112"/>
    <n v="-14.96"/>
    <n v="0"/>
    <n v="0"/>
    <n v="0"/>
    <s v=""/>
    <s v=""/>
    <s v=""/>
    <s v=""/>
    <s v=""/>
    <n v="126.96000000000001"/>
    <s v=""/>
    <s v=""/>
    <s v=""/>
    <s v=""/>
    <s v=""/>
    <n v="0"/>
    <s v=""/>
    <s v=""/>
    <s v=""/>
    <s v=""/>
    <n v="126.96000000000001"/>
    <n v="126.96000000000001"/>
    <n v="0"/>
    <n v="-14.960000000000008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8"/>
    <s v="9519042679-8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68"/>
    <n v="0"/>
    <n v="168"/>
    <n v="-11.815"/>
    <n v="0"/>
    <n v="0"/>
    <n v="28.05"/>
    <s v=""/>
    <s v=""/>
    <s v=""/>
    <s v=""/>
    <s v=""/>
    <n v="151.76500000000001"/>
    <s v=""/>
    <s v=""/>
    <s v=""/>
    <s v=""/>
    <s v=""/>
    <n v="0"/>
    <s v=""/>
    <s v=""/>
    <s v=""/>
    <s v=""/>
    <n v="179.81500000000003"/>
    <n v="179.81500000000003"/>
    <n v="0"/>
    <n v="-11.815000000000026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2"/>
    <d v="2025-08-29T00:00:00"/>
    <s v="ZBTO"/>
    <n v="9519062631"/>
    <n v="13"/>
    <s v="9519062631-13"/>
    <s v="No Priority"/>
    <s v="Released"/>
    <x v="0"/>
    <x v="0"/>
    <x v="6"/>
    <m/>
    <s v="2000-BPRS"/>
    <m/>
    <s v="VARANASI"/>
    <s v="FBAD"/>
    <n v="931525"/>
    <s v="INDIA STEEL INDUSTRIES"/>
    <n v="3239548"/>
    <s v="CRCA SHEET TATCRC SR16 0.400X900X2500"/>
    <s v="C06"/>
    <s v="TATCRC"/>
    <s v="SR16"/>
    <n v="0.4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8-0.42"/>
    <s v="900-904"/>
    <m/>
    <m/>
    <m/>
    <m/>
    <m/>
    <x v="0"/>
    <s v="M"/>
    <x v="7"/>
    <s v="C06-SR16-0.4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s v="INDIA STEEL INDUSTRIES"/>
  </r>
  <r>
    <n v="742"/>
    <d v="2025-08-29T00:00:00"/>
    <s v="ZBTO"/>
    <n v="9519062631"/>
    <n v="10"/>
    <s v="9519062631-10"/>
    <s v="Oct'25"/>
    <s v="Released"/>
    <x v="1"/>
    <x v="0"/>
    <x v="6"/>
    <m/>
    <s v="2000-BPRS"/>
    <m/>
    <s v="VARANASI"/>
    <s v="FBAD"/>
    <n v="931525"/>
    <s v="INDIA STEEL INDUSTRIES"/>
    <n v="3437524"/>
    <s v="CRCA SHEET TATCRC SR16 0.400X1250X2030"/>
    <s v="C06"/>
    <s v="TATCRC"/>
    <s v="SR16"/>
    <n v="0.4"/>
    <n v="1250"/>
    <n v="2030"/>
    <s v="T2 DONE"/>
    <s v=" "/>
    <s v=""/>
    <n v="0"/>
    <n v="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38-0.42"/>
    <s v="1250-1254"/>
    <m/>
    <m/>
    <m/>
    <m/>
    <m/>
    <x v="0"/>
    <s v="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INDIA STEEL INDUSTRIES"/>
  </r>
  <r>
    <n v="742"/>
    <d v="2025-08-29T00:00:00"/>
    <s v="ZBTO"/>
    <n v="9519062631"/>
    <n v="11"/>
    <s v="9519062631-11"/>
    <s v="Oct'25"/>
    <s v="Released"/>
    <x v="1"/>
    <x v="0"/>
    <x v="6"/>
    <m/>
    <s v="2000-BPRS"/>
    <m/>
    <s v="VARANASI"/>
    <s v="FBAD"/>
    <n v="931525"/>
    <s v="INDIA STEEL INDUSTRIES"/>
    <n v="3444592"/>
    <s v="CRCA SHEET TATCRC SR16 0.450X1250X2030"/>
    <s v="C06"/>
    <s v="TATCRC"/>
    <s v="SR16"/>
    <n v="0.45"/>
    <n v="1250"/>
    <n v="2030"/>
    <s v="T2 DONE"/>
    <s v=" "/>
    <s v=""/>
    <n v="0"/>
    <n v="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43-0.47"/>
    <s v="1250-1254"/>
    <m/>
    <m/>
    <m/>
    <m/>
    <m/>
    <x v="0"/>
    <s v="M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INDIA STEEL INDUSTRIES"/>
  </r>
  <r>
    <n v="742"/>
    <d v="2025-08-21T00:00:00"/>
    <s v="ZBTO"/>
    <n v="9519036272"/>
    <n v="6"/>
    <s v="9519036272-6"/>
    <s v="Oct'25"/>
    <s v="Released"/>
    <x v="1"/>
    <x v="0"/>
    <x v="6"/>
    <m/>
    <s v="2000-BPRS"/>
    <m/>
    <s v="WEST BOKARO"/>
    <s v="JAMS"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5"/>
    <n v="3.2"/>
    <n v="138"/>
    <n v="0"/>
    <n v="138"/>
    <n v="13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38"/>
    <s v="0.43-0.47"/>
    <s v="1000-1002"/>
    <m/>
    <m/>
    <m/>
    <m/>
    <m/>
    <x v="0"/>
    <s v="R"/>
    <x v="7"/>
    <s v="C06-SR16-0.45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Shree Bajrang Steel Udyog"/>
  </r>
  <r>
    <n v="742"/>
    <d v="2025-08-21T00:00:00"/>
    <s v="ZBTO"/>
    <n v="9519036388"/>
    <n v="4"/>
    <s v="9519036388-4"/>
    <s v="Oct'25"/>
    <s v="Released"/>
    <x v="1"/>
    <x v="0"/>
    <x v="6"/>
    <m/>
    <s v="2000-BPRS"/>
    <m/>
    <s v=" "/>
    <s v="JAMS"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s v=""/>
    <n v="2.5"/>
    <n v="3.2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6-0.5"/>
    <s v="1250-1252"/>
    <m/>
    <m/>
    <m/>
    <m/>
    <m/>
    <x v="0"/>
    <s v="R"/>
    <x v="3"/>
    <s v="C06-SR16-0.48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R. S. BOKARO METAL (P) LTD."/>
  </r>
  <r>
    <n v="742"/>
    <d v="2025-08-28T00:00:00"/>
    <s v="ZBTO"/>
    <n v="9519056703"/>
    <n v="1"/>
    <s v="9519056703-1"/>
    <s v="No Priority"/>
    <s v="Released"/>
    <x v="0"/>
    <x v="0"/>
    <x v="6"/>
    <m/>
    <s v="2000-BPRS"/>
    <m/>
    <s v="VARANASI"/>
    <s v="FBAD"/>
    <n v="931525"/>
    <s v="INDIA STEEL INDUSTRIES"/>
    <n v="3239567"/>
    <s v="CRCA SHEET TATCRC SR16 0.450X1000X2500"/>
    <s v="C06"/>
    <s v="TATCRC"/>
    <s v="SR16"/>
    <n v="0.45"/>
    <n v="1000"/>
    <n v="250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43-0.47"/>
    <s v="1000-1004"/>
    <m/>
    <m/>
    <m/>
    <m/>
    <m/>
    <x v="0"/>
    <s v="M"/>
    <x v="7"/>
    <s v="C06-SR16-0.45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INDIA STEEL INDUSTRIES"/>
  </r>
  <r>
    <n v="742"/>
    <d v="2025-08-18T00:00:00"/>
    <s v="ZBTO"/>
    <n v="9519025593"/>
    <n v="2"/>
    <s v="9519025593-2"/>
    <s v="Oct'25"/>
    <s v="Released"/>
    <x v="1"/>
    <x v="0"/>
    <x v="6"/>
    <m/>
    <s v="2000-BPRS"/>
    <m/>
    <s v="VARANASI"/>
    <s v="KANP"/>
    <n v="115841"/>
    <s v="O.V.S. ISPAT UDYOG"/>
    <n v="3444592"/>
    <s v="CRCA SHEET TATCRC SR16 0.450X1250X2030"/>
    <s v="C06"/>
    <s v="TATCRC"/>
    <s v="SR16"/>
    <n v="0.45"/>
    <n v="1250"/>
    <n v="203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3-0.47"/>
    <s v="1250-1254"/>
    <m/>
    <m/>
    <m/>
    <m/>
    <m/>
    <x v="0"/>
    <s v="M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O.V.S. ISPAT UDYOG"/>
  </r>
  <r>
    <n v="742"/>
    <d v="2025-08-20T00:00:00"/>
    <s v="ZBTO"/>
    <n v="9519032508"/>
    <n v="8"/>
    <s v="9519032508-8"/>
    <s v="Oct'25"/>
    <s v="Released"/>
    <x v="1"/>
    <x v="0"/>
    <x v="0"/>
    <m/>
    <s v="2000-BPRS"/>
    <m/>
    <s v="VISHAKHAPATNAM"/>
    <s v="SBAD"/>
    <n v="946077"/>
    <s v="SITARAM IRON AND STEEL PVT LTD"/>
    <n v="2378013"/>
    <s v="CRCA COIL TATXXD AU03 1X1120"/>
    <s v="C01"/>
    <s v="TATXXD"/>
    <s v="AU03"/>
    <n v="1"/>
    <n v="1120"/>
    <n v="0"/>
    <s v="T2 DONE"/>
    <s v=" "/>
    <s v=""/>
    <n v="8"/>
    <n v="12"/>
    <n v="26"/>
    <n v="0"/>
    <n v="26"/>
    <n v="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6"/>
    <s v="0.97-1.03"/>
    <s v="1120-1125"/>
    <m/>
    <m/>
    <m/>
    <m/>
    <m/>
    <x v="0"/>
    <s v="C"/>
    <x v="19"/>
    <s v="C01-AU03-1-1120"/>
    <s v="B69-SH08-2.8-1130"/>
    <x v="2"/>
    <x v="0"/>
    <x v="0"/>
    <x v="0"/>
    <x v="0"/>
    <x v="21"/>
    <x v="83"/>
    <m/>
    <m/>
    <m/>
    <m/>
    <m/>
    <m/>
    <m/>
    <m/>
    <m/>
    <m/>
    <m/>
    <m/>
    <m/>
    <m/>
    <m/>
    <m/>
    <m/>
    <m/>
    <m/>
    <s v="SITARAM IRON AND STEEL PVT LTD"/>
  </r>
  <r>
    <n v="742"/>
    <d v="2025-08-02T00:00:00"/>
    <s v="ZBTO"/>
    <n v="9518988277"/>
    <n v="1"/>
    <s v="9518988277-1"/>
    <s v="No Priority"/>
    <s v="Released"/>
    <x v="0"/>
    <x v="0"/>
    <x v="0"/>
    <m/>
    <s v="2000-BPRS"/>
    <m/>
    <s v="ZOSOLA"/>
    <s v="GBAD"/>
    <n v="184986"/>
    <s v="SWASTIK STEEL PROCESSOR LLP"/>
    <n v="1800890"/>
    <s v="CRCA COIL-TATXXD-AU03-0.35X1250"/>
    <s v="C01"/>
    <s v="TATXXD"/>
    <s v="AU03"/>
    <n v="0.35"/>
    <n v="1250"/>
    <n v="0"/>
    <s v="T2 DONE"/>
    <s v=" "/>
    <s v=""/>
    <n v="15"/>
    <n v="29"/>
    <n v="116"/>
    <n v="0"/>
    <n v="116"/>
    <n v="91.314999999999998"/>
    <n v="0"/>
    <n v="0"/>
    <n v="0"/>
    <s v=""/>
    <s v=""/>
    <s v=""/>
    <s v=""/>
    <s v=""/>
    <s v=""/>
    <s v=""/>
    <s v=""/>
    <s v=""/>
    <s v=""/>
    <s v=""/>
    <n v="0"/>
    <s v=""/>
    <n v="24.685000000000002"/>
    <s v=""/>
    <s v=""/>
    <n v="24.685000000000002"/>
    <n v="24.685000000000002"/>
    <n v="0"/>
    <n v="91.314999999999998"/>
    <s v="0.32-0.36"/>
    <s v="1250-1262"/>
    <m/>
    <m/>
    <m/>
    <m/>
    <m/>
    <x v="0"/>
    <s v="U"/>
    <x v="0"/>
    <s v="C01-AU03-0.35-1250"/>
    <s v="367-SH08-2-1275"/>
    <x v="0"/>
    <x v="0"/>
    <x v="0"/>
    <x v="0"/>
    <x v="2"/>
    <x v="11"/>
    <x v="19"/>
    <m/>
    <m/>
    <m/>
    <m/>
    <m/>
    <m/>
    <m/>
    <m/>
    <m/>
    <m/>
    <m/>
    <m/>
    <m/>
    <m/>
    <m/>
    <m/>
    <m/>
    <m/>
    <m/>
    <s v="SWASTIK STEEL PROCESSOR LLP"/>
  </r>
  <r>
    <n v="742"/>
    <d v="2025-09-02T00:00:00"/>
    <s v="ZBTO"/>
    <n v="9519073326"/>
    <n v="1"/>
    <s v="9519073326-1"/>
    <s v="Oct'25"/>
    <s v="Released"/>
    <x v="1"/>
    <x v="0"/>
    <x v="0"/>
    <m/>
    <s v="2000-BPRS"/>
    <m/>
    <s v="ZOSOLA"/>
    <s v="GBAD"/>
    <n v="184986"/>
    <s v="SWASTIK STEEL PROCESSOR LLP"/>
    <n v="259534"/>
    <s v="CR COIL-ICF  DQ TATXXD AU03 0.35 X 1250"/>
    <s v="C01"/>
    <s v="TATXXD"/>
    <s v="AU03"/>
    <n v="0.35"/>
    <n v="1250"/>
    <n v="0"/>
    <s v="T2 DONE"/>
    <s v=" "/>
    <s v=""/>
    <n v="15"/>
    <n v="29"/>
    <n v="116"/>
    <n v="0"/>
    <n v="116"/>
    <n v="11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16"/>
    <s v="0.32-0.36"/>
    <s v="1250-1262"/>
    <m/>
    <m/>
    <m/>
    <m/>
    <m/>
    <x v="1"/>
    <s v="U"/>
    <x v="0"/>
    <s v="C01-AU03-0.35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SWASTIK STEEL PROCESSOR LLP"/>
  </r>
  <r>
    <n v="742"/>
    <d v="2025-08-22T00:00:00"/>
    <s v="ZBTO"/>
    <n v="9519040022"/>
    <n v="2"/>
    <s v="9519040022-2"/>
    <s v="Sep'25"/>
    <s v="Released"/>
    <x v="0"/>
    <x v="0"/>
    <x v="5"/>
    <m/>
    <s v="1000-IPPE"/>
    <m/>
    <s v="VADODARA"/>
    <s v="NPUR"/>
    <n v="189022"/>
    <s v="Balmer Lawrie And Company Limited"/>
    <n v="2164800"/>
    <s v="CRCA COIL TATXXD BT02 0.970X913"/>
    <s v="C01"/>
    <s v="TATXXD"/>
    <s v="BT02"/>
    <n v="0.97"/>
    <n v="913"/>
    <n v="0"/>
    <s v="T2 DONE"/>
    <s v=" "/>
    <s v=""/>
    <n v="6"/>
    <n v="10"/>
    <n v="63"/>
    <n v="16.824999999999999"/>
    <n v="46.174999999999997"/>
    <n v="46.174999999999997"/>
    <n v="7.62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46"/>
    <n v="0"/>
    <s v="0.95-1"/>
    <s v="913-914"/>
    <m/>
    <m/>
    <m/>
    <m/>
    <m/>
    <x v="0"/>
    <s v="T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s v="Balmer Lawrie And Company Limited"/>
  </r>
  <r>
    <n v="742"/>
    <d v="2025-07-18T00:00:00"/>
    <s v="ZBTO"/>
    <n v="9518939375"/>
    <n v="2"/>
    <s v="9518939375-2"/>
    <s v="Stocks"/>
    <s v="Released"/>
    <x v="0"/>
    <x v="0"/>
    <x v="15"/>
    <m/>
    <s v="2000-BPRS"/>
    <m/>
    <s v="JSR"/>
    <s v="CALS"/>
    <n v="155536"/>
    <s v="TATA STEEL DOWNSTREAM PRODUCTS LIMI"/>
    <n v="2420525"/>
    <s v="CRCA COIL TATXXD AH03 2X1250"/>
    <s v="C01"/>
    <s v="TATXXD"/>
    <s v="AH03"/>
    <n v="2"/>
    <n v="1250"/>
    <n v="0"/>
    <s v="T2 DONE"/>
    <s v=" "/>
    <s v=""/>
    <n v="13"/>
    <n v="29"/>
    <n v="185"/>
    <n v="156.89500000000001"/>
    <n v="28.105"/>
    <n v="28.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8.105"/>
    <s v="1.97-2"/>
    <s v="1250-1270"/>
    <m/>
    <m/>
    <m/>
    <m/>
    <m/>
    <x v="0"/>
    <s v="U"/>
    <x v="23"/>
    <s v="C01-AH03-2-1250"/>
    <s v="367-SH67-4-1250"/>
    <x v="0"/>
    <x v="6"/>
    <x v="6"/>
    <x v="6"/>
    <x v="10"/>
    <x v="0"/>
    <x v="84"/>
    <m/>
    <m/>
    <m/>
    <m/>
    <m/>
    <m/>
    <m/>
    <m/>
    <m/>
    <m/>
    <m/>
    <m/>
    <m/>
    <m/>
    <m/>
    <m/>
    <m/>
    <m/>
    <m/>
    <s v="TATA STEEL DOWNSTREAM PRODUCTS LIMI"/>
  </r>
  <r>
    <n v="742"/>
    <d v="2025-07-18T00:00:00"/>
    <s v="ZBTO"/>
    <n v="9518938765"/>
    <n v="12"/>
    <s v="9518938765-12"/>
    <s v="Aug'25"/>
    <s v="Released"/>
    <x v="0"/>
    <x v="0"/>
    <x v="6"/>
    <m/>
    <s v="2000-BPRS"/>
    <m/>
    <s v="PATNA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0"/>
    <n v="0"/>
    <n v="22.998999999999999"/>
    <n v="0"/>
    <n v="22.998999999999999"/>
    <n v="1.7589999999999999"/>
    <n v="0"/>
    <n v="0"/>
    <n v="0"/>
    <s v=""/>
    <s v=""/>
    <s v=""/>
    <s v=""/>
    <s v=""/>
    <s v=""/>
    <s v=""/>
    <s v=""/>
    <n v="21.240000000000002"/>
    <s v=""/>
    <s v=""/>
    <n v="0"/>
    <s v=""/>
    <s v=""/>
    <s v=""/>
    <s v=""/>
    <n v="21.240000000000002"/>
    <n v="21.240000000000002"/>
    <n v="0"/>
    <n v="1.7589999999999968"/>
    <s v="0.57-0.6"/>
    <s v="1000-1002"/>
    <m/>
    <m/>
    <m/>
    <m/>
    <m/>
    <x v="0"/>
    <s v="T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BMW VENTURES LIMITED"/>
  </r>
  <r>
    <n v="742"/>
    <d v="2025-08-21T00:00:00"/>
    <s v="ZBTO"/>
    <n v="9519036272"/>
    <n v="3"/>
    <s v="9519036272-3"/>
    <s v="Oct'25"/>
    <s v="Released"/>
    <x v="1"/>
    <x v="0"/>
    <x v="6"/>
    <m/>
    <s v="2000-BPRS"/>
    <m/>
    <s v="WEST BOKARO"/>
    <s v="JAMS"/>
    <n v="185794"/>
    <s v="Shree Bajrang Steel Udyog"/>
    <n v="2441002"/>
    <s v="CRCA SHEET TATCRC SR16 0.380X1250X2500"/>
    <s v="C06"/>
    <s v="TATCRC"/>
    <s v="SR16"/>
    <n v="0.38"/>
    <n v="1250"/>
    <n v="2500"/>
    <s v="T2 DONE"/>
    <s v=" "/>
    <s v=""/>
    <n v="2.5"/>
    <n v="3.2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36-0.4"/>
    <s v="1250-1252"/>
    <m/>
    <m/>
    <m/>
    <m/>
    <m/>
    <x v="0"/>
    <s v="R"/>
    <x v="7"/>
    <s v="C06-SR16-0.38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s v="Shree Bajrang Steel Udyog"/>
  </r>
  <r>
    <n v="742"/>
    <d v="2025-08-28T00:00:00"/>
    <s v="ZBTO"/>
    <n v="9519056703"/>
    <n v="2"/>
    <s v="9519056703-2"/>
    <s v="No Priority"/>
    <s v="Released"/>
    <x v="0"/>
    <x v="0"/>
    <x v="6"/>
    <m/>
    <s v="2000-BPRS"/>
    <m/>
    <s v="VARANASI"/>
    <s v="FBAD"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0"/>
    <n v="0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58-0.62"/>
    <s v="1000-1004"/>
    <m/>
    <m/>
    <m/>
    <m/>
    <m/>
    <x v="0"/>
    <s v="M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INDIA STEEL INDUSTRIES"/>
  </r>
  <r>
    <n v="742"/>
    <d v="2025-07-25T00:00:00"/>
    <s v="ZBTO"/>
    <n v="9518957749"/>
    <n v="1"/>
    <s v="9518957749-1"/>
    <s v="Oct'25"/>
    <s v="Released"/>
    <x v="1"/>
    <x v="0"/>
    <x v="0"/>
    <m/>
    <s v="2000-BPRS"/>
    <m/>
    <s v="YESHWANTHPURA"/>
    <s v="BANG"/>
    <n v="932244"/>
    <s v="DURGA TRADERS"/>
    <n v="1804772"/>
    <s v="CRCA COIL TATXXD AU03 0.4X1250"/>
    <s v="C01"/>
    <s v="TATXXD"/>
    <s v="AU03"/>
    <n v="0.4"/>
    <n v="1250"/>
    <n v="0"/>
    <s v="T2 DONE"/>
    <s v=" "/>
    <s v=""/>
    <n v="10"/>
    <n v="28"/>
    <n v="116"/>
    <n v="25.045000000000002"/>
    <n v="90.954999999999998"/>
    <n v="90.95499999999999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90.954999999999998"/>
    <s v="0.37-0.4"/>
    <s v="1250-1262"/>
    <m/>
    <m/>
    <m/>
    <m/>
    <m/>
    <x v="1"/>
    <s v="U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DURGA TRADERS"/>
  </r>
  <r>
    <n v="742"/>
    <d v="2025-07-24T00:00:00"/>
    <s v="ZBTO"/>
    <n v="9518954637"/>
    <n v="1"/>
    <s v="9518954637-1"/>
    <s v="Sep'25"/>
    <s v="Released"/>
    <x v="0"/>
    <x v="0"/>
    <x v="0"/>
    <m/>
    <s v="2000-BPRS"/>
    <m/>
    <s v="TATANAGAR"/>
    <s v="JAMS"/>
    <n v="165053"/>
    <s v="SUDISA ENTERPRISES (P) LTD."/>
    <n v="1804772"/>
    <s v="CRCA COIL TATXXD AU03 0.4X1250"/>
    <s v="C01"/>
    <s v="TATXXD"/>
    <s v="AU03"/>
    <n v="0.4"/>
    <n v="1250"/>
    <n v="0"/>
    <s v="T2 DONE"/>
    <s v=" "/>
    <s v=""/>
    <n v="20"/>
    <n v="29"/>
    <n v="58"/>
    <n v="0"/>
    <n v="58"/>
    <n v="58"/>
    <n v="0"/>
    <n v="0"/>
    <n v="0"/>
    <s v=""/>
    <s v=""/>
    <s v=""/>
    <s v=""/>
    <s v=""/>
    <s v=""/>
    <n v="27.92"/>
    <s v=""/>
    <s v=""/>
    <s v=""/>
    <s v=""/>
    <n v="0"/>
    <s v=""/>
    <s v=""/>
    <s v=""/>
    <s v=""/>
    <n v="27.92"/>
    <n v="27.92"/>
    <n v="58"/>
    <n v="-27.92"/>
    <s v="0.38-0.42"/>
    <s v="1250-1252"/>
    <m/>
    <m/>
    <m/>
    <m/>
    <m/>
    <x v="0"/>
    <s v="R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SUDISA ENTERPRISES (P) LTD."/>
  </r>
  <r>
    <n v="742"/>
    <d v="2025-07-18T00:00:00"/>
    <s v="ZBTO"/>
    <n v="9518939680"/>
    <n v="23"/>
    <s v="9518939680-23"/>
    <s v="Sep'25"/>
    <s v="Released"/>
    <x v="0"/>
    <x v="0"/>
    <x v="0"/>
    <m/>
    <s v="2000-BPRS"/>
    <m/>
    <s v="CHENNAI"/>
    <s v="MADS"/>
    <n v="938550"/>
    <s v="BASEER AND CO"/>
    <n v="1801159"/>
    <s v="CRCA COIL-TATXXD-AU03-0.5X1000"/>
    <s v="C01"/>
    <s v="TATXXD"/>
    <s v="AU03"/>
    <n v="0.5"/>
    <n v="1000"/>
    <n v="0"/>
    <s v="T2 DONE"/>
    <s v=" "/>
    <s v=""/>
    <n v="6"/>
    <n v="18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48-0.52"/>
    <s v="1000-1004"/>
    <m/>
    <m/>
    <m/>
    <m/>
    <m/>
    <x v="0"/>
    <s v="R"/>
    <x v="0"/>
    <s v="C01-AU03-0.5-100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25"/>
    <s v="9518939680-25"/>
    <s v="Sep'25"/>
    <s v="Released"/>
    <x v="1"/>
    <x v="0"/>
    <x v="0"/>
    <m/>
    <s v="2000-BPRS"/>
    <m/>
    <s v="CHENNAI"/>
    <s v="MADS"/>
    <n v="938550"/>
    <s v="BASEER AND CO"/>
    <n v="1801562"/>
    <s v="CRCA COIL-TATXXD-AU03-0.8X1000"/>
    <s v="C01"/>
    <s v="TATXXD"/>
    <s v="AU03"/>
    <n v="0.8"/>
    <n v="1000"/>
    <n v="0"/>
    <s v="T2 DONE"/>
    <s v=" "/>
    <s v=""/>
    <n v="6"/>
    <n v="18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78-0.82"/>
    <s v="1000-1004"/>
    <m/>
    <m/>
    <m/>
    <m/>
    <m/>
    <x v="0"/>
    <s v="R"/>
    <x v="0"/>
    <s v="C01-AU03-0.8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30"/>
    <s v="9518939680-30"/>
    <s v="Sep'25"/>
    <s v="Released"/>
    <x v="1"/>
    <x v="0"/>
    <x v="0"/>
    <m/>
    <s v="2000-BPRS"/>
    <m/>
    <s v="CHENNAI"/>
    <s v="MADS"/>
    <n v="938550"/>
    <s v="BASEER AND CO"/>
    <n v="185672"/>
    <s v="CR COIL-ICF  DQ TATXXD AU03 0.50X1000"/>
    <s v="C01"/>
    <s v="TATXXD"/>
    <s v="AU03"/>
    <n v="0.5"/>
    <n v="1000"/>
    <n v="0"/>
    <s v="T2 DONE"/>
    <s v=" "/>
    <s v=""/>
    <n v="6"/>
    <n v="18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48-0.52"/>
    <s v="1000-1004"/>
    <m/>
    <m/>
    <m/>
    <m/>
    <m/>
    <x v="0"/>
    <s v="R"/>
    <x v="0"/>
    <s v="C01-AU03-0.5-100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BASEER AND CO"/>
  </r>
  <r>
    <n v="742"/>
    <d v="2025-07-25T00:00:00"/>
    <s v="ZBTO"/>
    <n v="9518958168"/>
    <n v="1"/>
    <s v="9518958168-1"/>
    <s v="Sep'25"/>
    <s v="Released"/>
    <x v="1"/>
    <x v="0"/>
    <x v="0"/>
    <m/>
    <s v="2000-BPRS"/>
    <m/>
    <s v="YESHWANTHPURA"/>
    <s v="BANG"/>
    <n v="165992"/>
    <s v="G.K.ISPAT PVT.LTD"/>
    <n v="1804772"/>
    <s v="CRCA COIL TATXXD AU03 0.4X1250"/>
    <s v="C01"/>
    <s v="TATXXD"/>
    <s v="AU03"/>
    <n v="0.4"/>
    <n v="1250"/>
    <n v="0"/>
    <s v="T2 DONE"/>
    <s v=" "/>
    <s v=""/>
    <n v="10"/>
    <n v="28"/>
    <n v="116"/>
    <n v="25.215"/>
    <n v="90.784999999999997"/>
    <n v="90.7849999999999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90.784999999999997"/>
    <s v="0.37-0.4"/>
    <s v="1250-1262"/>
    <m/>
    <m/>
    <m/>
    <m/>
    <m/>
    <x v="1"/>
    <s v="U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G.K.ISPAT PVT.LTD"/>
  </r>
  <r>
    <n v="742"/>
    <d v="2025-07-18T00:00:00"/>
    <s v="ZBTO"/>
    <n v="9518939324"/>
    <n v="1"/>
    <s v="9518939324-1"/>
    <s v="Oct'25"/>
    <s v="Released"/>
    <x v="1"/>
    <x v="0"/>
    <x v="0"/>
    <m/>
    <s v="2000-BPRS"/>
    <m/>
    <s v="HOWRAH"/>
    <s v="CALS"/>
    <n v="154464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3"/>
    <n v="29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47-0.5"/>
    <s v="1250-1270"/>
    <m/>
    <m/>
    <m/>
    <m/>
    <m/>
    <x v="1"/>
    <s v="U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TATA STEEL DOWNSTREAM PRODUCTS LIMI"/>
  </r>
  <r>
    <n v="742"/>
    <d v="2025-06-11T00:00:00"/>
    <s v="ZBTO"/>
    <n v="9518842271"/>
    <n v="5"/>
    <s v="9518842271-5"/>
    <s v="Sep'25"/>
    <s v="Released"/>
    <x v="0"/>
    <x v="0"/>
    <x v="0"/>
    <m/>
    <s v="2000-BPRS"/>
    <m/>
    <s v="VISHAKHAPATNAM"/>
    <s v="SBAD"/>
    <n v="946077"/>
    <s v="SITARAM IRON AND STEEL PVT LTD"/>
    <n v="1801798"/>
    <s v="CRCA COIL-TATXXD-AU03-1X900"/>
    <s v="C01"/>
    <s v="TATXXD"/>
    <s v="AU03"/>
    <n v="1"/>
    <n v="900"/>
    <n v="0"/>
    <s v="T2 DONE"/>
    <s v=" "/>
    <s v=""/>
    <n v="8"/>
    <n v="12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97-1.03"/>
    <s v="900-902"/>
    <m/>
    <m/>
    <m/>
    <m/>
    <m/>
    <x v="0"/>
    <s v="C"/>
    <x v="0"/>
    <s v="C01-AU03-1-900"/>
    <s v="B69-SH08-2.8-925"/>
    <x v="2"/>
    <x v="0"/>
    <x v="0"/>
    <x v="0"/>
    <x v="0"/>
    <x v="3"/>
    <x v="85"/>
    <m/>
    <m/>
    <m/>
    <m/>
    <m/>
    <m/>
    <m/>
    <m/>
    <m/>
    <m/>
    <m/>
    <m/>
    <m/>
    <m/>
    <m/>
    <m/>
    <m/>
    <m/>
    <m/>
    <s v="SITARAM IRON AND STEEL PVT LTD"/>
  </r>
  <r>
    <n v="742"/>
    <d v="2025-07-25T00:00:00"/>
    <s v="ZBTO"/>
    <n v="9518959342"/>
    <n v="1"/>
    <s v="9518959342-1"/>
    <s v="Oct'25"/>
    <s v="Released"/>
    <x v="1"/>
    <x v="0"/>
    <x v="0"/>
    <m/>
    <s v="2200-BPRS"/>
    <m/>
    <s v="GUMMIDIPOONDI"/>
    <s v="MADS"/>
    <n v="822271"/>
    <s v="TATA STEEL DOWNSTREAM PRODUCTS LIMI"/>
    <n v="1801290"/>
    <s v="CRCA COIL-TATXXD-AU03-0.6X1250"/>
    <s v="C01"/>
    <s v="TATXXD"/>
    <s v="AU03"/>
    <n v="0.6"/>
    <n v="1250"/>
    <n v="0"/>
    <s v="T2 DONE"/>
    <s v=" "/>
    <s v=""/>
    <n v="5"/>
    <n v="29"/>
    <n v="116"/>
    <n v="0"/>
    <n v="116"/>
    <n v="116"/>
    <n v="0"/>
    <n v="0"/>
    <n v="0"/>
    <s v=""/>
    <s v=""/>
    <s v=""/>
    <s v=""/>
    <s v=""/>
    <s v=""/>
    <s v=""/>
    <s v=""/>
    <s v=""/>
    <s v=""/>
    <s v=""/>
    <n v="0"/>
    <s v=""/>
    <n v="15.965000000000002"/>
    <s v=""/>
    <s v=""/>
    <n v="15.965000000000002"/>
    <n v="15.965000000000002"/>
    <n v="0"/>
    <n v="100.035"/>
    <s v="0.58-0.62"/>
    <s v="1250-1262"/>
    <m/>
    <m/>
    <m/>
    <m/>
    <m/>
    <x v="1"/>
    <s v="U"/>
    <x v="0"/>
    <s v="C01-AU03-0.6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TATA STEEL DOWNSTREAM PRODUCTS LIMI"/>
  </r>
  <r>
    <n v="744"/>
    <d v="2025-08-08T00:00:00"/>
    <s v="ZBTO"/>
    <n v="9519003169"/>
    <n v="3"/>
    <s v="9519003169-3"/>
    <s v="Sep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7.998999999999999"/>
    <n v="0"/>
    <n v="27.998999999999999"/>
    <n v="3.3740000000000001"/>
    <n v="0"/>
    <n v="0"/>
    <n v="0"/>
    <s v=""/>
    <n v="8.49"/>
    <s v=""/>
    <s v=""/>
    <s v=""/>
    <n v="16.135000000000002"/>
    <s v=""/>
    <s v=""/>
    <s v=""/>
    <s v=""/>
    <s v=""/>
    <n v="0"/>
    <s v=""/>
    <s v=""/>
    <s v=""/>
    <s v=""/>
    <n v="24.625"/>
    <n v="24.625"/>
    <n v="0"/>
    <n v="3.3739999999999988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3"/>
    <d v="2025-08-21T00:00:00"/>
    <s v="ZBTO"/>
    <n v="9519036122"/>
    <n v="6"/>
    <s v="9519036122-6"/>
    <s v="Sep'25"/>
    <s v="Released"/>
    <x v="0"/>
    <x v="1"/>
    <x v="4"/>
    <m/>
    <s v="1000-IPPE"/>
    <m/>
    <s v="TATANAGAR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80"/>
    <n v="122.24"/>
    <n v="157.76"/>
    <n v="3.86"/>
    <n v="122.24000000000001"/>
    <n v="0"/>
    <n v="0"/>
    <n v="28"/>
    <s v=""/>
    <n v="83.18"/>
    <s v=""/>
    <n v="28.54"/>
    <s v=""/>
    <s v=""/>
    <s v=""/>
    <s v=""/>
    <s v=""/>
    <s v=""/>
    <n v="0"/>
    <s v=""/>
    <s v=""/>
    <s v=""/>
    <n v="14.18"/>
    <n v="153.9"/>
    <n v="153.9"/>
    <n v="0"/>
    <n v="3.8599999999999852"/>
    <s v="0.45-0.49"/>
    <s v="1220-1222"/>
    <m/>
    <m/>
    <m/>
    <m/>
    <m/>
    <x v="0"/>
    <s v="R"/>
    <x v="16"/>
    <s v="B04-M308-0.47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RIVATE LIMITE"/>
  </r>
  <r>
    <n v="743"/>
    <d v="2025-08-21T00:00:00"/>
    <s v="ZBTO"/>
    <n v="9519036122"/>
    <n v="8"/>
    <s v="9519036122-8"/>
    <s v="Sep'25"/>
    <s v="Released"/>
    <x v="0"/>
    <x v="1"/>
    <x v="4"/>
    <m/>
    <s v="1000-IPPE"/>
    <m/>
    <s v="TATANAGAR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24"/>
    <n v="0"/>
    <n v="224"/>
    <n v="1.93"/>
    <n v="0"/>
    <n v="0"/>
    <n v="55.49"/>
    <n v="83.78"/>
    <s v=""/>
    <n v="82.8"/>
    <s v=""/>
    <s v=""/>
    <s v=""/>
    <s v=""/>
    <s v=""/>
    <s v=""/>
    <s v=""/>
    <s v=""/>
    <n v="0"/>
    <s v=""/>
    <s v=""/>
    <s v=""/>
    <s v=""/>
    <n v="222.07"/>
    <n v="222.07"/>
    <n v="0"/>
    <n v="1.9300000000000068"/>
    <s v="0.45-0.49"/>
    <s v="1220-1222"/>
    <m/>
    <m/>
    <m/>
    <m/>
    <m/>
    <x v="0"/>
    <s v="R"/>
    <x v="16"/>
    <s v="B04-M308-0.47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RIVATE LIMITE"/>
  </r>
  <r>
    <n v="742"/>
    <d v="2025-07-22T00:00:00"/>
    <s v="ZBTO"/>
    <n v="9518948157"/>
    <n v="1"/>
    <s v="9518948157-1"/>
    <s v="Sep'25"/>
    <s v="Released"/>
    <x v="0"/>
    <x v="0"/>
    <x v="6"/>
    <m/>
    <s v="2000-BPRS"/>
    <m/>
    <s v="TATANAGAR"/>
    <s v="JAMS"/>
    <n v="165053"/>
    <s v="SUDISA ENTERPRISES (P) LTD."/>
    <n v="2427612"/>
    <s v="CRCA SHEET TATCRC SR16 0.300X900X2500"/>
    <s v="C06"/>
    <s v="TATCRC"/>
    <s v="SR16"/>
    <n v="0.3"/>
    <n v="900"/>
    <n v="2500"/>
    <s v="T2 DONE"/>
    <s v=" "/>
    <s v=""/>
    <n v="2.4"/>
    <n v="3.2"/>
    <n v="21"/>
    <n v="0"/>
    <n v="21"/>
    <n v="-0.06"/>
    <n v="0"/>
    <n v="0"/>
    <n v="0"/>
    <n v="21.06"/>
    <s v=""/>
    <s v=""/>
    <s v=""/>
    <s v=""/>
    <s v=""/>
    <s v=""/>
    <s v=""/>
    <s v=""/>
    <s v=""/>
    <s v=""/>
    <n v="0"/>
    <s v=""/>
    <s v=""/>
    <s v=""/>
    <s v=""/>
    <n v="21.06"/>
    <n v="21.06"/>
    <n v="0"/>
    <n v="-5.9999999999998721E-2"/>
    <s v="0.28-0.32"/>
    <s v="900-904"/>
    <m/>
    <m/>
    <m/>
    <m/>
    <m/>
    <x v="0"/>
    <s v="M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SUDISA ENTERPRISES (P) LTD."/>
  </r>
  <r>
    <n v="742"/>
    <d v="2025-08-12T00:00:00"/>
    <s v="ZBTO"/>
    <n v="9519011539"/>
    <n v="1"/>
    <s v="9519011539-1"/>
    <s v="No Priority"/>
    <s v="Released"/>
    <x v="0"/>
    <x v="0"/>
    <x v="6"/>
    <m/>
    <s v="2000-BPRS"/>
    <m/>
    <s v="GORAKHPUR"/>
    <s v="KANP"/>
    <n v="115841"/>
    <s v="O.V.S. ISPAT UDYOG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8-0.42"/>
    <s v="1250-1254"/>
    <m/>
    <m/>
    <m/>
    <m/>
    <m/>
    <x v="0"/>
    <s v="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O.V.S. ISPAT UDYOG"/>
  </r>
  <r>
    <n v="742"/>
    <d v="2025-09-02T00:00:00"/>
    <s v="ZBTO"/>
    <n v="9519072720"/>
    <n v="3"/>
    <s v="9519072720-3"/>
    <s v="No Priority"/>
    <s v="Released"/>
    <x v="0"/>
    <x v="2"/>
    <x v="2"/>
    <m/>
    <s v="3000-IPPE"/>
    <m/>
    <s v="CHENNAI"/>
    <s v="BANG"/>
    <n v="157491"/>
    <s v="TATA STEEL DOWNSTREAM PRODUCTS LIMI"/>
    <n v="1305542"/>
    <s v="HR COILS-PO IS 1079-HR2 2.50X1250"/>
    <n v="768"/>
    <s v="THA058"/>
    <s v="HA58"/>
    <n v="2.5"/>
    <n v="1250"/>
    <n v="0"/>
    <s v="T2 DONE"/>
    <s v=" "/>
    <s v=""/>
    <n v="20"/>
    <n v="31"/>
    <n v="290"/>
    <n v="0"/>
    <n v="290"/>
    <n v="29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0"/>
    <s v=""/>
    <s v=""/>
    <m/>
    <m/>
    <m/>
    <m/>
    <m/>
    <x v="0"/>
    <s v="U"/>
    <x v="2"/>
    <s v="768-HA58-2.5-1250"/>
    <s v="367-HA58-2.5-1250"/>
    <x v="0"/>
    <x v="2"/>
    <x v="2"/>
    <x v="2"/>
    <x v="7"/>
    <x v="0"/>
    <x v="86"/>
    <m/>
    <m/>
    <m/>
    <m/>
    <m/>
    <m/>
    <m/>
    <m/>
    <m/>
    <m/>
    <m/>
    <m/>
    <m/>
    <m/>
    <m/>
    <m/>
    <m/>
    <m/>
    <m/>
    <s v="TATA STEEL DOWNSTREAM PRODUCTS LIMI"/>
  </r>
  <r>
    <n v="742"/>
    <d v="2025-09-02T00:00:00"/>
    <s v="ZBTO"/>
    <n v="9519072720"/>
    <n v="4"/>
    <s v="9519072720-4"/>
    <s v="No Priority"/>
    <s v="Released"/>
    <x v="0"/>
    <x v="2"/>
    <x v="2"/>
    <m/>
    <s v="3000-IPPE"/>
    <m/>
    <s v="CHENNAI"/>
    <s v="BANG"/>
    <n v="157491"/>
    <s v="TATA STEEL DOWNSTREAM PRODUCTS LIMI"/>
    <n v="1309819"/>
    <s v="HR COILS-PO IS 1079-HR2 3X1250"/>
    <n v="768"/>
    <s v="THA058"/>
    <s v="HA58"/>
    <n v="3"/>
    <n v="1250"/>
    <n v="0"/>
    <s v="T2 DONE"/>
    <s v=" "/>
    <s v=""/>
    <n v="20"/>
    <n v="31"/>
    <n v="145"/>
    <n v="0"/>
    <n v="145"/>
    <n v="14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45"/>
    <s v=""/>
    <s v=""/>
    <m/>
    <m/>
    <m/>
    <m/>
    <m/>
    <x v="0"/>
    <s v="U"/>
    <x v="2"/>
    <s v="768-HA58-3-1250"/>
    <s v="367-HA58-3-1250"/>
    <x v="0"/>
    <x v="2"/>
    <x v="2"/>
    <x v="2"/>
    <x v="1"/>
    <x v="0"/>
    <x v="3"/>
    <m/>
    <m/>
    <m/>
    <m/>
    <m/>
    <m/>
    <m/>
    <m/>
    <m/>
    <m/>
    <m/>
    <m/>
    <m/>
    <m/>
    <m/>
    <m/>
    <m/>
    <m/>
    <m/>
    <s v="TATA STEEL DOWNSTREAM PRODUCTS LIMI"/>
  </r>
  <r>
    <n v="742"/>
    <d v="2025-09-02T00:00:00"/>
    <s v="ZBTO"/>
    <n v="9519072720"/>
    <n v="5"/>
    <s v="9519072720-5"/>
    <s v="No Priority"/>
    <s v="Released"/>
    <x v="0"/>
    <x v="2"/>
    <x v="2"/>
    <m/>
    <s v="3000-IPPE"/>
    <m/>
    <s v="CHENNAI"/>
    <s v="BANG"/>
    <n v="157491"/>
    <s v="TATA STEEL DOWNSTREAM PRODUCTS LIMI"/>
    <n v="1309702"/>
    <s v="HR COILS-PO IS 1079-HR2 5X1250"/>
    <n v="768"/>
    <s v="THA058"/>
    <s v="HA58"/>
    <n v="5"/>
    <n v="1250"/>
    <n v="0"/>
    <s v="T2 DONE"/>
    <s v=" "/>
    <s v=""/>
    <n v="20"/>
    <n v="31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"/>
    <s v=""/>
    <m/>
    <m/>
    <m/>
    <m/>
    <m/>
    <x v="0"/>
    <s v="U"/>
    <x v="3"/>
    <s v="768-HA58-5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TATA STEEL DOWNSTREAM PRODUCTS LIMI"/>
  </r>
  <r>
    <n v="742"/>
    <d v="2025-08-29T00:00:00"/>
    <s v="ZBTO"/>
    <n v="9519062652"/>
    <n v="1"/>
    <s v="9519062652-1"/>
    <s v="No Priority"/>
    <s v="Released"/>
    <x v="0"/>
    <x v="2"/>
    <x v="3"/>
    <m/>
    <s v="2000-BPRS"/>
    <m/>
    <s v="CHENNAI"/>
    <s v="MADS"/>
    <n v="116465"/>
    <s v="SRI BALAJI STEEL TRADERS"/>
    <n v="1294719"/>
    <s v="HR COILS-POIS 1079 HR2  2.90X1250"/>
    <n v="768"/>
    <s v="THR099"/>
    <s v="HR99"/>
    <n v="2.9"/>
    <n v="1250"/>
    <n v="0"/>
    <s v="T2 DONE"/>
    <s v=" "/>
    <s v=""/>
    <n v="17"/>
    <n v="29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"/>
    <s v=""/>
    <m/>
    <m/>
    <m/>
    <m/>
    <m/>
    <x v="0"/>
    <s v="U"/>
    <x v="9"/>
    <s v="768-HR99-2.9-1250"/>
    <s v="367-HR99-2.9-1250"/>
    <x v="0"/>
    <x v="9"/>
    <x v="9"/>
    <x v="9"/>
    <x v="13"/>
    <x v="0"/>
    <x v="76"/>
    <m/>
    <m/>
    <m/>
    <m/>
    <m/>
    <m/>
    <m/>
    <m/>
    <m/>
    <m/>
    <m/>
    <m/>
    <m/>
    <m/>
    <m/>
    <m/>
    <m/>
    <m/>
    <m/>
    <s v="SRI BALAJI STEEL TRADERS"/>
  </r>
  <r>
    <n v="743"/>
    <d v="2025-08-31T00:00:00"/>
    <s v="ZBTO"/>
    <n v="9519068924"/>
    <n v="1"/>
    <s v="9519068924-1"/>
    <s v="No Priority"/>
    <s v="Released"/>
    <x v="0"/>
    <x v="1"/>
    <x v="4"/>
    <m/>
    <s v="1000-IPPE"/>
    <m/>
    <s v=" "/>
    <s v="BOMB"/>
    <n v="942283"/>
    <s v="TATA BLUESCOPE STEEL PRIVATE LIMITE"/>
    <n v="1881988"/>
    <s v="GL C YS550 H6GL 0.50BMT(0.55TCT)X1220"/>
    <s v="B04"/>
    <s v="Y550GL"/>
    <s v="H6GL"/>
    <n v="0.5"/>
    <n v="1220"/>
    <n v="0"/>
    <s v="T2 DONE"/>
    <s v="AZ150"/>
    <s v=""/>
    <n v="3"/>
    <n v="5"/>
    <n v="28"/>
    <n v="0"/>
    <n v="28"/>
    <n v="0.11"/>
    <n v="0"/>
    <n v="0"/>
    <n v="27.89"/>
    <s v=""/>
    <s v=""/>
    <s v=""/>
    <s v=""/>
    <s v=""/>
    <s v=""/>
    <s v=""/>
    <s v=""/>
    <s v=""/>
    <s v=""/>
    <s v=""/>
    <n v="0"/>
    <s v=""/>
    <s v=""/>
    <s v=""/>
    <s v=""/>
    <n v="27.89"/>
    <n v="27.89"/>
    <n v="0"/>
    <n v="0.10999999999999943"/>
    <s v="0.48-0.52"/>
    <s v="1220-1222"/>
    <m/>
    <m/>
    <m/>
    <m/>
    <m/>
    <x v="0"/>
    <s v="R"/>
    <x v="16"/>
    <s v="B04-H6GL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3"/>
    <d v="2025-09-02T00:00:00"/>
    <s v="ZBTO"/>
    <n v="9519072913"/>
    <n v="4"/>
    <s v="9519072913-4"/>
    <s v="Sep'25 additional"/>
    <s v="Released"/>
    <x v="1"/>
    <x v="3"/>
    <x v="7"/>
    <n v="6000"/>
    <s v="2000-BPRS"/>
    <m/>
    <s v=" "/>
    <s v="JAMS"/>
    <n v="121328"/>
    <s v="R. S. BOKARO METAL (P) LTD."/>
    <n v="1854413"/>
    <s v="GP COIL SOFT-TATXGP-GK09-0.45X900"/>
    <s v="C02"/>
    <s v="TATXGP"/>
    <s v="GK09"/>
    <n v="0.45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43-0.47"/>
    <s v="900-904"/>
    <m/>
    <m/>
    <m/>
    <m/>
    <m/>
    <x v="0"/>
    <s v="S"/>
    <x v="8"/>
    <s v="C02-GK09-0.4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R. S. BOKARO METAL (P) LTD."/>
  </r>
  <r>
    <n v="743"/>
    <d v="2025-09-02T00:00:00"/>
    <s v="ZBTO"/>
    <n v="9519072913"/>
    <n v="6"/>
    <s v="9519072913-6"/>
    <s v="Sep'25 additional"/>
    <s v="Released"/>
    <x v="1"/>
    <x v="3"/>
    <x v="7"/>
    <m/>
    <s v="2000-BPRS"/>
    <m/>
    <s v=" 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61-0.65"/>
    <s v="900-904"/>
    <m/>
    <m/>
    <m/>
    <m/>
    <m/>
    <x v="0"/>
    <s v="S"/>
    <x v="8"/>
    <s v="C02-GK09-0.63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R. S. BOKARO METAL (P) LTD."/>
  </r>
  <r>
    <n v="743"/>
    <d v="2025-09-07T00:00:00"/>
    <s v="ZBTO"/>
    <n v="9519084425"/>
    <n v="1"/>
    <s v="9519084425-1"/>
    <s v="No Priority"/>
    <s v="Released"/>
    <x v="0"/>
    <x v="1"/>
    <x v="1"/>
    <m/>
    <s v="1000-IPPE"/>
    <m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49.999"/>
    <n v="0"/>
    <n v="249.999"/>
    <n v="249.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49.999"/>
    <s v="0.88-0.92"/>
    <s v="1020-1022"/>
    <m/>
    <m/>
    <m/>
    <m/>
    <m/>
    <x v="0"/>
    <s v="R"/>
    <x v="3"/>
    <s v="B04-HGL6-0.9-10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RAYDEAN ENTERPRISES PRIVATE LIMITED"/>
  </r>
  <r>
    <n v="743"/>
    <d v="2025-09-07T00:00:00"/>
    <s v="ZBTO"/>
    <n v="9519084425"/>
    <n v="2"/>
    <s v="9519084425-2"/>
    <s v="No Priority"/>
    <s v="Released"/>
    <x v="0"/>
    <x v="1"/>
    <x v="1"/>
    <m/>
    <s v="1000-IPPE"/>
    <m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52.999"/>
    <n v="0"/>
    <n v="252.999"/>
    <n v="252.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52.999"/>
    <s v="0.88-0.92"/>
    <s v="1020-1022"/>
    <m/>
    <m/>
    <m/>
    <m/>
    <m/>
    <x v="0"/>
    <s v="R"/>
    <x v="3"/>
    <s v="B04-HGL6-0.9-10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RAYDEAN ENTERPRISES PRIVATE LIMITED"/>
  </r>
  <r>
    <n v="743"/>
    <d v="2025-09-07T00:00:00"/>
    <s v="ZBTO"/>
    <n v="9519084425"/>
    <n v="3"/>
    <s v="9519084425-3"/>
    <s v="No Priority"/>
    <s v="Released"/>
    <x v="0"/>
    <x v="1"/>
    <x v="1"/>
    <m/>
    <s v="1000-IPPE"/>
    <m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52.999"/>
    <n v="0"/>
    <n v="252.999"/>
    <n v="252.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52.999"/>
    <s v="0.88-0.92"/>
    <s v="1020-1022"/>
    <m/>
    <m/>
    <m/>
    <m/>
    <m/>
    <x v="0"/>
    <s v="R"/>
    <x v="3"/>
    <s v="B04-HGL6-0.9-10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RAYDEAN ENTERPRISES PRIVATE LIMITED"/>
  </r>
  <r>
    <n v="743"/>
    <d v="2025-09-07T00:00:00"/>
    <s v="ZBTO"/>
    <n v="9519084425"/>
    <n v="4"/>
    <s v="9519084425-4"/>
    <s v="No Priority"/>
    <s v="Released"/>
    <x v="0"/>
    <x v="1"/>
    <x v="1"/>
    <m/>
    <s v="1000-IPPE"/>
    <m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52.999"/>
    <n v="0"/>
    <n v="252.999"/>
    <n v="252.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52.999"/>
    <s v="0.88-0.92"/>
    <s v="1020-1022"/>
    <m/>
    <m/>
    <m/>
    <m/>
    <m/>
    <x v="0"/>
    <s v="R"/>
    <x v="3"/>
    <s v="B04-HGL6-0.9-10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RAYDEAN ENTERPRISES PRIVATE LIMITED"/>
  </r>
  <r>
    <n v="743"/>
    <d v="2025-09-07T00:00:00"/>
    <s v="ZBTO"/>
    <n v="9519084425"/>
    <n v="5"/>
    <s v="9519084425-5"/>
    <s v="No Priority"/>
    <s v="Released"/>
    <x v="0"/>
    <x v="1"/>
    <x v="1"/>
    <m/>
    <s v="1000-IPPE"/>
    <m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52.999"/>
    <n v="0"/>
    <n v="252.999"/>
    <n v="252.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52.999"/>
    <s v="0.88-0.92"/>
    <s v="1020-1022"/>
    <m/>
    <m/>
    <m/>
    <m/>
    <m/>
    <x v="0"/>
    <s v="R"/>
    <x v="3"/>
    <s v="B04-HGL6-0.9-10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RAYDEAN ENTERPRISES PRIVATE LIMITED"/>
  </r>
  <r>
    <n v="742"/>
    <d v="2025-09-03T00:00:00"/>
    <s v="ZBTO"/>
    <n v="9519077019"/>
    <n v="2"/>
    <s v="9519077019-2"/>
    <s v="No Priority"/>
    <s v="Released"/>
    <x v="0"/>
    <x v="0"/>
    <x v="0"/>
    <m/>
    <s v="2000-BPRS"/>
    <m/>
    <s v="YESHWANTHPURA"/>
    <s v="BANG"/>
    <n v="939268"/>
    <s v="TATA STEEL DOWNSTREAM PRODUCTS LIMI"/>
    <n v="1804814"/>
    <s v="CRCA COIL TATXXD AU03 0.8X1250"/>
    <s v="C01"/>
    <s v="TATXXD"/>
    <s v="AU03"/>
    <n v="0.8"/>
    <n v="1250"/>
    <n v="0"/>
    <s v="T2 DONE"/>
    <s v=" "/>
    <s v=""/>
    <n v="7"/>
    <n v="29"/>
    <n v="87"/>
    <n v="0"/>
    <n v="87"/>
    <n v="-8.9499999999999993"/>
    <n v="0"/>
    <n v="0"/>
    <n v="0"/>
    <s v=""/>
    <s v=""/>
    <s v=""/>
    <s v=""/>
    <s v=""/>
    <s v=""/>
    <s v=""/>
    <s v=""/>
    <n v="95.95"/>
    <s v=""/>
    <s v=""/>
    <n v="0"/>
    <s v=""/>
    <s v=""/>
    <s v=""/>
    <s v=""/>
    <n v="95.95"/>
    <n v="95.95"/>
    <n v="0"/>
    <n v="-8.9500000000000028"/>
    <s v="0.75-0.8"/>
    <s v="1250-1252"/>
    <m/>
    <m/>
    <m/>
    <m/>
    <m/>
    <x v="0"/>
    <s v="U"/>
    <x v="0"/>
    <s v="C01-AU03-0.8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TATA STEEL DOWNSTREAM PRODUCTS LIMI"/>
  </r>
  <r>
    <n v="742"/>
    <d v="2025-07-07T00:00:00"/>
    <s v="ZBTO"/>
    <n v="9518911415"/>
    <n v="6"/>
    <s v="9518911415-6"/>
    <s v="Sep'25"/>
    <s v="Released"/>
    <x v="0"/>
    <x v="0"/>
    <x v="6"/>
    <m/>
    <s v="2000-BPRS"/>
    <m/>
    <s v="VARANASI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s v=""/>
    <n v="2.5"/>
    <n v="3"/>
    <n v="45.999000000000002"/>
    <n v="21.38"/>
    <n v="24.619"/>
    <n v="4.0190000000000001"/>
    <n v="0"/>
    <n v="0"/>
    <n v="0"/>
    <s v=""/>
    <s v=""/>
    <s v=""/>
    <s v=""/>
    <s v=""/>
    <s v=""/>
    <s v=""/>
    <s v=""/>
    <n v="20.6"/>
    <s v=""/>
    <s v=""/>
    <n v="0"/>
    <s v=""/>
    <s v=""/>
    <s v=""/>
    <s v=""/>
    <n v="20.6"/>
    <n v="20.6"/>
    <n v="0"/>
    <n v="4.0189999999999984"/>
    <s v="0.68-0.72"/>
    <s v="1000-1004"/>
    <m/>
    <m/>
    <m/>
    <m/>
    <m/>
    <x v="0"/>
    <s v="M"/>
    <x v="7"/>
    <s v="C06-SR15-0.7-1000"/>
    <s v="B69-SH69-2.8-1025"/>
    <x v="2"/>
    <x v="7"/>
    <x v="7"/>
    <x v="7"/>
    <x v="0"/>
    <x v="7"/>
    <x v="51"/>
    <m/>
    <m/>
    <m/>
    <m/>
    <m/>
    <m/>
    <m/>
    <m/>
    <m/>
    <m/>
    <m/>
    <m/>
    <m/>
    <m/>
    <m/>
    <m/>
    <m/>
    <m/>
    <m/>
    <s v="INDIA STEEL INDUSTRIES"/>
  </r>
  <r>
    <n v="742"/>
    <d v="2025-08-26T00:00:00"/>
    <s v="ZBTO"/>
    <n v="9519049599"/>
    <n v="2"/>
    <s v="9519049599-2"/>
    <s v="No Priority"/>
    <s v="Released"/>
    <x v="1"/>
    <x v="5"/>
    <x v="5"/>
    <m/>
    <s v="1000-IPPE"/>
    <m/>
    <s v="VILLAGE-PRAGPAR"/>
    <s v="AMED"/>
    <n v="189108"/>
    <s v="Manaksia Coated Metals &amp; Industries"/>
    <n v="2320878"/>
    <s v="CRFH COIL TATFHC TR10 0.360X1250"/>
    <s v="C09"/>
    <s v="TATFHC"/>
    <s v="TR10"/>
    <n v="0.36"/>
    <n v="1250"/>
    <n v="0"/>
    <s v="T2 DONE"/>
    <s v=" "/>
    <s v=""/>
    <n v="10"/>
    <n v="20"/>
    <n v="290"/>
    <n v="0"/>
    <n v="290"/>
    <n v="29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0"/>
    <s v="0.345-0.37"/>
    <s v="1250-1253"/>
    <m/>
    <m/>
    <m/>
    <m/>
    <m/>
    <x v="0"/>
    <s v="T"/>
    <x v="20"/>
    <s v="C09-TR10-0.36-1250"/>
    <s v="367-HG02-2.25-1250"/>
    <x v="0"/>
    <x v="1"/>
    <x v="1"/>
    <x v="1"/>
    <x v="4"/>
    <x v="0"/>
    <x v="66"/>
    <m/>
    <m/>
    <m/>
    <m/>
    <m/>
    <m/>
    <m/>
    <m/>
    <m/>
    <m/>
    <m/>
    <m/>
    <m/>
    <m/>
    <m/>
    <m/>
    <m/>
    <m/>
    <m/>
    <s v="Manaksia Coated Metals &amp; Industries"/>
  </r>
  <r>
    <n v="744"/>
    <d v="2025-08-31T00:00:00"/>
    <s v="ZBTO"/>
    <n v="9519069645"/>
    <n v="1"/>
    <s v="9519069645-1"/>
    <s v="Sep'25"/>
    <s v="Released"/>
    <x v="0"/>
    <x v="4"/>
    <x v="4"/>
    <m/>
    <s v="1000-IPPE"/>
    <m/>
    <s v=" "/>
    <s v="BOMB"/>
    <n v="941597"/>
    <s v="TATA BLUESCOPE STEEL PRIVATE LIMITE"/>
    <n v="4111268"/>
    <s v="PPGL C HARD Y550PL HPL9 0.750X1220"/>
    <s v="B18"/>
    <s v="Y550PL"/>
    <s v="HPL9"/>
    <n v="0.75"/>
    <n v="1220"/>
    <n v="0"/>
    <s v="T2 DONE"/>
    <s v="AZ200"/>
    <s v="ELITE STONE BLUE TSL 1688"/>
    <n v="3"/>
    <n v="5"/>
    <n v="196"/>
    <n v="0"/>
    <n v="196"/>
    <n v="2.76"/>
    <n v="0"/>
    <n v="0"/>
    <n v="0"/>
    <s v=""/>
    <s v=""/>
    <n v="165.74"/>
    <s v=""/>
    <s v=""/>
    <n v="27.5"/>
    <s v=""/>
    <s v=""/>
    <s v=""/>
    <s v=""/>
    <s v=""/>
    <n v="0"/>
    <s v=""/>
    <s v=""/>
    <s v=""/>
    <s v=""/>
    <n v="193.24"/>
    <n v="193.24"/>
    <n v="0"/>
    <n v="2.7599999999999909"/>
    <s v="0.73-0.77"/>
    <s v="1220-1222"/>
    <m/>
    <m/>
    <m/>
    <m/>
    <m/>
    <x v="0"/>
    <s v="M"/>
    <x v="5"/>
    <s v="B18-HPL9-0.75-1220"/>
    <s v="367-SF93-2.8-1235"/>
    <x v="0"/>
    <x v="4"/>
    <x v="4"/>
    <x v="4"/>
    <x v="0"/>
    <x v="4"/>
    <x v="87"/>
    <m/>
    <m/>
    <m/>
    <m/>
    <m/>
    <m/>
    <m/>
    <m/>
    <m/>
    <m/>
    <m/>
    <m/>
    <m/>
    <m/>
    <m/>
    <m/>
    <m/>
    <m/>
    <m/>
    <s v="TATA BLUESCOPE STEEL PRIVATE LIMITE"/>
  </r>
  <r>
    <n v="743"/>
    <d v="2025-09-12T00:00:00"/>
    <s v="ZBTO"/>
    <n v="9519098404"/>
    <n v="1"/>
    <s v="9519098404-1"/>
    <s v="No Priority"/>
    <s v="Released"/>
    <x v="1"/>
    <x v="3"/>
    <x v="7"/>
    <m/>
    <s v="2000-BPRS"/>
    <m/>
    <s v="JAIPUR"/>
    <s v="JPUR"/>
    <n v="117583"/>
    <s v="BIHANI ENTERPRISES"/>
    <n v="1326486"/>
    <s v="GP COIL SOFT-TATXGP-GK09-0.3X1000"/>
    <s v="C02"/>
    <s v="TATXGP"/>
    <s v="GK09"/>
    <n v="0.3"/>
    <n v="1000"/>
    <n v="0"/>
    <s v="T2 DONE"/>
    <s v="Z80"/>
    <s v=""/>
    <n v="5"/>
    <n v="7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27-0.3"/>
    <s v="1000-1002"/>
    <m/>
    <m/>
    <m/>
    <m/>
    <m/>
    <x v="0"/>
    <s v="R"/>
    <x v="8"/>
    <s v="C02-GK09-0.3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BIHANI ENTERPRISES"/>
  </r>
  <r>
    <n v="742"/>
    <d v="2025-07-18T00:00:00"/>
    <s v="ZBTO"/>
    <n v="9518938766"/>
    <n v="2"/>
    <s v="9518938766-2"/>
    <s v="No Priority"/>
    <s v="Released"/>
    <x v="0"/>
    <x v="0"/>
    <x v="6"/>
    <m/>
    <s v="2000-BPRS"/>
    <m/>
    <s v="PURNIA"/>
    <s v="PATN"/>
    <n v="103227"/>
    <s v="BMW VENTURES LIMITED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-0.33"/>
    <s v="900-902"/>
    <m/>
    <m/>
    <m/>
    <m/>
    <m/>
    <x v="0"/>
    <s v="T"/>
    <x v="7"/>
    <s v="C06-SR16-0.3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7-25T00:00:00"/>
    <s v="ZBTO"/>
    <n v="9518957825"/>
    <n v="2"/>
    <s v="9518957825-2"/>
    <s v="Sep'25"/>
    <s v="Released"/>
    <x v="0"/>
    <x v="0"/>
    <x v="6"/>
    <m/>
    <s v="2000-BPRS"/>
    <m/>
    <s v="HOWRAH"/>
    <s v="CALS"/>
    <n v="925093"/>
    <s v="PSPL STEEL PROCESSORS PRIVATE LIMIT"/>
    <n v="3239548"/>
    <s v="CRCA SHEET TATCRC SR16 0.400X900X2500"/>
    <s v="C06"/>
    <s v="TATCRC"/>
    <s v="SR16"/>
    <n v="0.4"/>
    <n v="900"/>
    <n v="2500"/>
    <s v="T2 DONE"/>
    <s v=" "/>
    <s v=""/>
    <n v="2"/>
    <n v="3"/>
    <n v="41.999000000000002"/>
    <n v="20.914999999999999"/>
    <n v="21.084"/>
    <n v="3.3740000000000001"/>
    <n v="20.915000000000003"/>
    <n v="0"/>
    <n v="0"/>
    <s v=""/>
    <s v=""/>
    <s v=""/>
    <s v=""/>
    <s v=""/>
    <s v=""/>
    <s v=""/>
    <s v=""/>
    <s v=""/>
    <s v=""/>
    <s v=""/>
    <n v="0.33"/>
    <s v=""/>
    <n v="17.38"/>
    <s v=""/>
    <s v=""/>
    <n v="17.709999999999997"/>
    <n v="17.709999999999997"/>
    <n v="0"/>
    <n v="3.3740000000000023"/>
    <s v="0.37-0.4"/>
    <s v="900-902"/>
    <m/>
    <m/>
    <m/>
    <m/>
    <m/>
    <x v="0"/>
    <s v="T"/>
    <x v="7"/>
    <s v="C06-SR16-0.4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s v="PSPL STEEL PROCESSORS PRIVATE LIMIT"/>
  </r>
  <r>
    <n v="743"/>
    <d v="2025-09-03T00:00:00"/>
    <s v="ZBTF"/>
    <n v="9519074568"/>
    <n v="1"/>
    <s v="9519074568-1"/>
    <s v="Sep'25 additional"/>
    <s v="Released"/>
    <x v="1"/>
    <x v="3"/>
    <x v="7"/>
    <m/>
    <s v="2000-BPRS"/>
    <m/>
    <s v="JAMSHEDPUR"/>
    <s v="COMD"/>
    <n v="600250"/>
    <s v="TATA CENTER"/>
    <n v="1191955"/>
    <s v="GP COIL SOFT-TATXGP-GK09-0.3X900"/>
    <s v="C02"/>
    <s v="TATXGP"/>
    <s v="GK09"/>
    <n v="0.3"/>
    <n v="900"/>
    <n v="0"/>
    <s v="T2 DONE"/>
    <s v="Z80"/>
    <s v=""/>
    <n v="8"/>
    <n v="15"/>
    <n v="63"/>
    <n v="19.75"/>
    <n v="43.25"/>
    <n v="23.704999999999998"/>
    <n v="19.75"/>
    <n v="0"/>
    <n v="0"/>
    <s v=""/>
    <s v=""/>
    <s v=""/>
    <n v="19.545000000000002"/>
    <s v=""/>
    <s v=""/>
    <s v=""/>
    <s v=""/>
    <s v=""/>
    <s v=""/>
    <s v=""/>
    <n v="0"/>
    <s v=""/>
    <s v=""/>
    <s v=""/>
    <s v=""/>
    <n v="19.545000000000002"/>
    <n v="19.545000000000002"/>
    <n v="0"/>
    <n v="23.704999999999998"/>
    <s v="0.28-0.32"/>
    <s v="900-903"/>
    <m/>
    <m/>
    <m/>
    <m/>
    <m/>
    <x v="0"/>
    <s v="U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TATA CENTER"/>
  </r>
  <r>
    <n v="743"/>
    <d v="2025-09-03T00:00:00"/>
    <s v="ZBTF"/>
    <n v="9519074568"/>
    <n v="2"/>
    <s v="9519074568-2"/>
    <s v="Sep'25 additional"/>
    <s v="Released"/>
    <x v="1"/>
    <x v="3"/>
    <x v="7"/>
    <m/>
    <s v="2000-BPRS"/>
    <m/>
    <s v="JAMSHEDPUR"/>
    <s v="COMD"/>
    <n v="600250"/>
    <s v="TATA CENTER"/>
    <n v="1191956"/>
    <s v="GP COIL SOFT-TATXGP-GK09-0.35X900"/>
    <s v="C02"/>
    <s v="TATXGP"/>
    <s v="GK09"/>
    <n v="0.35"/>
    <n v="900"/>
    <n v="0"/>
    <s v="T2 DONE"/>
    <s v="Z80"/>
    <s v=""/>
    <n v="8"/>
    <n v="15"/>
    <n v="147"/>
    <n v="39.564999999999998"/>
    <n v="107.435"/>
    <n v="90.14"/>
    <n v="39.565000000000005"/>
    <n v="0"/>
    <n v="0"/>
    <s v=""/>
    <s v=""/>
    <s v=""/>
    <n v="17.295000000000002"/>
    <s v=""/>
    <s v=""/>
    <s v=""/>
    <s v=""/>
    <s v=""/>
    <s v=""/>
    <s v=""/>
    <n v="0"/>
    <s v=""/>
    <s v=""/>
    <s v=""/>
    <s v=""/>
    <n v="17.295000000000002"/>
    <n v="17.295000000000002"/>
    <n v="0"/>
    <n v="90.14"/>
    <s v="0.33-0.37"/>
    <s v="900-903"/>
    <m/>
    <m/>
    <m/>
    <m/>
    <m/>
    <x v="0"/>
    <s v="U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TATA CENTER"/>
  </r>
  <r>
    <n v="743"/>
    <d v="2025-09-03T00:00:00"/>
    <s v="ZBTF"/>
    <n v="9519074568"/>
    <n v="3"/>
    <s v="9519074568-3"/>
    <s v="Sep'25 additional"/>
    <s v="Released"/>
    <x v="1"/>
    <x v="3"/>
    <x v="7"/>
    <m/>
    <s v="2000-BPRS"/>
    <m/>
    <s v="JAMSHEDPUR"/>
    <s v="COMD"/>
    <n v="600250"/>
    <s v="TATA CENTER"/>
    <n v="1178439"/>
    <s v="GP COIL SOFT-TATXGP-GK09-0.4X900"/>
    <s v="C02"/>
    <s v="TATXGP"/>
    <s v="GK09"/>
    <n v="0.4"/>
    <n v="900"/>
    <n v="0"/>
    <s v="T2 DONE"/>
    <s v="Z80"/>
    <s v=""/>
    <n v="8"/>
    <n v="15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38-0.42"/>
    <s v="900-903"/>
    <m/>
    <m/>
    <m/>
    <m/>
    <m/>
    <x v="0"/>
    <s v="U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TATA CENTER"/>
  </r>
  <r>
    <n v="743"/>
    <d v="2025-09-03T00:00:00"/>
    <s v="ZBTF"/>
    <n v="9519074568"/>
    <n v="4"/>
    <s v="9519074568-4"/>
    <s v="Sep'25 additional"/>
    <s v="Released"/>
    <x v="1"/>
    <x v="3"/>
    <x v="7"/>
    <m/>
    <s v="2000-BPRS"/>
    <m/>
    <s v="JAMSHEDPUR"/>
    <s v="COMD"/>
    <n v="600250"/>
    <s v="TATA CENTER"/>
    <n v="1854418"/>
    <s v="GP COIL SOFT-TATXGP-GK09-0.5X900"/>
    <s v="C02"/>
    <s v="TATXGP"/>
    <s v="GK09"/>
    <n v="0.5"/>
    <n v="900"/>
    <n v="0"/>
    <s v="T2 DONE"/>
    <s v="Z80"/>
    <s v=""/>
    <n v="8"/>
    <n v="15"/>
    <n v="168"/>
    <n v="0"/>
    <n v="168"/>
    <n v="16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68"/>
    <s v="0.48-0.52"/>
    <s v="900-903"/>
    <m/>
    <m/>
    <m/>
    <m/>
    <m/>
    <x v="0"/>
    <s v="U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TATA CENTER"/>
  </r>
  <r>
    <n v="743"/>
    <d v="2025-09-03T00:00:00"/>
    <s v="ZBTF"/>
    <n v="9519074568"/>
    <n v="5"/>
    <s v="9519074568-5"/>
    <s v="Sep'25 additional"/>
    <s v="Released"/>
    <x v="1"/>
    <x v="3"/>
    <x v="7"/>
    <m/>
    <s v="2000-BPRS"/>
    <m/>
    <s v="JAMSHEDPUR"/>
    <s v="COMD"/>
    <n v="600250"/>
    <s v="TATA CENTER"/>
    <n v="1854424"/>
    <s v="GP COIL SOFT-TATXGP-GK09-0.6X900"/>
    <s v="C02"/>
    <s v="TATXGP"/>
    <s v="GK09"/>
    <n v="0.6"/>
    <n v="900"/>
    <n v="0"/>
    <s v="T2 DONE"/>
    <s v="Z80"/>
    <s v=""/>
    <n v="8"/>
    <n v="15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58-0.62"/>
    <s v="900-903"/>
    <m/>
    <m/>
    <m/>
    <m/>
    <m/>
    <x v="0"/>
    <s v="U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TATA CENTER"/>
  </r>
  <r>
    <n v="742"/>
    <d v="2025-08-05T00:00:00"/>
    <s v="ZBTO"/>
    <n v="9518995069"/>
    <n v="2"/>
    <s v="9518995069-2"/>
    <s v="No Priority"/>
    <s v="Released"/>
    <x v="0"/>
    <x v="0"/>
    <x v="6"/>
    <m/>
    <s v="2000-BPRS"/>
    <m/>
    <s v="KANPUR"/>
    <s v="FBAD"/>
    <n v="933952"/>
    <s v="AGARWAL STEEL TRADERS"/>
    <n v="3240781"/>
    <s v="CRCA SHEET TSBCRC SR15 0.600X1250X2030"/>
    <s v="C06"/>
    <s v="TSBCRC"/>
    <s v="SR15"/>
    <n v="0.6"/>
    <n v="1250"/>
    <n v="2030"/>
    <s v="T2 DONE"/>
    <s v=" "/>
    <s v=""/>
    <n v="0"/>
    <n v="0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0.58-0.62"/>
    <s v="1250-1254"/>
    <m/>
    <m/>
    <m/>
    <m/>
    <m/>
    <x v="0"/>
    <s v="M"/>
    <x v="7"/>
    <s v="C06-SR15-0.6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s v="AGARWAL STEEL TRADERS"/>
  </r>
  <r>
    <n v="743"/>
    <d v="2025-09-15T00:00:00"/>
    <s v="ZBTO"/>
    <n v="9519105231"/>
    <n v="2"/>
    <s v="9519105231-2"/>
    <s v="No Priority"/>
    <s v="Released"/>
    <x v="1"/>
    <x v="3"/>
    <x v="7"/>
    <m/>
    <s v="2000-BPRS"/>
    <m/>
    <s v="VARANASI"/>
    <s v="KANP"/>
    <n v="931525"/>
    <s v="INDIA STEEL INDUSTRIES"/>
    <n v="1191956"/>
    <s v="GP COIL SOFT-TATXGP-GK09-0.35X900"/>
    <s v="C02"/>
    <s v="TATXGP"/>
    <s v="GK09"/>
    <n v="0.35"/>
    <n v="900"/>
    <n v="0"/>
    <s v="T2 DONE"/>
    <s v="Z80"/>
    <s v=""/>
    <n v="4"/>
    <n v="12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31-0.39"/>
    <s v="900-904"/>
    <m/>
    <m/>
    <m/>
    <m/>
    <m/>
    <x v="0"/>
    <s v="S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INDIA STEEL INDUSTRIES"/>
  </r>
  <r>
    <n v="743"/>
    <d v="2025-09-16T00:00:00"/>
    <s v="ZBTO"/>
    <n v="9519107755"/>
    <n v="4"/>
    <s v="9519107755-4"/>
    <s v="No Priority"/>
    <s v="Released"/>
    <x v="1"/>
    <x v="3"/>
    <x v="13"/>
    <m/>
    <s v="2000-BPRS"/>
    <m/>
    <s v="UTTARKASHI"/>
    <s v="JPUR"/>
    <n v="150962"/>
    <s v="BIHANI INTERNATIONAL PVT LTD.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0"/>
    <n v="28"/>
    <n v="2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8"/>
    <s v="0.37-0.4"/>
    <s v="1220-1222"/>
    <m/>
    <m/>
    <m/>
    <m/>
    <m/>
    <x v="0"/>
    <s v="R"/>
    <x v="8"/>
    <s v="C02-GK09-0.4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BIHANI INTERNATIONAL PVT LTD."/>
  </r>
  <r>
    <n v="743"/>
    <d v="2025-09-16T00:00:00"/>
    <s v="ZBTO"/>
    <n v="9519109370"/>
    <n v="1"/>
    <s v="9519109370-1"/>
    <s v="No Priority"/>
    <s v="Released"/>
    <x v="0"/>
    <x v="3"/>
    <x v="13"/>
    <m/>
    <s v="2000-BPRS"/>
    <m/>
    <s v="KOLKATA"/>
    <s v="CALS"/>
    <n v="100922"/>
    <s v="BUBNA COMMERCIAL COMPANY"/>
    <n v="1851101"/>
    <s v="GP COIL SOFT-TATXGP-GK09-0.5X1220"/>
    <s v="C02"/>
    <s v="TATXGP"/>
    <s v="GK09"/>
    <n v="0.5"/>
    <n v="1220"/>
    <n v="0"/>
    <s v="T2 DONE"/>
    <s v="Z80"/>
    <s v=""/>
    <n v="5"/>
    <n v="15"/>
    <n v="28"/>
    <n v="0"/>
    <n v="28"/>
    <n v="2.2400000000000002"/>
    <n v="0"/>
    <n v="0"/>
    <n v="0"/>
    <s v=""/>
    <s v=""/>
    <s v=""/>
    <n v="25.76"/>
    <s v=""/>
    <s v=""/>
    <s v=""/>
    <s v=""/>
    <s v=""/>
    <s v=""/>
    <s v=""/>
    <n v="0"/>
    <s v=""/>
    <s v=""/>
    <s v=""/>
    <s v=""/>
    <n v="25.76"/>
    <n v="25.76"/>
    <n v="0"/>
    <n v="2.2399999999999984"/>
    <s v="0.47-0.5"/>
    <s v="1220-1222"/>
    <m/>
    <m/>
    <m/>
    <m/>
    <m/>
    <x v="0"/>
    <s v="R"/>
    <x v="8"/>
    <s v="C02-GK09-0.5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s v="BUBNA COMMERCIAL COMPANY"/>
  </r>
  <r>
    <n v="742"/>
    <d v="2025-07-25T00:00:00"/>
    <s v="ZBTO"/>
    <n v="9518959342"/>
    <n v="2"/>
    <s v="9518959342-2"/>
    <s v="Oct'25"/>
    <s v="Released"/>
    <x v="1"/>
    <x v="0"/>
    <x v="0"/>
    <m/>
    <s v="2200-BPRS"/>
    <m/>
    <s v="GUMMIDIPOONDI"/>
    <s v="MADS"/>
    <n v="822271"/>
    <s v="TATA STEEL DOWNSTREAM PRODUCTS LIMI"/>
    <n v="1801290"/>
    <s v="CRCA COIL-TATXXD-AU03-0.6X1250"/>
    <s v="C01"/>
    <s v="TATXXD"/>
    <s v="AU03"/>
    <n v="0.6"/>
    <n v="1250"/>
    <n v="0"/>
    <s v="T2 DONE"/>
    <s v=" "/>
    <s v=""/>
    <n v="5"/>
    <n v="29"/>
    <n v="116"/>
    <n v="0"/>
    <n v="116"/>
    <n v="11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16"/>
    <s v="0.58-0.62"/>
    <s v="1250-1262"/>
    <m/>
    <m/>
    <m/>
    <m/>
    <m/>
    <x v="1"/>
    <s v="U"/>
    <x v="0"/>
    <s v="C01-AU03-0.6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TATA STEEL DOWNSTREAM PRODUCTS LIMI"/>
  </r>
  <r>
    <n v="742"/>
    <d v="2025-08-19T00:00:00"/>
    <s v="ZBTO"/>
    <n v="9519027787"/>
    <n v="4"/>
    <s v="9519027787-4"/>
    <s v="Sep'25"/>
    <s v="Released"/>
    <x v="0"/>
    <x v="0"/>
    <x v="6"/>
    <m/>
    <s v="2000-BPRS"/>
    <m/>
    <s v="VISHAKHAPATNAM"/>
    <s v="SBAD"/>
    <n v="946077"/>
    <s v="SITARAM IRON AND STEEL PVT LTD"/>
    <n v="3240759"/>
    <s v="CRCA SHEET TSBCRC SR15 0.500X1000X2440"/>
    <s v="C06"/>
    <s v="TSBCRC"/>
    <s v="SR15"/>
    <n v="0.5"/>
    <n v="1000"/>
    <n v="2440"/>
    <s v="T2 DONE"/>
    <s v=" "/>
    <s v=""/>
    <n v="2"/>
    <n v="3"/>
    <n v="22.998999999999999"/>
    <n v="0"/>
    <n v="22.998999999999999"/>
    <n v="2.109"/>
    <n v="0"/>
    <n v="0"/>
    <n v="0"/>
    <s v=""/>
    <s v=""/>
    <s v=""/>
    <s v=""/>
    <s v=""/>
    <s v=""/>
    <s v=""/>
    <s v=""/>
    <n v="20.89"/>
    <s v=""/>
    <s v=""/>
    <n v="0"/>
    <s v=""/>
    <s v=""/>
    <s v=""/>
    <s v=""/>
    <n v="20.89"/>
    <n v="20.89"/>
    <n v="0"/>
    <n v="2.1089999999999982"/>
    <s v="0.48-0.52"/>
    <s v="1000-1004"/>
    <m/>
    <m/>
    <m/>
    <m/>
    <m/>
    <x v="0"/>
    <s v="M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s v="SITARAM IRON AND STEEL PVT LTD"/>
  </r>
  <r>
    <n v="742"/>
    <d v="2025-08-19T00:00:00"/>
    <s v="ZBTO"/>
    <n v="9519027787"/>
    <n v="9"/>
    <s v="9519027787-9"/>
    <s v="No Priority"/>
    <s v="Released"/>
    <x v="0"/>
    <x v="0"/>
    <x v="6"/>
    <m/>
    <s v="2000-BPRS"/>
    <m/>
    <s v="VISHAKHAPATNAM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s v=" "/>
    <s v=""/>
    <n v="2"/>
    <n v="3"/>
    <n v="22.998999999999999"/>
    <n v="0"/>
    <n v="22.998999999999999"/>
    <n v="1.579"/>
    <n v="0"/>
    <n v="0"/>
    <n v="0"/>
    <s v=""/>
    <s v=""/>
    <s v=""/>
    <s v=""/>
    <s v=""/>
    <s v=""/>
    <s v=""/>
    <s v=""/>
    <n v="21.42"/>
    <s v=""/>
    <s v=""/>
    <n v="0"/>
    <s v=""/>
    <s v=""/>
    <s v=""/>
    <s v=""/>
    <n v="21.42"/>
    <n v="21.42"/>
    <n v="0"/>
    <n v="1.5789999999999971"/>
    <s v="0.73-0.77"/>
    <s v="1000-1004"/>
    <m/>
    <m/>
    <m/>
    <m/>
    <m/>
    <x v="0"/>
    <s v="M"/>
    <x v="19"/>
    <s v="C06-SR15-0.75-1000"/>
    <s v="B69-SH69-2.8-1025"/>
    <x v="2"/>
    <x v="7"/>
    <x v="7"/>
    <x v="7"/>
    <x v="0"/>
    <x v="7"/>
    <x v="51"/>
    <m/>
    <m/>
    <m/>
    <m/>
    <m/>
    <m/>
    <m/>
    <m/>
    <m/>
    <m/>
    <m/>
    <m/>
    <m/>
    <m/>
    <m/>
    <m/>
    <m/>
    <m/>
    <m/>
    <s v="SITARAM IRON AND STEEL PVT LTD"/>
  </r>
  <r>
    <n v="743"/>
    <d v="2025-08-02T00:00:00"/>
    <s v="ZBTO"/>
    <n v="9518988805"/>
    <n v="1"/>
    <s v="9518988805-1"/>
    <s v="Sep'25"/>
    <s v="Released"/>
    <x v="1"/>
    <x v="3"/>
    <x v="7"/>
    <m/>
    <s v="2000-BPRS"/>
    <m/>
    <s v="GUWAHATI"/>
    <s v="GWAH"/>
    <n v="116649"/>
    <s v="SAGAR STEELS"/>
    <n v="1854363"/>
    <s v="GP COIL SOFT-TATXGP-GLK1-0.22X900"/>
    <s v="C02"/>
    <s v="TATXGP"/>
    <s v="GLK1"/>
    <n v="0.22"/>
    <n v="900"/>
    <n v="0"/>
    <s v="T2 DONE"/>
    <s v="Z80"/>
    <s v=""/>
    <n v="6"/>
    <n v="24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19-0.22"/>
    <s v="900-920"/>
    <m/>
    <m/>
    <m/>
    <m/>
    <m/>
    <x v="0"/>
    <s v="R"/>
    <x v="8"/>
    <s v="C02-GLK1-0.22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SAGAR STEELS"/>
  </r>
  <r>
    <n v="743"/>
    <d v="2025-08-02T00:00:00"/>
    <s v="ZBTO"/>
    <n v="9518988805"/>
    <n v="2"/>
    <s v="9518988805-2"/>
    <s v="Sep'25"/>
    <s v="Released"/>
    <x v="1"/>
    <x v="3"/>
    <x v="7"/>
    <m/>
    <s v="2000-BPRS"/>
    <m/>
    <s v="GUWAHATI"/>
    <s v="GWAH"/>
    <n v="116649"/>
    <s v="SAGAR STEELS"/>
    <n v="1319275"/>
    <s v="GP COIL SOFT-TATXGP-GLK1-0.2X900"/>
    <s v="C02"/>
    <s v="TATXGP"/>
    <s v="GLK1"/>
    <n v="0.2"/>
    <n v="900"/>
    <n v="0"/>
    <s v="T2 DONE"/>
    <s v="Z80"/>
    <s v=""/>
    <n v="6"/>
    <n v="25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17-0.2"/>
    <s v="900-920"/>
    <m/>
    <m/>
    <m/>
    <m/>
    <m/>
    <x v="0"/>
    <s v="R"/>
    <x v="8"/>
    <s v="C02-GLK1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SAGAR STEELS"/>
  </r>
  <r>
    <n v="742"/>
    <d v="2025-08-29T00:00:00"/>
    <s v="ZBTF"/>
    <n v="9519062598"/>
    <n v="1"/>
    <s v="9519062598-1"/>
    <s v="No Priority"/>
    <s v="Released"/>
    <x v="0"/>
    <x v="0"/>
    <x v="9"/>
    <m/>
    <s v="1000-IPPE"/>
    <m/>
    <s v="PILKHUWA"/>
    <s v="SHBD"/>
    <n v="187692"/>
    <s v="KUMAR PRECISION STAMPINGS PVT. LTD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KUMAR PRECISION STAMPINGS PVT. LTD"/>
  </r>
  <r>
    <n v="742"/>
    <d v="2025-08-29T00:00:00"/>
    <s v="ZBTF"/>
    <n v="9519062598"/>
    <n v="2"/>
    <s v="9519062598-2"/>
    <s v="No Priority"/>
    <s v="Released"/>
    <x v="0"/>
    <x v="0"/>
    <x v="9"/>
    <m/>
    <s v="1000-IPPE"/>
    <m/>
    <s v="PILKHUWA"/>
    <s v="SHBD"/>
    <n v="187692"/>
    <s v="KUMAR PRECISION STAMPINGS PVT. LTD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KUMAR PRECISION STAMPINGS PVT. LTD"/>
  </r>
  <r>
    <n v="743"/>
    <d v="2025-09-05T00:00:00"/>
    <s v="ZBTF"/>
    <n v="9519081794"/>
    <n v="1"/>
    <s v="9519081794-1"/>
    <s v="Sep'25"/>
    <s v="Released"/>
    <x v="1"/>
    <x v="3"/>
    <x v="11"/>
    <n v="500"/>
    <s v="2000-BPRS"/>
    <m/>
    <s v="GAMHARIA"/>
    <s v="COMD"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1"/>
    <n v="24"/>
    <n v="92"/>
    <n v="0"/>
    <n v="92"/>
    <n v="9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92"/>
    <s v="0.33-0.35"/>
    <s v="1015-1017"/>
    <m/>
    <m/>
    <m/>
    <m/>
    <m/>
    <x v="0"/>
    <s v="U"/>
    <x v="14"/>
    <s v="C05-GP02-0.35-1015"/>
    <s v="B69-SF93-2.25-1035"/>
    <x v="2"/>
    <x v="4"/>
    <x v="4"/>
    <x v="4"/>
    <x v="4"/>
    <x v="6"/>
    <x v="36"/>
    <m/>
    <m/>
    <m/>
    <m/>
    <m/>
    <m/>
    <m/>
    <m/>
    <m/>
    <m/>
    <m/>
    <m/>
    <m/>
    <m/>
    <m/>
    <m/>
    <m/>
    <m/>
    <m/>
    <s v="ANGUL GALVANIZING PLANT"/>
  </r>
  <r>
    <n v="743"/>
    <d v="2025-09-12T00:00:00"/>
    <s v="ZBTO"/>
    <n v="9519097824"/>
    <n v="1"/>
    <s v="9519097824-1"/>
    <s v="No Priority"/>
    <s v="Released"/>
    <x v="0"/>
    <x v="1"/>
    <x v="4"/>
    <m/>
    <s v="1000-IPPE"/>
    <m/>
    <s v=" 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280"/>
    <n v="183.11500000000001"/>
    <n v="96.885000000000005"/>
    <n v="1.7849999999999999"/>
    <n v="183.11500000000001"/>
    <n v="0"/>
    <n v="0"/>
    <s v=""/>
    <s v=""/>
    <s v=""/>
    <s v=""/>
    <n v="42.65"/>
    <s v=""/>
    <s v=""/>
    <s v=""/>
    <s v=""/>
    <s v=""/>
    <s v=""/>
    <n v="0"/>
    <n v="40"/>
    <s v=""/>
    <s v=""/>
    <n v="12.450000000000001"/>
    <n v="95.100000000000009"/>
    <n v="95.100000000000009"/>
    <n v="0"/>
    <n v="1.7849999999999966"/>
    <s v="0.43-0.47"/>
    <s v="1220-1222"/>
    <m/>
    <m/>
    <m/>
    <m/>
    <m/>
    <x v="0"/>
    <s v="R"/>
    <x v="3"/>
    <s v="B04-H6GL-0.4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RIVATE LIMITE"/>
  </r>
  <r>
    <n v="743"/>
    <d v="2025-09-12T00:00:00"/>
    <s v="ZBTO"/>
    <n v="9519097824"/>
    <n v="2"/>
    <s v="9519097824-2"/>
    <s v="No Priority"/>
    <s v="Released"/>
    <x v="1"/>
    <x v="1"/>
    <x v="4"/>
    <m/>
    <s v="1000-IPPE"/>
    <m/>
    <s v=" 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84"/>
    <n v="29.74"/>
    <n v="54.26"/>
    <n v="40.274999999999999"/>
    <n v="29.740000000000002"/>
    <n v="0"/>
    <n v="0"/>
    <s v=""/>
    <s v=""/>
    <s v=""/>
    <s v=""/>
    <n v="13.985000000000001"/>
    <s v=""/>
    <s v=""/>
    <s v=""/>
    <s v=""/>
    <s v=""/>
    <s v=""/>
    <n v="0"/>
    <s v=""/>
    <s v=""/>
    <s v=""/>
    <s v=""/>
    <n v="13.985000000000001"/>
    <n v="13.985000000000001"/>
    <n v="0"/>
    <n v="40.274999999999999"/>
    <s v="0.43-0.47"/>
    <s v="1220-1222"/>
    <m/>
    <m/>
    <m/>
    <m/>
    <m/>
    <x v="0"/>
    <s v="R"/>
    <x v="3"/>
    <s v="B04-H6GL-0.4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RIVATE LIMITE"/>
  </r>
  <r>
    <n v="743"/>
    <d v="2025-09-12T00:00:00"/>
    <s v="ZBTO"/>
    <n v="9519097824"/>
    <n v="3"/>
    <s v="9519097824-3"/>
    <s v="No Priority"/>
    <s v="Released"/>
    <x v="1"/>
    <x v="1"/>
    <x v="4"/>
    <m/>
    <s v="1000-IPPE"/>
    <m/>
    <s v=" "/>
    <s v="BOMB"/>
    <n v="942283"/>
    <s v="TATA BLUESCOPE STEEL PRIVATE LIMITE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140"/>
    <n v="0"/>
    <n v="140"/>
    <n v="14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40"/>
    <s v="0.53-0.57"/>
    <s v="1220-1222"/>
    <m/>
    <m/>
    <m/>
    <m/>
    <m/>
    <x v="0"/>
    <s v="R"/>
    <x v="16"/>
    <s v="B04-H6GL-0.5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2"/>
    <d v="2025-09-09T00:00:00"/>
    <s v="ZBTO"/>
    <n v="9519088655"/>
    <n v="9"/>
    <s v="9519088655-9"/>
    <s v="No Priority"/>
    <s v="Released"/>
    <x v="0"/>
    <x v="0"/>
    <x v="6"/>
    <m/>
    <s v="2000-BPRS"/>
    <m/>
    <s v="TANGI"/>
    <s v="BHUB"/>
    <n v="117061"/>
    <s v="BHARTIA  DISTRIBUTORS PVT. LTD."/>
    <n v="3240799"/>
    <s v="CRCA SHEET TSBCRC SR15 0.750X1250X2500"/>
    <s v="C06"/>
    <s v="TSBCRC"/>
    <s v="SR15"/>
    <n v="0.75"/>
    <n v="1250"/>
    <n v="2500"/>
    <s v="T2 DONE"/>
    <s v=" "/>
    <s v=""/>
    <n v="0.1"/>
    <n v="5"/>
    <n v="29"/>
    <n v="0"/>
    <n v="29"/>
    <n v="-23.77"/>
    <n v="0"/>
    <n v="0"/>
    <n v="0"/>
    <s v=""/>
    <s v=""/>
    <s v=""/>
    <s v=""/>
    <s v=""/>
    <s v=""/>
    <s v=""/>
    <n v="52.77"/>
    <s v=""/>
    <s v=""/>
    <s v=""/>
    <n v="0"/>
    <s v=""/>
    <s v=""/>
    <s v=""/>
    <s v=""/>
    <n v="52.77"/>
    <n v="52.77"/>
    <n v="0"/>
    <n v="-23.770000000000003"/>
    <s v="0.72-0.75"/>
    <s v="1250-1251"/>
    <m/>
    <m/>
    <m/>
    <m/>
    <m/>
    <x v="0"/>
    <s v="T"/>
    <x v="7"/>
    <s v="C06-SR15-0.75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s v="BHARTIA  DISTRIBUTORS PVT. LTD."/>
  </r>
  <r>
    <n v="742"/>
    <d v="2025-09-09T00:00:00"/>
    <s v="ZBTO"/>
    <n v="9519088655"/>
    <n v="13"/>
    <s v="9519088655-13"/>
    <s v="No Priority"/>
    <s v="Released"/>
    <x v="0"/>
    <x v="0"/>
    <x v="6"/>
    <m/>
    <s v="2000-BPRS"/>
    <m/>
    <s v="TANGI"/>
    <s v="BHUB"/>
    <n v="117061"/>
    <s v="BHARTIA  DISTRIBUTORS PVT. LTD."/>
    <n v="3240851"/>
    <s v="CRCA SHEET TSBCRC SR15 1.200X1250X2500"/>
    <s v="C06"/>
    <s v="TSBCRC"/>
    <s v="SR15"/>
    <n v="1.2"/>
    <n v="1250"/>
    <n v="2500"/>
    <s v="T2 DONE"/>
    <s v=" "/>
    <s v=""/>
    <n v="0.1"/>
    <n v="5"/>
    <n v="58"/>
    <n v="0"/>
    <n v="58"/>
    <n v="4.99"/>
    <n v="0"/>
    <n v="0"/>
    <n v="0"/>
    <s v=""/>
    <s v=""/>
    <s v=""/>
    <s v=""/>
    <s v=""/>
    <s v=""/>
    <s v=""/>
    <s v=""/>
    <n v="53.01"/>
    <s v=""/>
    <s v=""/>
    <n v="0"/>
    <s v=""/>
    <s v=""/>
    <s v=""/>
    <s v=""/>
    <n v="53.01"/>
    <n v="53.01"/>
    <n v="0"/>
    <n v="4.990000000000002"/>
    <s v="1.16-1.2"/>
    <s v="1250-1251"/>
    <m/>
    <m/>
    <m/>
    <m/>
    <m/>
    <x v="0"/>
    <s v="T"/>
    <x v="7"/>
    <s v="C06-SR15-1.2-1250"/>
    <s v="367-SH69-3.2-1260"/>
    <x v="0"/>
    <x v="7"/>
    <x v="7"/>
    <x v="7"/>
    <x v="3"/>
    <x v="10"/>
    <x v="50"/>
    <m/>
    <m/>
    <m/>
    <m/>
    <m/>
    <m/>
    <m/>
    <m/>
    <m/>
    <m/>
    <m/>
    <m/>
    <m/>
    <m/>
    <m/>
    <m/>
    <m/>
    <m/>
    <m/>
    <s v="BHARTIA  DISTRIBUTORS PVT. LTD."/>
  </r>
  <r>
    <n v="743"/>
    <d v="2025-09-08T00:00:00"/>
    <s v="ZBTO"/>
    <n v="9519086148"/>
    <n v="3"/>
    <s v="9519086148-3"/>
    <s v="No Priority"/>
    <s v="Released"/>
    <x v="1"/>
    <x v="3"/>
    <x v="7"/>
    <m/>
    <s v="2000-BPRS"/>
    <m/>
    <s v="KOLKATA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32-0.35"/>
    <s v="900-902"/>
    <m/>
    <m/>
    <m/>
    <m/>
    <m/>
    <x v="0"/>
    <s v="R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BUBNA COMMERCIAL COMPANY"/>
  </r>
  <r>
    <n v="743"/>
    <d v="2025-09-12T00:00:00"/>
    <s v="ZBTO"/>
    <n v="9519099563"/>
    <n v="1"/>
    <s v="9519099563-1"/>
    <s v="No Priority"/>
    <s v="Released"/>
    <x v="1"/>
    <x v="3"/>
    <x v="7"/>
    <m/>
    <s v="2000-BPRS"/>
    <m/>
    <s v="WEST BOKARO"/>
    <s v="JAMS"/>
    <n v="185794"/>
    <s v="Shree Bajrang Steel Udyog"/>
    <n v="1851065"/>
    <s v="GP COIL SOFT-TATXGP-GK09-0.25X900"/>
    <s v="C02"/>
    <s v="TATXGP"/>
    <s v="GK09"/>
    <n v="0.25"/>
    <n v="900"/>
    <n v="0"/>
    <s v="T2 DONE"/>
    <s v="Z80"/>
    <s v=""/>
    <n v="4"/>
    <n v="12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23-0.27"/>
    <s v="900-904"/>
    <m/>
    <m/>
    <m/>
    <m/>
    <m/>
    <x v="0"/>
    <s v="S"/>
    <x v="8"/>
    <s v="C02-GK09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Shree Bajrang Steel Udyog"/>
  </r>
  <r>
    <n v="742"/>
    <d v="2025-07-11T00:00:00"/>
    <s v="ZBTO"/>
    <n v="9518921586"/>
    <n v="5"/>
    <s v="9518921586-5"/>
    <s v="Oct'25"/>
    <s v="Released"/>
    <x v="1"/>
    <x v="0"/>
    <x v="0"/>
    <m/>
    <s v="2000-BPRS"/>
    <m/>
    <s v="PATTANCHERY"/>
    <s v="SBAD"/>
    <n v="939422"/>
    <s v="VIJAY VENKAT STEELS PRIVATE LIMITED"/>
    <n v="1801456"/>
    <s v="CRCA COIL-TATXXD-AU03-0.7X1250"/>
    <s v="C01"/>
    <s v="TATXXD"/>
    <s v="AU03"/>
    <n v="0.7"/>
    <n v="1250"/>
    <n v="0"/>
    <s v="T2 DONE"/>
    <s v=" "/>
    <s v=""/>
    <n v="10"/>
    <n v="3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67-0.7"/>
    <s v="1250-1262"/>
    <m/>
    <m/>
    <m/>
    <m/>
    <m/>
    <x v="0"/>
    <s v="U"/>
    <x v="0"/>
    <s v="C01-AU03-0.7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VIJAY VENKAT STEELS PRIVATE LIMITED"/>
  </r>
  <r>
    <n v="742"/>
    <d v="2025-07-18T00:00:00"/>
    <s v="ZBTO"/>
    <n v="9518939324"/>
    <n v="3"/>
    <s v="9518939324-3"/>
    <s v="Sep'25"/>
    <s v="Released"/>
    <x v="0"/>
    <x v="0"/>
    <x v="15"/>
    <m/>
    <s v="2000-BPRS"/>
    <m/>
    <s v="HOWRAH"/>
    <s v="CALS"/>
    <n v="154464"/>
    <s v="TATA STEEL DOWNSTREAM PRODUCTS LIMI"/>
    <n v="3853362"/>
    <s v="CR COIL TATXXD AH03 1.100X1320"/>
    <s v="C01"/>
    <s v="TATXXD"/>
    <s v="AH03"/>
    <n v="1.1000000000000001"/>
    <n v="1320"/>
    <n v="0"/>
    <s v="T2 DONE"/>
    <s v=" "/>
    <s v=""/>
    <n v="13"/>
    <n v="29"/>
    <n v="60"/>
    <n v="28.45"/>
    <n v="31.55"/>
    <n v="31.5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32"/>
    <n v="0"/>
    <s v="0.98-1.1"/>
    <s v="1320-1340"/>
    <m/>
    <m/>
    <m/>
    <m/>
    <m/>
    <x v="0"/>
    <s v="U"/>
    <x v="23"/>
    <s v="C01-AH03-1.1-1320"/>
    <s v="367-SH67-3.2-1320"/>
    <x v="0"/>
    <x v="6"/>
    <x v="6"/>
    <x v="6"/>
    <x v="3"/>
    <x v="18"/>
    <x v="88"/>
    <m/>
    <m/>
    <m/>
    <m/>
    <m/>
    <m/>
    <m/>
    <m/>
    <m/>
    <m/>
    <m/>
    <m/>
    <m/>
    <m/>
    <m/>
    <m/>
    <m/>
    <m/>
    <m/>
    <s v="TATA STEEL DOWNSTREAM PRODUCTS LIMI"/>
  </r>
  <r>
    <n v="742"/>
    <d v="2025-08-12T00:00:00"/>
    <s v="ZBTO"/>
    <n v="9519011538"/>
    <n v="5"/>
    <s v="9519011538-5"/>
    <s v="Oct'25"/>
    <s v="Released"/>
    <x v="1"/>
    <x v="0"/>
    <x v="6"/>
    <m/>
    <s v="2000-BPRS"/>
    <m/>
    <s v="VARANASI"/>
    <s v="KANP"/>
    <n v="115841"/>
    <s v="O.V.S. ISPAT UDYOG"/>
    <n v="3765561"/>
    <s v="CRCA SHEET TSBCRC SR15 0.700X1000X1930"/>
    <s v="C06"/>
    <s v="TSBCRC"/>
    <s v="SR15"/>
    <n v="0.7"/>
    <n v="1000"/>
    <n v="1930"/>
    <s v="T2 DONE"/>
    <s v=" "/>
    <s v=""/>
    <n v="0"/>
    <n v="0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68-0.72"/>
    <s v="1000-1004"/>
    <m/>
    <m/>
    <m/>
    <m/>
    <m/>
    <x v="0"/>
    <s v="M"/>
    <x v="7"/>
    <s v="C06-SR15-0.7-1000"/>
    <s v="B69-SH69-2.8-1025"/>
    <x v="2"/>
    <x v="7"/>
    <x v="7"/>
    <x v="7"/>
    <x v="0"/>
    <x v="7"/>
    <x v="51"/>
    <m/>
    <m/>
    <m/>
    <m/>
    <m/>
    <m/>
    <m/>
    <m/>
    <m/>
    <m/>
    <m/>
    <m/>
    <m/>
    <m/>
    <m/>
    <m/>
    <m/>
    <m/>
    <m/>
    <s v="O.V.S. ISPAT UDYOG"/>
  </r>
  <r>
    <n v="742"/>
    <d v="2025-08-19T00:00:00"/>
    <s v="ZBTO"/>
    <n v="9519028293"/>
    <n v="1"/>
    <s v="9519028293-1"/>
    <s v="Oct'25"/>
    <s v="Released"/>
    <x v="1"/>
    <x v="0"/>
    <x v="6"/>
    <m/>
    <s v="2000-BPRS"/>
    <m/>
    <s v="CHENNAI"/>
    <s v="MADS"/>
    <n v="938550"/>
    <s v="BASEER AND CO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33-0.37"/>
    <s v="900-904"/>
    <m/>
    <m/>
    <m/>
    <m/>
    <m/>
    <x v="0"/>
    <s v="M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ASEER AND CO"/>
  </r>
  <r>
    <n v="742"/>
    <d v="2025-08-05T00:00:00"/>
    <s v="ZBTO"/>
    <n v="9518995069"/>
    <n v="1"/>
    <s v="9518995069-1"/>
    <s v="No Priority"/>
    <s v="Released"/>
    <x v="0"/>
    <x v="0"/>
    <x v="6"/>
    <m/>
    <s v="2000-BPRS"/>
    <m/>
    <s v="KANPUR"/>
    <s v="FBAD"/>
    <n v="933952"/>
    <s v="AGARWAL STEEL TRADERS"/>
    <n v="3240761"/>
    <s v="CRCA SHEET TSBCRC SR15 0.500X1250X2030"/>
    <s v="C06"/>
    <s v="TSBCRC"/>
    <s v="SR15"/>
    <n v="0.5"/>
    <n v="1250"/>
    <n v="2030"/>
    <s v="T2 DONE"/>
    <s v=" "/>
    <s v=""/>
    <n v="0"/>
    <n v="0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0.48-0.52"/>
    <s v="1250-1254"/>
    <m/>
    <m/>
    <m/>
    <m/>
    <m/>
    <x v="0"/>
    <s v="M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AGARWAL STEEL TRADERS"/>
  </r>
  <r>
    <n v="742"/>
    <d v="2025-08-19T00:00:00"/>
    <s v="ZBTO"/>
    <n v="9519028231"/>
    <n v="4"/>
    <s v="9519028231-4"/>
    <s v="Sep'25"/>
    <s v="Released"/>
    <x v="0"/>
    <x v="0"/>
    <x v="0"/>
    <m/>
    <s v="2000-BPRS"/>
    <m/>
    <s v="CHENNAI"/>
    <s v="MADS"/>
    <n v="938550"/>
    <s v="BASEER AND CO"/>
    <n v="1801562"/>
    <s v="CRCA COIL-TATXXD-AU03-0.8X1000"/>
    <s v="C01"/>
    <s v="TATXXD"/>
    <s v="AU03"/>
    <n v="0.8"/>
    <n v="1000"/>
    <n v="0"/>
    <s v="T2 DONE"/>
    <s v=" "/>
    <s v=""/>
    <n v="6"/>
    <n v="18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78-0.82"/>
    <s v="1000-1004"/>
    <m/>
    <m/>
    <m/>
    <m/>
    <m/>
    <x v="0"/>
    <s v="R"/>
    <x v="0"/>
    <s v="C01-AU03-0.8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BASEER AND CO"/>
  </r>
  <r>
    <n v="743"/>
    <d v="2025-09-08T00:00:00"/>
    <s v="ZBTO"/>
    <n v="9519085802"/>
    <n v="1"/>
    <s v="9519085802-1"/>
    <s v="No Priority"/>
    <s v="Released"/>
    <x v="1"/>
    <x v="3"/>
    <x v="13"/>
    <m/>
    <s v="2000-BPRS"/>
    <m/>
    <s v="SIYAGANJ"/>
    <s v="INDR"/>
    <n v="944695"/>
    <s v="ANM ISPAT PRIVATE LIMITED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57-0.6"/>
    <s v="1250-1254"/>
    <m/>
    <m/>
    <m/>
    <m/>
    <m/>
    <x v="0"/>
    <s v="M"/>
    <x v="8"/>
    <s v="C02-GK09-0.6-1250"/>
    <s v="367-HG02-2.5-1265"/>
    <x v="0"/>
    <x v="1"/>
    <x v="1"/>
    <x v="1"/>
    <x v="7"/>
    <x v="1"/>
    <x v="89"/>
    <m/>
    <m/>
    <m/>
    <m/>
    <m/>
    <m/>
    <m/>
    <m/>
    <m/>
    <m/>
    <m/>
    <m/>
    <m/>
    <m/>
    <m/>
    <m/>
    <m/>
    <m/>
    <m/>
    <s v="ANM ISPAT PRIVATE LIMITED"/>
  </r>
  <r>
    <n v="742"/>
    <d v="2025-08-22T00:00:00"/>
    <s v="ZBTO"/>
    <n v="9519040245"/>
    <n v="4"/>
    <s v="9519040245-4"/>
    <s v="Sep'25"/>
    <s v="Released"/>
    <x v="0"/>
    <x v="0"/>
    <x v="5"/>
    <m/>
    <s v="1000-IPPE"/>
    <m/>
    <s v="CHENNAI"/>
    <s v="NPUR"/>
    <n v="187214"/>
    <s v="BALMER LAWRIE &amp; CO. LIMITED.."/>
    <n v="3701960"/>
    <s v="CR COIL TATXXD BT01 1.200X1310"/>
    <s v="C01"/>
    <s v="TATXXD"/>
    <s v="BT01"/>
    <n v="1.2"/>
    <n v="1310"/>
    <n v="0"/>
    <s v="T2 DONE"/>
    <s v=" "/>
    <s v=""/>
    <n v="8"/>
    <n v="12"/>
    <n v="30"/>
    <n v="0"/>
    <n v="30"/>
    <n v="3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30"/>
    <n v="0"/>
    <s v="1.18-1.22"/>
    <s v="1310-1311"/>
    <m/>
    <m/>
    <m/>
    <m/>
    <m/>
    <x v="0"/>
    <s v="T"/>
    <x v="6"/>
    <s v="C01-BT01-1.2-1310"/>
    <s v="367-SH67-3.2-1330"/>
    <x v="0"/>
    <x v="6"/>
    <x v="6"/>
    <x v="6"/>
    <x v="3"/>
    <x v="17"/>
    <x v="90"/>
    <m/>
    <m/>
    <m/>
    <m/>
    <m/>
    <m/>
    <m/>
    <m/>
    <m/>
    <m/>
    <m/>
    <m/>
    <m/>
    <m/>
    <m/>
    <m/>
    <m/>
    <m/>
    <m/>
    <s v="BALMER LAWRIE &amp; CO. LIMITED.."/>
  </r>
  <r>
    <n v="742"/>
    <d v="2025-08-01T00:00:00"/>
    <s v="ZBTO"/>
    <n v="9518986243"/>
    <n v="1"/>
    <s v="9518986243-1"/>
    <s v="No Priority"/>
    <s v="Released"/>
    <x v="0"/>
    <x v="0"/>
    <x v="15"/>
    <m/>
    <s v="2000-BPRS"/>
    <m/>
    <s v="AHMEDABAD"/>
    <s v="AMED"/>
    <n v="854773"/>
    <s v="ANM ISPAT PVT LTD"/>
    <n v="3532322"/>
    <s v="CR COIL TATXXD AH03 1X1320"/>
    <s v="C01"/>
    <s v="TATXXD"/>
    <s v="AH03"/>
    <n v="1"/>
    <n v="1320"/>
    <n v="0"/>
    <s v="T2 DONE"/>
    <s v=" "/>
    <s v=""/>
    <n v="13"/>
    <n v="24"/>
    <n v="30"/>
    <n v="0"/>
    <n v="30"/>
    <n v="3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30"/>
    <s v="0.98-1.02"/>
    <s v="1320-1325"/>
    <m/>
    <m/>
    <m/>
    <m/>
    <m/>
    <x v="0"/>
    <s v="R"/>
    <x v="3"/>
    <s v="C01-AH03-1-1320"/>
    <s v="367-SH67-3.2-1320"/>
    <x v="0"/>
    <x v="6"/>
    <x v="6"/>
    <x v="6"/>
    <x v="3"/>
    <x v="18"/>
    <x v="88"/>
    <m/>
    <m/>
    <m/>
    <m/>
    <m/>
    <m/>
    <m/>
    <m/>
    <m/>
    <m/>
    <m/>
    <m/>
    <m/>
    <m/>
    <m/>
    <m/>
    <m/>
    <m/>
    <m/>
    <s v="ANM ISPAT PVT LTD"/>
  </r>
  <r>
    <n v="742"/>
    <d v="2025-08-18T00:00:00"/>
    <s v="ZBTO"/>
    <n v="9519025430"/>
    <n v="4"/>
    <s v="9519025430-4"/>
    <s v="No Priority"/>
    <s v="Released"/>
    <x v="0"/>
    <x v="0"/>
    <x v="6"/>
    <m/>
    <s v="2000-BPRS"/>
    <m/>
    <s v="SALEM"/>
    <s v="MADS"/>
    <n v="116465"/>
    <s v="SRI BALAJI STEEL TRADERS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3-0.37"/>
    <s v="900-904"/>
    <m/>
    <m/>
    <m/>
    <m/>
    <m/>
    <x v="0"/>
    <s v="U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5430"/>
    <n v="5"/>
    <s v="9519025430-5"/>
    <s v="Oct'25"/>
    <s v="Released"/>
    <x v="1"/>
    <x v="0"/>
    <x v="6"/>
    <m/>
    <s v="2000-BPRS"/>
    <m/>
    <s v="SALEM"/>
    <s v="MADS"/>
    <n v="116465"/>
    <s v="SRI BALAJI STEEL TRADERS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3-0.37"/>
    <s v="1000-1004"/>
    <m/>
    <m/>
    <m/>
    <m/>
    <m/>
    <x v="0"/>
    <s v="U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SRI BALAJI STEEL TRADERS"/>
  </r>
  <r>
    <n v="742"/>
    <d v="2025-07-25T00:00:00"/>
    <s v="ZBTO"/>
    <n v="9518959342"/>
    <n v="3"/>
    <s v="9518959342-3"/>
    <s v="Oct'25"/>
    <s v="Released"/>
    <x v="1"/>
    <x v="0"/>
    <x v="0"/>
    <m/>
    <s v="2200-BPRS"/>
    <m/>
    <s v="GUMMIDIPOONDI"/>
    <s v="MADS"/>
    <n v="822271"/>
    <s v="TATA STEEL DOWNSTREAM PRODUCTS LIMI"/>
    <n v="1801290"/>
    <s v="CRCA COIL-TATXXD-AU03-0.6X1250"/>
    <s v="C01"/>
    <s v="TATXXD"/>
    <s v="AU03"/>
    <n v="0.6"/>
    <n v="1250"/>
    <n v="0"/>
    <s v="T2 DONE"/>
    <s v=" "/>
    <s v=""/>
    <n v="5"/>
    <n v="29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0.58-0.62"/>
    <s v="1250-1262"/>
    <m/>
    <m/>
    <m/>
    <m/>
    <m/>
    <x v="1"/>
    <s v="U"/>
    <x v="0"/>
    <s v="C01-AU03-0.6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TATA STEEL DOWNSTREAM PRODUCTS LIMI"/>
  </r>
  <r>
    <n v="742"/>
    <d v="2025-08-29T00:00:00"/>
    <s v="ZBTF"/>
    <n v="9519061304"/>
    <n v="1"/>
    <s v="9519061304-1"/>
    <s v="Sep'25"/>
    <s v="Released"/>
    <x v="1"/>
    <x v="0"/>
    <x v="5"/>
    <m/>
    <s v="1000-IPPE"/>
    <m/>
    <s v="SANHEWAL"/>
    <s v="CDGH"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90"/>
    <n v="0"/>
    <n v="290"/>
    <n v="29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0"/>
    <s v="1.45-1.55"/>
    <s v="1250-1270"/>
    <m/>
    <m/>
    <m/>
    <m/>
    <m/>
    <x v="1"/>
    <s v="U"/>
    <x v="24"/>
    <s v="C01-TU97-1.5-1250"/>
    <s v="367-SH70-4-1250"/>
    <x v="0"/>
    <x v="14"/>
    <x v="14"/>
    <x v="14"/>
    <x v="10"/>
    <x v="0"/>
    <x v="91"/>
    <m/>
    <m/>
    <m/>
    <m/>
    <m/>
    <m/>
    <m/>
    <m/>
    <m/>
    <m/>
    <m/>
    <m/>
    <m/>
    <m/>
    <m/>
    <m/>
    <m/>
    <m/>
    <m/>
    <s v="TUBE INVESTMENTS OF INDIA LIMITED"/>
  </r>
  <r>
    <n v="742"/>
    <d v="2025-08-26T00:00:00"/>
    <s v="ZBTO"/>
    <n v="9519049724"/>
    <n v="1"/>
    <s v="9519049724-1"/>
    <s v="Sep'25"/>
    <s v="Released"/>
    <x v="0"/>
    <x v="5"/>
    <x v="5"/>
    <m/>
    <s v="1000-IPPE"/>
    <m/>
    <s v="VILLAGE-PRAGPAR"/>
    <s v="AMED"/>
    <n v="189108"/>
    <s v="Manaksia Coated Metals &amp; Industries"/>
    <n v="3577912"/>
    <s v="CR COIL TATFHC TR10 0.360X1320"/>
    <s v="C09"/>
    <s v="TATFHC"/>
    <s v="TR10"/>
    <n v="0.36"/>
    <n v="1320"/>
    <n v="0"/>
    <s v="T2 DONE"/>
    <s v=" "/>
    <s v=""/>
    <n v="10"/>
    <n v="22"/>
    <n v="269.99900000000002"/>
    <n v="0"/>
    <n v="269.99900000000002"/>
    <n v="269.9990000000000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70"/>
    <n v="0"/>
    <s v="0.345-0.37"/>
    <s v="1320-1323"/>
    <m/>
    <m/>
    <m/>
    <m/>
    <m/>
    <x v="0"/>
    <s v="T"/>
    <x v="21"/>
    <s v="C09-TR10-0.36-1320"/>
    <s v="367-HG02-2.25-1250"/>
    <x v="0"/>
    <x v="1"/>
    <x v="1"/>
    <x v="1"/>
    <x v="4"/>
    <x v="0"/>
    <x v="66"/>
    <m/>
    <m/>
    <m/>
    <m/>
    <m/>
    <m/>
    <m/>
    <m/>
    <m/>
    <m/>
    <m/>
    <m/>
    <m/>
    <m/>
    <m/>
    <m/>
    <m/>
    <m/>
    <m/>
    <s v="Manaksia Coated Metals &amp; Industries"/>
  </r>
  <r>
    <n v="742"/>
    <d v="2025-08-26T00:00:00"/>
    <s v="ZBTO"/>
    <n v="9519050808"/>
    <n v="1"/>
    <s v="9519050808-1"/>
    <s v="No Priority"/>
    <s v="Released"/>
    <x v="0"/>
    <x v="0"/>
    <x v="5"/>
    <m/>
    <s v="1000-IPPE"/>
    <m/>
    <s v="VILLAGE DADRA"/>
    <s v="NPUR"/>
    <n v="187157"/>
    <s v="T &amp; D GALIAKOT CONTAINERS PVT LTD"/>
    <n v="2170008"/>
    <s v="CRCA COIL TATXXD BT01 0.970X1220"/>
    <s v="C01"/>
    <s v="TATXXD"/>
    <s v="BT01"/>
    <n v="0.97"/>
    <n v="1220"/>
    <n v="0"/>
    <s v="T2 DONE"/>
    <s v=" "/>
    <s v=""/>
    <n v="6.87"/>
    <n v="11"/>
    <n v="83.99"/>
    <n v="47.01"/>
    <n v="36.979999999999997"/>
    <n v="32.479999999999997"/>
    <n v="47.01"/>
    <n v="0"/>
    <n v="0"/>
    <s v=""/>
    <s v=""/>
    <s v=""/>
    <s v=""/>
    <s v=""/>
    <s v=""/>
    <s v=""/>
    <s v=""/>
    <s v=""/>
    <s v=""/>
    <s v=""/>
    <n v="0"/>
    <s v=""/>
    <n v="4.5"/>
    <s v=""/>
    <s v=""/>
    <n v="4.5"/>
    <n v="4.5"/>
    <n v="32"/>
    <n v="0.47999999999999687"/>
    <s v="0.95-0.99"/>
    <s v="1220-1221"/>
    <m/>
    <m/>
    <m/>
    <m/>
    <m/>
    <x v="0"/>
    <s v="M"/>
    <x v="3"/>
    <s v="C01-BT01-0.97-12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T &amp; D GALIAKOT CONTAINERS PVT LTD"/>
  </r>
  <r>
    <n v="743"/>
    <d v="2025-09-02T00:00:00"/>
    <s v="ZBTO"/>
    <n v="9519072913"/>
    <n v="2"/>
    <s v="9519072913-2"/>
    <s v="Sep'25 additional"/>
    <s v="Released"/>
    <x v="1"/>
    <x v="3"/>
    <x v="7"/>
    <m/>
    <s v="2000-BPRS"/>
    <m/>
    <s v=" 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33-0.37"/>
    <s v="900-904"/>
    <m/>
    <m/>
    <m/>
    <m/>
    <m/>
    <x v="0"/>
    <s v="S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R. S. BOKARO METAL (P) LTD."/>
  </r>
  <r>
    <n v="742"/>
    <d v="2025-09-12T00:00:00"/>
    <s v="ZBTO"/>
    <n v="9519097662"/>
    <n v="1"/>
    <s v="9519097662-1"/>
    <s v="No Priority"/>
    <s v="Released"/>
    <x v="0"/>
    <x v="0"/>
    <x v="0"/>
    <m/>
    <s v="2000-BPRS"/>
    <m/>
    <s v="YESHWANTHPURA"/>
    <s v="BANG"/>
    <n v="932244"/>
    <s v="DURGA TRADERS"/>
    <n v="1804814"/>
    <s v="CRCA COIL TATXXD AU03 0.8X1250"/>
    <s v="C01"/>
    <s v="TATXXD"/>
    <s v="AU03"/>
    <n v="0.8"/>
    <n v="1250"/>
    <n v="0"/>
    <s v="T2 DONE"/>
    <s v=" "/>
    <s v=""/>
    <n v="10"/>
    <n v="28"/>
    <n v="57.99"/>
    <n v="0"/>
    <n v="57.99"/>
    <n v="10.68"/>
    <n v="0"/>
    <n v="0"/>
    <n v="0"/>
    <s v=""/>
    <s v=""/>
    <s v=""/>
    <s v=""/>
    <s v=""/>
    <s v=""/>
    <s v=""/>
    <s v=""/>
    <n v="47.31"/>
    <s v=""/>
    <s v=""/>
    <n v="0"/>
    <s v=""/>
    <s v=""/>
    <s v=""/>
    <s v=""/>
    <n v="47.31"/>
    <n v="47.31"/>
    <n v="0"/>
    <n v="10.68"/>
    <s v="0.76-0.8"/>
    <s v="1250-1262"/>
    <m/>
    <m/>
    <m/>
    <m/>
    <m/>
    <x v="0"/>
    <s v="U"/>
    <x v="0"/>
    <s v="C01-AU03-0.8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DURGA TRADERS"/>
  </r>
  <r>
    <n v="742"/>
    <d v="2025-09-12T00:00:00"/>
    <s v="ZBTO"/>
    <n v="9519097662"/>
    <n v="2"/>
    <s v="9519097662-2"/>
    <s v="No Priority"/>
    <s v="Released"/>
    <x v="0"/>
    <x v="0"/>
    <x v="0"/>
    <m/>
    <s v="2000-BPRS"/>
    <m/>
    <s v="YESHWANTHPURA"/>
    <s v="BANG"/>
    <n v="932244"/>
    <s v="DURGA TRADERS"/>
    <n v="1801804"/>
    <s v="CRCA COIL-TATXXD-AU03-1X1250"/>
    <s v="C01"/>
    <s v="TATXXD"/>
    <s v="AU03"/>
    <n v="1"/>
    <n v="1250"/>
    <n v="0"/>
    <s v="T2 DONE"/>
    <s v=" "/>
    <s v=""/>
    <n v="10"/>
    <n v="28"/>
    <n v="144.99"/>
    <n v="0"/>
    <n v="144.99"/>
    <n v="-31.52"/>
    <n v="0"/>
    <n v="0"/>
    <n v="0"/>
    <s v=""/>
    <s v=""/>
    <s v=""/>
    <s v=""/>
    <s v=""/>
    <s v=""/>
    <s v=""/>
    <s v=""/>
    <n v="176.51"/>
    <s v=""/>
    <s v=""/>
    <n v="0"/>
    <s v=""/>
    <s v=""/>
    <s v=""/>
    <s v=""/>
    <n v="176.51"/>
    <n v="176.51"/>
    <n v="0"/>
    <n v="-31.519999999999982"/>
    <s v="0.95-1"/>
    <s v="1250-1262"/>
    <m/>
    <m/>
    <m/>
    <m/>
    <m/>
    <x v="0"/>
    <s v="U"/>
    <x v="0"/>
    <s v="C01-AU03-1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DURGA TRADERS"/>
  </r>
  <r>
    <n v="742"/>
    <d v="2025-09-12T00:00:00"/>
    <s v="ZBTO"/>
    <n v="9519097690"/>
    <n v="2"/>
    <s v="9519097690-2"/>
    <s v="No Priority"/>
    <s v="Released"/>
    <x v="0"/>
    <x v="0"/>
    <x v="0"/>
    <m/>
    <s v="2000-BPRS"/>
    <m/>
    <s v="YESHWANTHPURA"/>
    <s v="BANG"/>
    <n v="939268"/>
    <s v="TATA STEEL DOWNSTREAM PRODUCTS LIMI"/>
    <n v="1801804"/>
    <s v="CRCA COIL-TATXXD-AU03-1X1250"/>
    <s v="C01"/>
    <s v="TATXXD"/>
    <s v="AU03"/>
    <n v="1"/>
    <n v="1250"/>
    <n v="0"/>
    <s v="T2 DONE"/>
    <s v=" "/>
    <s v=""/>
    <n v="10"/>
    <n v="28"/>
    <n v="144.99"/>
    <n v="0"/>
    <n v="144.99"/>
    <n v="-32.6"/>
    <n v="0"/>
    <n v="0"/>
    <n v="0"/>
    <s v=""/>
    <s v=""/>
    <s v=""/>
    <s v=""/>
    <s v=""/>
    <s v=""/>
    <s v=""/>
    <s v=""/>
    <n v="177.59"/>
    <s v=""/>
    <s v=""/>
    <n v="0"/>
    <s v=""/>
    <s v=""/>
    <s v=""/>
    <s v=""/>
    <n v="177.59"/>
    <n v="177.59"/>
    <n v="0"/>
    <n v="-32.599999999999994"/>
    <s v="0.95-1"/>
    <s v="1250-1262"/>
    <m/>
    <m/>
    <m/>
    <m/>
    <m/>
    <x v="0"/>
    <s v="U"/>
    <x v="0"/>
    <s v="C01-AU03-1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TATA STEEL DOWNSTREAM PRODUCTS LIMI"/>
  </r>
  <r>
    <n v="743"/>
    <d v="2025-09-15T00:00:00"/>
    <s v="ZBTO"/>
    <n v="9519105231"/>
    <n v="1"/>
    <s v="9519105231-1"/>
    <s v="No Priority"/>
    <s v="Released"/>
    <x v="1"/>
    <x v="3"/>
    <x v="7"/>
    <m/>
    <s v="2000-BPRS"/>
    <m/>
    <s v="VARANASI"/>
    <s v="KANP"/>
    <n v="931525"/>
    <s v="INDIA STEEL INDUSTRIES"/>
    <n v="1191955"/>
    <s v="GP COIL SOFT-TATXGP-GK09-0.3X900"/>
    <s v="C02"/>
    <s v="TATXGP"/>
    <s v="GK09"/>
    <n v="0.3"/>
    <n v="900"/>
    <n v="0"/>
    <s v="T2 DONE"/>
    <s v="Z80"/>
    <s v=""/>
    <n v="4"/>
    <n v="12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26-0.34"/>
    <s v="900-904"/>
    <m/>
    <m/>
    <m/>
    <m/>
    <m/>
    <x v="0"/>
    <s v="S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INDIA STEEL INDUSTRIES"/>
  </r>
  <r>
    <n v="743"/>
    <d v="2025-09-16T00:00:00"/>
    <s v="ZBTO"/>
    <n v="9519107755"/>
    <n v="1"/>
    <s v="9519107755-1"/>
    <s v="No Priority"/>
    <s v="Released"/>
    <x v="1"/>
    <x v="3"/>
    <x v="7"/>
    <m/>
    <s v="2000-BPRS"/>
    <m/>
    <s v="UTTARKASHI"/>
    <s v="JPUR"/>
    <n v="150962"/>
    <s v="BIHANI INTERNATIONAL PVT LTD."/>
    <n v="1851065"/>
    <s v="GP COIL SOFT-TATXGP-GK09-0.25X900"/>
    <s v="C02"/>
    <s v="TATXGP"/>
    <s v="GK09"/>
    <n v="0.25"/>
    <n v="900"/>
    <n v="0"/>
    <s v="T2 DONE"/>
    <s v="Z80"/>
    <s v=""/>
    <n v="4"/>
    <n v="7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2-0.25"/>
    <s v="900-902"/>
    <m/>
    <m/>
    <m/>
    <m/>
    <m/>
    <x v="0"/>
    <s v="R"/>
    <x v="8"/>
    <s v="C02-GK09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BIHANI INTERNATIONAL PVT LTD."/>
  </r>
  <r>
    <n v="742"/>
    <d v="2025-08-24T00:00:00"/>
    <s v="ZBTO"/>
    <n v="9519043446"/>
    <n v="1"/>
    <s v="9519043446-1"/>
    <s v="No Priority"/>
    <s v="Released"/>
    <x v="0"/>
    <x v="0"/>
    <x v="5"/>
    <m/>
    <s v="1000-IPPE"/>
    <m/>
    <s v="VILLAGE DADRA"/>
    <s v="NPUR"/>
    <n v="187157"/>
    <s v="T &amp; D GALIAKOT CONTAINERS PVT LTD"/>
    <n v="2344993"/>
    <s v="CRCA COIL TATXXD BT01 0.880X1220"/>
    <s v="C01"/>
    <s v="TATXXD"/>
    <s v="BT01"/>
    <n v="0.88"/>
    <n v="1220"/>
    <n v="0"/>
    <s v="T2 DONE"/>
    <s v=" "/>
    <s v=""/>
    <n v="6"/>
    <n v="10"/>
    <n v="28"/>
    <n v="0"/>
    <n v="28"/>
    <n v="2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8"/>
    <s v="0.88-0.92"/>
    <s v="1220-1221"/>
    <m/>
    <m/>
    <m/>
    <m/>
    <m/>
    <x v="0"/>
    <s v="T"/>
    <x v="6"/>
    <s v="C01-BT01-0.88-1220"/>
    <s v="367-SH67-2.8-1235"/>
    <x v="0"/>
    <x v="6"/>
    <x v="6"/>
    <x v="6"/>
    <x v="0"/>
    <x v="4"/>
    <x v="92"/>
    <m/>
    <m/>
    <m/>
    <m/>
    <m/>
    <m/>
    <m/>
    <m/>
    <m/>
    <m/>
    <m/>
    <m/>
    <m/>
    <m/>
    <m/>
    <m/>
    <m/>
    <m/>
    <m/>
    <s v="T &amp; D GALIAKOT CONTAINERS PVT LTD"/>
  </r>
  <r>
    <n v="743"/>
    <d v="2025-09-12T00:00:00"/>
    <s v="ZBTO"/>
    <n v="9519098404"/>
    <n v="3"/>
    <s v="9519098404-3"/>
    <s v="No Priority"/>
    <s v="Released"/>
    <x v="0"/>
    <x v="3"/>
    <x v="13"/>
    <m/>
    <s v="2000-BPRS"/>
    <m/>
    <s v="JAIPUR"/>
    <s v="JPUR"/>
    <n v="117583"/>
    <s v="BIHANI ENTERPRISES"/>
    <n v="1854399"/>
    <s v="GP COIL SOFT-TATXGP-GK09-0.35X1220"/>
    <s v="C02"/>
    <s v="TATXGP"/>
    <s v="GK09"/>
    <n v="0.35"/>
    <n v="1220"/>
    <n v="0"/>
    <s v="T2 DONE"/>
    <s v="Z80"/>
    <s v=""/>
    <n v="5"/>
    <n v="7"/>
    <n v="56"/>
    <n v="0"/>
    <n v="56"/>
    <n v="5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6"/>
    <s v="0.32-0.35"/>
    <s v="1220-1222"/>
    <m/>
    <m/>
    <m/>
    <m/>
    <m/>
    <x v="0"/>
    <s v="R"/>
    <x v="8"/>
    <s v="C02-GK09-0.35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BIHANI ENTERPRISES"/>
  </r>
  <r>
    <n v="743"/>
    <d v="2025-08-21T00:00:00"/>
    <s v="ZBTF"/>
    <n v="9519036337"/>
    <n v="1"/>
    <s v="9519036337-1"/>
    <s v="Sep'25"/>
    <s v="Released"/>
    <x v="0"/>
    <x v="3"/>
    <x v="11"/>
    <m/>
    <s v="2000-BPRS"/>
    <m/>
    <s v="GAMHARIA"/>
    <s v="COMD"/>
    <n v="650743"/>
    <s v="ANGUL GALVANIZING PLANT"/>
    <n v="3767015"/>
    <s v="GP COIL TATGPH GP02 0.600X1350"/>
    <s v="C05"/>
    <s v="TATGPH"/>
    <s v="GP02"/>
    <n v="0.6"/>
    <n v="1350"/>
    <n v="0"/>
    <s v="T2 DONE"/>
    <s v="Z120"/>
    <s v=""/>
    <n v="11"/>
    <n v="24"/>
    <n v="247.999"/>
    <n v="145.215"/>
    <n v="102.78400000000001"/>
    <n v="10.109"/>
    <n v="0"/>
    <n v="0"/>
    <n v="0"/>
    <s v=""/>
    <s v=""/>
    <s v=""/>
    <n v="1.9000000000000001"/>
    <s v=""/>
    <s v=""/>
    <s v=""/>
    <s v=""/>
    <s v=""/>
    <s v=""/>
    <s v=""/>
    <n v="0"/>
    <n v="29.96"/>
    <s v=""/>
    <s v=""/>
    <n v="60.815000000000005"/>
    <n v="92.675000000000011"/>
    <n v="92.675000000000011"/>
    <n v="0"/>
    <n v="10.108999999999995"/>
    <s v="0.58-0.6"/>
    <s v="1350-1352"/>
    <m/>
    <m/>
    <m/>
    <m/>
    <m/>
    <x v="0"/>
    <s v="U"/>
    <x v="14"/>
    <s v="C05-GP02-0.6-1350"/>
    <s v="367-SF93-2.5-1365"/>
    <x v="0"/>
    <x v="4"/>
    <x v="4"/>
    <x v="4"/>
    <x v="7"/>
    <x v="13"/>
    <x v="23"/>
    <m/>
    <m/>
    <m/>
    <m/>
    <m/>
    <m/>
    <m/>
    <m/>
    <m/>
    <m/>
    <m/>
    <m/>
    <m/>
    <m/>
    <m/>
    <m/>
    <m/>
    <m/>
    <m/>
    <s v="ANGUL GALVANIZING PLANT"/>
  </r>
  <r>
    <n v="743"/>
    <d v="2025-08-21T00:00:00"/>
    <s v="ZBTO"/>
    <n v="9519035790"/>
    <n v="6"/>
    <s v="9519035790-6"/>
    <s v="Sep'25"/>
    <s v="Released"/>
    <x v="0"/>
    <x v="3"/>
    <x v="7"/>
    <m/>
    <s v="2000-BPRS"/>
    <m/>
    <s v=" 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0"/>
    <n v="116"/>
    <n v="11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16"/>
    <n v="0"/>
    <s v="0.58-0.62"/>
    <s v="900-904"/>
    <m/>
    <m/>
    <m/>
    <m/>
    <m/>
    <x v="0"/>
    <s v="S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R. S. BOKARO METAL (P) LTD."/>
  </r>
  <r>
    <n v="743"/>
    <d v="2025-08-21T00:00:00"/>
    <s v="ZBTO"/>
    <n v="9519035790"/>
    <n v="3"/>
    <s v="9519035790-3"/>
    <s v="No Priority"/>
    <s v="Released"/>
    <x v="0"/>
    <x v="3"/>
    <x v="7"/>
    <m/>
    <s v="2000-BPRS"/>
    <m/>
    <s v=" 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4"/>
    <n v="12"/>
    <n v="168"/>
    <n v="138.43"/>
    <n v="29.57"/>
    <n v="10.66"/>
    <n v="0"/>
    <n v="0"/>
    <n v="0"/>
    <s v=""/>
    <s v=""/>
    <s v=""/>
    <n v="18.91"/>
    <s v=""/>
    <s v=""/>
    <s v=""/>
    <s v=""/>
    <s v=""/>
    <s v=""/>
    <s v=""/>
    <n v="0"/>
    <s v=""/>
    <s v=""/>
    <s v=""/>
    <s v=""/>
    <n v="18.91"/>
    <n v="18.91"/>
    <n v="0"/>
    <n v="10.66"/>
    <s v="0.33-0.37"/>
    <s v="900-904"/>
    <m/>
    <m/>
    <m/>
    <m/>
    <m/>
    <x v="0"/>
    <s v="S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R. S. BOKARO METAL (P) LTD."/>
  </r>
  <r>
    <n v="743"/>
    <d v="2025-08-27T00:00:00"/>
    <s v="ZBTO"/>
    <n v="9519054625"/>
    <n v="4"/>
    <s v="9519054625-4"/>
    <s v="No Priority"/>
    <s v="Released"/>
    <x v="1"/>
    <x v="3"/>
    <x v="7"/>
    <m/>
    <s v="2000-BPRS"/>
    <m/>
    <s v="GUWAHATI"/>
    <s v="GWAH"/>
    <n v="116649"/>
    <s v="SAGAR STEELS"/>
    <n v="1142414"/>
    <s v="GP COIL SOFT-TATXGP-GLK1-0.45X900"/>
    <s v="C02"/>
    <s v="TATXGP"/>
    <s v="GLK1"/>
    <n v="0.45"/>
    <n v="900"/>
    <n v="0"/>
    <s v="T2 DONE"/>
    <s v="Z80"/>
    <s v=""/>
    <n v="6"/>
    <n v="24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43-0.45"/>
    <s v="900-920"/>
    <m/>
    <m/>
    <m/>
    <m/>
    <m/>
    <x v="0"/>
    <s v="R"/>
    <x v="8"/>
    <s v="C02-GLK1-0.4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AGAR STEELS"/>
  </r>
  <r>
    <n v="742"/>
    <d v="2025-08-18T00:00:00"/>
    <s v="ZBTO"/>
    <n v="9519025430"/>
    <n v="7"/>
    <s v="9519025430-7"/>
    <s v="No Priority"/>
    <s v="Released"/>
    <x v="0"/>
    <x v="0"/>
    <x v="6"/>
    <m/>
    <s v="2000-BPRS"/>
    <m/>
    <s v="SALEM"/>
    <s v="MADS"/>
    <n v="116465"/>
    <s v="SRI BALAJI STEEL TRADERS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8-0.42"/>
    <s v="1000-1004"/>
    <m/>
    <m/>
    <m/>
    <m/>
    <m/>
    <x v="0"/>
    <s v="U"/>
    <x v="7"/>
    <s v="C06-SR16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5430"/>
    <n v="8"/>
    <s v="9519025430-8"/>
    <s v="Oct'25"/>
    <s v="Released"/>
    <x v="1"/>
    <x v="0"/>
    <x v="6"/>
    <m/>
    <s v="2000-BPRS"/>
    <m/>
    <s v="SALEM"/>
    <s v="MADS"/>
    <n v="116465"/>
    <s v="SRI BALAJI STEEL TRADERS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8-0.42"/>
    <s v="1250-1254"/>
    <m/>
    <m/>
    <m/>
    <m/>
    <m/>
    <x v="0"/>
    <s v="U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SRI BALAJI STEEL TRADERS"/>
  </r>
  <r>
    <n v="742"/>
    <d v="2025-09-10T00:00:00"/>
    <s v="ZBTO"/>
    <n v="9519093436"/>
    <n v="1"/>
    <s v="9519093436-1"/>
    <s v="Oct'25"/>
    <s v="Released"/>
    <x v="1"/>
    <x v="0"/>
    <x v="6"/>
    <m/>
    <s v="2000-BPRS"/>
    <m/>
    <s v="GUWAHATI"/>
    <s v="GWAH"/>
    <n v="116649"/>
    <s v="SAGAR STEELS"/>
    <n v="3727343"/>
    <s v="CR COIL TSBCRC SR25 0.430X1250"/>
    <s v="C01"/>
    <s v="TSBCRC"/>
    <s v="SR25"/>
    <n v="0.43"/>
    <n v="1250"/>
    <n v="0"/>
    <s v=""/>
    <s v=" "/>
    <s v=""/>
    <n v="13"/>
    <n v="29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-0.43"/>
    <s v="1250-1270"/>
    <m/>
    <m/>
    <m/>
    <m/>
    <m/>
    <x v="0"/>
    <s v="U"/>
    <x v="3"/>
    <s v="C01-SR25-0.43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SAGAR STEELS"/>
  </r>
  <r>
    <n v="742"/>
    <d v="2025-07-03T00:00:00"/>
    <s v="ZBTO"/>
    <n v="9518903517"/>
    <n v="6"/>
    <s v="9518903517-6"/>
    <s v="No Priority"/>
    <s v="Released"/>
    <x v="0"/>
    <x v="0"/>
    <x v="3"/>
    <m/>
    <s v="2000-BPRS"/>
    <m/>
    <s v="YESHWANTHPURA"/>
    <s v="BANG"/>
    <n v="939268"/>
    <s v="TATA STEEL DOWNSTREAM PRODUCTS LIMI"/>
    <n v="27608"/>
    <s v=" CRCOIL C01 DQ TATXXD AU14 0.80 X 1250"/>
    <s v="C01"/>
    <s v="TATXXD"/>
    <s v="AU14"/>
    <n v="0.8"/>
    <n v="1250"/>
    <n v="0"/>
    <s v="T2 DONE"/>
    <s v=" "/>
    <s v=""/>
    <n v="7"/>
    <n v="29"/>
    <n v="87"/>
    <n v="60.64"/>
    <n v="26.36"/>
    <n v="-1.31"/>
    <n v="0"/>
    <n v="0"/>
    <n v="0"/>
    <s v=""/>
    <s v=""/>
    <s v=""/>
    <s v=""/>
    <s v=""/>
    <s v=""/>
    <s v=""/>
    <s v=""/>
    <n v="27.67"/>
    <s v=""/>
    <s v=""/>
    <n v="0"/>
    <s v=""/>
    <s v=""/>
    <s v=""/>
    <s v=""/>
    <n v="27.67"/>
    <n v="27.67"/>
    <n v="0"/>
    <n v="-1.3100000000000023"/>
    <s v="0.76-0.8"/>
    <s v="1250-1262"/>
    <m/>
    <m/>
    <m/>
    <m/>
    <m/>
    <x v="0"/>
    <s v="U"/>
    <x v="3"/>
    <s v="C01-AU14-0.8-1250"/>
    <s v="367-SH67-2.8-1250"/>
    <x v="0"/>
    <x v="6"/>
    <x v="6"/>
    <x v="6"/>
    <x v="0"/>
    <x v="0"/>
    <x v="82"/>
    <m/>
    <m/>
    <m/>
    <m/>
    <m/>
    <m/>
    <m/>
    <m/>
    <m/>
    <m/>
    <m/>
    <m/>
    <m/>
    <m/>
    <m/>
    <m/>
    <m/>
    <m/>
    <m/>
    <s v="TATA STEEL DOWNSTREAM PRODUCTS LIMI"/>
  </r>
  <r>
    <n v="742"/>
    <d v="2025-08-19T00:00:00"/>
    <s v="ZBTO"/>
    <n v="9519029782"/>
    <n v="7"/>
    <s v="9519029782-7"/>
    <s v="Oct'25"/>
    <s v="Released"/>
    <x v="1"/>
    <x v="0"/>
    <x v="6"/>
    <m/>
    <s v="2000-BPRS"/>
    <m/>
    <s v="PATNA"/>
    <s v="PATN"/>
    <n v="103227"/>
    <s v="BMW VENTURES LIMITED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2-0.45"/>
    <s v="1250-1252"/>
    <m/>
    <m/>
    <m/>
    <m/>
    <m/>
    <x v="0"/>
    <s v="T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BMW VENTURES LIMITED"/>
  </r>
  <r>
    <n v="742"/>
    <d v="2025-08-04T00:00:00"/>
    <s v="ZBTO"/>
    <n v="9518992530"/>
    <n v="1"/>
    <s v="9518992530-1"/>
    <s v="Sep'25"/>
    <s v="Released"/>
    <x v="1"/>
    <x v="0"/>
    <x v="0"/>
    <m/>
    <s v="2000-BPRS"/>
    <m/>
    <s v="SANGAREDDY"/>
    <s v="SBAD"/>
    <n v="947126"/>
    <s v="RAVINDRA IRON WORKS"/>
    <n v="1801562"/>
    <s v="CRCA COIL-TATXXD-AU03-0.8X1000"/>
    <s v="C01"/>
    <s v="TATXXD"/>
    <s v="AU03"/>
    <n v="0.8"/>
    <n v="1000"/>
    <n v="0"/>
    <s v="T2 DONE"/>
    <s v=" "/>
    <s v=""/>
    <n v="7"/>
    <n v="3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77-0.8"/>
    <s v="1000-1004"/>
    <m/>
    <m/>
    <m/>
    <m/>
    <m/>
    <x v="0"/>
    <s v="C"/>
    <x v="0"/>
    <s v="C01-AU03-0.8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RAVINDRA IRON WORKS"/>
  </r>
  <r>
    <n v="742"/>
    <d v="2025-08-04T00:00:00"/>
    <s v="ZBTO"/>
    <n v="9518992530"/>
    <n v="3"/>
    <s v="9518992530-3"/>
    <s v="Sep'25"/>
    <s v="Released"/>
    <x v="1"/>
    <x v="0"/>
    <x v="0"/>
    <m/>
    <s v="2000-BPRS"/>
    <m/>
    <s v="SANGAREDDY"/>
    <s v="SBAD"/>
    <n v="947126"/>
    <s v="RAVINDRA IRON WORKS"/>
    <n v="1804852"/>
    <s v="CRCA COIL-TATXXD-AU03-1.2X1000"/>
    <s v="C01"/>
    <s v="TATXXD"/>
    <s v="AU03"/>
    <n v="1.2"/>
    <n v="1000"/>
    <n v="0"/>
    <s v="T2 DONE"/>
    <s v=" "/>
    <s v=""/>
    <n v="7"/>
    <n v="3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1.17-1.2"/>
    <s v="1000-1004"/>
    <m/>
    <m/>
    <m/>
    <m/>
    <m/>
    <x v="0"/>
    <s v="C"/>
    <x v="0"/>
    <s v="C01-AU03-1.2-1000"/>
    <s v="B69-SH08-3.2-1025"/>
    <x v="2"/>
    <x v="0"/>
    <x v="0"/>
    <x v="0"/>
    <x v="3"/>
    <x v="7"/>
    <x v="62"/>
    <m/>
    <m/>
    <m/>
    <m/>
    <m/>
    <m/>
    <m/>
    <m/>
    <m/>
    <m/>
    <m/>
    <m/>
    <m/>
    <m/>
    <m/>
    <m/>
    <m/>
    <m/>
    <m/>
    <s v="RAVINDRA IRON WORKS"/>
  </r>
  <r>
    <n v="743"/>
    <d v="2025-08-20T00:00:00"/>
    <s v="ZBTO"/>
    <n v="9519032510"/>
    <n v="6"/>
    <s v="9519032510-6"/>
    <s v="No Priority"/>
    <s v="Released"/>
    <x v="0"/>
    <x v="3"/>
    <x v="7"/>
    <m/>
    <s v="2000-BPRS"/>
    <m/>
    <s v="PATNA"/>
    <s v="PATN"/>
    <n v="103227"/>
    <s v="BMW VENTURES LIMITED"/>
    <n v="1854424"/>
    <s v="GP COIL SOFT-TATXGP-GK09-0.6X900"/>
    <s v="C02"/>
    <s v="TATXGP"/>
    <s v="GK09"/>
    <n v="0.6"/>
    <n v="900"/>
    <n v="0"/>
    <s v="T2 DONE"/>
    <s v="Z80"/>
    <s v=""/>
    <n v="2"/>
    <n v="6"/>
    <n v="105"/>
    <n v="76.125"/>
    <n v="28.875"/>
    <n v="9.3149999999999995"/>
    <n v="7.65"/>
    <n v="0"/>
    <n v="0"/>
    <s v=""/>
    <s v=""/>
    <s v=""/>
    <n v="19.559999999999999"/>
    <s v=""/>
    <s v=""/>
    <s v=""/>
    <s v=""/>
    <s v=""/>
    <s v=""/>
    <s v=""/>
    <n v="0"/>
    <s v=""/>
    <s v=""/>
    <s v=""/>
    <s v=""/>
    <n v="19.559999999999999"/>
    <n v="19.559999999999999"/>
    <n v="0"/>
    <n v="9.3150000000000013"/>
    <s v="0.58-0.61"/>
    <s v="900-904"/>
    <m/>
    <m/>
    <m/>
    <m/>
    <m/>
    <x v="0"/>
    <s v="S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BMW VENTURES LIMITED"/>
  </r>
  <r>
    <n v="743"/>
    <d v="2025-09-01T00:00:00"/>
    <s v="ZBTF"/>
    <n v="9519071537"/>
    <n v="3"/>
    <s v="9519071537-3"/>
    <s v="Sep'25"/>
    <s v="Released"/>
    <x v="1"/>
    <x v="3"/>
    <x v="11"/>
    <m/>
    <s v="2000-BPRS"/>
    <m/>
    <s v="GAMHARIA"/>
    <s v="COMD"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0"/>
    <n v="91.998999999999995"/>
    <n v="91.99899999999999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91.998999999999995"/>
    <s v="0.48-0.5"/>
    <s v="1015-1017"/>
    <m/>
    <m/>
    <m/>
    <m/>
    <m/>
    <x v="0"/>
    <s v="U"/>
    <x v="14"/>
    <s v="C05-GP02-0.5-1015"/>
    <s v="B69-SF93-2.5-1035"/>
    <x v="2"/>
    <x v="4"/>
    <x v="4"/>
    <x v="4"/>
    <x v="7"/>
    <x v="6"/>
    <x v="39"/>
    <m/>
    <m/>
    <m/>
    <m/>
    <m/>
    <m/>
    <m/>
    <m/>
    <m/>
    <m/>
    <m/>
    <m/>
    <m/>
    <m/>
    <m/>
    <m/>
    <m/>
    <m/>
    <m/>
    <s v="ANGUL GALVANIZING PLANT"/>
  </r>
  <r>
    <n v="743"/>
    <d v="2025-09-01T00:00:00"/>
    <s v="ZBTF"/>
    <n v="9519071537"/>
    <n v="4"/>
    <s v="9519071537-4"/>
    <s v="Sep'25"/>
    <s v="Released"/>
    <x v="0"/>
    <x v="3"/>
    <x v="11"/>
    <m/>
    <s v="2000-BPRS"/>
    <m/>
    <s v="GAMHARIA"/>
    <s v="COMD"/>
    <n v="650743"/>
    <s v="ANGUL GALVANIZING PLANT"/>
    <n v="3767015"/>
    <s v="GP COIL TATGPH GP02 0.600X1350"/>
    <s v="C05"/>
    <s v="TATGPH"/>
    <s v="GP02"/>
    <n v="0.6"/>
    <n v="1350"/>
    <n v="0"/>
    <s v="T2 DONE"/>
    <s v="Z120"/>
    <s v=""/>
    <n v="11"/>
    <n v="24"/>
    <n v="92.998999999999995"/>
    <n v="0"/>
    <n v="92.998999999999995"/>
    <n v="0.39400000000000002"/>
    <n v="0"/>
    <n v="0"/>
    <n v="0"/>
    <s v=""/>
    <s v=""/>
    <s v=""/>
    <n v="1.615"/>
    <s v=""/>
    <s v=""/>
    <s v=""/>
    <s v=""/>
    <s v=""/>
    <s v=""/>
    <s v=""/>
    <n v="0"/>
    <n v="30.03"/>
    <s v=""/>
    <s v=""/>
    <n v="60.96"/>
    <n v="92.605000000000004"/>
    <n v="92.605000000000004"/>
    <n v="0"/>
    <n v="0.39399999999999125"/>
    <s v="0.58-0.6"/>
    <s v="1350-1352"/>
    <m/>
    <m/>
    <m/>
    <m/>
    <m/>
    <x v="0"/>
    <s v="U"/>
    <x v="14"/>
    <s v="C05-GP02-0.6-1350"/>
    <s v="367-SF93-2.5-1365"/>
    <x v="0"/>
    <x v="4"/>
    <x v="4"/>
    <x v="4"/>
    <x v="7"/>
    <x v="13"/>
    <x v="23"/>
    <m/>
    <m/>
    <m/>
    <m/>
    <m/>
    <m/>
    <m/>
    <m/>
    <m/>
    <m/>
    <m/>
    <m/>
    <m/>
    <m/>
    <m/>
    <m/>
    <m/>
    <m/>
    <m/>
    <s v="ANGUL GALVANIZING PLANT"/>
  </r>
  <r>
    <n v="743"/>
    <d v="2025-09-15T00:00:00"/>
    <s v="ZBTO"/>
    <n v="9519105662"/>
    <n v="2"/>
    <s v="9519105662-2"/>
    <s v="No Priority"/>
    <s v="Released"/>
    <x v="1"/>
    <x v="3"/>
    <x v="7"/>
    <m/>
    <s v="2000-BPRS"/>
    <m/>
    <s v="PATNA"/>
    <s v="PATN"/>
    <n v="103227"/>
    <s v="BMW VENTURES LIMITED"/>
    <n v="1191955"/>
    <s v="GP COIL SOFT-TATXGP-GK09-0.3X900"/>
    <s v="C02"/>
    <s v="TATXGP"/>
    <s v="GK09"/>
    <n v="0.3"/>
    <n v="900"/>
    <n v="0"/>
    <s v="T2 DONE"/>
    <s v="Z80"/>
    <s v=""/>
    <n v="2"/>
    <n v="6"/>
    <n v="147"/>
    <n v="0"/>
    <n v="147"/>
    <n v="14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47"/>
    <s v="0.28-0.31"/>
    <s v="900-904"/>
    <m/>
    <m/>
    <m/>
    <m/>
    <m/>
    <x v="0"/>
    <s v="S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3"/>
    <s v="9519105662-3"/>
    <s v="No Priority"/>
    <s v="Released"/>
    <x v="1"/>
    <x v="3"/>
    <x v="7"/>
    <m/>
    <s v="2000-BPRS"/>
    <m/>
    <s v="PATNA"/>
    <s v="PATN"/>
    <n v="103227"/>
    <s v="BMW VENTURES LIMITED"/>
    <n v="1191956"/>
    <s v="GP COIL SOFT-TATXGP-GK09-0.35X900"/>
    <s v="C02"/>
    <s v="TATXGP"/>
    <s v="GK09"/>
    <n v="0.35"/>
    <n v="900"/>
    <n v="0"/>
    <s v="T2 DONE"/>
    <s v="Z80"/>
    <s v=""/>
    <n v="2"/>
    <n v="6"/>
    <n v="189"/>
    <n v="0"/>
    <n v="189"/>
    <n v="18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89"/>
    <s v="0.325-0.36"/>
    <s v="900-904"/>
    <m/>
    <m/>
    <m/>
    <m/>
    <m/>
    <x v="0"/>
    <s v="S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4"/>
    <s v="9519105662-4"/>
    <s v="No Priority"/>
    <s v="Released"/>
    <x v="1"/>
    <x v="3"/>
    <x v="7"/>
    <m/>
    <s v="2000-BPRS"/>
    <m/>
    <s v="PATNA"/>
    <s v="PATN"/>
    <n v="103227"/>
    <s v="BMW VENTURES LIMITED"/>
    <n v="1178439"/>
    <s v="GP COIL SOFT-TATXGP-GK09-0.4X900"/>
    <s v="C02"/>
    <s v="TATXGP"/>
    <s v="GK09"/>
    <n v="0.4"/>
    <n v="900"/>
    <n v="0"/>
    <s v="T2 DONE"/>
    <s v="Z80"/>
    <s v=""/>
    <n v="2"/>
    <n v="6"/>
    <n v="252"/>
    <n v="0"/>
    <n v="252"/>
    <n v="25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52"/>
    <s v="0.38-0.41"/>
    <s v="900-904"/>
    <m/>
    <m/>
    <m/>
    <m/>
    <m/>
    <x v="0"/>
    <s v="S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5"/>
    <s v="9519105662-5"/>
    <s v="No Priority"/>
    <s v="Released"/>
    <x v="1"/>
    <x v="3"/>
    <x v="7"/>
    <m/>
    <s v="2000-BPRS"/>
    <m/>
    <s v="PATNA"/>
    <s v="PATN"/>
    <n v="103227"/>
    <s v="BMW VENTURES LIMITED"/>
    <n v="1854418"/>
    <s v="GP COIL SOFT-TATXGP-GK09-0.5X900"/>
    <s v="C02"/>
    <s v="TATXGP"/>
    <s v="GK09"/>
    <n v="0.5"/>
    <n v="900"/>
    <n v="0"/>
    <s v="T2 DONE"/>
    <s v="Z80"/>
    <s v=""/>
    <n v="2"/>
    <n v="6"/>
    <n v="294"/>
    <n v="0"/>
    <n v="294"/>
    <n v="29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4"/>
    <s v="0.48-0.51"/>
    <s v="900-904"/>
    <m/>
    <m/>
    <m/>
    <m/>
    <m/>
    <x v="0"/>
    <s v="S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6"/>
    <s v="9519105662-6"/>
    <s v="No Priority"/>
    <s v="Released"/>
    <x v="1"/>
    <x v="3"/>
    <x v="7"/>
    <m/>
    <s v="2000-BPRS"/>
    <m/>
    <s v="PATNA"/>
    <s v="PATN"/>
    <n v="103227"/>
    <s v="BMW VENTURES LIMITED"/>
    <n v="1854424"/>
    <s v="GP COIL SOFT-TATXGP-GK09-0.6X900"/>
    <s v="C02"/>
    <s v="TATXGP"/>
    <s v="GK09"/>
    <n v="0.6"/>
    <n v="900"/>
    <n v="0"/>
    <s v="T2 DONE"/>
    <s v="Z80"/>
    <s v=""/>
    <n v="2"/>
    <n v="6"/>
    <n v="189"/>
    <n v="0"/>
    <n v="189"/>
    <n v="18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89"/>
    <s v="0.58-0.61"/>
    <s v="900-904"/>
    <m/>
    <m/>
    <m/>
    <m/>
    <m/>
    <x v="0"/>
    <s v="S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9"/>
    <s v="9519105662-9"/>
    <s v="No Priority"/>
    <s v="Released"/>
    <x v="0"/>
    <x v="3"/>
    <x v="13"/>
    <m/>
    <s v="2000-BPRS"/>
    <m/>
    <s v="PATNA"/>
    <s v="PATN"/>
    <n v="103227"/>
    <s v="BMW VENTURES LIMITED"/>
    <n v="1854410"/>
    <s v="GP COIL SOFT-TATXGP-GK09-0.4X1220"/>
    <s v="C02"/>
    <s v="TATXGP"/>
    <s v="GK09"/>
    <n v="0.4"/>
    <n v="1220"/>
    <n v="0"/>
    <s v="T2 DONE"/>
    <s v="Z80"/>
    <s v=""/>
    <n v="2"/>
    <n v="6"/>
    <n v="56"/>
    <n v="0"/>
    <n v="56"/>
    <n v="5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6"/>
    <s v="0.38-0.41"/>
    <s v="1220-1224"/>
    <m/>
    <m/>
    <m/>
    <m/>
    <m/>
    <x v="0"/>
    <s v="S"/>
    <x v="8"/>
    <s v="C02-GK09-0.4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11"/>
    <s v="9519105662-11"/>
    <s v="No Priority"/>
    <s v="Released"/>
    <x v="0"/>
    <x v="3"/>
    <x v="13"/>
    <m/>
    <s v="2000-BPRS"/>
    <m/>
    <s v="PATNA"/>
    <s v="PATN"/>
    <n v="103227"/>
    <s v="BMW VENTURES LIMITED"/>
    <n v="1334725"/>
    <s v="GP COIL SOFT-TATXGP-GK09-0.6X1220"/>
    <s v="C02"/>
    <s v="TATXGP"/>
    <s v="GK09"/>
    <n v="0.6"/>
    <n v="1220"/>
    <n v="0"/>
    <s v="T2 DONE"/>
    <s v="Z80"/>
    <s v=""/>
    <n v="2"/>
    <n v="6"/>
    <n v="84"/>
    <n v="0"/>
    <n v="84"/>
    <n v="55.8"/>
    <n v="0"/>
    <n v="0"/>
    <n v="0"/>
    <s v=""/>
    <n v="28.2"/>
    <s v=""/>
    <s v=""/>
    <s v=""/>
    <s v=""/>
    <s v=""/>
    <s v=""/>
    <s v=""/>
    <s v=""/>
    <s v=""/>
    <n v="0"/>
    <s v=""/>
    <s v=""/>
    <s v=""/>
    <s v=""/>
    <n v="28.2"/>
    <n v="28.2"/>
    <n v="0"/>
    <n v="55.8"/>
    <s v="0.58-0.61"/>
    <s v="1220-1224"/>
    <m/>
    <m/>
    <m/>
    <m/>
    <m/>
    <x v="0"/>
    <s v="S"/>
    <x v="8"/>
    <s v="C02-GK09-0.6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7"/>
    <s v="9519105662-7"/>
    <s v="No Priority"/>
    <s v="Released"/>
    <x v="1"/>
    <x v="3"/>
    <x v="7"/>
    <m/>
    <s v="2000-BPRS"/>
    <m/>
    <s v="PATNA"/>
    <s v="PATN"/>
    <n v="103227"/>
    <s v="BMW VENTURES LIMITED"/>
    <n v="1854429"/>
    <s v="GP COIL SOFT-TATXGP-GK09-0.63X900"/>
    <s v="C02"/>
    <s v="TATXGP"/>
    <s v="GK09"/>
    <n v="0.63"/>
    <n v="900"/>
    <n v="0"/>
    <s v="T2 DONE"/>
    <s v="Z80"/>
    <s v=""/>
    <n v="2"/>
    <n v="6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6-0.64"/>
    <s v="900-904"/>
    <m/>
    <m/>
    <m/>
    <m/>
    <m/>
    <x v="0"/>
    <s v="S"/>
    <x v="8"/>
    <s v="C02-GK09-0.63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8"/>
    <s v="9519105662-8"/>
    <s v="No Priority"/>
    <s v="Released"/>
    <x v="1"/>
    <x v="3"/>
    <x v="7"/>
    <m/>
    <s v="2000-BPRS"/>
    <m/>
    <s v="PATNA"/>
    <s v="PATN"/>
    <n v="103227"/>
    <s v="BMW VENTURES LIMITED"/>
    <n v="1854413"/>
    <s v="GP COIL SOFT-TATXGP-GK09-0.45X900"/>
    <s v="C02"/>
    <s v="TATXGP"/>
    <s v="GK09"/>
    <n v="0.45"/>
    <n v="900"/>
    <n v="0"/>
    <s v="T2 DONE"/>
    <s v="Z80"/>
    <s v=""/>
    <n v="2"/>
    <n v="6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42-0.46"/>
    <s v="900-904"/>
    <m/>
    <m/>
    <m/>
    <m/>
    <m/>
    <x v="0"/>
    <s v="S"/>
    <x v="8"/>
    <s v="C02-GK09-0.4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BMW VENTURES LIMITED"/>
  </r>
  <r>
    <n v="742"/>
    <d v="2025-09-12T00:00:00"/>
    <s v="ZBTO"/>
    <n v="9519097662"/>
    <n v="3"/>
    <s v="9519097662-3"/>
    <s v="No Priority"/>
    <s v="Released"/>
    <x v="0"/>
    <x v="0"/>
    <x v="0"/>
    <m/>
    <s v="2000-BPRS"/>
    <m/>
    <s v="YESHWANTHPURA"/>
    <s v="BANG"/>
    <n v="932244"/>
    <s v="DURGA TRADERS"/>
    <n v="2334995"/>
    <s v="CRCA COIL TATXXD AU03 1.500X1250"/>
    <s v="C01"/>
    <s v="TATXXD"/>
    <s v="AU03"/>
    <n v="1.5"/>
    <n v="1250"/>
    <n v="0"/>
    <s v="T2 DONE"/>
    <s v=" "/>
    <s v=""/>
    <n v="10"/>
    <n v="28"/>
    <n v="87"/>
    <n v="0"/>
    <n v="87"/>
    <n v="-5.53"/>
    <n v="0"/>
    <n v="0"/>
    <n v="0"/>
    <s v=""/>
    <s v=""/>
    <s v=""/>
    <s v=""/>
    <s v=""/>
    <s v=""/>
    <s v=""/>
    <s v=""/>
    <n v="92.53"/>
    <s v=""/>
    <s v=""/>
    <n v="0"/>
    <s v=""/>
    <s v=""/>
    <s v=""/>
    <s v=""/>
    <n v="92.53"/>
    <n v="92.53"/>
    <n v="0"/>
    <n v="-5.5300000000000011"/>
    <s v="1.45-1.5"/>
    <s v="1250-1262"/>
    <m/>
    <m/>
    <m/>
    <m/>
    <m/>
    <x v="0"/>
    <s v="U"/>
    <x v="0"/>
    <s v="C01-AU03-1.5-1250"/>
    <s v="367-SH08-4-1260"/>
    <x v="0"/>
    <x v="0"/>
    <x v="0"/>
    <x v="0"/>
    <x v="10"/>
    <x v="10"/>
    <x v="93"/>
    <m/>
    <m/>
    <m/>
    <m/>
    <m/>
    <m/>
    <m/>
    <m/>
    <m/>
    <m/>
    <m/>
    <m/>
    <m/>
    <m/>
    <m/>
    <m/>
    <m/>
    <m/>
    <m/>
    <s v="DURGA TRADERS"/>
  </r>
  <r>
    <n v="742"/>
    <d v="2025-09-12T00:00:00"/>
    <s v="ZBTO"/>
    <n v="9519097690"/>
    <n v="1"/>
    <s v="9519097690-1"/>
    <s v="No Priority"/>
    <s v="Released"/>
    <x v="0"/>
    <x v="0"/>
    <x v="0"/>
    <m/>
    <s v="2000-BPRS"/>
    <m/>
    <s v="YESHWANTHPURA"/>
    <s v="BANG"/>
    <n v="939268"/>
    <s v="TATA STEEL DOWNSTREAM PRODUCTS LIMI"/>
    <n v="1804814"/>
    <s v="CRCA COIL TATXXD AU03 0.8X1250"/>
    <s v="C01"/>
    <s v="TATXXD"/>
    <s v="AU03"/>
    <n v="0.8"/>
    <n v="1250"/>
    <n v="0"/>
    <s v="T2 DONE"/>
    <s v=" "/>
    <s v=""/>
    <n v="10"/>
    <n v="28"/>
    <n v="58"/>
    <n v="0"/>
    <n v="58"/>
    <n v="6.74"/>
    <n v="0"/>
    <n v="0"/>
    <n v="0"/>
    <s v=""/>
    <s v=""/>
    <s v=""/>
    <s v=""/>
    <s v=""/>
    <s v=""/>
    <s v=""/>
    <n v="26.740000000000002"/>
    <n v="24.52"/>
    <s v=""/>
    <s v=""/>
    <n v="0"/>
    <s v=""/>
    <s v=""/>
    <s v=""/>
    <s v=""/>
    <n v="51.260000000000005"/>
    <n v="51.260000000000005"/>
    <n v="0"/>
    <n v="6.7399999999999949"/>
    <s v="0.76-0.8"/>
    <s v="1250-1262"/>
    <m/>
    <m/>
    <m/>
    <m/>
    <m/>
    <x v="0"/>
    <s v="U"/>
    <x v="0"/>
    <s v="C01-AU03-0.8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TATA STEEL DOWNSTREAM PRODUCTS LIMI"/>
  </r>
  <r>
    <n v="742"/>
    <d v="2025-09-12T00:00:00"/>
    <s v="ZBTO"/>
    <n v="9519097690"/>
    <n v="3"/>
    <s v="9519097690-3"/>
    <s v="No Priority"/>
    <s v="Released"/>
    <x v="0"/>
    <x v="0"/>
    <x v="0"/>
    <m/>
    <s v="2000-BPRS"/>
    <m/>
    <s v="YESHWANTHPURA"/>
    <s v="BANG"/>
    <n v="939268"/>
    <s v="TATA STEEL DOWNSTREAM PRODUCTS LIMI"/>
    <n v="2334995"/>
    <s v="CRCA COIL TATXXD AU03 1.500X1250"/>
    <s v="C01"/>
    <s v="TATXXD"/>
    <s v="AU03"/>
    <n v="1.5"/>
    <n v="1250"/>
    <n v="0"/>
    <s v="T2 DONE"/>
    <s v=" "/>
    <s v=""/>
    <n v="10"/>
    <n v="28"/>
    <n v="87"/>
    <n v="0"/>
    <n v="87"/>
    <n v="16.14"/>
    <n v="0"/>
    <n v="0"/>
    <n v="0"/>
    <s v=""/>
    <s v=""/>
    <s v=""/>
    <s v=""/>
    <s v=""/>
    <s v=""/>
    <s v=""/>
    <n v="23.28"/>
    <n v="47.58"/>
    <s v=""/>
    <s v=""/>
    <n v="0"/>
    <s v=""/>
    <s v=""/>
    <s v=""/>
    <s v=""/>
    <n v="70.86"/>
    <n v="70.86"/>
    <n v="0"/>
    <n v="16.14"/>
    <s v="1.45-1.5"/>
    <s v="1250-1262"/>
    <m/>
    <m/>
    <m/>
    <m/>
    <m/>
    <x v="0"/>
    <s v="U"/>
    <x v="0"/>
    <s v="C01-AU03-1.5-1250"/>
    <s v="367-SH08-4-1260"/>
    <x v="0"/>
    <x v="0"/>
    <x v="0"/>
    <x v="0"/>
    <x v="10"/>
    <x v="10"/>
    <x v="93"/>
    <m/>
    <m/>
    <m/>
    <m/>
    <m/>
    <m/>
    <m/>
    <m/>
    <m/>
    <m/>
    <m/>
    <m/>
    <m/>
    <m/>
    <m/>
    <m/>
    <m/>
    <m/>
    <m/>
    <s v="TATA STEEL DOWNSTREAM PRODUCTS LIMI"/>
  </r>
  <r>
    <n v="743"/>
    <d v="2025-09-15T00:00:00"/>
    <s v="ZBTO"/>
    <n v="9519105231"/>
    <n v="3"/>
    <s v="9519105231-3"/>
    <s v="No Priority"/>
    <s v="Released"/>
    <x v="1"/>
    <x v="3"/>
    <x v="7"/>
    <m/>
    <s v="2000-BPRS"/>
    <m/>
    <s v="VARANASI"/>
    <s v="KANP"/>
    <n v="931525"/>
    <s v="INDIA STEEL INDUSTRIES"/>
    <n v="1178439"/>
    <s v="GP COIL SOFT-TATXGP-GK09-0.4X900"/>
    <s v="C02"/>
    <s v="TATXGP"/>
    <s v="GK09"/>
    <n v="0.4"/>
    <n v="900"/>
    <n v="0"/>
    <s v="T2 DONE"/>
    <s v="Z80"/>
    <s v=""/>
    <n v="4"/>
    <n v="12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36-0.44"/>
    <s v="900-904"/>
    <m/>
    <m/>
    <m/>
    <m/>
    <m/>
    <x v="0"/>
    <s v="S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INDIA STEEL INDUSTRIES"/>
  </r>
  <r>
    <n v="743"/>
    <d v="2025-09-15T00:00:00"/>
    <s v="ZBTO"/>
    <n v="9519105231"/>
    <n v="5"/>
    <s v="9519105231-5"/>
    <s v="No Priority"/>
    <s v="Released"/>
    <x v="1"/>
    <x v="3"/>
    <x v="7"/>
    <m/>
    <s v="2000-BPRS"/>
    <m/>
    <s v="VARANASI"/>
    <s v="KANP"/>
    <n v="931525"/>
    <s v="INDIA STEEL INDUSTRIES"/>
    <n v="1854424"/>
    <s v="GP COIL SOFT-TATXGP-GK09-0.6X900"/>
    <s v="C02"/>
    <s v="TATXGP"/>
    <s v="GK09"/>
    <n v="0.6"/>
    <n v="900"/>
    <n v="0"/>
    <s v="T2 DONE"/>
    <s v="Z80"/>
    <s v=""/>
    <n v="4"/>
    <n v="12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56-0.64"/>
    <s v="900-904"/>
    <m/>
    <m/>
    <m/>
    <m/>
    <m/>
    <x v="0"/>
    <s v="S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INDIA STEEL INDUSTRIES"/>
  </r>
  <r>
    <n v="742"/>
    <d v="2025-08-19T00:00:00"/>
    <s v="ZBTO"/>
    <n v="9519029800"/>
    <n v="7"/>
    <s v="9519029800-7"/>
    <s v="Oct'25"/>
    <s v="Released"/>
    <x v="1"/>
    <x v="0"/>
    <x v="6"/>
    <m/>
    <s v="2000-BPRS"/>
    <m/>
    <s v="PURNIA"/>
    <s v="PATN"/>
    <n v="103227"/>
    <s v="BMW VENTURES LIMITED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2-0.45"/>
    <s v="1250-1252"/>
    <m/>
    <m/>
    <m/>
    <m/>
    <m/>
    <x v="0"/>
    <s v="T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BMW VENTURES LIMITED"/>
  </r>
  <r>
    <n v="743"/>
    <d v="2025-07-19T00:00:00"/>
    <s v="ZBTO"/>
    <n v="9518941653"/>
    <n v="1"/>
    <s v="9518941653-1"/>
    <s v="Aug'25"/>
    <s v="Released"/>
    <x v="0"/>
    <x v="3"/>
    <x v="13"/>
    <m/>
    <s v="2000-BPRS"/>
    <m/>
    <s v="GUWAHATI"/>
    <s v="GWAH"/>
    <n v="116649"/>
    <s v="SAGAR STEELS"/>
    <n v="1300230"/>
    <s v="GP COIL SOFT-TATXGP-GLK1-0.3X1220"/>
    <s v="C02"/>
    <s v="TATXGP"/>
    <s v="GLK1"/>
    <n v="0.3"/>
    <n v="1220"/>
    <n v="0"/>
    <s v="T2 DONE"/>
    <s v="Z80"/>
    <s v=""/>
    <n v="6"/>
    <n v="24"/>
    <n v="112"/>
    <n v="90.375"/>
    <n v="21.625"/>
    <n v="21.62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.625"/>
    <s v="0.27-0.3"/>
    <s v="1220-1242"/>
    <m/>
    <m/>
    <m/>
    <m/>
    <m/>
    <x v="0"/>
    <s v="R"/>
    <x v="8"/>
    <s v="C02-GLK1-0.3-1220"/>
    <s v="367-HG02-2-1235"/>
    <x v="0"/>
    <x v="1"/>
    <x v="1"/>
    <x v="1"/>
    <x v="2"/>
    <x v="4"/>
    <x v="27"/>
    <m/>
    <m/>
    <m/>
    <m/>
    <m/>
    <m/>
    <m/>
    <m/>
    <m/>
    <m/>
    <m/>
    <m/>
    <m/>
    <m/>
    <m/>
    <m/>
    <m/>
    <m/>
    <m/>
    <s v="SAGAR STEELS"/>
  </r>
  <r>
    <n v="743"/>
    <d v="2025-08-22T00:00:00"/>
    <s v="ZBTO"/>
    <n v="9519038273"/>
    <n v="4"/>
    <s v="9519038273-4"/>
    <s v="Sep'25"/>
    <s v="Released"/>
    <x v="0"/>
    <x v="3"/>
    <x v="12"/>
    <m/>
    <s v="2000-BPRS"/>
    <m/>
    <s v="PURNIA"/>
    <s v="PATN"/>
    <n v="931671"/>
    <s v="BMW VENTURES LIMITED"/>
    <n v="3708868"/>
    <s v="GP COIL TATGPH GP02 0.500X1350"/>
    <s v="C05"/>
    <s v="TATGPH"/>
    <s v="GP02"/>
    <n v="0.5"/>
    <n v="1350"/>
    <n v="0"/>
    <s v="T2 DONE"/>
    <s v="Z120"/>
    <s v=""/>
    <n v="1"/>
    <n v="5.59"/>
    <n v="93"/>
    <n v="65.834999999999994"/>
    <n v="27.164999999999999"/>
    <n v="0.44"/>
    <n v="65.835000000000008"/>
    <n v="0"/>
    <n v="0"/>
    <s v=""/>
    <s v=""/>
    <s v=""/>
    <n v="2.6550000000000002"/>
    <s v=""/>
    <s v=""/>
    <s v=""/>
    <s v=""/>
    <s v=""/>
    <s v=""/>
    <s v=""/>
    <n v="0"/>
    <s v=""/>
    <s v=""/>
    <s v=""/>
    <n v="24.07"/>
    <n v="26.725000000000001"/>
    <n v="26.725000000000001"/>
    <n v="0"/>
    <n v="0.43999999999999773"/>
    <s v="0.49-0.52"/>
    <s v="1350-1370"/>
    <m/>
    <m/>
    <m/>
    <m/>
    <m/>
    <x v="0"/>
    <s v="M"/>
    <x v="14"/>
    <s v="C05-GP02-0.5-1350"/>
    <s v="367-SF93-2.5-1365"/>
    <x v="0"/>
    <x v="4"/>
    <x v="4"/>
    <x v="4"/>
    <x v="7"/>
    <x v="13"/>
    <x v="23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4"/>
    <s v="9519029782-4"/>
    <s v="No Priority"/>
    <s v="Released"/>
    <x v="0"/>
    <x v="0"/>
    <x v="6"/>
    <m/>
    <s v="2000-BPRS"/>
    <m/>
    <s v="PATNA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5-0.38"/>
    <s v="1000-1002"/>
    <m/>
    <m/>
    <m/>
    <m/>
    <m/>
    <x v="0"/>
    <s v="T"/>
    <x v="7"/>
    <s v="C06-SR16-0.38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6"/>
    <s v="9519029782-6"/>
    <s v="Oct'25"/>
    <s v="Released"/>
    <x v="1"/>
    <x v="0"/>
    <x v="6"/>
    <m/>
    <s v="2000-BPRS"/>
    <m/>
    <s v="PATNA"/>
    <s v="PATN"/>
    <n v="103227"/>
    <s v="BMW VENTURES LIMITED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7-0.4"/>
    <s v="1250-1252"/>
    <m/>
    <m/>
    <m/>
    <m/>
    <m/>
    <x v="0"/>
    <s v="T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BMW VENTURES LIMITED"/>
  </r>
  <r>
    <n v="742"/>
    <d v="2025-08-06T00:00:00"/>
    <s v="ZBTF"/>
    <n v="9518998049"/>
    <n v="1"/>
    <s v="9518998049-1"/>
    <s v="Sep'25"/>
    <s v="Released"/>
    <x v="1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8-06T00:00:00"/>
    <s v="ZBTF"/>
    <n v="9518998049"/>
    <n v="2"/>
    <s v="9518998049-2"/>
    <s v="Sep'25"/>
    <s v="Released"/>
    <x v="0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-1.72"/>
    <n v="0"/>
    <n v="0"/>
    <n v="109.42"/>
    <n v="54.4"/>
    <s v=""/>
    <s v=""/>
    <s v=""/>
    <s v=""/>
    <s v=""/>
    <n v="134.9"/>
    <s v=""/>
    <s v=""/>
    <s v=""/>
    <s v=""/>
    <n v="0"/>
    <s v=""/>
    <s v=""/>
    <s v=""/>
    <s v=""/>
    <n v="298.72000000000003"/>
    <n v="298.72000000000003"/>
    <n v="0"/>
    <n v="-1.7200000000000273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8-06T00:00:00"/>
    <s v="ZBTF"/>
    <n v="9518998049"/>
    <n v="3"/>
    <s v="9518998049-3"/>
    <s v="Sep'25"/>
    <s v="Released"/>
    <x v="0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-0.82"/>
    <n v="0"/>
    <n v="0"/>
    <n v="81.62"/>
    <n v="162.61000000000001"/>
    <s v=""/>
    <s v=""/>
    <s v=""/>
    <s v=""/>
    <s v=""/>
    <n v="53.59"/>
    <s v=""/>
    <s v=""/>
    <s v=""/>
    <s v=""/>
    <n v="0"/>
    <s v=""/>
    <s v=""/>
    <s v=""/>
    <s v=""/>
    <n v="297.82000000000005"/>
    <n v="297.82000000000005"/>
    <n v="0"/>
    <n v="-0.82000000000005002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8-06T00:00:00"/>
    <s v="ZBTF"/>
    <n v="9518998049"/>
    <n v="4"/>
    <s v="9518998049-4"/>
    <s v="Sep'25"/>
    <s v="Released"/>
    <x v="1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8-29T00:00:00"/>
    <s v="ZBTO"/>
    <n v="9519062631"/>
    <n v="8"/>
    <s v="9519062631-8"/>
    <s v="No Priority"/>
    <s v="Released"/>
    <x v="0"/>
    <x v="0"/>
    <x v="6"/>
    <m/>
    <s v="2000-BPRS"/>
    <m/>
    <s v="VARANASI"/>
    <s v="FBAD"/>
    <n v="931525"/>
    <s v="INDIA STEEL INDUSTRIES"/>
    <n v="3912457"/>
    <s v="CRCA SHEET TATCRC SR16 0.400X1250X2020"/>
    <s v="C06"/>
    <s v="TATCRC"/>
    <s v="SR16"/>
    <n v="0.4"/>
    <n v="1250"/>
    <n v="202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8-0.42"/>
    <s v="1250-1254"/>
    <m/>
    <m/>
    <m/>
    <m/>
    <m/>
    <x v="0"/>
    <s v="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INDIA STEEL INDUSTRIES"/>
  </r>
  <r>
    <n v="743"/>
    <d v="2025-09-03T00:00:00"/>
    <s v="ZBTO"/>
    <n v="9519075232"/>
    <n v="1"/>
    <s v="9519075232-1"/>
    <s v="Sep'25 additional"/>
    <s v="Released"/>
    <x v="0"/>
    <x v="1"/>
    <x v="1"/>
    <m/>
    <s v="1000-IPPE"/>
    <m/>
    <s v="SIKANDRABAD"/>
    <s v="DELI"/>
    <n v="898099"/>
    <s v="GOODLUCK INDIA LIMITED"/>
    <n v="4112281"/>
    <s v="GL COIL HARD  Y550GL HGL7 0.800X1040"/>
    <s v="B04"/>
    <s v="Y550GL"/>
    <s v="HGL7"/>
    <n v="0.8"/>
    <n v="1040"/>
    <n v="0"/>
    <s v="T2 DONE"/>
    <s v="AZ200"/>
    <s v=""/>
    <n v="10"/>
    <n v="24"/>
    <n v="240"/>
    <n v="46.38"/>
    <n v="193.62"/>
    <n v="-29.484999999999999"/>
    <n v="46.38"/>
    <n v="0"/>
    <n v="0"/>
    <s v=""/>
    <s v=""/>
    <n v="127.08500000000001"/>
    <s v=""/>
    <s v=""/>
    <s v=""/>
    <s v=""/>
    <s v=""/>
    <s v=""/>
    <s v=""/>
    <s v=""/>
    <n v="0"/>
    <s v=""/>
    <s v=""/>
    <n v="7.58"/>
    <n v="88.44"/>
    <n v="223.10500000000002"/>
    <n v="223.10500000000002"/>
    <n v="0"/>
    <n v="-29.485000000000014"/>
    <s v="0.8-0.84"/>
    <s v="1040-1045"/>
    <m/>
    <m/>
    <m/>
    <m/>
    <m/>
    <x v="0"/>
    <s v="M"/>
    <x v="1"/>
    <s v="B04-HGL7-0.8-1040"/>
    <s v="727-HG02-2.8-1043"/>
    <x v="1"/>
    <x v="1"/>
    <x v="1"/>
    <x v="1"/>
    <x v="0"/>
    <x v="22"/>
    <x v="94"/>
    <m/>
    <m/>
    <m/>
    <m/>
    <m/>
    <m/>
    <m/>
    <m/>
    <m/>
    <m/>
    <m/>
    <m/>
    <m/>
    <m/>
    <m/>
    <m/>
    <m/>
    <m/>
    <m/>
    <s v="GOODLUCK INDIA LIMITED"/>
  </r>
  <r>
    <n v="743"/>
    <d v="2025-09-03T00:00:00"/>
    <s v="ZBTO"/>
    <n v="9519075102"/>
    <n v="1"/>
    <s v="9519075102-1"/>
    <s v="Sep'25 additional"/>
    <s v="Released"/>
    <x v="0"/>
    <x v="1"/>
    <x v="1"/>
    <m/>
    <s v="1000-IPPE"/>
    <m/>
    <s v="SIKANDRABAD"/>
    <s v="DELI"/>
    <n v="898099"/>
    <s v="GOODLUCK INDIA LIMITED"/>
    <n v="4112281"/>
    <s v="GL COIL HARD  Y550GL HGL7 0.800X1040"/>
    <s v="B04"/>
    <s v="Y550GL"/>
    <s v="HGL7"/>
    <n v="0.8"/>
    <n v="1040"/>
    <n v="0"/>
    <s v="T2 DONE"/>
    <s v="AZ200"/>
    <s v=""/>
    <n v="10"/>
    <n v="24"/>
    <n v="288"/>
    <n v="59.14"/>
    <n v="228.86"/>
    <n v="-31.704999999999998"/>
    <n v="59.14"/>
    <n v="0"/>
    <n v="0"/>
    <s v=""/>
    <s v=""/>
    <n v="107.625"/>
    <s v=""/>
    <n v="10.155000000000001"/>
    <s v=""/>
    <s v=""/>
    <s v=""/>
    <s v=""/>
    <s v=""/>
    <s v=""/>
    <n v="0"/>
    <n v="22.73"/>
    <n v="6.5"/>
    <s v=""/>
    <n v="113.55500000000001"/>
    <n v="260.565"/>
    <n v="260.565"/>
    <n v="0"/>
    <n v="-31.704999999999984"/>
    <s v="0.8-0.84"/>
    <s v="1040-1045"/>
    <m/>
    <m/>
    <m/>
    <m/>
    <m/>
    <x v="0"/>
    <s v="M"/>
    <x v="1"/>
    <s v="B04-HGL7-0.8-1040"/>
    <s v="727-HG02-2.8-1043"/>
    <x v="1"/>
    <x v="1"/>
    <x v="1"/>
    <x v="1"/>
    <x v="0"/>
    <x v="22"/>
    <x v="94"/>
    <m/>
    <m/>
    <m/>
    <m/>
    <m/>
    <m/>
    <m/>
    <m/>
    <m/>
    <m/>
    <m/>
    <m/>
    <m/>
    <m/>
    <m/>
    <m/>
    <m/>
    <m/>
    <m/>
    <s v="GOODLUCK INDIA LIMITED"/>
  </r>
  <r>
    <n v="743"/>
    <d v="2025-09-03T00:00:00"/>
    <s v="ZBTO"/>
    <n v="9519075191"/>
    <n v="1"/>
    <s v="9519075191-1"/>
    <s v="Sep'25 additional"/>
    <s v="Released"/>
    <x v="0"/>
    <x v="1"/>
    <x v="1"/>
    <m/>
    <s v="1000-IPPE"/>
    <m/>
    <s v="SIKANDRABAD"/>
    <s v="DELI"/>
    <n v="898099"/>
    <s v="GOODLUCK INDIA LIMITED"/>
    <n v="4112281"/>
    <s v="GL COIL HARD  Y550GL HGL7 0.800X1040"/>
    <s v="B04"/>
    <s v="Y550GL"/>
    <s v="HGL7"/>
    <n v="0.8"/>
    <n v="1040"/>
    <n v="0"/>
    <s v="T2 DONE"/>
    <s v="AZ200"/>
    <s v=""/>
    <n v="10"/>
    <n v="24"/>
    <n v="288"/>
    <n v="46.104999999999997"/>
    <n v="241.89500000000001"/>
    <n v="-55.774999999999999"/>
    <n v="46.105000000000004"/>
    <n v="0"/>
    <n v="23.21"/>
    <n v="22.915000000000003"/>
    <s v=""/>
    <n v="92.064999999999998"/>
    <s v=""/>
    <n v="47.29"/>
    <s v=""/>
    <s v=""/>
    <s v=""/>
    <s v=""/>
    <s v=""/>
    <s v=""/>
    <n v="0"/>
    <n v="34.395000000000003"/>
    <n v="11.08"/>
    <s v=""/>
    <n v="66.715000000000003"/>
    <n v="297.67"/>
    <n v="297.67"/>
    <n v="0"/>
    <n v="-55.775000000000006"/>
    <s v="0.8-0.84"/>
    <s v="1040-1045"/>
    <m/>
    <m/>
    <m/>
    <m/>
    <m/>
    <x v="0"/>
    <s v="M"/>
    <x v="1"/>
    <s v="B04-HGL7-0.8-1040"/>
    <s v="727-HG02-2.8-1043"/>
    <x v="1"/>
    <x v="1"/>
    <x v="1"/>
    <x v="1"/>
    <x v="0"/>
    <x v="22"/>
    <x v="94"/>
    <m/>
    <m/>
    <m/>
    <m/>
    <m/>
    <m/>
    <m/>
    <m/>
    <m/>
    <m/>
    <m/>
    <m/>
    <m/>
    <m/>
    <m/>
    <m/>
    <m/>
    <m/>
    <m/>
    <s v="GOODLUCK INDIA LIMITED"/>
  </r>
  <r>
    <n v="743"/>
    <d v="2025-09-03T00:00:00"/>
    <s v="ZBTO"/>
    <n v="9519075227"/>
    <n v="1"/>
    <s v="9519075227-1"/>
    <s v="Sep'25 additional"/>
    <s v="Released"/>
    <x v="0"/>
    <x v="1"/>
    <x v="1"/>
    <m/>
    <s v="1000-IPPE"/>
    <m/>
    <s v="SIKANDRABAD"/>
    <s v="DELI"/>
    <n v="898099"/>
    <s v="GOODLUCK INDIA LIMITED"/>
    <n v="4112281"/>
    <s v="GL COIL HARD  Y550GL HGL7 0.800X1040"/>
    <s v="B04"/>
    <s v="Y550GL"/>
    <s v="HGL7"/>
    <n v="0.8"/>
    <n v="1040"/>
    <n v="0"/>
    <s v="T2 DONE"/>
    <s v="AZ200"/>
    <s v=""/>
    <n v="10"/>
    <n v="24"/>
    <n v="288"/>
    <n v="22.805"/>
    <n v="265.19499999999999"/>
    <n v="-29.68"/>
    <n v="22.805"/>
    <n v="0"/>
    <n v="0"/>
    <s v=""/>
    <s v=""/>
    <n v="192.785"/>
    <s v=""/>
    <s v=""/>
    <s v=""/>
    <s v=""/>
    <s v=""/>
    <s v=""/>
    <s v=""/>
    <s v=""/>
    <n v="0"/>
    <n v="22.17"/>
    <n v="11.72"/>
    <s v=""/>
    <n v="68.2"/>
    <n v="294.875"/>
    <n v="294.875"/>
    <n v="0"/>
    <n v="-29.680000000000007"/>
    <s v="0.8-0.84"/>
    <s v="1040-1045"/>
    <m/>
    <m/>
    <m/>
    <m/>
    <m/>
    <x v="0"/>
    <s v="M"/>
    <x v="1"/>
    <s v="B04-HGL7-0.8-1040"/>
    <s v="727-HG02-2.8-1043"/>
    <x v="1"/>
    <x v="1"/>
    <x v="1"/>
    <x v="1"/>
    <x v="0"/>
    <x v="22"/>
    <x v="94"/>
    <m/>
    <m/>
    <m/>
    <m/>
    <m/>
    <m/>
    <m/>
    <m/>
    <m/>
    <m/>
    <m/>
    <m/>
    <m/>
    <m/>
    <m/>
    <m/>
    <m/>
    <m/>
    <m/>
    <s v="GOODLUCK INDIA LIMITED"/>
  </r>
  <r>
    <n v="742"/>
    <d v="2025-08-29T00:00:00"/>
    <s v="ZBTO"/>
    <n v="9519062631"/>
    <n v="5"/>
    <s v="9519062631-5"/>
    <s v="No Priority"/>
    <s v="Released"/>
    <x v="0"/>
    <x v="0"/>
    <x v="6"/>
    <m/>
    <s v="2000-BPRS"/>
    <m/>
    <s v="VARANASI"/>
    <s v="FBAD"/>
    <n v="931525"/>
    <s v="INDIA STEEL INDUSTRIES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8-0.32"/>
    <s v="900-904"/>
    <m/>
    <m/>
    <m/>
    <m/>
    <m/>
    <x v="0"/>
    <s v="M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INDIA STEEL INDUSTRIES"/>
  </r>
  <r>
    <n v="743"/>
    <d v="2025-09-12T00:00:00"/>
    <s v="ZBTO"/>
    <n v="9519099563"/>
    <n v="15"/>
    <s v="9519099563-15"/>
    <s v="No Priority"/>
    <s v="Released"/>
    <x v="1"/>
    <x v="3"/>
    <x v="7"/>
    <m/>
    <s v="2000-BPRS"/>
    <m/>
    <s v="WEST BOKARO"/>
    <s v="JAMS"/>
    <n v="185794"/>
    <s v="Shree Bajrang Steel Udyog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58-0.62"/>
    <s v="900-904"/>
    <m/>
    <m/>
    <m/>
    <m/>
    <m/>
    <x v="0"/>
    <s v="S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hree Bajrang Steel Udyog"/>
  </r>
  <r>
    <n v="743"/>
    <d v="2025-09-15T00:00:00"/>
    <s v="ZBTO"/>
    <n v="9519105231"/>
    <n v="4"/>
    <s v="9519105231-4"/>
    <s v="No Priority"/>
    <s v="Released"/>
    <x v="1"/>
    <x v="3"/>
    <x v="7"/>
    <m/>
    <s v="2000-BPRS"/>
    <m/>
    <s v="VARANASI"/>
    <s v="KANP"/>
    <n v="931525"/>
    <s v="INDIA STEEL INDUSTRIES"/>
    <n v="1854418"/>
    <s v="GP COIL SOFT-TATXGP-GK09-0.5X900"/>
    <s v="C02"/>
    <s v="TATXGP"/>
    <s v="GK09"/>
    <n v="0.5"/>
    <n v="900"/>
    <n v="0"/>
    <s v="T2 DONE"/>
    <s v="Z80"/>
    <s v=""/>
    <n v="4"/>
    <n v="12"/>
    <n v="84"/>
    <n v="0"/>
    <n v="84"/>
    <n v="8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4"/>
    <s v="0.46-0.54"/>
    <s v="900-904"/>
    <m/>
    <m/>
    <m/>
    <m/>
    <m/>
    <x v="0"/>
    <s v="S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INDIA STEEL INDUSTRIES"/>
  </r>
  <r>
    <n v="742"/>
    <d v="2025-08-19T00:00:00"/>
    <s v="ZBTO"/>
    <n v="9519029782"/>
    <n v="3"/>
    <s v="9519029782-3"/>
    <s v="Oct'25"/>
    <s v="Released"/>
    <x v="1"/>
    <x v="0"/>
    <x v="6"/>
    <m/>
    <s v="2000-BPRS"/>
    <m/>
    <s v="PATNA"/>
    <s v="PATN"/>
    <n v="103227"/>
    <s v="BMW VENTURES LIMITED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2-0.35"/>
    <s v="900-902"/>
    <m/>
    <m/>
    <m/>
    <m/>
    <m/>
    <x v="0"/>
    <s v="T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5"/>
    <s v="9519029782-5"/>
    <s v="Oct'25"/>
    <s v="Released"/>
    <x v="1"/>
    <x v="0"/>
    <x v="6"/>
    <m/>
    <s v="2000-BPRS"/>
    <m/>
    <s v="PATNA"/>
    <s v="PATN"/>
    <n v="103227"/>
    <s v="BMW VENTURES LIMITED"/>
    <n v="2441002"/>
    <s v="CRCA SHEET TATCRC SR16 0.380X1250X2500"/>
    <s v="C06"/>
    <s v="TATCRC"/>
    <s v="SR16"/>
    <n v="0.38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5-0.38"/>
    <s v="1250-1252"/>
    <m/>
    <m/>
    <m/>
    <m/>
    <m/>
    <x v="0"/>
    <s v="T"/>
    <x v="7"/>
    <s v="C06-SR16-0.38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800"/>
    <n v="3"/>
    <s v="9519029800-3"/>
    <s v="Oct'25"/>
    <s v="Released"/>
    <x v="1"/>
    <x v="0"/>
    <x v="6"/>
    <m/>
    <s v="2000-BPRS"/>
    <m/>
    <s v="PURNIA"/>
    <s v="PATN"/>
    <n v="103227"/>
    <s v="BMW VENTURES LIMITED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2-0.35"/>
    <s v="900-902"/>
    <m/>
    <m/>
    <m/>
    <m/>
    <m/>
    <x v="0"/>
    <s v="T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800"/>
    <n v="5"/>
    <s v="9519029800-5"/>
    <s v="Oct'25"/>
    <s v="Released"/>
    <x v="1"/>
    <x v="0"/>
    <x v="6"/>
    <m/>
    <s v="2000-BPRS"/>
    <m/>
    <s v="PURNIA"/>
    <s v="PATN"/>
    <n v="103227"/>
    <s v="BMW VENTURES LIMITED"/>
    <n v="2441002"/>
    <s v="CRCA SHEET TATCRC SR16 0.380X1250X2500"/>
    <s v="C06"/>
    <s v="TATCRC"/>
    <s v="SR16"/>
    <n v="0.38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5-0.38"/>
    <s v="1250-1252"/>
    <m/>
    <m/>
    <m/>
    <m/>
    <m/>
    <x v="0"/>
    <s v="T"/>
    <x v="7"/>
    <s v="C06-SR16-0.38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s v="BMW VENTURES LIMITED"/>
  </r>
  <r>
    <n v="742"/>
    <d v="2025-08-12T00:00:00"/>
    <s v="ZBTO"/>
    <n v="9519011585"/>
    <n v="1"/>
    <s v="9519011585-1"/>
    <s v="Oct'25"/>
    <s v="Released"/>
    <x v="1"/>
    <x v="0"/>
    <x v="0"/>
    <m/>
    <s v="2000-BPRS"/>
    <m/>
    <s v="LONI"/>
    <s v="GBAD"/>
    <n v="116734"/>
    <s v="R.S. STEELS "/>
    <n v="1804772"/>
    <s v="CRCA COIL TATXXD AU03 0.4X1250"/>
    <s v="C01"/>
    <s v="TATXXD"/>
    <s v="AU03"/>
    <n v="0.4"/>
    <n v="1250"/>
    <n v="0"/>
    <s v="T2 DONE"/>
    <s v=" "/>
    <s v=""/>
    <n v="8"/>
    <n v="15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36-0.41"/>
    <s v="1250-1262"/>
    <m/>
    <m/>
    <m/>
    <m/>
    <m/>
    <x v="1"/>
    <s v="U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R.S. STEELS "/>
  </r>
  <r>
    <n v="742"/>
    <d v="2025-08-27T00:00:00"/>
    <s v="ZBTO"/>
    <n v="9519054316"/>
    <n v="2"/>
    <s v="9519054316-2"/>
    <s v="No Priority"/>
    <s v="Released"/>
    <x v="0"/>
    <x v="0"/>
    <x v="3"/>
    <m/>
    <s v="2000-BPRS"/>
    <m/>
    <s v="TATANAGAR"/>
    <s v="JAMS"/>
    <n v="165053"/>
    <s v="SUDISA ENTERPRISES (P) LTD."/>
    <n v="3755738"/>
    <s v="CR COIL TSBHSQ CH03 1.200X1250"/>
    <s v="C01"/>
    <s v="TSBHSQ"/>
    <s v="CH03"/>
    <n v="1.2"/>
    <n v="1250"/>
    <n v="0"/>
    <s v="T2 DONE"/>
    <s v=" "/>
    <s v=""/>
    <n v="12"/>
    <n v="28"/>
    <n v="116"/>
    <n v="0"/>
    <n v="116"/>
    <n v="11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16"/>
    <s v="1.17-1.21"/>
    <s v="1250-1253"/>
    <m/>
    <m/>
    <m/>
    <m/>
    <m/>
    <x v="0"/>
    <s v="T"/>
    <x v="3"/>
    <s v="C01-CH03-1.2-1250"/>
    <s v="367-JC43-3.2-1250"/>
    <x v="0"/>
    <x v="3"/>
    <x v="3"/>
    <x v="3"/>
    <x v="3"/>
    <x v="0"/>
    <x v="5"/>
    <m/>
    <m/>
    <m/>
    <m/>
    <m/>
    <m/>
    <m/>
    <m/>
    <m/>
    <m/>
    <m/>
    <m/>
    <m/>
    <m/>
    <m/>
    <m/>
    <m/>
    <m/>
    <m/>
    <s v="SUDISA ENTERPRISES (P) LTD."/>
  </r>
  <r>
    <n v="742"/>
    <d v="2025-08-26T00:00:00"/>
    <s v="ZBTO"/>
    <n v="9519049758"/>
    <n v="2"/>
    <s v="9519049758-2"/>
    <s v="Oct'25"/>
    <s v="Released"/>
    <x v="1"/>
    <x v="0"/>
    <x v="0"/>
    <m/>
    <s v="2000-BPRS"/>
    <m/>
    <s v="GUMMIDIPOONDI"/>
    <s v="MADS"/>
    <n v="822271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5"/>
    <n v="29"/>
    <n v="203"/>
    <n v="0"/>
    <n v="203"/>
    <n v="20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03"/>
    <s v="0.48-0.52"/>
    <s v="1250-1254"/>
    <m/>
    <m/>
    <m/>
    <m/>
    <m/>
    <x v="0"/>
    <s v="C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TATA STEEL DOWNSTREAM PRODUCTS LIMI"/>
  </r>
  <r>
    <n v="742"/>
    <d v="2025-07-21T00:00:00"/>
    <s v="ZBTO"/>
    <n v="9518945221"/>
    <n v="2"/>
    <s v="9518945221-2"/>
    <s v="No Priority"/>
    <s v="Released"/>
    <x v="0"/>
    <x v="0"/>
    <x v="0"/>
    <m/>
    <s v="2000-BPRS"/>
    <m/>
    <s v="GUMMIDIPOONDI"/>
    <s v="MADS"/>
    <n v="822271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5"/>
    <n v="29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0.38-0.42"/>
    <s v="1250-1262"/>
    <m/>
    <m/>
    <m/>
    <m/>
    <m/>
    <x v="0"/>
    <s v="U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TATA STEEL DOWNSTREAM PRODUCTS LIMI"/>
  </r>
  <r>
    <n v="742"/>
    <d v="2025-09-02T00:00:00"/>
    <s v="ZBTO"/>
    <n v="9519073114"/>
    <n v="1"/>
    <s v="9519073114-1"/>
    <s v="No Priority"/>
    <s v="Released"/>
    <x v="0"/>
    <x v="2"/>
    <x v="3"/>
    <m/>
    <s v="2000-BPRS"/>
    <m/>
    <s v="HOWRAH"/>
    <s v="CALS"/>
    <n v="154464"/>
    <s v="TATA STEEL DOWNSTREAM PRODUCTS LIMI"/>
    <n v="1179966"/>
    <s v="HR COILS-PO IS 10748 GR 1 2X1250"/>
    <n v="768"/>
    <s v="I09497"/>
    <s v="HG01"/>
    <n v="2"/>
    <n v="1250"/>
    <n v="0"/>
    <s v="T2 DONE"/>
    <s v=" "/>
    <s v=""/>
    <n v="13"/>
    <n v="30"/>
    <n v="116"/>
    <n v="0"/>
    <n v="116"/>
    <n v="11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16"/>
    <s v=""/>
    <s v=""/>
    <m/>
    <m/>
    <m/>
    <m/>
    <m/>
    <x v="0"/>
    <s v="U"/>
    <x v="12"/>
    <s v="768-HG01-2-1250"/>
    <s v="367-HG01-2-1250"/>
    <x v="0"/>
    <x v="12"/>
    <x v="12"/>
    <x v="12"/>
    <x v="2"/>
    <x v="0"/>
    <x v="95"/>
    <m/>
    <m/>
    <m/>
    <m/>
    <m/>
    <m/>
    <m/>
    <m/>
    <m/>
    <m/>
    <m/>
    <m/>
    <m/>
    <m/>
    <m/>
    <m/>
    <m/>
    <m/>
    <m/>
    <s v="TATA STEEL DOWNSTREAM PRODUCTS LIMI"/>
  </r>
  <r>
    <n v="744"/>
    <d v="2025-07-26T00:00:00"/>
    <s v="ZBTO"/>
    <n v="9518962673"/>
    <n v="5"/>
    <s v="9518962673-5"/>
    <s v="Aug'25"/>
    <s v="Released"/>
    <x v="0"/>
    <x v="4"/>
    <x v="4"/>
    <m/>
    <s v="1000-IPPE"/>
    <m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8"/>
    <n v="5.0999999999999996"/>
    <n v="251.99600000000001"/>
    <n v="231.3"/>
    <n v="20.696000000000002"/>
    <n v="7.1459999999999999"/>
    <n v="4.8899999999999997"/>
    <n v="0"/>
    <n v="0"/>
    <s v=""/>
    <s v=""/>
    <s v=""/>
    <s v=""/>
    <s v=""/>
    <n v="13.55"/>
    <s v=""/>
    <s v=""/>
    <s v=""/>
    <s v=""/>
    <s v=""/>
    <n v="0"/>
    <s v=""/>
    <s v=""/>
    <s v=""/>
    <s v=""/>
    <n v="13.55"/>
    <n v="13.55"/>
    <n v="0"/>
    <n v="7.1460000000000008"/>
    <s v="0.48-0.52"/>
    <s v="1220-1222"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s v="TATA BLUESCOPE STEEL PRIVATE LIMITE"/>
  </r>
  <r>
    <n v="742"/>
    <d v="2025-08-19T00:00:00"/>
    <s v="ZBTO"/>
    <n v="9519029800"/>
    <n v="6"/>
    <s v="9519029800-6"/>
    <s v="Oct'25"/>
    <s v="Released"/>
    <x v="1"/>
    <x v="0"/>
    <x v="6"/>
    <m/>
    <s v="2000-BPRS"/>
    <m/>
    <s v="PURNIA"/>
    <s v="PATN"/>
    <n v="103227"/>
    <s v="BMW VENTURES LIMITED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7-0.4"/>
    <s v="1250-1252"/>
    <m/>
    <m/>
    <m/>
    <m/>
    <m/>
    <x v="0"/>
    <s v="T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BMW VENTURES LIMITED"/>
  </r>
  <r>
    <n v="742"/>
    <d v="2025-08-21T00:00:00"/>
    <s v="ZBTO"/>
    <n v="9519036272"/>
    <n v="2"/>
    <s v="9519036272-2"/>
    <s v="Oct'25"/>
    <s v="Released"/>
    <x v="1"/>
    <x v="0"/>
    <x v="6"/>
    <m/>
    <s v="2000-BPRS"/>
    <m/>
    <s v="WEST BOKARO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5"/>
    <n v="3.2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3-0.37"/>
    <s v="1000-1002"/>
    <m/>
    <m/>
    <m/>
    <m/>
    <m/>
    <x v="0"/>
    <s v="R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Shree Bajrang Steel Udyog"/>
  </r>
  <r>
    <n v="743"/>
    <d v="2025-07-29T00:00:00"/>
    <s v="ZBTO"/>
    <n v="9518972366"/>
    <n v="1"/>
    <s v="9518972366-1"/>
    <s v="Sep'25"/>
    <s v="Released"/>
    <x v="1"/>
    <x v="3"/>
    <x v="7"/>
    <m/>
    <s v="2000-BPRS"/>
    <m/>
    <s v="LONI"/>
    <s v="GBAD"/>
    <n v="931235"/>
    <s v="K D J P STEELS PVT LTD"/>
    <n v="1851054"/>
    <s v="GP COIL SOFT-TATXGP-GK09-0.2X900"/>
    <s v="C02"/>
    <s v="TATXGP"/>
    <s v="GK09"/>
    <n v="0.2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7-0.2"/>
    <s v="900-903"/>
    <m/>
    <m/>
    <m/>
    <m/>
    <m/>
    <x v="0"/>
    <s v="R"/>
    <x v="8"/>
    <s v="C02-GK09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K D J P STEELS PVT LTD"/>
  </r>
  <r>
    <n v="743"/>
    <d v="2025-07-29T00:00:00"/>
    <s v="ZBTO"/>
    <n v="9518972366"/>
    <n v="2"/>
    <s v="9518972366-2"/>
    <s v="Sep'25"/>
    <s v="Released"/>
    <x v="1"/>
    <x v="3"/>
    <x v="7"/>
    <m/>
    <s v="2000-BPRS"/>
    <m/>
    <s v="LONI"/>
    <s v="GBAD"/>
    <n v="931235"/>
    <s v="K D J P STEELS PVT LTD"/>
    <n v="1851065"/>
    <s v="GP COIL SOFT-TATXGP-GK09-0.25X900"/>
    <s v="C02"/>
    <s v="TATXGP"/>
    <s v="GK09"/>
    <n v="0.25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2-0.25"/>
    <s v="900-903"/>
    <m/>
    <m/>
    <m/>
    <m/>
    <m/>
    <x v="0"/>
    <s v="R"/>
    <x v="8"/>
    <s v="C02-GK09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K D J P STEELS PVT LTD"/>
  </r>
  <r>
    <n v="743"/>
    <d v="2025-07-29T00:00:00"/>
    <s v="ZBTO"/>
    <n v="9518972366"/>
    <n v="3"/>
    <s v="9518972366-3"/>
    <s v="Sep'25"/>
    <s v="Released"/>
    <x v="1"/>
    <x v="3"/>
    <x v="7"/>
    <m/>
    <s v="2000-BPRS"/>
    <m/>
    <s v="LONI"/>
    <s v="GBAD"/>
    <n v="931235"/>
    <s v="K D J P STEELS PVT LTD"/>
    <n v="1191955"/>
    <s v="GP COIL SOFT-TATXGP-GK09-0.3X900"/>
    <s v="C02"/>
    <s v="TATXGP"/>
    <s v="GK09"/>
    <n v="0.3"/>
    <n v="900"/>
    <n v="0"/>
    <s v="T2 DONE"/>
    <s v="Z80"/>
    <s v=""/>
    <n v="4"/>
    <n v="6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27-0.3"/>
    <s v="900-903"/>
    <m/>
    <m/>
    <m/>
    <m/>
    <m/>
    <x v="0"/>
    <s v="R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K D J P STEELS PVT LTD"/>
  </r>
  <r>
    <n v="742"/>
    <d v="2025-08-19T00:00:00"/>
    <s v="ZBTO"/>
    <n v="9519029800"/>
    <n v="4"/>
    <s v="9519029800-4"/>
    <s v="No Priority"/>
    <s v="Released"/>
    <x v="0"/>
    <x v="0"/>
    <x v="6"/>
    <m/>
    <s v="2000-BPRS"/>
    <m/>
    <s v="PURNIA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5-0.38"/>
    <s v="1000-1002"/>
    <m/>
    <m/>
    <m/>
    <m/>
    <m/>
    <x v="0"/>
    <s v="T"/>
    <x v="7"/>
    <s v="C06-SR16-0.38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BMW VENTURES LIMITED"/>
  </r>
  <r>
    <n v="742"/>
    <d v="2025-07-29T00:00:00"/>
    <s v="ZBTO"/>
    <n v="9518972719"/>
    <n v="12"/>
    <s v="9518972719-12"/>
    <s v="No Priority"/>
    <s v="Released"/>
    <x v="0"/>
    <x v="0"/>
    <x v="0"/>
    <m/>
    <s v="2000-BPRS"/>
    <m/>
    <s v="VALPARAI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s v=" "/>
    <s v=""/>
    <n v="0"/>
    <n v="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1.98-2.02"/>
    <s v="1250-1254"/>
    <m/>
    <m/>
    <m/>
    <m/>
    <m/>
    <x v="0"/>
    <s v="U"/>
    <x v="0"/>
    <s v="C06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s v="SRI BALAJI STEEL TRADERS"/>
  </r>
  <r>
    <n v="742"/>
    <d v="2025-07-18T00:00:00"/>
    <s v="ZBTO"/>
    <n v="9518939680"/>
    <n v="33"/>
    <s v="9518939680-33"/>
    <s v="Oct'25"/>
    <s v="Released"/>
    <x v="1"/>
    <x v="0"/>
    <x v="0"/>
    <m/>
    <s v="2000-BPRS"/>
    <m/>
    <s v="CHENNAI"/>
    <s v="MADS"/>
    <n v="938550"/>
    <s v="BASEER AND CO"/>
    <n v="1804917"/>
    <s v="CRCA COIL TATCRC TR15 0.6X1250"/>
    <s v="C01"/>
    <s v="TATCRC"/>
    <s v="TR15"/>
    <n v="0.6"/>
    <n v="1250"/>
    <n v="0"/>
    <s v="T2 DONE"/>
    <s v=" "/>
    <s v=""/>
    <n v="6"/>
    <n v="18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0.58-0.62"/>
    <s v="1250-1254"/>
    <m/>
    <m/>
    <m/>
    <m/>
    <m/>
    <x v="0"/>
    <s v="R"/>
    <x v="0"/>
    <s v="C01-TR15-0.6-1250"/>
    <s v="367-SF98-2.5-1250"/>
    <x v="0"/>
    <x v="11"/>
    <x v="11"/>
    <x v="11"/>
    <x v="7"/>
    <x v="0"/>
    <x v="2"/>
    <m/>
    <m/>
    <m/>
    <m/>
    <m/>
    <m/>
    <m/>
    <m/>
    <m/>
    <m/>
    <m/>
    <m/>
    <m/>
    <m/>
    <m/>
    <m/>
    <m/>
    <m/>
    <m/>
    <s v="BASEER AND CO"/>
  </r>
  <r>
    <n v="742"/>
    <d v="2025-08-05T00:00:00"/>
    <s v="ZBTO"/>
    <n v="9518995071"/>
    <n v="4"/>
    <s v="9518995071-4"/>
    <s v="No Priority"/>
    <s v="Released"/>
    <x v="0"/>
    <x v="0"/>
    <x v="0"/>
    <m/>
    <s v="2000-BPRS"/>
    <m/>
    <s v="KANPUR"/>
    <s v="FBAD"/>
    <n v="933952"/>
    <s v="AGARWAL STEEL TRADERS"/>
    <n v="1804854"/>
    <s v="CRCA COIL-TATXXD-AU03-1.2X1250"/>
    <s v="C01"/>
    <s v="TATXXD"/>
    <s v="AU03"/>
    <n v="1.2"/>
    <n v="1250"/>
    <n v="0"/>
    <s v="T2 DONE"/>
    <s v=" "/>
    <s v=""/>
    <n v="7"/>
    <n v="28"/>
    <n v="29"/>
    <n v="0"/>
    <n v="29"/>
    <n v="2.4"/>
    <n v="0"/>
    <n v="0"/>
    <n v="0"/>
    <s v=""/>
    <s v=""/>
    <s v=""/>
    <s v=""/>
    <s v=""/>
    <s v=""/>
    <s v=""/>
    <s v=""/>
    <n v="26.6"/>
    <s v=""/>
    <s v=""/>
    <n v="0"/>
    <s v=""/>
    <s v=""/>
    <s v=""/>
    <s v=""/>
    <n v="26.6"/>
    <n v="26.6"/>
    <n v="0"/>
    <n v="2.3999999999999986"/>
    <s v="1.16-1.24"/>
    <s v="1250-1262"/>
    <m/>
    <m/>
    <m/>
    <m/>
    <m/>
    <x v="0"/>
    <s v="U"/>
    <x v="0"/>
    <s v="C01-AU03-1.2-1250"/>
    <s v="367-SH08-3.2-1250"/>
    <x v="0"/>
    <x v="0"/>
    <x v="0"/>
    <x v="0"/>
    <x v="3"/>
    <x v="0"/>
    <x v="58"/>
    <m/>
    <m/>
    <m/>
    <m/>
    <m/>
    <m/>
    <m/>
    <m/>
    <m/>
    <m/>
    <m/>
    <m/>
    <m/>
    <m/>
    <m/>
    <m/>
    <m/>
    <m/>
    <m/>
    <s v="AGARWAL STEEL TRADERS"/>
  </r>
  <r>
    <n v="743"/>
    <d v="2025-08-22T00:00:00"/>
    <s v="ZBTO"/>
    <n v="9519038643"/>
    <n v="2"/>
    <s v="9519038643-2"/>
    <s v="No Priority"/>
    <s v="Released"/>
    <x v="1"/>
    <x v="3"/>
    <x v="7"/>
    <m/>
    <s v="2000-BPRS"/>
    <m/>
    <s v="WEST BENGAL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32-0.35"/>
    <s v="900-902"/>
    <m/>
    <m/>
    <m/>
    <m/>
    <m/>
    <x v="0"/>
    <s v="R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BUBNA COMMERCIAL COMPANY"/>
  </r>
  <r>
    <n v="742"/>
    <d v="2025-08-18T00:00:00"/>
    <s v="ZBTF"/>
    <n v="9519023959"/>
    <n v="1"/>
    <s v="9519023959-1"/>
    <s v="No Priority"/>
    <s v="Released"/>
    <x v="1"/>
    <x v="0"/>
    <x v="9"/>
    <m/>
    <s v="1000-IPPE"/>
    <m/>
    <s v="THIRUVALLUR"/>
    <s v="MADS"/>
    <n v="600250"/>
    <s v="TATA CENTER"/>
    <n v="3659268"/>
    <s v="CR COIL TSBSTA EL03 0.500X1217"/>
    <s v="C01"/>
    <s v="TSBSTA"/>
    <s v="EL03"/>
    <n v="0.5"/>
    <n v="1217"/>
    <n v="0"/>
    <s v="T2 DONE"/>
    <s v=" "/>
    <s v=""/>
    <n v="7.2"/>
    <n v="11"/>
    <n v="280"/>
    <n v="0"/>
    <n v="280"/>
    <n v="28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80"/>
    <s v="0.49-0.51"/>
    <s v="1217-1220"/>
    <m/>
    <m/>
    <m/>
    <m/>
    <m/>
    <x v="0"/>
    <s v="R"/>
    <x v="11"/>
    <s v="C01-EL03-0.5-1217"/>
    <s v="367-SH67-2.5-1235"/>
    <x v="0"/>
    <x v="6"/>
    <x v="6"/>
    <x v="6"/>
    <x v="7"/>
    <x v="4"/>
    <x v="96"/>
    <m/>
    <m/>
    <m/>
    <m/>
    <m/>
    <m/>
    <m/>
    <m/>
    <m/>
    <m/>
    <m/>
    <m/>
    <m/>
    <m/>
    <m/>
    <m/>
    <m/>
    <m/>
    <m/>
    <s v="TATA CENTER"/>
  </r>
  <r>
    <n v="742"/>
    <d v="2025-08-18T00:00:00"/>
    <s v="ZBTF"/>
    <n v="9519023959"/>
    <n v="2"/>
    <s v="9519023959-2"/>
    <s v="No Priority"/>
    <s v="Released"/>
    <x v="1"/>
    <x v="0"/>
    <x v="9"/>
    <m/>
    <s v="1000-IPPE"/>
    <m/>
    <s v="THIRUVALLUR"/>
    <s v="MADS"/>
    <n v="600250"/>
    <s v="TATA CENTER"/>
    <n v="3704262"/>
    <s v="CR COIL TSBSTA EL03 1X1250"/>
    <s v="C01"/>
    <s v="TSBSTA"/>
    <s v="EL03"/>
    <n v="1"/>
    <n v="1250"/>
    <n v="0"/>
    <s v="T2 DONE"/>
    <s v=" "/>
    <s v=""/>
    <n v="8"/>
    <n v="11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98-1.02"/>
    <s v="1250-1253"/>
    <m/>
    <m/>
    <m/>
    <m/>
    <m/>
    <x v="0"/>
    <s v="R"/>
    <x v="19"/>
    <s v="C01-EL03-1-1250"/>
    <s v="367-SH67-2.8-1260"/>
    <x v="0"/>
    <x v="6"/>
    <x v="6"/>
    <x v="6"/>
    <x v="0"/>
    <x v="10"/>
    <x v="97"/>
    <m/>
    <m/>
    <m/>
    <m/>
    <m/>
    <m/>
    <m/>
    <m/>
    <m/>
    <m/>
    <m/>
    <m/>
    <m/>
    <m/>
    <m/>
    <m/>
    <m/>
    <m/>
    <m/>
    <s v="TATA CENTER"/>
  </r>
  <r>
    <n v="743"/>
    <d v="2025-09-02T00:00:00"/>
    <s v="ZBTO"/>
    <n v="9519073218"/>
    <n v="2"/>
    <s v="9519073218-2"/>
    <s v="Sep'25 additional"/>
    <s v="Released"/>
    <x v="1"/>
    <x v="3"/>
    <x v="13"/>
    <m/>
    <s v="2000-BPRS"/>
    <m/>
    <s v="KANPUR"/>
    <s v="KANP"/>
    <n v="933952"/>
    <s v="AGARWAL STEEL TRADERS"/>
    <n v="2332906"/>
    <s v="GP COIL SOFT TATXGP GK09 0.300X1250"/>
    <s v="C02"/>
    <s v="TATXGP"/>
    <s v="GK09"/>
    <n v="0.3"/>
    <n v="1250"/>
    <n v="0"/>
    <s v="T2 DONE"/>
    <s v="Z80"/>
    <s v=""/>
    <n v="4"/>
    <n v="12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296-0.34"/>
    <s v="1250-1254"/>
    <m/>
    <m/>
    <m/>
    <m/>
    <m/>
    <x v="0"/>
    <s v="S"/>
    <x v="8"/>
    <s v="C02-GK09-0.3-1250"/>
    <s v="0-0-0-0"/>
    <x v="4"/>
    <x v="13"/>
    <x v="13"/>
    <x v="13"/>
    <x v="16"/>
    <x v="23"/>
    <x v="2"/>
    <m/>
    <m/>
    <m/>
    <m/>
    <m/>
    <m/>
    <m/>
    <m/>
    <m/>
    <m/>
    <m/>
    <m/>
    <m/>
    <m/>
    <m/>
    <m/>
    <m/>
    <m/>
    <m/>
    <s v="AGARWAL STEEL TRADERS"/>
  </r>
  <r>
    <n v="742"/>
    <d v="2025-07-21T00:00:00"/>
    <s v="ZBTO"/>
    <n v="9518945284"/>
    <n v="1"/>
    <s v="9518945284-1"/>
    <s v="No Priority"/>
    <s v="Released"/>
    <x v="0"/>
    <x v="0"/>
    <x v="0"/>
    <m/>
    <s v="2000-BPRS"/>
    <m/>
    <s v="CHENNAI"/>
    <s v="MADS"/>
    <n v="822271"/>
    <s v="TATA STEEL DOWNSTREAM PRODUCTS LIMI"/>
    <n v="1884117"/>
    <s v="CRCA COIL-TATXXD-AU03-2X1250"/>
    <s v="C01"/>
    <s v="TATXXD"/>
    <s v="AU03"/>
    <n v="2"/>
    <n v="1250"/>
    <n v="0"/>
    <s v="T2 DONE"/>
    <s v=" "/>
    <s v=""/>
    <n v="5"/>
    <n v="29"/>
    <n v="58"/>
    <n v="31.07"/>
    <n v="26.93"/>
    <n v="22.72"/>
    <n v="8.48"/>
    <n v="0"/>
    <n v="0"/>
    <s v=""/>
    <s v=""/>
    <s v=""/>
    <s v=""/>
    <s v=""/>
    <s v=""/>
    <s v=""/>
    <s v=""/>
    <s v=""/>
    <s v=""/>
    <s v=""/>
    <n v="0"/>
    <s v=""/>
    <n v="4.21"/>
    <s v=""/>
    <s v=""/>
    <n v="4.21"/>
    <n v="4.21"/>
    <n v="23"/>
    <n v="-0.28000000000000114"/>
    <s v="1.98-2.02"/>
    <s v="1250-1262"/>
    <m/>
    <m/>
    <m/>
    <m/>
    <m/>
    <x v="0"/>
    <s v="U"/>
    <x v="0"/>
    <s v="C01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s v="TATA STEEL DOWNSTREAM PRODUCTS LIMI"/>
  </r>
  <r>
    <n v="742"/>
    <d v="2025-07-21T00:00:00"/>
    <s v="ZBTO"/>
    <n v="9518946840"/>
    <n v="1"/>
    <s v="9518946840-1"/>
    <s v="No Priority"/>
    <s v="Released"/>
    <x v="0"/>
    <x v="0"/>
    <x v="0"/>
    <m/>
    <s v="2000-BPRS"/>
    <m/>
    <s v="LONI"/>
    <s v="FBAD"/>
    <n v="123052"/>
    <s v="G R GUPTA &amp; BROS"/>
    <n v="1801290"/>
    <s v="CRCA COIL-TATXXD-AU03-0.6X1250"/>
    <s v="C01"/>
    <s v="TATXXD"/>
    <s v="AU03"/>
    <n v="0.6"/>
    <n v="1250"/>
    <n v="0"/>
    <s v="T2 DONE"/>
    <s v=" "/>
    <s v=""/>
    <n v="10"/>
    <n v="3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57-0.61"/>
    <s v="1250-1252"/>
    <m/>
    <m/>
    <m/>
    <m/>
    <m/>
    <x v="0"/>
    <s v="U"/>
    <x v="0"/>
    <s v="C01-AU03-0.6-1250"/>
    <s v="367-SH08-2.5-1260"/>
    <x v="0"/>
    <x v="0"/>
    <x v="0"/>
    <x v="0"/>
    <x v="7"/>
    <x v="10"/>
    <x v="17"/>
    <m/>
    <m/>
    <m/>
    <m/>
    <m/>
    <m/>
    <m/>
    <m/>
    <m/>
    <m/>
    <m/>
    <m/>
    <m/>
    <m/>
    <m/>
    <m/>
    <m/>
    <m/>
    <m/>
    <s v="G R GUPTA &amp; BROS"/>
  </r>
  <r>
    <n v="742"/>
    <d v="2025-07-21T00:00:00"/>
    <s v="ZBTO"/>
    <n v="9518946840"/>
    <n v="2"/>
    <s v="9518946840-2"/>
    <s v="No Priority"/>
    <s v="Released"/>
    <x v="0"/>
    <x v="0"/>
    <x v="0"/>
    <m/>
    <s v="2000-BPRS"/>
    <m/>
    <s v="LONI"/>
    <s v="FBAD"/>
    <n v="123052"/>
    <s v="G R GUPTA &amp; BROS"/>
    <n v="1804814"/>
    <s v="CRCA COIL TATXXD AU03 0.8X1250"/>
    <s v="C01"/>
    <s v="TATXXD"/>
    <s v="AU03"/>
    <n v="0.8"/>
    <n v="1250"/>
    <n v="0"/>
    <s v="T2 DONE"/>
    <s v=" "/>
    <s v=""/>
    <n v="10"/>
    <n v="30"/>
    <n v="58"/>
    <n v="23.04"/>
    <n v="34.96"/>
    <n v="8.5"/>
    <n v="0"/>
    <n v="0"/>
    <n v="0"/>
    <s v=""/>
    <s v=""/>
    <s v=""/>
    <s v=""/>
    <s v=""/>
    <s v=""/>
    <s v=""/>
    <s v=""/>
    <n v="26.46"/>
    <s v=""/>
    <s v=""/>
    <n v="0"/>
    <s v=""/>
    <s v=""/>
    <s v=""/>
    <s v=""/>
    <n v="26.46"/>
    <n v="26.46"/>
    <n v="0"/>
    <n v="8.5"/>
    <s v="0.77-0.82"/>
    <s v="1250-1252"/>
    <m/>
    <m/>
    <m/>
    <m/>
    <m/>
    <x v="0"/>
    <s v="U"/>
    <x v="0"/>
    <s v="C01-AU03-0.8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G R GUPTA &amp; BROS"/>
  </r>
  <r>
    <n v="742"/>
    <d v="2025-08-25T00:00:00"/>
    <s v="ZBTO"/>
    <n v="9519047269"/>
    <n v="1"/>
    <s v="9519047269-1"/>
    <s v="No Priority"/>
    <s v="Released"/>
    <x v="1"/>
    <x v="0"/>
    <x v="5"/>
    <m/>
    <s v="1000-IPPE"/>
    <m/>
    <s v="RANJANGAON"/>
    <s v="BOMB"/>
    <n v="188928"/>
    <s v="TATA STEEL DOWNSTREAM PRODUCTS LTD."/>
    <n v="28507"/>
    <s v="CRCOIL C01 DQ TATXXD AU14 0.50 X 1250"/>
    <s v="C01"/>
    <s v="TATXXD"/>
    <s v="AU14"/>
    <n v="0.5"/>
    <n v="1250"/>
    <n v="0"/>
    <s v="T2 DONE"/>
    <s v=" "/>
    <s v=""/>
    <n v="10"/>
    <n v="26"/>
    <n v="115.99"/>
    <n v="0"/>
    <n v="115.99"/>
    <n v="115.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15.99"/>
    <s v="0.47-0.505"/>
    <s v="1250-1251"/>
    <m/>
    <m/>
    <m/>
    <m/>
    <m/>
    <x v="0"/>
    <s v="C"/>
    <x v="3"/>
    <s v="C01-AU14-0.5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TATA STEEL DOWNSTREAM PRODUCTS LTD."/>
  </r>
  <r>
    <n v="742"/>
    <d v="2025-07-18T00:00:00"/>
    <s v="ZBTO"/>
    <n v="9518939588"/>
    <n v="2"/>
    <s v="9518939588-2"/>
    <s v="No Priority"/>
    <s v="Released"/>
    <x v="0"/>
    <x v="0"/>
    <x v="0"/>
    <m/>
    <s v="2000-BPRS"/>
    <m/>
    <s v="LONI"/>
    <s v="DELI"/>
    <n v="101499"/>
    <s v="G.R. GUPTA &amp; BROS."/>
    <n v="1800890"/>
    <s v="CRCA COIL-TATXXD-AU03-0.35X1250"/>
    <s v="C01"/>
    <s v="TATXXD"/>
    <s v="AU03"/>
    <n v="0.35"/>
    <n v="1250"/>
    <n v="0"/>
    <s v="T2 DONE"/>
    <s v=" "/>
    <s v=""/>
    <n v="10"/>
    <n v="3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2-0.36"/>
    <s v="1250-1262"/>
    <m/>
    <m/>
    <m/>
    <m/>
    <m/>
    <x v="0"/>
    <s v="M"/>
    <x v="0"/>
    <s v="C01-AU03-0.35-1250"/>
    <s v="367-SH08-2-1275"/>
    <x v="0"/>
    <x v="0"/>
    <x v="0"/>
    <x v="0"/>
    <x v="2"/>
    <x v="11"/>
    <x v="19"/>
    <m/>
    <m/>
    <m/>
    <m/>
    <m/>
    <m/>
    <m/>
    <m/>
    <m/>
    <m/>
    <m/>
    <m/>
    <m/>
    <m/>
    <m/>
    <m/>
    <m/>
    <m/>
    <m/>
    <s v="G.R. GUPTA &amp; BROS."/>
  </r>
  <r>
    <n v="743"/>
    <d v="2025-09-12T00:00:00"/>
    <s v="ZBTO"/>
    <n v="9519099563"/>
    <n v="2"/>
    <s v="9519099563-2"/>
    <s v="No Priority"/>
    <s v="Released"/>
    <x v="1"/>
    <x v="3"/>
    <x v="7"/>
    <m/>
    <s v="2000-BPRS"/>
    <m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28-0.32"/>
    <s v="900-904"/>
    <m/>
    <m/>
    <m/>
    <m/>
    <m/>
    <x v="0"/>
    <s v="S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Shree Bajrang Steel Udyog"/>
  </r>
  <r>
    <n v="742"/>
    <d v="2025-08-19T00:00:00"/>
    <s v="ZBTO"/>
    <n v="9519028240"/>
    <n v="1"/>
    <s v="9519028240-1"/>
    <s v="Sep'25"/>
    <s v="Released"/>
    <x v="1"/>
    <x v="0"/>
    <x v="5"/>
    <m/>
    <s v="1000-IPPE"/>
    <m/>
    <s v="VISHAKHAPATNAM"/>
    <s v="SBAD"/>
    <n v="186001"/>
    <s v="BABA CONTAINER MANUFACTURERS"/>
    <n v="3867646"/>
    <s v="CR COIL TATXXD BT04 0.600X900"/>
    <s v="C01"/>
    <s v="TATXXD"/>
    <s v="BT04"/>
    <n v="0.6"/>
    <n v="900"/>
    <n v="0"/>
    <s v="T2 DONE"/>
    <s v=" "/>
    <s v=""/>
    <n v="4"/>
    <n v="8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26"/>
    <n v="126"/>
    <s v="0.58-0.6"/>
    <s v="900-902"/>
    <m/>
    <m/>
    <m/>
    <m/>
    <m/>
    <x v="0"/>
    <s v="M"/>
    <x v="6"/>
    <s v="C01-BT04-0.6-900"/>
    <s v="B69-SH67-2.5-925"/>
    <x v="2"/>
    <x v="6"/>
    <x v="6"/>
    <x v="6"/>
    <x v="7"/>
    <x v="3"/>
    <x v="98"/>
    <m/>
    <m/>
    <m/>
    <m/>
    <m/>
    <m/>
    <m/>
    <m/>
    <m/>
    <m/>
    <m/>
    <m/>
    <m/>
    <m/>
    <m/>
    <m/>
    <m/>
    <m/>
    <m/>
    <s v="BABA CONTAINER MANUFACTURERS"/>
  </r>
  <r>
    <n v="743"/>
    <d v="2025-08-20T00:00:00"/>
    <s v="ZBTO"/>
    <n v="9519031555"/>
    <n v="1"/>
    <s v="9519031555-1"/>
    <s v="Sep'25"/>
    <s v="Released"/>
    <x v="0"/>
    <x v="1"/>
    <x v="1"/>
    <m/>
    <s v="1000-IPPE"/>
    <m/>
    <s v="SANAND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s v="AZ150"/>
    <s v=""/>
    <n v="10"/>
    <n v="18"/>
    <n v="290"/>
    <n v="267.37"/>
    <n v="22.63"/>
    <n v="-5.6449999999999996"/>
    <n v="25.97"/>
    <n v="0"/>
    <n v="0"/>
    <s v=""/>
    <s v=""/>
    <s v=""/>
    <s v=""/>
    <n v="14.495000000000001"/>
    <s v=""/>
    <s v=""/>
    <s v=""/>
    <s v=""/>
    <s v=""/>
    <s v=""/>
    <n v="0"/>
    <s v=""/>
    <s v=""/>
    <s v=""/>
    <n v="13.780000000000001"/>
    <n v="28.275000000000002"/>
    <n v="28.275000000000002"/>
    <n v="0"/>
    <n v="-5.6450000000000031"/>
    <s v="0.9-0.94"/>
    <s v="1249-1253"/>
    <m/>
    <m/>
    <m/>
    <m/>
    <m/>
    <x v="0"/>
    <s v="R"/>
    <x v="1"/>
    <s v="B04-H0GL-0.9-1249"/>
    <s v="367-HG02-2.8-1265"/>
    <x v="0"/>
    <x v="1"/>
    <x v="1"/>
    <x v="1"/>
    <x v="0"/>
    <x v="1"/>
    <x v="1"/>
    <m/>
    <m/>
    <m/>
    <m/>
    <m/>
    <m/>
    <m/>
    <m/>
    <m/>
    <m/>
    <m/>
    <m/>
    <m/>
    <m/>
    <m/>
    <m/>
    <m/>
    <m/>
    <m/>
    <s v="PURSHOTAM PROFILES PRIVATE LIMITED"/>
  </r>
  <r>
    <n v="742"/>
    <d v="2025-07-18T00:00:00"/>
    <s v="ZBTO"/>
    <n v="9518939588"/>
    <n v="4"/>
    <s v="9518939588-4"/>
    <s v="No Priority"/>
    <s v="Released"/>
    <x v="0"/>
    <x v="0"/>
    <x v="0"/>
    <m/>
    <s v="2000-BPRS"/>
    <m/>
    <s v="LONI"/>
    <s v="DELI"/>
    <n v="101499"/>
    <s v="G.R. GUPTA &amp; BROS.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57-0.61"/>
    <s v="1250-1262"/>
    <m/>
    <m/>
    <m/>
    <m/>
    <m/>
    <x v="0"/>
    <s v="U"/>
    <x v="0"/>
    <s v="C01-AU03-0.6-1250"/>
    <s v="367-SH08-2.5-1260"/>
    <x v="0"/>
    <x v="0"/>
    <x v="0"/>
    <x v="0"/>
    <x v="7"/>
    <x v="10"/>
    <x v="17"/>
    <m/>
    <m/>
    <m/>
    <m/>
    <m/>
    <m/>
    <m/>
    <m/>
    <m/>
    <m/>
    <m/>
    <m/>
    <m/>
    <m/>
    <m/>
    <m/>
    <m/>
    <m/>
    <m/>
    <s v="G.R. GUPTA &amp; BROS."/>
  </r>
  <r>
    <n v="742"/>
    <d v="2025-07-18T00:00:00"/>
    <s v="ZBTO"/>
    <n v="9518939588"/>
    <n v="5"/>
    <s v="9518939588-5"/>
    <s v="No Priority"/>
    <s v="Released"/>
    <x v="0"/>
    <x v="0"/>
    <x v="0"/>
    <m/>
    <s v="2000-BPRS"/>
    <m/>
    <s v="LONI"/>
    <s v="DELI"/>
    <n v="101499"/>
    <s v="G.R. GUPTA &amp; BROS."/>
    <n v="1801456"/>
    <s v="CRCA COIL-TATXXD-AU03-0.7X1250"/>
    <s v="C01"/>
    <s v="TATXXD"/>
    <s v="AU03"/>
    <n v="0.7"/>
    <n v="1250"/>
    <n v="0"/>
    <s v="T2 DONE"/>
    <s v=" "/>
    <s v=""/>
    <n v="10"/>
    <n v="3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67-0.71"/>
    <s v="1250-1262"/>
    <m/>
    <m/>
    <m/>
    <m/>
    <m/>
    <x v="0"/>
    <s v="U"/>
    <x v="0"/>
    <s v="C01-AU03-0.7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G.R. GUPTA &amp; BROS."/>
  </r>
  <r>
    <n v="743"/>
    <d v="2025-08-28T00:00:00"/>
    <s v="ZBTO"/>
    <n v="9519058218"/>
    <n v="1"/>
    <s v="9519058218-1"/>
    <s v="No Priority"/>
    <s v="Released"/>
    <x v="1"/>
    <x v="3"/>
    <x v="7"/>
    <m/>
    <s v="2000-BPRS"/>
    <m/>
    <s v="LONI"/>
    <s v="GBAD"/>
    <n v="931235"/>
    <s v="K D J P STEELS PVT LTD"/>
    <n v="1851065"/>
    <s v="GP COIL SOFT-TATXGP-GK09-0.25X900"/>
    <s v="C02"/>
    <s v="TATXGP"/>
    <s v="GK09"/>
    <n v="0.25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2-0.25"/>
    <s v="900-903"/>
    <m/>
    <m/>
    <m/>
    <m/>
    <m/>
    <x v="0"/>
    <s v="R"/>
    <x v="8"/>
    <s v="C02-GK09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K D J P STEELS PVT LTD"/>
  </r>
  <r>
    <n v="742"/>
    <d v="2025-08-26T00:00:00"/>
    <s v="ZBTO"/>
    <n v="9519051350"/>
    <n v="1"/>
    <s v="9519051350-1"/>
    <s v="No Priority"/>
    <s v="Released"/>
    <x v="0"/>
    <x v="0"/>
    <x v="6"/>
    <m/>
    <s v="2000-BPRS"/>
    <m/>
    <s v="GORAKHPUR"/>
    <s v="KANP"/>
    <n v="115841"/>
    <s v="O.V.S. ISPAT UDYOG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8-0.42"/>
    <s v="1250-1254"/>
    <m/>
    <m/>
    <m/>
    <m/>
    <m/>
    <x v="0"/>
    <s v="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O.V.S. ISPAT UDYOG"/>
  </r>
  <r>
    <n v="742"/>
    <d v="2025-08-18T00:00:00"/>
    <s v="ZBTO"/>
    <n v="9519024305"/>
    <n v="3"/>
    <s v="9519024305-3"/>
    <s v="Oct'25"/>
    <s v="Released"/>
    <x v="1"/>
    <x v="0"/>
    <x v="6"/>
    <m/>
    <s v="2000-BPRS"/>
    <m/>
    <s v="HOWRAH"/>
    <s v="CALS"/>
    <n v="925093"/>
    <s v="PSPL STEEL PROCESSORS PRIVATE LIMIT"/>
    <n v="3239548"/>
    <s v="CRCA SHEET TATCRC SR16 0.400X900X2500"/>
    <s v="C06"/>
    <s v="TATCRC"/>
    <s v="SR16"/>
    <n v="0.4"/>
    <n v="900"/>
    <n v="2500"/>
    <s v="T2 DONE"/>
    <s v=" "/>
    <s v=""/>
    <n v="0"/>
    <n v="0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37-0.4"/>
    <s v="900-902"/>
    <m/>
    <m/>
    <m/>
    <m/>
    <m/>
    <x v="0"/>
    <s v="T"/>
    <x v="7"/>
    <s v="C06-SR16-0.4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s v="PSPL STEEL PROCESSORS PRIVATE LIMIT"/>
  </r>
  <r>
    <n v="742"/>
    <d v="2025-08-18T00:00:00"/>
    <s v="ZBTO"/>
    <n v="9519024914"/>
    <n v="6"/>
    <s v="9519024914-6"/>
    <s v="Oct'25"/>
    <s v="Released"/>
    <x v="1"/>
    <x v="0"/>
    <x v="6"/>
    <m/>
    <s v="2000-BPRS"/>
    <m/>
    <s v="CHENNAI"/>
    <s v="MADS"/>
    <n v="116465"/>
    <s v="SRI BALAJI STEEL TRADERS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8-0.42"/>
    <s v="1000-1004"/>
    <m/>
    <m/>
    <m/>
    <m/>
    <m/>
    <x v="0"/>
    <s v="U"/>
    <x v="7"/>
    <s v="C06-SR16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4914"/>
    <n v="7"/>
    <s v="9519024914-7"/>
    <s v="Oct'25"/>
    <s v="Released"/>
    <x v="1"/>
    <x v="0"/>
    <x v="6"/>
    <m/>
    <s v="2000-BPRS"/>
    <m/>
    <s v="CHENNAI"/>
    <s v="MADS"/>
    <n v="116465"/>
    <s v="SRI BALAJI STEEL TRADERS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8-0.42"/>
    <s v="1250-1254"/>
    <m/>
    <m/>
    <m/>
    <m/>
    <m/>
    <x v="0"/>
    <s v="U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SRI BALAJI STEEL TRADERS"/>
  </r>
  <r>
    <n v="742"/>
    <d v="2025-08-20T00:00:00"/>
    <s v="ZBTO"/>
    <n v="9519031476"/>
    <n v="2"/>
    <s v="9519031476-2"/>
    <s v="Oct'25"/>
    <s v="Released"/>
    <x v="1"/>
    <x v="0"/>
    <x v="6"/>
    <m/>
    <s v="2000-BPRS"/>
    <m/>
    <s v="TANGI"/>
    <s v="BHUB"/>
    <n v="117061"/>
    <s v="BHARTIA  DISTRIBUTORS PVT. LTD."/>
    <n v="3239554"/>
    <s v="CRCA SHEET TATCRC SR16 0.400X1000X2500"/>
    <s v="C06"/>
    <s v="TATCRC"/>
    <s v="SR16"/>
    <n v="0.4"/>
    <n v="1000"/>
    <n v="2500"/>
    <s v="T2 DONE"/>
    <s v=" "/>
    <s v=""/>
    <n v="0.1"/>
    <n v="5"/>
    <n v="69"/>
    <n v="0"/>
    <n v="69"/>
    <n v="6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9"/>
    <s v="0.37-0.4"/>
    <s v="1000-1002"/>
    <m/>
    <m/>
    <m/>
    <m/>
    <m/>
    <x v="0"/>
    <s v="T"/>
    <x v="7"/>
    <s v="C06-SR16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BHARTIA  DISTRIBUTORS PVT. LTD."/>
  </r>
  <r>
    <n v="742"/>
    <d v="2025-08-26T00:00:00"/>
    <s v="ZBTO"/>
    <n v="9519051346"/>
    <n v="1"/>
    <s v="9519051346-1"/>
    <s v="No Priority"/>
    <s v="Released"/>
    <x v="0"/>
    <x v="0"/>
    <x v="6"/>
    <m/>
    <s v="2000-BPRS"/>
    <m/>
    <s v="VARANASI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8-0.42"/>
    <s v="1250-1254"/>
    <m/>
    <m/>
    <m/>
    <m/>
    <m/>
    <x v="0"/>
    <s v="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O.V.S. ISPAT UDYOG"/>
  </r>
  <r>
    <n v="742"/>
    <d v="2025-09-09T00:00:00"/>
    <s v="ZBTF"/>
    <n v="9519089693"/>
    <n v="1"/>
    <s v="9519089693-1"/>
    <s v="No Priority"/>
    <s v="Released"/>
    <x v="0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1 REJECT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9-09T00:00:00"/>
    <s v="ZBTO"/>
    <n v="9519089585"/>
    <n v="1"/>
    <s v="9519089585-1"/>
    <s v="No Priority"/>
    <s v="Released"/>
    <x v="0"/>
    <x v="2"/>
    <x v="3"/>
    <m/>
    <s v="2200-BPRS"/>
    <m/>
    <s v="KOLAR"/>
    <s v="BANG"/>
    <n v="801611"/>
    <s v="SHIVA FERRIC PVT LTD"/>
    <n v="3187346"/>
    <s v="HR COILS-PO I09497 2.01X1250"/>
    <n v="768"/>
    <s v="I09497"/>
    <s v="HG01"/>
    <n v="2.0099999999999998"/>
    <n v="1250"/>
    <n v="0"/>
    <s v="T2 DONE"/>
    <s v=" "/>
    <s v=""/>
    <n v="15"/>
    <n v="25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"/>
    <s v=""/>
    <m/>
    <m/>
    <m/>
    <m/>
    <m/>
    <x v="0"/>
    <s v="U"/>
    <x v="12"/>
    <s v="768-HG01-2.01-1250"/>
    <s v="367-HG01-2.01-1250"/>
    <x v="0"/>
    <x v="12"/>
    <x v="12"/>
    <x v="12"/>
    <x v="17"/>
    <x v="0"/>
    <x v="99"/>
    <m/>
    <m/>
    <m/>
    <m/>
    <m/>
    <m/>
    <m/>
    <m/>
    <m/>
    <m/>
    <m/>
    <m/>
    <m/>
    <m/>
    <m/>
    <m/>
    <m/>
    <m/>
    <m/>
    <s v="SHIVA FERRIC PVT LTD"/>
  </r>
  <r>
    <n v="742"/>
    <d v="2025-09-08T00:00:00"/>
    <s v="ZBTO"/>
    <n v="9519085406"/>
    <n v="1"/>
    <s v="9519085406-1"/>
    <s v="No Priority"/>
    <s v="Released"/>
    <x v="0"/>
    <x v="2"/>
    <x v="3"/>
    <m/>
    <s v="2200-BPRS"/>
    <m/>
    <s v="KOLAR"/>
    <s v="BANG"/>
    <n v="801611"/>
    <s v="SHIVA FERRIC PVT LTD"/>
    <n v="1179966"/>
    <s v="HR COILS-PO IS 10748 GR 1 2X1250"/>
    <n v="768"/>
    <s v="I09497"/>
    <s v="HG01"/>
    <n v="2"/>
    <n v="1250"/>
    <n v="0"/>
    <s v="T2 DONE"/>
    <s v=" "/>
    <s v=""/>
    <n v="17"/>
    <n v="25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"/>
    <s v=""/>
    <m/>
    <m/>
    <m/>
    <m/>
    <m/>
    <x v="0"/>
    <s v="U"/>
    <x v="12"/>
    <s v="768-HG01-2-1250"/>
    <s v="367-HG01-2-1250"/>
    <x v="0"/>
    <x v="12"/>
    <x v="12"/>
    <x v="12"/>
    <x v="2"/>
    <x v="0"/>
    <x v="95"/>
    <m/>
    <m/>
    <m/>
    <m/>
    <m/>
    <m/>
    <m/>
    <m/>
    <m/>
    <m/>
    <m/>
    <m/>
    <m/>
    <m/>
    <m/>
    <m/>
    <m/>
    <m/>
    <m/>
    <s v="SHIVA FERRIC PVT LTD"/>
  </r>
  <r>
    <n v="742"/>
    <d v="2025-09-08T00:00:00"/>
    <s v="ZBTO"/>
    <n v="9519085406"/>
    <n v="2"/>
    <s v="9519085406-2"/>
    <s v="No Priority"/>
    <s v="Released"/>
    <x v="0"/>
    <x v="2"/>
    <x v="3"/>
    <m/>
    <s v="2200-BPRS"/>
    <m/>
    <s v="KOLAR"/>
    <s v="BANG"/>
    <n v="801611"/>
    <s v="SHIVA FERRIC PVT LTD"/>
    <n v="1179967"/>
    <s v="HR COILS-PO IS 10748 GR 1 2.50X1250"/>
    <n v="768"/>
    <s v="I09497"/>
    <s v="HG01"/>
    <n v="2.5"/>
    <n v="1250"/>
    <n v="0"/>
    <s v="T2 DONE"/>
    <s v=" "/>
    <s v=""/>
    <n v="17"/>
    <n v="25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"/>
    <s v=""/>
    <m/>
    <m/>
    <m/>
    <m/>
    <m/>
    <x v="0"/>
    <s v="U"/>
    <x v="12"/>
    <s v="768-HG01-2.5-1250"/>
    <s v="367-HG01-2.5-1250"/>
    <x v="0"/>
    <x v="12"/>
    <x v="12"/>
    <x v="12"/>
    <x v="7"/>
    <x v="0"/>
    <x v="100"/>
    <m/>
    <m/>
    <m/>
    <m/>
    <m/>
    <m/>
    <m/>
    <m/>
    <m/>
    <m/>
    <m/>
    <m/>
    <m/>
    <m/>
    <m/>
    <m/>
    <m/>
    <m/>
    <m/>
    <s v="SHIVA FERRIC PVT LTD"/>
  </r>
  <r>
    <n v="742"/>
    <d v="2025-09-08T00:00:00"/>
    <s v="ZBTO"/>
    <n v="9519085406"/>
    <n v="3"/>
    <s v="9519085406-3"/>
    <s v="No Priority"/>
    <s v="Released"/>
    <x v="0"/>
    <x v="2"/>
    <x v="3"/>
    <m/>
    <s v="2200-BPRS"/>
    <m/>
    <s v="KOLAR"/>
    <s v="BANG"/>
    <n v="801611"/>
    <s v="SHIVA FERRIC PVT LTD"/>
    <n v="3187348"/>
    <s v="HR COILS-PO I09497 4X1250"/>
    <n v="768"/>
    <s v="I09497"/>
    <s v="HG01"/>
    <n v="4"/>
    <n v="1250"/>
    <n v="0"/>
    <s v="T2 DONE"/>
    <s v=" "/>
    <s v=""/>
    <n v="17"/>
    <n v="25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"/>
    <s v=""/>
    <m/>
    <m/>
    <m/>
    <m/>
    <m/>
    <x v="0"/>
    <s v="U"/>
    <x v="12"/>
    <s v="768-HG01-4-1250"/>
    <s v="367-HG01-4-1250"/>
    <x v="0"/>
    <x v="12"/>
    <x v="12"/>
    <x v="12"/>
    <x v="10"/>
    <x v="0"/>
    <x v="101"/>
    <m/>
    <m/>
    <m/>
    <m/>
    <m/>
    <m/>
    <m/>
    <m/>
    <m/>
    <m/>
    <m/>
    <m/>
    <m/>
    <m/>
    <m/>
    <m/>
    <m/>
    <m/>
    <m/>
    <s v="SHIVA FERRIC PVT LTD"/>
  </r>
  <r>
    <n v="743"/>
    <d v="2025-07-08T00:00:00"/>
    <s v="ZBTO"/>
    <n v="9518914709"/>
    <n v="4"/>
    <s v="9518914709-4"/>
    <s v="Sep'25"/>
    <s v="Released"/>
    <x v="1"/>
    <x v="3"/>
    <x v="7"/>
    <m/>
    <s v="2000-BPRS"/>
    <m/>
    <s v="LONI"/>
    <s v="GBAD"/>
    <n v="183259"/>
    <s v="Rakesh Steel Inds.(P) Ltd."/>
    <n v="2399771"/>
    <s v="GP COIL SOFT TATXGP GK09 0.220X900"/>
    <s v="C02"/>
    <s v="TATXGP"/>
    <s v="GK09"/>
    <n v="0.22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9-0.22"/>
    <s v="900-903"/>
    <m/>
    <m/>
    <m/>
    <m/>
    <m/>
    <x v="0"/>
    <s v="R"/>
    <x v="8"/>
    <s v="C02-GK09-0.22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Rakesh Steel Inds.(P) Ltd."/>
  </r>
  <r>
    <n v="743"/>
    <d v="2025-07-08T00:00:00"/>
    <s v="ZBTO"/>
    <n v="9518914709"/>
    <n v="5"/>
    <s v="9518914709-5"/>
    <s v="Sep'25"/>
    <s v="Released"/>
    <x v="1"/>
    <x v="3"/>
    <x v="7"/>
    <m/>
    <s v="2000-BPRS"/>
    <m/>
    <s v="LONI"/>
    <s v="GBAD"/>
    <n v="183259"/>
    <s v="Rakesh Steel Inds.(P) Ltd."/>
    <n v="1851054"/>
    <s v="GP COIL SOFT-TATXGP-GK09-0.2X900"/>
    <s v="C02"/>
    <s v="TATXGP"/>
    <s v="GK09"/>
    <n v="0.2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7-0.2"/>
    <s v="900-902"/>
    <m/>
    <m/>
    <m/>
    <m/>
    <m/>
    <x v="0"/>
    <s v="R"/>
    <x v="8"/>
    <s v="C02-GK09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Rakesh Steel Inds.(P) Ltd."/>
  </r>
  <r>
    <n v="742"/>
    <d v="2025-08-21T00:00:00"/>
    <s v="ZBTO"/>
    <n v="9519036272"/>
    <n v="5"/>
    <s v="9519036272-5"/>
    <s v="Oct'25"/>
    <s v="Released"/>
    <x v="1"/>
    <x v="0"/>
    <x v="6"/>
    <m/>
    <s v="2000-BPRS"/>
    <m/>
    <s v="WEST BOKARO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5"/>
    <n v="3.2"/>
    <n v="92"/>
    <n v="37.695"/>
    <n v="54.305"/>
    <n v="54.3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4.305"/>
    <s v="0.38-0.42"/>
    <s v="1000-1002"/>
    <m/>
    <m/>
    <m/>
    <m/>
    <m/>
    <x v="0"/>
    <s v="R"/>
    <x v="7"/>
    <s v="C06-SR16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Shree Bajrang Steel Udyog"/>
  </r>
  <r>
    <n v="743"/>
    <d v="2025-07-08T00:00:00"/>
    <s v="ZBTO"/>
    <n v="9518915062"/>
    <n v="5"/>
    <s v="9518915062-5"/>
    <s v="Sep'25"/>
    <s v="Released"/>
    <x v="1"/>
    <x v="3"/>
    <x v="7"/>
    <m/>
    <s v="2000-BPRS"/>
    <m/>
    <s v="LONI"/>
    <s v="GBAD"/>
    <n v="931235"/>
    <s v="K D J P STEELS PVT LTD"/>
    <n v="1851054"/>
    <s v="GP COIL SOFT-TATXGP-GK09-0.2X900"/>
    <s v="C02"/>
    <s v="TATXGP"/>
    <s v="GK09"/>
    <n v="0.2"/>
    <n v="900"/>
    <n v="0"/>
    <s v="T2 DONE"/>
    <s v="Z80"/>
    <s v=""/>
    <n v="4"/>
    <n v="6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7-0.2"/>
    <s v="900-902"/>
    <m/>
    <m/>
    <m/>
    <m/>
    <m/>
    <x v="0"/>
    <s v="R"/>
    <x v="8"/>
    <s v="C02-GK09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K D J P STEELS PVT LTD"/>
  </r>
  <r>
    <n v="743"/>
    <d v="2025-07-19T00:00:00"/>
    <s v="ZBTO"/>
    <n v="9518941556"/>
    <n v="1"/>
    <s v="9518941556-1"/>
    <s v="Sep'25"/>
    <s v="Released"/>
    <x v="0"/>
    <x v="3"/>
    <x v="7"/>
    <m/>
    <s v="2000-BPRS"/>
    <m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s v="T2 DONE"/>
    <s v="Z80"/>
    <s v=""/>
    <n v="4"/>
    <n v="12"/>
    <n v="210"/>
    <n v="0"/>
    <n v="210"/>
    <n v="21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10"/>
    <n v="0"/>
    <s v="0.28-0.32"/>
    <s v="900-904"/>
    <m/>
    <m/>
    <m/>
    <m/>
    <m/>
    <x v="0"/>
    <s v="S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Shree Bajrang Steel Udyog"/>
  </r>
  <r>
    <n v="742"/>
    <d v="2025-08-04T00:00:00"/>
    <s v="ZBTO"/>
    <n v="9518992530"/>
    <n v="2"/>
    <s v="9518992530-2"/>
    <s v="Sep'25"/>
    <s v="Released"/>
    <x v="1"/>
    <x v="0"/>
    <x v="0"/>
    <m/>
    <s v="2000-BPRS"/>
    <m/>
    <s v="SANGAREDDY"/>
    <s v="SBAD"/>
    <n v="947126"/>
    <s v="RAVINDRA IRON WORKS"/>
    <n v="1804842"/>
    <s v="CRCA COIL-TATXXD-AU03-1X1000"/>
    <s v="C01"/>
    <s v="TATXXD"/>
    <s v="AU03"/>
    <n v="1"/>
    <n v="1000"/>
    <n v="0"/>
    <s v="T2 DONE"/>
    <s v=" "/>
    <s v=""/>
    <n v="7"/>
    <n v="3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97-1"/>
    <s v="1000-1004"/>
    <m/>
    <m/>
    <m/>
    <m/>
    <m/>
    <x v="0"/>
    <s v="C"/>
    <x v="0"/>
    <s v="C01-AU03-1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RAVINDRA IRON WORKS"/>
  </r>
  <r>
    <n v="742"/>
    <d v="2025-07-10T00:00:00"/>
    <s v="ZBTO"/>
    <n v="9518919888"/>
    <n v="2"/>
    <s v="9518919888-2"/>
    <s v="Sep'25"/>
    <s v="Released"/>
    <x v="0"/>
    <x v="0"/>
    <x v="6"/>
    <m/>
    <s v="2000-BPRS"/>
    <m/>
    <s v="GORAKHPUR"/>
    <s v="FBAD"/>
    <n v="115841"/>
    <s v="O.V.S. ISPAT UDYOG"/>
    <n v="3239567"/>
    <s v="CRCA SHEET TATCRC SR16 0.450X1000X2500"/>
    <s v="C06"/>
    <s v="TATCRC"/>
    <s v="SR16"/>
    <n v="0.45"/>
    <n v="1000"/>
    <n v="250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43-0.47"/>
    <s v="1000-1004"/>
    <m/>
    <m/>
    <m/>
    <m/>
    <m/>
    <x v="0"/>
    <s v="M"/>
    <x v="7"/>
    <s v="C06-SR16-0.45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O.V.S. ISPAT UDYOG"/>
  </r>
  <r>
    <n v="742"/>
    <d v="2025-07-20T00:00:00"/>
    <s v="ZBTO"/>
    <n v="9518944236"/>
    <n v="1"/>
    <s v="9518944236-1"/>
    <s v="Sep'25"/>
    <s v="Released"/>
    <x v="0"/>
    <x v="0"/>
    <x v="6"/>
    <m/>
    <s v="2000-BPRS"/>
    <m/>
    <s v="VISHAKHAPATNAM"/>
    <s v="SBAD"/>
    <n v="946077"/>
    <s v="SITARAM IRON AND STEEL PVT LTD"/>
    <n v="3239535"/>
    <s v="CRCA SHEET TATCRC SR16 0.350X900X2440"/>
    <s v="C06"/>
    <s v="TATCRC"/>
    <s v="SR16"/>
    <n v="0.35"/>
    <n v="900"/>
    <n v="2440"/>
    <s v="T2 DONE"/>
    <s v=" "/>
    <s v=""/>
    <n v="2"/>
    <n v="3"/>
    <n v="41.999000000000002"/>
    <n v="0"/>
    <n v="41.999000000000002"/>
    <n v="-0.51100000000000001"/>
    <n v="0"/>
    <n v="0"/>
    <n v="42.51"/>
    <s v=""/>
    <s v=""/>
    <s v=""/>
    <s v=""/>
    <s v=""/>
    <s v=""/>
    <s v=""/>
    <s v=""/>
    <s v=""/>
    <s v=""/>
    <s v=""/>
    <n v="0"/>
    <s v=""/>
    <s v=""/>
    <s v=""/>
    <s v=""/>
    <n v="42.51"/>
    <n v="42.51"/>
    <n v="0"/>
    <n v="-0.51099999999999568"/>
    <s v="0.33-0.37"/>
    <s v="900-904"/>
    <m/>
    <m/>
    <m/>
    <m/>
    <m/>
    <x v="0"/>
    <s v="M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SITARAM IRON AND STEEL PVT LTD"/>
  </r>
  <r>
    <n v="742"/>
    <d v="2025-07-20T00:00:00"/>
    <s v="ZBTO"/>
    <n v="9518944236"/>
    <n v="4"/>
    <s v="9518944236-4"/>
    <s v="Aug'25"/>
    <s v="Released"/>
    <x v="1"/>
    <x v="0"/>
    <x v="6"/>
    <m/>
    <s v="2000-BPRS"/>
    <m/>
    <s v="VISHAKHAPATNAM"/>
    <s v="SBAD"/>
    <n v="946077"/>
    <s v="SITARAM IRON AND STEEL PVT LTD"/>
    <n v="3239566"/>
    <s v="CRCA SHEET TATCRC SR16 0.450X1000X2440"/>
    <s v="C06"/>
    <s v="TATCRC"/>
    <s v="SR16"/>
    <n v="0.45"/>
    <n v="1000"/>
    <n v="2440"/>
    <s v="T2 DONE"/>
    <s v=" "/>
    <s v=""/>
    <n v="2"/>
    <n v="3.1"/>
    <n v="44.99"/>
    <n v="19.585000000000001"/>
    <n v="25.405000000000001"/>
    <n v="25.405000000000001"/>
    <n v="2.39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5.405000000000001"/>
    <s v="0.42-0.45"/>
    <s v="1000-1004"/>
    <m/>
    <m/>
    <m/>
    <m/>
    <m/>
    <x v="0"/>
    <s v="M"/>
    <x v="7"/>
    <s v="C06-SR16-0.45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s v="SITARAM IRON AND STEEL PVT LTD"/>
  </r>
  <r>
    <n v="742"/>
    <d v="2025-07-20T00:00:00"/>
    <s v="ZBTO"/>
    <n v="9518944236"/>
    <n v="5"/>
    <s v="9518944236-5"/>
    <s v="Aug'25"/>
    <s v="Released"/>
    <x v="0"/>
    <x v="0"/>
    <x v="6"/>
    <m/>
    <s v="2000-BPRS"/>
    <m/>
    <s v="VISHAKHAPATNAM"/>
    <s v="SBAD"/>
    <n v="946077"/>
    <s v="SITARAM IRON AND STEEL PVT LTD"/>
    <n v="3240759"/>
    <s v="CRCA SHEET TSBCRC SR15 0.500X1000X2440"/>
    <s v="C06"/>
    <s v="TSBCRC"/>
    <s v="SR15"/>
    <n v="0.5"/>
    <n v="1000"/>
    <n v="2440"/>
    <s v="T2 DONE"/>
    <s v=" "/>
    <s v=""/>
    <n v="2"/>
    <n v="3"/>
    <n v="23.998999999999999"/>
    <n v="2.5750000000000002"/>
    <n v="21.423999999999999"/>
    <n v="0.30399999999999999"/>
    <n v="0"/>
    <n v="0"/>
    <n v="0"/>
    <s v=""/>
    <s v=""/>
    <s v=""/>
    <s v=""/>
    <s v=""/>
    <s v=""/>
    <s v=""/>
    <s v=""/>
    <n v="21.12"/>
    <s v=""/>
    <s v=""/>
    <n v="0"/>
    <s v=""/>
    <s v=""/>
    <s v=""/>
    <s v=""/>
    <n v="21.12"/>
    <n v="21.12"/>
    <n v="0"/>
    <n v="0.30399999999999849"/>
    <s v="0.47-0.5"/>
    <s v="1000-1004"/>
    <m/>
    <m/>
    <m/>
    <m/>
    <m/>
    <x v="0"/>
    <s v="M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s v="SITARAM IRON AND STEEL PVT LTD"/>
  </r>
  <r>
    <n v="743"/>
    <d v="2025-08-21T00:00:00"/>
    <s v="ZBTO"/>
    <n v="9519036143"/>
    <n v="10"/>
    <s v="9519036143-10"/>
    <s v="Sep'25"/>
    <s v="Released"/>
    <x v="0"/>
    <x v="3"/>
    <x v="7"/>
    <m/>
    <s v="2000-BPRS"/>
    <m/>
    <s v="WEST BOKARO"/>
    <s v="JAMS"/>
    <n v="185794"/>
    <s v="Shree Bajrang Steel Udyog"/>
    <n v="1854424"/>
    <s v="GP COIL SOFT-TATXGP-GK09-0.6X900"/>
    <s v="C02"/>
    <s v="TATXGP"/>
    <s v="GK09"/>
    <n v="0.6"/>
    <n v="900"/>
    <n v="0"/>
    <s v="T2 DONE"/>
    <s v="Z80"/>
    <s v=""/>
    <n v="4"/>
    <n v="12"/>
    <n v="105"/>
    <n v="55.844999999999999"/>
    <n v="49.155000000000001"/>
    <n v="49.155000000000001"/>
    <n v="26.925000000000001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49"/>
    <n v="0"/>
    <s v="0.58-0.62"/>
    <s v="900-904"/>
    <m/>
    <m/>
    <m/>
    <m/>
    <m/>
    <x v="0"/>
    <s v="S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hree Bajrang Steel Udyog"/>
  </r>
  <r>
    <n v="742"/>
    <d v="2025-07-20T00:00:00"/>
    <s v="ZBTO"/>
    <n v="9518944249"/>
    <n v="1"/>
    <s v="9518944249-1"/>
    <s v="Sep'25"/>
    <s v="Released"/>
    <x v="1"/>
    <x v="0"/>
    <x v="0"/>
    <m/>
    <s v="2000-BPRS"/>
    <m/>
    <s v="VISHAKHAPATNAM"/>
    <s v="SBAD"/>
    <n v="946077"/>
    <s v="SITARAM IRON AND STEEL PVT LTD"/>
    <n v="2430219"/>
    <s v="CRCA COIL TATXXD AU03 0.800X900"/>
    <s v="C01"/>
    <s v="TATXXD"/>
    <s v="AU03"/>
    <n v="0.8"/>
    <n v="900"/>
    <n v="0"/>
    <s v="T2 DONE"/>
    <s v=" "/>
    <s v=""/>
    <n v="8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77-0.8"/>
    <s v="900-904"/>
    <m/>
    <m/>
    <m/>
    <m/>
    <m/>
    <x v="0"/>
    <s v="C"/>
    <x v="0"/>
    <s v="C01-AU03-0.8-900"/>
    <s v="B69-SH08-2.8-925"/>
    <x v="2"/>
    <x v="0"/>
    <x v="0"/>
    <x v="0"/>
    <x v="0"/>
    <x v="3"/>
    <x v="85"/>
    <m/>
    <m/>
    <m/>
    <m/>
    <m/>
    <m/>
    <m/>
    <m/>
    <m/>
    <m/>
    <m/>
    <m/>
    <m/>
    <m/>
    <m/>
    <m/>
    <m/>
    <m/>
    <m/>
    <s v="SITARAM IRON AND STEEL PVT LTD"/>
  </r>
  <r>
    <n v="742"/>
    <d v="2025-07-20T00:00:00"/>
    <s v="ZBTO"/>
    <n v="9518944249"/>
    <n v="2"/>
    <s v="9518944249-2"/>
    <s v="Sep'25"/>
    <s v="Released"/>
    <x v="1"/>
    <x v="0"/>
    <x v="0"/>
    <m/>
    <s v="2000-BPRS"/>
    <m/>
    <s v="VISHAKHAPATNAM"/>
    <s v="SBAD"/>
    <n v="946077"/>
    <s v="SITARAM IRON AND STEEL PVT LTD"/>
    <n v="1801562"/>
    <s v="CRCA COIL-TATXXD-AU03-0.8X1000"/>
    <s v="C01"/>
    <s v="TATXXD"/>
    <s v="AU03"/>
    <n v="0.8"/>
    <n v="1000"/>
    <n v="0"/>
    <s v="T2 DONE"/>
    <s v=" "/>
    <s v=""/>
    <n v="8"/>
    <n v="12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77-0.8"/>
    <s v="1000-1004"/>
    <m/>
    <m/>
    <m/>
    <m/>
    <m/>
    <x v="0"/>
    <s v="C"/>
    <x v="0"/>
    <s v="C01-AU03-0.8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SITARAM IRON AND STEEL PVT LTD"/>
  </r>
  <r>
    <n v="742"/>
    <d v="2025-08-18T00:00:00"/>
    <s v="ZBTO"/>
    <n v="9519024914"/>
    <n v="3"/>
    <s v="9519024914-3"/>
    <s v="Oct'25"/>
    <s v="Released"/>
    <x v="1"/>
    <x v="0"/>
    <x v="6"/>
    <m/>
    <s v="2000-BPRS"/>
    <m/>
    <s v="CHENNAI"/>
    <s v="MADS"/>
    <n v="116465"/>
    <s v="SRI BALAJI STEEL TRADERS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8-0.32"/>
    <s v="900-904"/>
    <m/>
    <m/>
    <m/>
    <m/>
    <m/>
    <x v="0"/>
    <s v="U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SRI BALAJI STEEL TRADERS"/>
  </r>
  <r>
    <n v="742"/>
    <d v="2025-07-10T00:00:00"/>
    <s v="ZBTO"/>
    <n v="9518920175"/>
    <n v="1"/>
    <s v="9518920175-1"/>
    <s v="No Priority"/>
    <s v="Released"/>
    <x v="0"/>
    <x v="0"/>
    <x v="15"/>
    <m/>
    <s v="2000-BPRS"/>
    <m/>
    <s v="FARIDABAD"/>
    <s v="FBAD"/>
    <n v="116735"/>
    <s v="RAKESH STEELS"/>
    <n v="2420508"/>
    <s v="CRCA COIL TATXXD AH03 0.500X1250"/>
    <s v="C01"/>
    <s v="TATXXD"/>
    <s v="AH03"/>
    <n v="0.5"/>
    <n v="1250"/>
    <n v="0"/>
    <s v="T2 DONE"/>
    <s v=" "/>
    <s v=""/>
    <n v="10"/>
    <n v="30"/>
    <n v="58"/>
    <n v="0"/>
    <n v="58"/>
    <n v="9.3650000000000002"/>
    <n v="0"/>
    <n v="0"/>
    <n v="0"/>
    <s v=""/>
    <s v=""/>
    <s v=""/>
    <s v=""/>
    <s v=""/>
    <s v=""/>
    <s v=""/>
    <n v="24.2"/>
    <n v="24.435000000000002"/>
    <s v=""/>
    <s v=""/>
    <n v="0"/>
    <s v=""/>
    <s v=""/>
    <s v=""/>
    <s v=""/>
    <n v="48.635000000000005"/>
    <n v="48.635000000000005"/>
    <n v="0"/>
    <n v="9.3649999999999949"/>
    <s v="0.47-0.51"/>
    <s v="1250-1270"/>
    <m/>
    <m/>
    <m/>
    <m/>
    <m/>
    <x v="0"/>
    <s v="U"/>
    <x v="23"/>
    <s v="C01-AH03-0.5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s v="RAKESH STEELS"/>
  </r>
  <r>
    <n v="743"/>
    <d v="2025-09-02T00:00:00"/>
    <s v="ZBTO"/>
    <n v="9519072526"/>
    <n v="2"/>
    <s v="9519072526-2"/>
    <s v="No Priority"/>
    <s v="Released"/>
    <x v="1"/>
    <x v="3"/>
    <x v="12"/>
    <m/>
    <s v="2000-BPRS"/>
    <m/>
    <s v="PURNIA"/>
    <s v="PATN"/>
    <n v="931671"/>
    <s v="BMW VENTURES LIMITED"/>
    <n v="3907468"/>
    <s v="GP COIL TATXGP GP02 0.350X1350"/>
    <s v="C05"/>
    <s v="TATXGP"/>
    <s v="GP02"/>
    <n v="0.35"/>
    <n v="1350"/>
    <n v="0"/>
    <s v="T2 DONE"/>
    <s v="Z120"/>
    <s v=""/>
    <n v="1"/>
    <n v="5"/>
    <n v="62"/>
    <n v="0"/>
    <n v="62"/>
    <n v="6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2"/>
    <s v="0.32-0.365"/>
    <s v="1350-1370"/>
    <m/>
    <m/>
    <m/>
    <m/>
    <m/>
    <x v="0"/>
    <s v="M"/>
    <x v="14"/>
    <s v="C05-GP02-0.35-1350"/>
    <s v="367-SF93-2-1365"/>
    <x v="0"/>
    <x v="4"/>
    <x v="4"/>
    <x v="4"/>
    <x v="2"/>
    <x v="13"/>
    <x v="102"/>
    <m/>
    <m/>
    <m/>
    <m/>
    <m/>
    <m/>
    <m/>
    <m/>
    <m/>
    <m/>
    <m/>
    <m/>
    <m/>
    <m/>
    <m/>
    <m/>
    <m/>
    <m/>
    <m/>
    <s v="BMW VENTURES LIMITED"/>
  </r>
  <r>
    <n v="743"/>
    <d v="2025-09-02T00:00:00"/>
    <s v="ZBTO"/>
    <n v="9519072526"/>
    <n v="3"/>
    <s v="9519072526-3"/>
    <s v="No Priority"/>
    <s v="Released"/>
    <x v="1"/>
    <x v="3"/>
    <x v="12"/>
    <n v="1000"/>
    <s v="2000-BPRS"/>
    <m/>
    <s v="PURNIA"/>
    <s v="PATN"/>
    <n v="931671"/>
    <s v="BMW VENTURES LIMITED"/>
    <n v="3767014"/>
    <s v="GP COIL TATGPH GP02 0.400X1350"/>
    <s v="C05"/>
    <s v="TATGPH"/>
    <s v="GP02"/>
    <n v="0.4"/>
    <n v="1350"/>
    <n v="0"/>
    <s v="T2 DONE"/>
    <s v="Z120"/>
    <s v=""/>
    <n v="1"/>
    <n v="5"/>
    <n v="93"/>
    <n v="0"/>
    <n v="93"/>
    <n v="9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93"/>
    <s v="0.38-0.425"/>
    <s v="1350-1370"/>
    <m/>
    <m/>
    <m/>
    <m/>
    <m/>
    <x v="0"/>
    <s v="M"/>
    <x v="14"/>
    <s v="C05-GP02-0.4-1350"/>
    <s v="367-SF93-2.25-1365"/>
    <x v="0"/>
    <x v="4"/>
    <x v="4"/>
    <x v="4"/>
    <x v="4"/>
    <x v="13"/>
    <x v="103"/>
    <m/>
    <m/>
    <m/>
    <m/>
    <m/>
    <m/>
    <m/>
    <m/>
    <m/>
    <m/>
    <m/>
    <m/>
    <m/>
    <m/>
    <m/>
    <m/>
    <m/>
    <m/>
    <m/>
    <s v="BMW VENTURES LIMITED"/>
  </r>
  <r>
    <n v="743"/>
    <d v="2025-09-12T00:00:00"/>
    <s v="ZBTO"/>
    <n v="9519099563"/>
    <n v="5"/>
    <s v="9519099563-5"/>
    <s v="No Priority"/>
    <s v="Released"/>
    <x v="1"/>
    <x v="3"/>
    <x v="7"/>
    <m/>
    <s v="2000-BPRS"/>
    <m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33-0.37"/>
    <s v="900-904"/>
    <m/>
    <m/>
    <m/>
    <m/>
    <m/>
    <x v="0"/>
    <s v="S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hree Bajrang Steel Udyog"/>
  </r>
  <r>
    <n v="743"/>
    <d v="2025-09-12T00:00:00"/>
    <s v="ZBTO"/>
    <n v="9519099563"/>
    <n v="10"/>
    <s v="9519099563-10"/>
    <s v="No Priority"/>
    <s v="Released"/>
    <x v="1"/>
    <x v="3"/>
    <x v="7"/>
    <m/>
    <s v="2000-BPRS"/>
    <m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4"/>
    <n v="12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38-0.42"/>
    <s v="900-904"/>
    <m/>
    <m/>
    <m/>
    <m/>
    <m/>
    <x v="0"/>
    <s v="S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hree Bajrang Steel Udyog"/>
  </r>
  <r>
    <n v="743"/>
    <d v="2025-09-12T00:00:00"/>
    <s v="ZBTO"/>
    <n v="9519099563"/>
    <n v="11"/>
    <s v="9519099563-11"/>
    <s v="No Priority"/>
    <s v="Released"/>
    <x v="1"/>
    <x v="3"/>
    <x v="7"/>
    <m/>
    <s v="2000-BPRS"/>
    <m/>
    <s v="WEST BOKARO"/>
    <s v="JAMS"/>
    <n v="185794"/>
    <s v="Shree Bajrang Steel Udyog"/>
    <n v="1854413"/>
    <s v="GP COIL SOFT-TATXGP-GK09-0.45X900"/>
    <s v="C02"/>
    <s v="TATXGP"/>
    <s v="GK09"/>
    <n v="0.45"/>
    <n v="900"/>
    <n v="0"/>
    <s v="T2 DONE"/>
    <s v="Z80"/>
    <s v=""/>
    <n v="4"/>
    <n v="12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43-0.47"/>
    <s v="900-904"/>
    <m/>
    <m/>
    <m/>
    <m/>
    <m/>
    <x v="0"/>
    <s v="S"/>
    <x v="8"/>
    <s v="C02-GK09-0.4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hree Bajrang Steel Udyog"/>
  </r>
  <r>
    <n v="744"/>
    <d v="2025-09-16T00:00:00"/>
    <s v="ZBTO"/>
    <n v="9519107996"/>
    <n v="1"/>
    <s v="9519107996-1"/>
    <s v="No Priority"/>
    <s v="Released"/>
    <x v="1"/>
    <x v="4"/>
    <x v="4"/>
    <m/>
    <s v="1000-IPPE"/>
    <m/>
    <s v="GAMHARIA"/>
    <s v="BOMB"/>
    <n v="940016"/>
    <s v="TATA BLUESCOPE STEEL PVT LTD."/>
    <n v="3996225"/>
    <s v="PPGL C Y550 HPL6 0.40BMT(0.47TPT)X1220"/>
    <s v="B18"/>
    <s v="Y550PL"/>
    <s v="HPL6"/>
    <n v="0.4"/>
    <n v="1220"/>
    <n v="0"/>
    <s v="T2 DONE"/>
    <s v="AZ150"/>
    <s v="NUVO BLUE TSL 1903"/>
    <n v="3"/>
    <n v="5"/>
    <n v="252"/>
    <n v="0"/>
    <n v="252"/>
    <n v="25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52"/>
    <s v="0.38-0.42"/>
    <s v="1220-1222"/>
    <m/>
    <m/>
    <m/>
    <m/>
    <m/>
    <x v="0"/>
    <s v="M"/>
    <x v="5"/>
    <s v="B18-HPL6-0.4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2"/>
    <d v="2025-07-10T00:00:00"/>
    <s v="ZBTO"/>
    <n v="9518920185"/>
    <n v="1"/>
    <s v="9518920185-1"/>
    <s v="No Priority"/>
    <s v="Released"/>
    <x v="0"/>
    <x v="0"/>
    <x v="15"/>
    <m/>
    <s v="2000-BPRS"/>
    <m/>
    <s v="FARIDABAD"/>
    <s v="FBAD"/>
    <n v="116735"/>
    <s v="RAKESH STEELS"/>
    <n v="2420510"/>
    <s v="CRCA COIL TATXXD AH03 0.600X1250"/>
    <s v="C01"/>
    <s v="TATXXD"/>
    <s v="AH03"/>
    <n v="0.6"/>
    <n v="1250"/>
    <n v="0"/>
    <s v="T2 DONE"/>
    <s v=" "/>
    <s v=""/>
    <n v="10"/>
    <n v="30"/>
    <n v="58"/>
    <n v="0"/>
    <n v="58"/>
    <n v="5.54"/>
    <n v="0"/>
    <n v="0"/>
    <n v="0"/>
    <s v=""/>
    <s v=""/>
    <s v=""/>
    <s v=""/>
    <s v=""/>
    <s v=""/>
    <s v=""/>
    <s v=""/>
    <n v="52.46"/>
    <s v=""/>
    <s v=""/>
    <n v="0"/>
    <s v=""/>
    <s v=""/>
    <s v=""/>
    <s v=""/>
    <n v="52.46"/>
    <n v="52.46"/>
    <n v="0"/>
    <n v="5.5399999999999991"/>
    <s v="0.57-0.61"/>
    <s v="1250-1270"/>
    <m/>
    <m/>
    <m/>
    <m/>
    <m/>
    <x v="0"/>
    <s v="U"/>
    <x v="23"/>
    <s v="C01-AH03-0.6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s v="RAKESH STEELS"/>
  </r>
  <r>
    <n v="742"/>
    <d v="2025-08-19T00:00:00"/>
    <s v="ZBTO"/>
    <n v="9519028090"/>
    <n v="3"/>
    <s v="9519028090-3"/>
    <s v="Oct'25"/>
    <s v="Released"/>
    <x v="1"/>
    <x v="0"/>
    <x v="15"/>
    <m/>
    <s v="2000-BPRS"/>
    <m/>
    <s v="JSR"/>
    <s v="CALS"/>
    <n v="155536"/>
    <s v="TATA STEEL DOWNSTREAM PRODUCTS LIMI"/>
    <n v="2420609"/>
    <s v="CRCA COIL TATXXD AH03 1.900X1250"/>
    <s v="C01"/>
    <s v="TATXXD"/>
    <s v="AH03"/>
    <n v="1.9"/>
    <n v="1250"/>
    <n v="0"/>
    <s v="T2 DONE"/>
    <s v=" "/>
    <s v=""/>
    <n v="13"/>
    <n v="29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1.7-1.9"/>
    <s v="1250-1270"/>
    <m/>
    <m/>
    <m/>
    <m/>
    <m/>
    <x v="0"/>
    <s v="U"/>
    <x v="19"/>
    <s v="C01-AH03-1.9-1250"/>
    <s v="367-SH67-4-1250"/>
    <x v="0"/>
    <x v="6"/>
    <x v="6"/>
    <x v="6"/>
    <x v="10"/>
    <x v="0"/>
    <x v="84"/>
    <m/>
    <m/>
    <m/>
    <m/>
    <m/>
    <m/>
    <m/>
    <m/>
    <m/>
    <m/>
    <m/>
    <m/>
    <m/>
    <m/>
    <m/>
    <m/>
    <m/>
    <m/>
    <m/>
    <s v="TATA STEEL DOWNSTREAM PRODUCTS LIMI"/>
  </r>
  <r>
    <n v="742"/>
    <d v="2025-08-06T00:00:00"/>
    <s v="ZBTO"/>
    <n v="9518997362"/>
    <n v="3"/>
    <s v="9518997362-3"/>
    <s v="Sep'25"/>
    <s v="Released"/>
    <x v="0"/>
    <x v="0"/>
    <x v="0"/>
    <m/>
    <s v="2000-BPRS"/>
    <m/>
    <s v="RAILAPUR"/>
    <s v="SBAD"/>
    <n v="949570"/>
    <s v="G K ISPAT PRIVATE LIMITED"/>
    <n v="189861"/>
    <s v="CR COIL TATXXD AU03 1.150X1250"/>
    <s v="C01"/>
    <s v="TATXXD"/>
    <s v="AU03"/>
    <n v="1.1499999999999999"/>
    <n v="1250"/>
    <n v="0"/>
    <s v="T2 DONE"/>
    <s v=" "/>
    <s v=""/>
    <n v="12.6"/>
    <n v="25"/>
    <n v="57.999000000000002"/>
    <n v="25.625"/>
    <n v="32.374000000000002"/>
    <n v="5.274"/>
    <n v="0"/>
    <n v="0"/>
    <n v="0"/>
    <s v=""/>
    <s v=""/>
    <s v=""/>
    <s v=""/>
    <s v=""/>
    <s v=""/>
    <s v=""/>
    <s v=""/>
    <n v="27.1"/>
    <s v=""/>
    <s v=""/>
    <n v="0"/>
    <s v=""/>
    <s v=""/>
    <s v=""/>
    <s v=""/>
    <n v="27.1"/>
    <n v="27.1"/>
    <n v="0"/>
    <n v="5.2740000000000009"/>
    <s v="1.12-1.15"/>
    <s v="1250-1262"/>
    <m/>
    <m/>
    <m/>
    <m/>
    <m/>
    <x v="0"/>
    <s v="U"/>
    <x v="0"/>
    <s v="C01-AU03-1.15-1250"/>
    <s v="367-SH08-3.2-1250"/>
    <x v="0"/>
    <x v="0"/>
    <x v="0"/>
    <x v="0"/>
    <x v="3"/>
    <x v="0"/>
    <x v="58"/>
    <m/>
    <m/>
    <m/>
    <m/>
    <m/>
    <m/>
    <m/>
    <m/>
    <m/>
    <m/>
    <m/>
    <m/>
    <m/>
    <m/>
    <m/>
    <m/>
    <m/>
    <m/>
    <m/>
    <s v="G K ISPAT PRIVATE LIMITED"/>
  </r>
  <r>
    <n v="742"/>
    <d v="2025-07-20T00:00:00"/>
    <s v="ZBTO"/>
    <n v="9518944233"/>
    <n v="2"/>
    <s v="9518944233-2"/>
    <s v="Sep'25"/>
    <s v="Released"/>
    <x v="0"/>
    <x v="0"/>
    <x v="0"/>
    <m/>
    <s v="2000-BPRS"/>
    <m/>
    <s v="VISHAKHAPATNAM"/>
    <s v="SBAD"/>
    <n v="946077"/>
    <s v="SITARAM IRON AND STEEL PVT LTD"/>
    <n v="1801798"/>
    <s v="CRCA COIL-TATXXD-AU03-1X900"/>
    <s v="C01"/>
    <s v="TATXXD"/>
    <s v="AU03"/>
    <n v="1"/>
    <n v="900"/>
    <n v="0"/>
    <s v="T2 DONE"/>
    <s v=" "/>
    <s v=""/>
    <n v="8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97-1"/>
    <s v="900-904"/>
    <m/>
    <m/>
    <m/>
    <m/>
    <m/>
    <x v="0"/>
    <s v="C"/>
    <x v="0"/>
    <s v="C01-AU03-1-900"/>
    <s v="B69-SH08-2.8-925"/>
    <x v="2"/>
    <x v="0"/>
    <x v="0"/>
    <x v="0"/>
    <x v="0"/>
    <x v="3"/>
    <x v="85"/>
    <m/>
    <m/>
    <m/>
    <m/>
    <m/>
    <m/>
    <m/>
    <m/>
    <m/>
    <m/>
    <m/>
    <m/>
    <m/>
    <m/>
    <m/>
    <m/>
    <m/>
    <m/>
    <m/>
    <s v="SITARAM IRON AND STEEL PVT LTD"/>
  </r>
  <r>
    <n v="742"/>
    <d v="2025-07-20T00:00:00"/>
    <s v="ZBTO"/>
    <n v="9518944233"/>
    <n v="3"/>
    <s v="9518944233-3"/>
    <s v="Sep'25"/>
    <s v="Released"/>
    <x v="1"/>
    <x v="0"/>
    <x v="0"/>
    <m/>
    <s v="2000-BPRS"/>
    <m/>
    <s v="VISHAKHAPATNAM"/>
    <s v="SBAD"/>
    <n v="946077"/>
    <s v="SITARAM IRON AND STEEL PVT LTD"/>
    <n v="1804842"/>
    <s v="CRCA COIL-TATXXD-AU03-1X1000"/>
    <s v="C01"/>
    <s v="TATXXD"/>
    <s v="AU03"/>
    <n v="1"/>
    <n v="1000"/>
    <n v="0"/>
    <s v="T2 DONE"/>
    <s v=" "/>
    <s v=""/>
    <n v="8"/>
    <n v="12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97-1"/>
    <s v="1000-1004"/>
    <m/>
    <m/>
    <m/>
    <m/>
    <m/>
    <x v="0"/>
    <s v="C"/>
    <x v="0"/>
    <s v="C01-AU03-1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SITARAM IRON AND STEEL PVT LTD"/>
  </r>
  <r>
    <n v="743"/>
    <d v="2025-08-21T00:00:00"/>
    <s v="ZBTO"/>
    <n v="9519035728"/>
    <n v="1"/>
    <s v="9519035728-1"/>
    <s v="Stocks"/>
    <s v="Released"/>
    <x v="0"/>
    <x v="1"/>
    <x v="4"/>
    <m/>
    <s v="1000-IPPE"/>
    <m/>
    <s v="TATANAGAR"/>
    <s v="BOMB"/>
    <n v="942284"/>
    <s v="TATA BLUESCOPE STEEL PRIVATE LIMITE"/>
    <n v="3856036"/>
    <s v="GL C YS550 M306 0.30BMT(0.32TCT)X900"/>
    <s v="B04"/>
    <s v="Y550GL"/>
    <s v="M306"/>
    <n v="0.3"/>
    <n v="900"/>
    <n v="0"/>
    <s v="T2 DONE"/>
    <s v="aZ70"/>
    <s v=""/>
    <n v="3"/>
    <n v="5"/>
    <n v="147"/>
    <n v="3.68"/>
    <n v="143.32"/>
    <n v="143.32"/>
    <n v="3.68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43.32"/>
    <s v="0.28-0.32"/>
    <s v="900-902"/>
    <m/>
    <m/>
    <m/>
    <m/>
    <m/>
    <x v="0"/>
    <s v="R"/>
    <x v="19"/>
    <s v="B04-M306-0.3-900"/>
    <s v="727-SF93-2-903"/>
    <x v="1"/>
    <x v="4"/>
    <x v="4"/>
    <x v="4"/>
    <x v="2"/>
    <x v="15"/>
    <x v="32"/>
    <m/>
    <m/>
    <m/>
    <m/>
    <m/>
    <m/>
    <m/>
    <m/>
    <m/>
    <m/>
    <m/>
    <m/>
    <m/>
    <m/>
    <m/>
    <m/>
    <m/>
    <m/>
    <m/>
    <s v="TATA BLUESCOPE STEEL PRIVATE LIMITE"/>
  </r>
  <r>
    <n v="744"/>
    <d v="2025-08-21T00:00:00"/>
    <s v="ZBTO"/>
    <n v="9519035613"/>
    <n v="1"/>
    <s v="9519035613-1"/>
    <s v="Sep'25"/>
    <s v="Released"/>
    <x v="0"/>
    <x v="4"/>
    <x v="4"/>
    <m/>
    <s v="1000-IPPE"/>
    <m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0"/>
    <n v="280"/>
    <n v="56.252000000000002"/>
    <n v="0"/>
    <n v="143.49"/>
    <n v="56.164999999999999"/>
    <s v=""/>
    <s v=""/>
    <s v=""/>
    <s v=""/>
    <s v=""/>
    <n v="24.093"/>
    <s v=""/>
    <s v=""/>
    <s v=""/>
    <s v=""/>
    <s v=""/>
    <n v="0"/>
    <s v=""/>
    <s v=""/>
    <s v=""/>
    <s v=""/>
    <n v="223.74799999999999"/>
    <n v="223.74799999999999"/>
    <n v="55"/>
    <n v="1.2520000000000095"/>
    <s v="0.41-0.45"/>
    <s v="1220-1222"/>
    <m/>
    <m/>
    <m/>
    <m/>
    <m/>
    <x v="0"/>
    <s v="M"/>
    <x v="5"/>
    <s v="B18-D0C7-0.43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2"/>
    <d v="2025-08-20T00:00:00"/>
    <s v="ZBTO"/>
    <n v="9519031476"/>
    <n v="5"/>
    <s v="9519031476-5"/>
    <s v="No Priority"/>
    <s v="Released"/>
    <x v="0"/>
    <x v="0"/>
    <x v="6"/>
    <m/>
    <s v="2000-BPRS"/>
    <m/>
    <s v="TANGI"/>
    <s v="BHUB"/>
    <n v="117061"/>
    <s v="BHARTIA  DISTRIBUTORS PVT. LTD."/>
    <n v="3240790"/>
    <s v="CRCA SHEET TSBCRC SR15 0.700X1000X2500"/>
    <s v="C06"/>
    <s v="TSBCRC"/>
    <s v="SR15"/>
    <n v="0.7"/>
    <n v="1000"/>
    <n v="2500"/>
    <s v="T2 DONE"/>
    <s v=" "/>
    <s v=""/>
    <n v="0.1"/>
    <n v="5"/>
    <n v="23"/>
    <n v="0"/>
    <n v="23"/>
    <n v="1.91"/>
    <n v="0"/>
    <n v="0"/>
    <n v="0"/>
    <s v=""/>
    <s v=""/>
    <s v=""/>
    <s v=""/>
    <s v=""/>
    <s v=""/>
    <s v=""/>
    <n v="21.09"/>
    <s v=""/>
    <s v=""/>
    <s v=""/>
    <n v="0"/>
    <s v=""/>
    <s v=""/>
    <s v=""/>
    <s v=""/>
    <n v="21.09"/>
    <n v="21.09"/>
    <n v="0"/>
    <n v="1.9100000000000001"/>
    <s v="0.67-0.7"/>
    <s v="1000-1002"/>
    <m/>
    <m/>
    <m/>
    <m/>
    <m/>
    <x v="0"/>
    <s v="T"/>
    <x v="7"/>
    <s v="C06-SR15-0.7-1000"/>
    <s v="B69-SH69-2.8-1025"/>
    <x v="2"/>
    <x v="7"/>
    <x v="7"/>
    <x v="7"/>
    <x v="0"/>
    <x v="7"/>
    <x v="51"/>
    <m/>
    <m/>
    <m/>
    <m/>
    <m/>
    <m/>
    <m/>
    <m/>
    <m/>
    <m/>
    <m/>
    <m/>
    <m/>
    <m/>
    <m/>
    <m/>
    <m/>
    <m/>
    <m/>
    <s v="BHARTIA  DISTRIBUTORS PVT. LTD."/>
  </r>
  <r>
    <n v="742"/>
    <d v="2025-08-20T00:00:00"/>
    <s v="ZBTO"/>
    <n v="9519031476"/>
    <n v="6"/>
    <s v="9519031476-6"/>
    <s v="No Priority"/>
    <s v="Released"/>
    <x v="0"/>
    <x v="0"/>
    <x v="6"/>
    <m/>
    <s v="2000-BPRS"/>
    <m/>
    <s v="TANGI"/>
    <s v="BHUB"/>
    <n v="117061"/>
    <s v="BHARTIA  DISTRIBUTORS PVT. LTD."/>
    <n v="3240799"/>
    <s v="CRCA SHEET TSBCRC SR15 0.750X1250X2500"/>
    <s v="C06"/>
    <s v="TSBCRC"/>
    <s v="SR15"/>
    <n v="0.75"/>
    <n v="1250"/>
    <n v="2500"/>
    <s v="T2 DONE"/>
    <s v=" "/>
    <s v=""/>
    <n v="0.1"/>
    <n v="5"/>
    <n v="29"/>
    <n v="2.78"/>
    <n v="26.22"/>
    <n v="-0.1"/>
    <n v="2.7800000000000002"/>
    <n v="0"/>
    <n v="0"/>
    <s v=""/>
    <s v=""/>
    <s v=""/>
    <s v=""/>
    <s v=""/>
    <s v=""/>
    <s v=""/>
    <s v=""/>
    <n v="26.32"/>
    <s v=""/>
    <s v=""/>
    <n v="0"/>
    <s v=""/>
    <s v=""/>
    <s v=""/>
    <s v=""/>
    <n v="26.32"/>
    <n v="26.32"/>
    <n v="0"/>
    <n v="-0.10000000000000142"/>
    <s v="0.72-0.75"/>
    <s v="1250-1251"/>
    <m/>
    <m/>
    <m/>
    <m/>
    <m/>
    <x v="0"/>
    <s v="T"/>
    <x v="7"/>
    <s v="C06-SR15-0.75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s v="BHARTIA  DISTRIBUTORS PVT. LTD."/>
  </r>
  <r>
    <n v="742"/>
    <d v="2025-07-21T00:00:00"/>
    <s v="ZBTO"/>
    <n v="9518946807"/>
    <n v="2"/>
    <s v="9518946807-2"/>
    <s v="No Priority"/>
    <s v="Released"/>
    <x v="0"/>
    <x v="0"/>
    <x v="0"/>
    <m/>
    <s v="2000-BPRS"/>
    <m/>
    <s v="ZOSOLA"/>
    <s v="FBAD"/>
    <n v="101499"/>
    <s v="G.R. GUPTA &amp; BROS."/>
    <n v="1804772"/>
    <s v="CRCA COIL TATXXD AU03 0.4X1250"/>
    <s v="C01"/>
    <s v="TATXXD"/>
    <s v="AU03"/>
    <n v="0.4"/>
    <n v="1250"/>
    <n v="0"/>
    <s v="T2 DONE"/>
    <s v=" "/>
    <s v=""/>
    <n v="10"/>
    <n v="30"/>
    <n v="145"/>
    <n v="0"/>
    <n v="145"/>
    <n v="14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45"/>
    <s v="0.37-0.41"/>
    <s v="1250-1252"/>
    <m/>
    <m/>
    <m/>
    <m/>
    <m/>
    <x v="0"/>
    <s v="M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G.R. GUPTA &amp; BROS."/>
  </r>
  <r>
    <n v="742"/>
    <d v="2025-07-21T00:00:00"/>
    <s v="ZBTO"/>
    <n v="9518946807"/>
    <n v="3"/>
    <s v="9518946807-3"/>
    <s v="No Priority"/>
    <s v="Released"/>
    <x v="0"/>
    <x v="0"/>
    <x v="0"/>
    <m/>
    <s v="2000-BPRS"/>
    <m/>
    <s v="ZOSOLA"/>
    <s v="FBAD"/>
    <n v="101499"/>
    <s v="G.R. GUPTA &amp; BROS.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42-0.46"/>
    <s v="1250-1252"/>
    <m/>
    <m/>
    <m/>
    <m/>
    <m/>
    <x v="0"/>
    <s v="M"/>
    <x v="0"/>
    <s v="C01-AU03-0.45-1250"/>
    <s v="367-SH08-2.25-1250"/>
    <x v="0"/>
    <x v="0"/>
    <x v="0"/>
    <x v="0"/>
    <x v="4"/>
    <x v="0"/>
    <x v="15"/>
    <m/>
    <m/>
    <m/>
    <m/>
    <m/>
    <m/>
    <m/>
    <m/>
    <m/>
    <m/>
    <m/>
    <m/>
    <m/>
    <m/>
    <m/>
    <m/>
    <m/>
    <m/>
    <m/>
    <s v="G.R. GUPTA &amp; BROS."/>
  </r>
  <r>
    <n v="742"/>
    <d v="2025-07-21T00:00:00"/>
    <s v="ZBTO"/>
    <n v="9518945240"/>
    <n v="2"/>
    <s v="9518945240-2"/>
    <s v="No Priority"/>
    <s v="Released"/>
    <x v="0"/>
    <x v="0"/>
    <x v="0"/>
    <m/>
    <s v="2000-BPRS"/>
    <m/>
    <s v="LONI"/>
    <s v="DELI"/>
    <n v="101499"/>
    <s v="G.R. GUPTA &amp; BROS."/>
    <n v="1801022"/>
    <s v="CRCA COIL-TATXXD-AU03-0.45X1250"/>
    <s v="C01"/>
    <s v="TATXXD"/>
    <s v="AU03"/>
    <n v="0.45"/>
    <n v="1250"/>
    <n v="0"/>
    <s v="T2 DONE"/>
    <s v=" "/>
    <s v=""/>
    <n v="10"/>
    <n v="3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2-0.47"/>
    <s v="1250-1262"/>
    <m/>
    <m/>
    <m/>
    <m/>
    <m/>
    <x v="0"/>
    <s v="M"/>
    <x v="0"/>
    <s v="C01-AU03-0.45-1250"/>
    <s v="367-SH08-2.25-1250"/>
    <x v="0"/>
    <x v="0"/>
    <x v="0"/>
    <x v="0"/>
    <x v="4"/>
    <x v="0"/>
    <x v="15"/>
    <m/>
    <m/>
    <m/>
    <m/>
    <m/>
    <m/>
    <m/>
    <m/>
    <m/>
    <m/>
    <m/>
    <m/>
    <m/>
    <m/>
    <m/>
    <m/>
    <m/>
    <m/>
    <m/>
    <s v="G.R. GUPTA &amp; BROS."/>
  </r>
  <r>
    <n v="742"/>
    <d v="2025-07-18T00:00:00"/>
    <s v="ZBTO"/>
    <n v="9518939234"/>
    <n v="1"/>
    <s v="9518939234-1"/>
    <s v="Oct'25"/>
    <s v="Released"/>
    <x v="1"/>
    <x v="0"/>
    <x v="6"/>
    <m/>
    <s v="2000-BPRS"/>
    <m/>
    <s v="HOWRAH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s v=" "/>
    <s v=""/>
    <n v="0"/>
    <n v="0"/>
    <n v="26"/>
    <n v="0"/>
    <n v="26"/>
    <n v="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6"/>
    <s v="0.5-0.7"/>
    <s v="1120-1122"/>
    <m/>
    <m/>
    <m/>
    <m/>
    <m/>
    <x v="0"/>
    <s v="T"/>
    <x v="7"/>
    <s v="C06-SR15-0.7-1120"/>
    <s v="367-SH69-2.8-1130"/>
    <x v="0"/>
    <x v="7"/>
    <x v="7"/>
    <x v="7"/>
    <x v="0"/>
    <x v="21"/>
    <x v="104"/>
    <m/>
    <m/>
    <m/>
    <m/>
    <m/>
    <m/>
    <m/>
    <m/>
    <m/>
    <m/>
    <m/>
    <m/>
    <m/>
    <m/>
    <m/>
    <m/>
    <m/>
    <m/>
    <m/>
    <s v="PSPL STEEL PROCESSORS PRIVATE LIMIT"/>
  </r>
  <r>
    <n v="743"/>
    <d v="2025-07-16T00:00:00"/>
    <s v="ZBTO"/>
    <n v="9518933421"/>
    <n v="1"/>
    <s v="9518933421-1"/>
    <s v="Sep'25"/>
    <s v="Released"/>
    <x v="1"/>
    <x v="3"/>
    <x v="7"/>
    <m/>
    <s v="2000-BPRS"/>
    <m/>
    <s v=" "/>
    <s v="KANP"/>
    <n v="938845"/>
    <s v="JAISWAL IRON STORES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196-0.24"/>
    <s v="900-904"/>
    <m/>
    <m/>
    <m/>
    <m/>
    <m/>
    <x v="0"/>
    <s v="S"/>
    <x v="8"/>
    <s v="C02-GK09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JAISWAL IRON STORES"/>
  </r>
  <r>
    <n v="743"/>
    <d v="2025-07-17T00:00:00"/>
    <s v="ZBTO"/>
    <n v="9518936251"/>
    <n v="1"/>
    <s v="9518936251-1"/>
    <s v="Sep'25"/>
    <s v="Released"/>
    <x v="1"/>
    <x v="3"/>
    <x v="7"/>
    <m/>
    <s v="2000-BPRS"/>
    <m/>
    <s v="KANPUR"/>
    <s v="KANP"/>
    <n v="938789"/>
    <s v="JAIN STEEL DISTRIBUTORS"/>
    <n v="1191955"/>
    <s v="GP COIL SOFT-TATXGP-GK09-0.3X900"/>
    <s v="C02"/>
    <s v="TATXGP"/>
    <s v="GK09"/>
    <n v="0.3"/>
    <n v="900"/>
    <n v="0"/>
    <s v="T2 DONE"/>
    <s v="Z80"/>
    <s v=""/>
    <n v="4"/>
    <n v="12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296-0.3"/>
    <s v="900-904"/>
    <m/>
    <m/>
    <m/>
    <m/>
    <m/>
    <x v="0"/>
    <s v="S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JAIN STEEL DISTRIBUTORS"/>
  </r>
  <r>
    <n v="743"/>
    <d v="2025-07-17T00:00:00"/>
    <s v="ZBTO"/>
    <n v="9518936251"/>
    <n v="2"/>
    <s v="9518936251-2"/>
    <s v="Sep'25"/>
    <s v="Released"/>
    <x v="1"/>
    <x v="3"/>
    <x v="7"/>
    <m/>
    <s v="2000-BPRS"/>
    <m/>
    <s v="KANPUR"/>
    <s v="KANP"/>
    <n v="938789"/>
    <s v="JAIN STEEL DISTRIBUTORS"/>
    <n v="1851065"/>
    <s v="GP COIL SOFT-TATXGP-GK09-0.25X900"/>
    <s v="C02"/>
    <s v="TATXGP"/>
    <s v="GK09"/>
    <n v="0.25"/>
    <n v="900"/>
    <n v="0"/>
    <s v="T2 DONE"/>
    <s v="Z80"/>
    <s v=""/>
    <n v="4"/>
    <n v="12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246-0.25"/>
    <s v="900-904"/>
    <m/>
    <m/>
    <m/>
    <m/>
    <m/>
    <x v="0"/>
    <s v="S"/>
    <x v="8"/>
    <s v="C02-GK09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JAIN STEEL DISTRIBUTORS"/>
  </r>
  <r>
    <n v="743"/>
    <d v="2025-07-17T00:00:00"/>
    <s v="ZBTO"/>
    <n v="9518936251"/>
    <n v="3"/>
    <s v="9518936251-3"/>
    <s v="Sep'25"/>
    <s v="Released"/>
    <x v="1"/>
    <x v="3"/>
    <x v="7"/>
    <m/>
    <s v="2000-BPRS"/>
    <m/>
    <s v="KANPUR"/>
    <s v="KANP"/>
    <n v="938789"/>
    <s v="JAIN STEEL DISTRIBUTORS"/>
    <n v="1851054"/>
    <s v="GP COIL SOFT-TATXGP-GK09-0.2X900"/>
    <s v="C02"/>
    <s v="TATXGP"/>
    <s v="GK09"/>
    <n v="0.2"/>
    <n v="900"/>
    <n v="0"/>
    <s v="T2 DONE"/>
    <s v="Z80"/>
    <s v=""/>
    <n v="4"/>
    <n v="12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196-0.2"/>
    <s v="900-904"/>
    <m/>
    <m/>
    <m/>
    <m/>
    <m/>
    <x v="0"/>
    <s v="S"/>
    <x v="8"/>
    <s v="C02-GK09-0.2-900"/>
    <s v="B69-HG02-1.6-925"/>
    <x v="2"/>
    <x v="1"/>
    <x v="1"/>
    <x v="1"/>
    <x v="6"/>
    <x v="3"/>
    <x v="2"/>
    <m/>
    <m/>
    <m/>
    <m/>
    <m/>
    <m/>
    <m/>
    <m/>
    <m/>
    <m/>
    <m/>
    <m/>
    <m/>
    <m/>
    <m/>
    <m/>
    <m/>
    <m/>
    <m/>
    <s v="JAIN STEEL DISTRIBUTORS"/>
  </r>
  <r>
    <n v="743"/>
    <d v="2025-09-02T00:00:00"/>
    <s v="ZBTO"/>
    <n v="9519072913"/>
    <n v="3"/>
    <s v="9519072913-3"/>
    <s v="Sep'25 additional"/>
    <s v="Released"/>
    <x v="1"/>
    <x v="3"/>
    <x v="7"/>
    <m/>
    <s v="2000-BPRS"/>
    <m/>
    <s v=" 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38-0.42"/>
    <s v="900-904"/>
    <m/>
    <m/>
    <m/>
    <m/>
    <m/>
    <x v="0"/>
    <s v="S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R. S. BOKARO METAL (P) LTD."/>
  </r>
  <r>
    <n v="743"/>
    <d v="2025-09-02T00:00:00"/>
    <s v="ZBTO"/>
    <n v="9519072913"/>
    <n v="5"/>
    <s v="9519072913-5"/>
    <s v="Sep'25 additional"/>
    <s v="Released"/>
    <x v="1"/>
    <x v="3"/>
    <x v="7"/>
    <m/>
    <s v="2000-BPRS"/>
    <m/>
    <s v=" 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48-0.52"/>
    <s v="900-904"/>
    <m/>
    <m/>
    <m/>
    <m/>
    <m/>
    <x v="0"/>
    <s v="S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R. S. BOKARO METAL (P) LTD."/>
  </r>
  <r>
    <n v="742"/>
    <d v="2025-08-26T00:00:00"/>
    <s v="ZBTO"/>
    <n v="9519049797"/>
    <n v="2"/>
    <s v="9519049797-2"/>
    <s v="Oct'25"/>
    <s v="Released"/>
    <x v="1"/>
    <x v="0"/>
    <x v="6"/>
    <m/>
    <s v="2000-BPRS"/>
    <m/>
    <s v="SILIGURI TOWN"/>
    <s v="GWAH"/>
    <n v="948783"/>
    <s v="SAGAR STEELS"/>
    <n v="3409912"/>
    <s v="CRCA SHEET TSBCRC SR15 0.500X1120X2000"/>
    <s v="C06"/>
    <s v="TSBCRC"/>
    <s v="SR15"/>
    <n v="0.5"/>
    <n v="1120"/>
    <n v="2000"/>
    <s v="T2 DONE"/>
    <s v=" "/>
    <s v=""/>
    <n v="2"/>
    <n v="3"/>
    <n v="26"/>
    <n v="0"/>
    <n v="26"/>
    <n v="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6"/>
    <s v="0.47-0.5"/>
    <s v="1120-1132"/>
    <m/>
    <m/>
    <m/>
    <m/>
    <m/>
    <x v="0"/>
    <s v="T"/>
    <x v="7"/>
    <s v="C06-SR15-0.5-1120"/>
    <s v="367-SH69-2.25-1135"/>
    <x v="0"/>
    <x v="7"/>
    <x v="7"/>
    <x v="7"/>
    <x v="4"/>
    <x v="14"/>
    <x v="2"/>
    <m/>
    <m/>
    <m/>
    <m/>
    <m/>
    <m/>
    <m/>
    <m/>
    <m/>
    <m/>
    <m/>
    <m/>
    <m/>
    <m/>
    <m/>
    <m/>
    <m/>
    <m/>
    <m/>
    <s v="SAGAR STEELS"/>
  </r>
  <r>
    <n v="742"/>
    <d v="2025-08-05T00:00:00"/>
    <s v="ZBTO"/>
    <n v="9518994601"/>
    <n v="4"/>
    <s v="9518994601-4"/>
    <s v="No Priority"/>
    <s v="Released"/>
    <x v="0"/>
    <x v="0"/>
    <x v="0"/>
    <m/>
    <s v="2000-BPRS"/>
    <m/>
    <s v="YESHWANTHPURA"/>
    <s v="BANG"/>
    <n v="932244"/>
    <s v="DURGA TRADERS"/>
    <n v="1804826"/>
    <s v="CRCA COIL-TATXXD-AU03-0.9X1250"/>
    <s v="C01"/>
    <s v="TATXXD"/>
    <s v="AU03"/>
    <n v="0.9"/>
    <n v="1250"/>
    <n v="0"/>
    <s v="T2 DONE"/>
    <s v=" "/>
    <s v=""/>
    <n v="10"/>
    <n v="28"/>
    <n v="87"/>
    <n v="0"/>
    <n v="87"/>
    <n v="60.7"/>
    <n v="0"/>
    <n v="0"/>
    <n v="0"/>
    <s v=""/>
    <s v=""/>
    <s v=""/>
    <s v=""/>
    <s v=""/>
    <s v=""/>
    <s v=""/>
    <s v=""/>
    <n v="26.3"/>
    <s v=""/>
    <s v=""/>
    <n v="0"/>
    <s v=""/>
    <s v=""/>
    <s v=""/>
    <s v=""/>
    <n v="26.3"/>
    <n v="26.3"/>
    <n v="0"/>
    <n v="60.7"/>
    <s v="0.86-0.9"/>
    <s v="1250-1262"/>
    <m/>
    <m/>
    <m/>
    <m/>
    <m/>
    <x v="0"/>
    <s v="U"/>
    <x v="0"/>
    <s v="C01-AU03-0.9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DURGA TRADERS"/>
  </r>
  <r>
    <n v="742"/>
    <d v="2025-09-11T00:00:00"/>
    <s v="ZBTO"/>
    <n v="9519094552"/>
    <n v="6"/>
    <s v="9519094552-6"/>
    <s v="Oct'25"/>
    <s v="Released"/>
    <x v="1"/>
    <x v="0"/>
    <x v="6"/>
    <m/>
    <s v="2000-BPRS"/>
    <m/>
    <s v="SILIGURI TOWN"/>
    <s v="GWAH"/>
    <n v="948783"/>
    <s v="SAGAR STEELS"/>
    <n v="3240753"/>
    <s v="CRCA SHEET TSBCRC SR15 0.500X900X2500"/>
    <s v="C06"/>
    <s v="TSBCRC"/>
    <s v="SR15"/>
    <n v="0.5"/>
    <n v="900"/>
    <n v="2500"/>
    <s v="T2 DONE"/>
    <s v=" "/>
    <s v=""/>
    <n v="2"/>
    <n v="3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47-0.5"/>
    <s v="900-920"/>
    <m/>
    <m/>
    <m/>
    <m/>
    <m/>
    <x v="0"/>
    <s v="T"/>
    <x v="7"/>
    <s v="C06-SR15-0.5-900"/>
    <s v="B69-SH69-2.25-925"/>
    <x v="2"/>
    <x v="7"/>
    <x v="7"/>
    <x v="7"/>
    <x v="4"/>
    <x v="3"/>
    <x v="2"/>
    <m/>
    <m/>
    <m/>
    <m/>
    <m/>
    <m/>
    <m/>
    <m/>
    <m/>
    <m/>
    <m/>
    <m/>
    <m/>
    <m/>
    <m/>
    <m/>
    <m/>
    <m/>
    <m/>
    <s v="SAGAR STEELS"/>
  </r>
  <r>
    <n v="742"/>
    <d v="2025-08-29T00:00:00"/>
    <s v="ZBTO"/>
    <n v="9519062631"/>
    <n v="12"/>
    <s v="9519062631-12"/>
    <s v="Oct'25"/>
    <s v="Released"/>
    <x v="1"/>
    <x v="0"/>
    <x v="6"/>
    <m/>
    <s v="2000-BPRS"/>
    <m/>
    <s v="VARANASI"/>
    <s v="FBAD"/>
    <n v="931525"/>
    <s v="INDIA STEEL INDUSTRIES"/>
    <n v="3240863"/>
    <s v="CRCA SHEET TSBCRC SR15 1.500X1250X2500"/>
    <s v="C06"/>
    <s v="TSBCRC"/>
    <s v="SR15"/>
    <n v="1.5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1.48-1.52"/>
    <s v="1250-1254"/>
    <m/>
    <m/>
    <m/>
    <m/>
    <m/>
    <x v="0"/>
    <s v="M"/>
    <x v="3"/>
    <s v="C06-SR15-1.5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INDIA STEEL INDUSTRIES"/>
  </r>
  <r>
    <n v="742"/>
    <d v="2025-08-28T00:00:00"/>
    <s v="ZBTO"/>
    <n v="9519056703"/>
    <n v="5"/>
    <s v="9519056703-5"/>
    <s v="No Priority"/>
    <s v="Released"/>
    <x v="0"/>
    <x v="0"/>
    <x v="6"/>
    <m/>
    <s v="2000-BPRS"/>
    <m/>
    <s v="VARANASI"/>
    <s v="FBAD"/>
    <n v="931525"/>
    <s v="INDIA STEEL INDUSTRIES"/>
    <n v="4083606"/>
    <s v="CRCA SHEET TSBCRC SR15 0.400X1000X2500"/>
    <s v="C06"/>
    <s v="TSBCRC"/>
    <s v="SR15"/>
    <n v="0.4"/>
    <n v="1000"/>
    <n v="2500"/>
    <s v="T1 REJECT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8-0.42"/>
    <s v="1000-1004"/>
    <m/>
    <m/>
    <m/>
    <m/>
    <m/>
    <x v="0"/>
    <s v="M"/>
    <x v="3"/>
    <s v="C06-SR15-0.4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s v="INDIA STEEL INDUSTRIES"/>
  </r>
  <r>
    <n v="742"/>
    <d v="2025-09-09T00:00:00"/>
    <s v="ZBTN"/>
    <n v="9519088402"/>
    <n v="1"/>
    <s v="9519088402-1"/>
    <s v="No Priority"/>
    <s v="Released"/>
    <x v="0"/>
    <x v="0"/>
    <x v="16"/>
    <m/>
    <s v="2000-BPRS"/>
    <m/>
    <s v="VISHAKHAPATNAM"/>
    <s v="EXPO"/>
    <n v="189881"/>
    <s v="Magni Steel Pvt Ltd"/>
    <n v="3532124"/>
    <s v="CRCA SHEET TATCRC EX08 0.300X1219X2438"/>
    <s v="C06"/>
    <s v="TATCRC"/>
    <s v="EX08"/>
    <n v="0.3"/>
    <n v="1219"/>
    <n v="2438"/>
    <s v="T2 DONE"/>
    <s v=" "/>
    <s v=""/>
    <n v="2"/>
    <n v="3"/>
    <n v="26"/>
    <n v="0"/>
    <n v="26"/>
    <n v="-1.79"/>
    <n v="0"/>
    <n v="0"/>
    <n v="27.79"/>
    <s v=""/>
    <s v=""/>
    <s v=""/>
    <s v=""/>
    <s v=""/>
    <s v=""/>
    <s v=""/>
    <s v=""/>
    <s v=""/>
    <s v=""/>
    <s v=""/>
    <n v="0"/>
    <s v=""/>
    <s v=""/>
    <s v=""/>
    <s v=""/>
    <n v="27.79"/>
    <n v="27.79"/>
    <n v="0"/>
    <n v="-1.7899999999999991"/>
    <s v="0.28-0.32"/>
    <s v="1219-1224"/>
    <m/>
    <m/>
    <m/>
    <m/>
    <m/>
    <x v="0"/>
    <s v="M"/>
    <x v="3"/>
    <s v="C06-EX08-0.3-1219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Angul Cold Rolling Mill"/>
  </r>
  <r>
    <n v="742"/>
    <d v="2025-09-09T00:00:00"/>
    <s v="ZBTN"/>
    <n v="9519088402"/>
    <n v="2"/>
    <s v="9519088402-2"/>
    <s v="No Priority"/>
    <s v="Released"/>
    <x v="0"/>
    <x v="0"/>
    <x v="16"/>
    <m/>
    <s v="2000-BPRS"/>
    <m/>
    <s v="VISHAKHAPATNAM"/>
    <s v="EXPO"/>
    <n v="189881"/>
    <s v="Magni Steel Pvt Ltd"/>
    <n v="3532126"/>
    <s v="CRCA SHEET TATCRC EX08 0.350X1219X2438"/>
    <s v="C06"/>
    <s v="TATCRC"/>
    <s v="EX08"/>
    <n v="0.35"/>
    <n v="1219"/>
    <n v="2438"/>
    <s v="T2 DONE"/>
    <s v=" "/>
    <s v=""/>
    <n v="2"/>
    <n v="3"/>
    <n v="26"/>
    <n v="0"/>
    <n v="26"/>
    <n v="-1.69"/>
    <n v="0"/>
    <n v="0"/>
    <n v="27.69"/>
    <s v=""/>
    <s v=""/>
    <s v=""/>
    <s v=""/>
    <s v=""/>
    <s v=""/>
    <s v=""/>
    <s v=""/>
    <s v=""/>
    <s v=""/>
    <s v=""/>
    <n v="0"/>
    <s v=""/>
    <s v=""/>
    <s v=""/>
    <s v=""/>
    <n v="27.69"/>
    <n v="27.69"/>
    <n v="0"/>
    <n v="-1.6900000000000013"/>
    <s v="0.32-0.36"/>
    <s v="1219-1224"/>
    <m/>
    <m/>
    <m/>
    <m/>
    <m/>
    <x v="0"/>
    <s v="M"/>
    <x v="3"/>
    <s v="C06-EX08-0.35-1219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Angul Cold Rolling Mill"/>
  </r>
  <r>
    <n v="742"/>
    <d v="2025-08-26T00:00:00"/>
    <s v="ZBTO"/>
    <n v="9519051309"/>
    <n v="1"/>
    <s v="9519051309-1"/>
    <s v="Oct'25"/>
    <s v="Released"/>
    <x v="1"/>
    <x v="0"/>
    <x v="6"/>
    <m/>
    <s v="2000-BPRS"/>
    <m/>
    <s v="SILIGURI TOWN"/>
    <s v="GWAH"/>
    <n v="948783"/>
    <s v="SAGAR STEELS"/>
    <n v="3240778"/>
    <s v="CRCA SHEET TSBCRC SR15 0.600X1000X2500"/>
    <s v="C06"/>
    <s v="TSBCRC"/>
    <s v="SR15"/>
    <n v="0.6"/>
    <n v="1000"/>
    <n v="2500"/>
    <s v="T2 DONE"/>
    <s v=" "/>
    <s v=""/>
    <n v="2"/>
    <n v="3"/>
    <n v="22.98"/>
    <n v="0"/>
    <n v="22.98"/>
    <n v="22.9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2.98"/>
    <s v="0.57-0.6"/>
    <s v="1000-1002"/>
    <m/>
    <m/>
    <m/>
    <m/>
    <m/>
    <x v="0"/>
    <s v="T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SAGAR STEELS"/>
  </r>
  <r>
    <n v="744"/>
    <d v="2025-08-30T00:00:00"/>
    <s v="ZBTO"/>
    <n v="9519065717"/>
    <n v="3"/>
    <s v="9519065717-3"/>
    <s v="Sep'25"/>
    <s v="Released"/>
    <x v="0"/>
    <x v="4"/>
    <x v="4"/>
    <m/>
    <s v="1000-IPPE"/>
    <m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80"/>
    <n v="0"/>
    <n v="280"/>
    <n v="83.57"/>
    <n v="0"/>
    <n v="0"/>
    <n v="196.43"/>
    <s v=""/>
    <s v=""/>
    <s v=""/>
    <s v=""/>
    <s v=""/>
    <s v=""/>
    <s v=""/>
    <s v=""/>
    <s v=""/>
    <s v=""/>
    <s v=""/>
    <n v="0"/>
    <s v=""/>
    <s v=""/>
    <s v=""/>
    <s v=""/>
    <n v="196.43"/>
    <n v="196.43"/>
    <n v="84"/>
    <n v="-0.43000000000000682"/>
    <s v="0.38-0.42"/>
    <s v="1220-1222"/>
    <m/>
    <m/>
    <m/>
    <m/>
    <m/>
    <x v="0"/>
    <s v="M"/>
    <x v="5"/>
    <s v="B18-D0C7-0.4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4"/>
    <d v="2025-08-30T00:00:00"/>
    <s v="ZBTO"/>
    <n v="9519065717"/>
    <n v="4"/>
    <s v="9519065717-4"/>
    <s v="Sep'25"/>
    <s v="Released"/>
    <x v="0"/>
    <x v="4"/>
    <x v="4"/>
    <m/>
    <s v="1000-IPPE"/>
    <m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24"/>
    <n v="0"/>
    <n v="224"/>
    <n v="22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24"/>
    <n v="0"/>
    <s v="0.38-0.42"/>
    <s v="1220-1222"/>
    <m/>
    <m/>
    <m/>
    <m/>
    <m/>
    <x v="0"/>
    <s v="M"/>
    <x v="5"/>
    <s v="B18-D0C7-0.4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2"/>
    <d v="2025-08-18T00:00:00"/>
    <s v="ZBTO"/>
    <n v="9519025273"/>
    <n v="6"/>
    <s v="9519025273-6"/>
    <s v="Sep'25"/>
    <s v="Released"/>
    <x v="0"/>
    <x v="0"/>
    <x v="6"/>
    <m/>
    <s v="2000-BPRS"/>
    <m/>
    <s v="HOWRAH"/>
    <s v="CALS"/>
    <n v="925093"/>
    <s v="PSPL STEEL PROCESSORS PRIVATE LIMIT"/>
    <n v="3240753"/>
    <s v="CRCA SHEET TSBCRC SR15 0.500X900X2500"/>
    <s v="C06"/>
    <s v="TSBCRC"/>
    <s v="SR15"/>
    <n v="0.5"/>
    <n v="900"/>
    <n v="2500"/>
    <s v="T2 DONE"/>
    <s v=" "/>
    <s v=""/>
    <n v="2"/>
    <n v="3"/>
    <n v="20.998999999999999"/>
    <n v="0"/>
    <n v="20.998999999999999"/>
    <n v="20.998999999999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0.998999999999999"/>
    <s v="0.47-0.5"/>
    <s v="900-902"/>
    <m/>
    <m/>
    <m/>
    <m/>
    <m/>
    <x v="0"/>
    <s v="T"/>
    <x v="7"/>
    <s v="C06-SR15-0.5-900"/>
    <s v="B69-SH69-2.25-925"/>
    <x v="2"/>
    <x v="7"/>
    <x v="7"/>
    <x v="7"/>
    <x v="4"/>
    <x v="3"/>
    <x v="2"/>
    <m/>
    <m/>
    <m/>
    <m/>
    <m/>
    <m/>
    <m/>
    <m/>
    <m/>
    <m/>
    <m/>
    <m/>
    <m/>
    <m/>
    <m/>
    <m/>
    <m/>
    <m/>
    <m/>
    <s v="PSPL STEEL PROCESSORS PRIVATE LIMIT"/>
  </r>
  <r>
    <n v="742"/>
    <d v="2025-08-18T00:00:00"/>
    <s v="ZBTO"/>
    <n v="9519025273"/>
    <n v="8"/>
    <s v="9519025273-8"/>
    <s v="Oct'25"/>
    <s v="Released"/>
    <x v="1"/>
    <x v="0"/>
    <x v="6"/>
    <m/>
    <s v="2000-BPRS"/>
    <m/>
    <s v="HOWRAH"/>
    <s v="CALS"/>
    <n v="925093"/>
    <s v="PSPL STEEL PROCESSORS PRIVATE LIMIT"/>
    <n v="3240772"/>
    <s v="CRCA SHEET TSBCRC SR15 0.600X900X2500"/>
    <s v="C06"/>
    <s v="TSBCRC"/>
    <s v="SR15"/>
    <n v="0.6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57-0.6"/>
    <s v="900-902"/>
    <m/>
    <m/>
    <m/>
    <m/>
    <m/>
    <x v="0"/>
    <s v="T"/>
    <x v="7"/>
    <s v="C06-SR15-0.6-900"/>
    <s v="B69-SH69-2.5-925"/>
    <x v="2"/>
    <x v="7"/>
    <x v="7"/>
    <x v="7"/>
    <x v="7"/>
    <x v="3"/>
    <x v="30"/>
    <m/>
    <m/>
    <m/>
    <m/>
    <m/>
    <m/>
    <m/>
    <m/>
    <m/>
    <m/>
    <m/>
    <m/>
    <m/>
    <m/>
    <m/>
    <m/>
    <m/>
    <m/>
    <m/>
    <s v="PSPL STEEL PROCESSORS PRIVATE LIMIT"/>
  </r>
  <r>
    <n v="742"/>
    <d v="2025-07-18T00:00:00"/>
    <s v="ZBTO"/>
    <n v="9518939680"/>
    <n v="26"/>
    <s v="9518939680-26"/>
    <s v="No Priority"/>
    <s v="Released"/>
    <x v="0"/>
    <x v="0"/>
    <x v="0"/>
    <m/>
    <s v="2000-BPRS"/>
    <m/>
    <s v="CHENNAI"/>
    <s v="MADS"/>
    <n v="938550"/>
    <s v="BASEER AND CO"/>
    <n v="2146777"/>
    <s v="CRCA COIL TATXXD AU03 1X914"/>
    <s v="C01"/>
    <s v="TATXXD"/>
    <s v="AU03"/>
    <n v="1"/>
    <n v="914"/>
    <n v="0"/>
    <s v="T2 DONE"/>
    <s v=" "/>
    <s v=""/>
    <n v="6"/>
    <n v="18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98-1.02"/>
    <s v="914-918"/>
    <m/>
    <m/>
    <m/>
    <m/>
    <m/>
    <x v="0"/>
    <s v="R"/>
    <x v="0"/>
    <s v="C01-AU03-1-914"/>
    <s v="B69-SH08-2.8-935"/>
    <x v="2"/>
    <x v="0"/>
    <x v="0"/>
    <x v="0"/>
    <x v="0"/>
    <x v="16"/>
    <x v="105"/>
    <m/>
    <m/>
    <m/>
    <m/>
    <m/>
    <m/>
    <m/>
    <m/>
    <m/>
    <m/>
    <m/>
    <m/>
    <m/>
    <m/>
    <m/>
    <m/>
    <m/>
    <m/>
    <m/>
    <s v="BASEER AND CO"/>
  </r>
  <r>
    <n v="742"/>
    <d v="2025-08-14T00:00:00"/>
    <s v="ZBTF"/>
    <n v="9519016369"/>
    <n v="1"/>
    <s v="9519016369-1"/>
    <s v="Sep'25"/>
    <s v="Released"/>
    <x v="0"/>
    <x v="5"/>
    <x v="8"/>
    <m/>
    <s v="4000-BPRS"/>
    <m/>
    <s v="YESHWANTHPURA"/>
    <s v="TUBE"/>
    <n v="760004"/>
    <s v="TUBES DIVISION"/>
    <n v="2390551"/>
    <s v="CRFH COIL TATFHC RE04 1X1250"/>
    <s v="C09"/>
    <s v="TATFHC"/>
    <s v="RE04"/>
    <n v="1"/>
    <n v="1250"/>
    <n v="0"/>
    <s v="T2 DONE"/>
    <s v=" "/>
    <s v=""/>
    <n v="10"/>
    <n v="27"/>
    <n v="116"/>
    <n v="0"/>
    <n v="116"/>
    <n v="30.13"/>
    <n v="0"/>
    <n v="0"/>
    <n v="0"/>
    <n v="0.72"/>
    <s v=""/>
    <s v=""/>
    <s v=""/>
    <s v=""/>
    <s v=""/>
    <s v=""/>
    <s v=""/>
    <s v=""/>
    <s v=""/>
    <s v=""/>
    <n v="0"/>
    <n v="85.15"/>
    <s v=""/>
    <s v=""/>
    <s v=""/>
    <n v="85.87"/>
    <n v="85.87"/>
    <n v="0"/>
    <n v="30.129999999999995"/>
    <s v="0.97-1.03"/>
    <s v="1250-1270"/>
    <m/>
    <m/>
    <m/>
    <m/>
    <m/>
    <x v="0"/>
    <s v="U"/>
    <x v="25"/>
    <s v="C09-RE04-1-1250"/>
    <s v="367-HG02-2.5-1250"/>
    <x v="0"/>
    <x v="1"/>
    <x v="1"/>
    <x v="1"/>
    <x v="7"/>
    <x v="0"/>
    <x v="106"/>
    <m/>
    <m/>
    <m/>
    <m/>
    <m/>
    <m/>
    <m/>
    <m/>
    <m/>
    <m/>
    <m/>
    <m/>
    <m/>
    <m/>
    <m/>
    <m/>
    <m/>
    <m/>
    <m/>
    <s v="TUBES DIVISION"/>
  </r>
  <r>
    <n v="742"/>
    <d v="2025-08-13T00:00:00"/>
    <s v="ZBTF"/>
    <n v="9519013589"/>
    <n v="1"/>
    <s v="9519013589-1"/>
    <s v="No Priority"/>
    <s v="Released"/>
    <x v="1"/>
    <x v="0"/>
    <x v="8"/>
    <m/>
    <s v="2000-BPRS"/>
    <m/>
    <s v="YESHWANTHPURA"/>
    <s v="TUBE"/>
    <n v="760004"/>
    <s v="TUBES DIVISION"/>
    <n v="2279476"/>
    <s v="CRCA COIL TSBHSQ TU99 1.400X1270"/>
    <s v="C01"/>
    <s v="TSBHSQ"/>
    <s v="TU99"/>
    <n v="1.4"/>
    <n v="1270"/>
    <n v="0"/>
    <s v="T2 DONE"/>
    <s v=" "/>
    <s v=""/>
    <n v="10"/>
    <n v="27"/>
    <n v="280"/>
    <n v="147.36000000000001"/>
    <n v="132.63999999999999"/>
    <n v="101.36499999999999"/>
    <n v="14.92"/>
    <n v="0"/>
    <n v="0"/>
    <s v=""/>
    <s v=""/>
    <s v=""/>
    <s v=""/>
    <s v=""/>
    <s v=""/>
    <s v=""/>
    <s v=""/>
    <n v="27.44"/>
    <s v=""/>
    <s v=""/>
    <n v="0"/>
    <s v=""/>
    <n v="3.835"/>
    <s v=""/>
    <s v=""/>
    <n v="31.275000000000002"/>
    <n v="31.275000000000002"/>
    <n v="0"/>
    <n v="101.36499999999998"/>
    <s v="1.37-1.43"/>
    <s v="1270-1290"/>
    <m/>
    <m/>
    <m/>
    <m/>
    <m/>
    <x v="0"/>
    <s v="U"/>
    <x v="3"/>
    <s v="C01-TU99-1.4-1270"/>
    <s v="367-SD30-4-1270"/>
    <x v="0"/>
    <x v="15"/>
    <x v="15"/>
    <x v="15"/>
    <x v="10"/>
    <x v="8"/>
    <x v="107"/>
    <m/>
    <m/>
    <m/>
    <m/>
    <m/>
    <m/>
    <m/>
    <m/>
    <m/>
    <m/>
    <m/>
    <m/>
    <m/>
    <m/>
    <m/>
    <m/>
    <m/>
    <m/>
    <m/>
    <s v="TUBES DIVISION"/>
  </r>
  <r>
    <n v="742"/>
    <d v="2025-08-13T00:00:00"/>
    <s v="ZBTF"/>
    <n v="9519013589"/>
    <n v="2"/>
    <s v="9519013589-2"/>
    <s v="Sep'25"/>
    <s v="Released"/>
    <x v="1"/>
    <x v="0"/>
    <x v="8"/>
    <n v="1300"/>
    <s v="2000-BPRS"/>
    <m/>
    <s v="YESHWANTHPURA"/>
    <s v="TUBE"/>
    <n v="760004"/>
    <s v="TUBES DIVISION"/>
    <n v="2279503"/>
    <s v="CRCA COIL TSBHSQ TU99 1.600X1270"/>
    <s v="C01"/>
    <s v="TSBHSQ"/>
    <s v="TU99"/>
    <n v="1.6"/>
    <n v="1270"/>
    <n v="0"/>
    <s v="T2 DONE"/>
    <s v=" "/>
    <s v=""/>
    <n v="10"/>
    <n v="27"/>
    <n v="280"/>
    <n v="233.04499999999999"/>
    <n v="46.954999999999998"/>
    <n v="20.614999999999998"/>
    <n v="0"/>
    <n v="0"/>
    <n v="0"/>
    <s v=""/>
    <s v=""/>
    <s v=""/>
    <s v=""/>
    <s v=""/>
    <s v=""/>
    <s v=""/>
    <s v=""/>
    <s v=""/>
    <s v=""/>
    <s v=""/>
    <n v="0"/>
    <s v=""/>
    <s v=""/>
    <n v="26.34"/>
    <s v=""/>
    <n v="26.34"/>
    <n v="26.34"/>
    <n v="0"/>
    <n v="20.614999999999998"/>
    <s v="1.57-1.6"/>
    <s v="1270-1290"/>
    <m/>
    <m/>
    <m/>
    <m/>
    <m/>
    <x v="0"/>
    <s v="U"/>
    <x v="18"/>
    <s v="C01-TU99-1.6-1270"/>
    <s v="367-SD30-4-1270"/>
    <x v="0"/>
    <x v="15"/>
    <x v="15"/>
    <x v="15"/>
    <x v="10"/>
    <x v="8"/>
    <x v="107"/>
    <m/>
    <m/>
    <m/>
    <m/>
    <m/>
    <m/>
    <m/>
    <m/>
    <m/>
    <m/>
    <m/>
    <m/>
    <m/>
    <m/>
    <m/>
    <m/>
    <m/>
    <m/>
    <m/>
    <s v="TUBES DIVISION"/>
  </r>
  <r>
    <n v="742"/>
    <d v="2025-08-13T00:00:00"/>
    <s v="ZBTF"/>
    <n v="9519013589"/>
    <n v="3"/>
    <s v="9519013589-3"/>
    <s v="No Priority"/>
    <s v="Released"/>
    <x v="1"/>
    <x v="0"/>
    <x v="8"/>
    <m/>
    <s v="2000-BPRS"/>
    <m/>
    <s v="YESHWANTHPURA"/>
    <s v="TUBE"/>
    <n v="760004"/>
    <s v="TUBES DIVISION"/>
    <n v="2150940"/>
    <s v="CRCA COIL SA1008 TU98 1.200X1250"/>
    <s v="C01"/>
    <s v="SA1008"/>
    <s v="TU98"/>
    <n v="1.2"/>
    <n v="1250"/>
    <n v="0"/>
    <s v="T2 DONE"/>
    <s v=" "/>
    <s v=""/>
    <n v="10"/>
    <n v="27"/>
    <n v="203"/>
    <n v="13.69"/>
    <n v="189.31"/>
    <n v="189.3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89.31"/>
    <s v="1.17-1.23"/>
    <s v="1250-1270"/>
    <m/>
    <m/>
    <m/>
    <m/>
    <m/>
    <x v="0"/>
    <s v="U"/>
    <x v="18"/>
    <s v="C01-TU98-1.2-1250"/>
    <s v="367-SH69-3.2-1250"/>
    <x v="0"/>
    <x v="7"/>
    <x v="7"/>
    <x v="7"/>
    <x v="3"/>
    <x v="0"/>
    <x v="43"/>
    <m/>
    <m/>
    <m/>
    <m/>
    <m/>
    <m/>
    <m/>
    <m/>
    <m/>
    <m/>
    <m/>
    <m/>
    <m/>
    <m/>
    <m/>
    <m/>
    <m/>
    <m/>
    <m/>
    <s v="TUBES DIVISION"/>
  </r>
  <r>
    <n v="742"/>
    <d v="2025-08-13T00:00:00"/>
    <s v="ZBTF"/>
    <n v="9519013589"/>
    <n v="5"/>
    <s v="9519013589-5"/>
    <s v="No Priority"/>
    <s v="Released"/>
    <x v="1"/>
    <x v="0"/>
    <x v="8"/>
    <m/>
    <s v="2000-BPRS"/>
    <m/>
    <s v="YESHWANTHPURA"/>
    <s v="TUBE"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174"/>
    <n v="0"/>
    <n v="174"/>
    <n v="17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74"/>
    <s v="1.57-1.63"/>
    <s v="1250-1270"/>
    <m/>
    <m/>
    <m/>
    <m/>
    <m/>
    <x v="0"/>
    <s v="U"/>
    <x v="18"/>
    <s v="C01-TU98-1.6-1250"/>
    <s v="367-SH69-4-1250"/>
    <x v="0"/>
    <x v="7"/>
    <x v="7"/>
    <x v="7"/>
    <x v="10"/>
    <x v="0"/>
    <x v="108"/>
    <m/>
    <m/>
    <m/>
    <m/>
    <m/>
    <m/>
    <m/>
    <m/>
    <m/>
    <m/>
    <m/>
    <m/>
    <m/>
    <m/>
    <m/>
    <m/>
    <m/>
    <m/>
    <m/>
    <s v="TUBES DIVISION"/>
  </r>
  <r>
    <n v="743"/>
    <d v="2025-08-21T00:00:00"/>
    <s v="ZBTO"/>
    <n v="9519035790"/>
    <n v="4"/>
    <s v="9519035790-4"/>
    <s v="No Priority"/>
    <s v="Released"/>
    <x v="0"/>
    <x v="3"/>
    <x v="7"/>
    <m/>
    <s v="2000-BPRS"/>
    <m/>
    <s v=" 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4"/>
    <n v="12"/>
    <n v="168"/>
    <n v="67.995000000000005"/>
    <n v="100.005"/>
    <n v="100.0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00"/>
    <n v="0"/>
    <s v="0.38-0.42"/>
    <s v="900-904"/>
    <m/>
    <m/>
    <m/>
    <m/>
    <m/>
    <x v="0"/>
    <s v="S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R. S. BOKARO METAL (P) LTD."/>
  </r>
  <r>
    <n v="743"/>
    <d v="2025-08-21T00:00:00"/>
    <s v="ZBTO"/>
    <n v="9519035790"/>
    <n v="5"/>
    <s v="9519035790-5"/>
    <s v="No Priority"/>
    <s v="Released"/>
    <x v="0"/>
    <x v="3"/>
    <x v="7"/>
    <m/>
    <s v="2000-BPRS"/>
    <m/>
    <s v=" 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4"/>
    <n v="12"/>
    <n v="168"/>
    <n v="0"/>
    <n v="168"/>
    <n v="16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68"/>
    <n v="0"/>
    <s v="0.48-0.52"/>
    <s v="900-904"/>
    <m/>
    <m/>
    <m/>
    <m/>
    <m/>
    <x v="0"/>
    <s v="S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R. S. BOKARO METAL (P) LTD."/>
  </r>
  <r>
    <n v="742"/>
    <d v="2025-08-27T00:00:00"/>
    <s v="ZBTO"/>
    <n v="9519054316"/>
    <n v="1"/>
    <s v="9519054316-1"/>
    <s v="No Priority"/>
    <s v="Released"/>
    <x v="0"/>
    <x v="0"/>
    <x v="3"/>
    <m/>
    <s v="2000-BPRS"/>
    <m/>
    <s v="TATANAGAR"/>
    <s v="JAMS"/>
    <n v="165053"/>
    <s v="SUDISA ENTERPRISES (P) LTD."/>
    <n v="4026169"/>
    <s v="CR COIL TSBHSQ CH03 0.900X1250"/>
    <s v="C01"/>
    <s v="TSBHSQ"/>
    <s v="CH03"/>
    <n v="0.9"/>
    <n v="1250"/>
    <n v="0"/>
    <s v="T2 DONE"/>
    <s v=" "/>
    <s v=""/>
    <n v="12"/>
    <n v="28"/>
    <n v="116"/>
    <n v="0"/>
    <n v="116"/>
    <n v="11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16"/>
    <s v="0.88-0.92"/>
    <s v="1250-1253"/>
    <m/>
    <m/>
    <m/>
    <m/>
    <m/>
    <x v="0"/>
    <s v="T"/>
    <x v="3"/>
    <s v="C01-CH03-0.9-1250"/>
    <s v="367-JC43-2.8-1260"/>
    <x v="0"/>
    <x v="3"/>
    <x v="3"/>
    <x v="3"/>
    <x v="0"/>
    <x v="10"/>
    <x v="2"/>
    <m/>
    <m/>
    <m/>
    <m/>
    <m/>
    <m/>
    <m/>
    <m/>
    <m/>
    <m/>
    <m/>
    <m/>
    <m/>
    <m/>
    <m/>
    <m/>
    <m/>
    <m/>
    <m/>
    <s v="SUDISA ENTERPRISES (P) LTD."/>
  </r>
  <r>
    <n v="743"/>
    <d v="2025-08-13T00:00:00"/>
    <s v="ZBTO"/>
    <n v="9519013396"/>
    <n v="1"/>
    <s v="9519013396-1"/>
    <s v="Sep'25"/>
    <s v="Released"/>
    <x v="1"/>
    <x v="3"/>
    <x v="7"/>
    <m/>
    <s v="2000-BPRS"/>
    <m/>
    <s v="KOLKATA"/>
    <s v="CALS"/>
    <n v="100922"/>
    <s v="BUBNA COMMERCIAL COMPANY"/>
    <n v="1851065"/>
    <s v="GP COIL SOFT-TATXGP-GK09-0.25X900"/>
    <s v="C02"/>
    <s v="TATXGP"/>
    <s v="GK09"/>
    <n v="0.25"/>
    <n v="900"/>
    <n v="0"/>
    <s v="T2 DONE"/>
    <s v="Z80"/>
    <s v=""/>
    <n v="5"/>
    <n v="15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25-0.28"/>
    <s v="900-902"/>
    <m/>
    <m/>
    <m/>
    <m/>
    <m/>
    <x v="0"/>
    <s v="R"/>
    <x v="8"/>
    <s v="C02-GK09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BUBNA COMMERCIAL COMPANY"/>
  </r>
  <r>
    <n v="743"/>
    <d v="2025-08-13T00:00:00"/>
    <s v="ZBTO"/>
    <n v="9519013396"/>
    <n v="2"/>
    <s v="9519013396-2"/>
    <s v="Sep'25"/>
    <s v="Released"/>
    <x v="1"/>
    <x v="3"/>
    <x v="7"/>
    <m/>
    <s v="2000-BPRS"/>
    <m/>
    <s v="KOLKATA"/>
    <s v="CALS"/>
    <n v="100922"/>
    <s v="BUBNA COMMERCIAL COMPANY"/>
    <n v="2438894"/>
    <s v="GP COIL SOFT TATXGP GK09 0.280X900"/>
    <s v="C02"/>
    <s v="TATXGP"/>
    <s v="GK09"/>
    <n v="0.28000000000000003"/>
    <n v="900"/>
    <n v="0"/>
    <s v="T2 DONE"/>
    <s v="Z80"/>
    <s v=""/>
    <n v="5"/>
    <n v="15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25-0.28"/>
    <s v="900-902"/>
    <m/>
    <m/>
    <m/>
    <m/>
    <m/>
    <x v="0"/>
    <s v="R"/>
    <x v="8"/>
    <s v="C02-GK09-0.28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BUBNA COMMERCIAL COMPANY"/>
  </r>
  <r>
    <n v="742"/>
    <d v="2025-08-21T00:00:00"/>
    <s v="ZBTO"/>
    <n v="9519036272"/>
    <n v="1"/>
    <s v="9519036272-1"/>
    <s v="Oct'25"/>
    <s v="Released"/>
    <x v="0"/>
    <x v="0"/>
    <x v="6"/>
    <m/>
    <s v="2000-BPRS"/>
    <m/>
    <s v="WEST BOKARO"/>
    <s v="JAMS"/>
    <n v="185794"/>
    <s v="Shree Bajrang Steel Udyog"/>
    <n v="2440959"/>
    <s v="CRCA SHEET TATCRC SR16 0.330X900X2500"/>
    <s v="C06"/>
    <s v="TATCRC"/>
    <s v="SR16"/>
    <n v="0.33"/>
    <n v="900"/>
    <n v="2500"/>
    <s v="T2 DONE"/>
    <s v=" "/>
    <s v=""/>
    <n v="2.5"/>
    <n v="3.2"/>
    <n v="63"/>
    <n v="21.45"/>
    <n v="41.55"/>
    <n v="-0.49"/>
    <n v="2.17"/>
    <n v="0"/>
    <n v="42.04"/>
    <s v=""/>
    <s v=""/>
    <s v=""/>
    <s v=""/>
    <s v=""/>
    <s v=""/>
    <s v=""/>
    <s v=""/>
    <s v=""/>
    <s v=""/>
    <s v=""/>
    <n v="0"/>
    <s v=""/>
    <s v=""/>
    <s v=""/>
    <s v=""/>
    <n v="42.04"/>
    <n v="42.04"/>
    <n v="0"/>
    <n v="-0.49000000000000199"/>
    <s v="0.31-0.35"/>
    <s v="900-904"/>
    <m/>
    <m/>
    <m/>
    <m/>
    <m/>
    <x v="0"/>
    <s v="R"/>
    <x v="7"/>
    <s v="C06-SR16-0.3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Shree Bajrang Steel Udyog"/>
  </r>
  <r>
    <n v="742"/>
    <d v="2025-08-20T00:00:00"/>
    <s v="ZBTO"/>
    <n v="9519032508"/>
    <n v="3"/>
    <s v="9519032508-3"/>
    <s v="Sep'25"/>
    <s v="Released"/>
    <x v="0"/>
    <x v="0"/>
    <x v="0"/>
    <m/>
    <s v="2000-BPRS"/>
    <m/>
    <s v="VISHAKHAPATNAM"/>
    <s v="SBAD"/>
    <n v="946077"/>
    <s v="SITARAM IRON AND STEEL PVT LTD"/>
    <n v="1801798"/>
    <s v="CRCA COIL-TATXXD-AU03-1X900"/>
    <s v="C01"/>
    <s v="TATXXD"/>
    <s v="AU03"/>
    <n v="1"/>
    <n v="900"/>
    <n v="0"/>
    <s v="T2 DONE"/>
    <s v=" "/>
    <s v=""/>
    <n v="8"/>
    <n v="1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97-1.03"/>
    <s v="900-905"/>
    <m/>
    <m/>
    <m/>
    <m/>
    <m/>
    <x v="0"/>
    <s v="C"/>
    <x v="0"/>
    <s v="C01-AU03-1-900"/>
    <s v="B69-SH08-2.8-925"/>
    <x v="2"/>
    <x v="0"/>
    <x v="0"/>
    <x v="0"/>
    <x v="0"/>
    <x v="3"/>
    <x v="85"/>
    <m/>
    <m/>
    <m/>
    <m/>
    <m/>
    <m/>
    <m/>
    <m/>
    <m/>
    <m/>
    <m/>
    <m/>
    <m/>
    <m/>
    <m/>
    <m/>
    <m/>
    <m/>
    <m/>
    <s v="SITARAM IRON AND STEEL PVT LTD"/>
  </r>
  <r>
    <n v="742"/>
    <d v="2025-08-20T00:00:00"/>
    <s v="ZBTO"/>
    <n v="9519032508"/>
    <n v="7"/>
    <s v="9519032508-7"/>
    <s v="Sep'25"/>
    <s v="Released"/>
    <x v="1"/>
    <x v="0"/>
    <x v="0"/>
    <m/>
    <s v="2000-BPRS"/>
    <m/>
    <s v="VISHAKHAPATNAM"/>
    <s v="SBAD"/>
    <n v="946077"/>
    <s v="SITARAM IRON AND STEEL PVT LTD"/>
    <n v="1804842"/>
    <s v="CRCA COIL-TATXXD-AU03-1X1000"/>
    <s v="C01"/>
    <s v="TATXXD"/>
    <s v="AU03"/>
    <n v="1"/>
    <n v="1000"/>
    <n v="0"/>
    <s v="T2 DONE"/>
    <s v=" "/>
    <s v=""/>
    <n v="8"/>
    <n v="12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97-1.03"/>
    <s v="1000-1005"/>
    <m/>
    <m/>
    <m/>
    <m/>
    <m/>
    <x v="0"/>
    <s v="C"/>
    <x v="0"/>
    <s v="C01-AU03-1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s v="SITARAM IRON AND STEEL PVT LTD"/>
  </r>
  <r>
    <n v="743"/>
    <d v="2025-08-21T00:00:00"/>
    <s v="ZBTO"/>
    <n v="9519036143"/>
    <n v="5"/>
    <s v="9519036143-5"/>
    <s v="No Priority"/>
    <s v="Released"/>
    <x v="1"/>
    <x v="3"/>
    <x v="7"/>
    <m/>
    <s v="2000-BPRS"/>
    <m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4"/>
    <n v="12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33-0.37"/>
    <s v="900-904"/>
    <m/>
    <m/>
    <m/>
    <m/>
    <m/>
    <x v="0"/>
    <s v="S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hree Bajrang Steel Udyog"/>
  </r>
  <r>
    <n v="744"/>
    <d v="2025-08-21T00:00:00"/>
    <s v="ZBTO"/>
    <n v="9519035613"/>
    <n v="6"/>
    <s v="9519035613-6"/>
    <s v="Sep'25"/>
    <s v="Released"/>
    <x v="0"/>
    <x v="4"/>
    <x v="4"/>
    <m/>
    <s v="1000-IPPE"/>
    <m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8"/>
    <n v="145.35"/>
    <n v="22.65"/>
    <n v="-4.68"/>
    <n v="145.35"/>
    <n v="0"/>
    <n v="0"/>
    <s v=""/>
    <s v=""/>
    <s v=""/>
    <s v=""/>
    <s v=""/>
    <s v=""/>
    <s v=""/>
    <s v=""/>
    <s v=""/>
    <s v=""/>
    <s v=""/>
    <n v="0"/>
    <s v=""/>
    <s v=""/>
    <n v="27.330000000000002"/>
    <s v=""/>
    <n v="27.330000000000002"/>
    <n v="27.330000000000002"/>
    <n v="0"/>
    <n v="-4.6800000000000033"/>
    <s v="0.41-0.45"/>
    <s v="1220-1222"/>
    <m/>
    <m/>
    <m/>
    <m/>
    <m/>
    <x v="0"/>
    <s v="M"/>
    <x v="5"/>
    <s v="B18-D0C7-0.43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2"/>
    <d v="2025-07-24T00:00:00"/>
    <s v="ZBTO"/>
    <n v="9518956389"/>
    <n v="15"/>
    <s v="9518956389-15"/>
    <s v="Sep'25"/>
    <s v="Released"/>
    <x v="0"/>
    <x v="0"/>
    <x v="0"/>
    <m/>
    <s v="2000-BPRS"/>
    <m/>
    <s v="YESHWANTHPURA"/>
    <s v="BANG"/>
    <n v="932244"/>
    <s v="DURGA TRADERS"/>
    <n v="1884117"/>
    <s v="CRCA COIL-TATXXD-AU03-2X1250"/>
    <s v="C01"/>
    <s v="TATXXD"/>
    <s v="AU03"/>
    <n v="2"/>
    <n v="1250"/>
    <n v="0"/>
    <s v="T2 DONE"/>
    <s v=" "/>
    <s v=""/>
    <n v="9.8000000000000007"/>
    <n v="28"/>
    <n v="202.999"/>
    <n v="162.08000000000001"/>
    <n v="40.918999999999997"/>
    <n v="40.918999999999997"/>
    <n v="9.8000000000000007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41"/>
    <n v="0"/>
    <s v="1.95-2"/>
    <s v="1250-1262"/>
    <m/>
    <m/>
    <m/>
    <m/>
    <m/>
    <x v="0"/>
    <s v="U"/>
    <x v="0"/>
    <s v="C01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s v="DURGA TRADERS"/>
  </r>
  <r>
    <n v="742"/>
    <d v="2025-08-27T00:00:00"/>
    <s v="ZBTO"/>
    <n v="9519054690"/>
    <n v="1"/>
    <s v="9519054690-1"/>
    <s v="No Priority"/>
    <s v="Released"/>
    <x v="0"/>
    <x v="0"/>
    <x v="15"/>
    <m/>
    <s v="2000-BPRS"/>
    <m/>
    <s v="AHMEDABAD"/>
    <s v="AMED"/>
    <n v="940707"/>
    <s v="GIRIRAJ EXIM PRIVATE LIMITED"/>
    <n v="2420508"/>
    <s v="CRCA COIL TATXXD AH03 0.500X1250"/>
    <s v="C01"/>
    <s v="TATXXD"/>
    <s v="AH03"/>
    <n v="0.5"/>
    <n v="1250"/>
    <n v="0"/>
    <s v="T2 DONE"/>
    <s v=" "/>
    <s v=""/>
    <n v="16"/>
    <n v="27"/>
    <n v="116"/>
    <n v="0"/>
    <n v="116"/>
    <n v="89.13"/>
    <n v="0"/>
    <n v="0"/>
    <n v="0"/>
    <s v=""/>
    <s v=""/>
    <s v=""/>
    <s v=""/>
    <s v=""/>
    <s v=""/>
    <s v=""/>
    <s v=""/>
    <n v="26.87"/>
    <s v=""/>
    <s v=""/>
    <n v="0"/>
    <s v=""/>
    <s v=""/>
    <s v=""/>
    <s v=""/>
    <n v="26.87"/>
    <n v="26.87"/>
    <n v="0"/>
    <n v="89.13"/>
    <s v="0.47-0.51"/>
    <s v="1250-1270"/>
    <m/>
    <m/>
    <m/>
    <m/>
    <m/>
    <x v="0"/>
    <s v="U"/>
    <x v="23"/>
    <s v="C01-AH03-0.5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s v="GIRIRAJ EXIM PRIVATE LIMITED"/>
  </r>
  <r>
    <n v="743"/>
    <d v="2025-09-05T00:00:00"/>
    <s v="ZBTF"/>
    <n v="9519081794"/>
    <n v="2"/>
    <s v="9519081794-2"/>
    <s v="No Priority"/>
    <s v="Released"/>
    <x v="1"/>
    <x v="3"/>
    <x v="11"/>
    <m/>
    <s v="2000-BPRS"/>
    <m/>
    <s v="GAMHARIA"/>
    <s v="COMD"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1"/>
    <n v="24"/>
    <n v="207"/>
    <n v="0"/>
    <n v="207"/>
    <n v="20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07"/>
    <s v="0.38-0.4"/>
    <s v="1015-1017"/>
    <m/>
    <m/>
    <m/>
    <m/>
    <m/>
    <x v="0"/>
    <s v="U"/>
    <x v="14"/>
    <s v="C05-GP02-0.4-1015"/>
    <s v="B69-SF93-2.25-1035"/>
    <x v="2"/>
    <x v="4"/>
    <x v="4"/>
    <x v="4"/>
    <x v="4"/>
    <x v="6"/>
    <x v="36"/>
    <m/>
    <m/>
    <m/>
    <m/>
    <m/>
    <m/>
    <m/>
    <m/>
    <m/>
    <m/>
    <m/>
    <m/>
    <m/>
    <m/>
    <m/>
    <m/>
    <m/>
    <m/>
    <m/>
    <s v="ANGUL GALVANIZING PLANT"/>
  </r>
  <r>
    <n v="742"/>
    <d v="2025-09-08T00:00:00"/>
    <s v="ZBTO"/>
    <n v="9519086006"/>
    <n v="3"/>
    <s v="9519086006-3"/>
    <s v="No Priority"/>
    <s v="Released"/>
    <x v="0"/>
    <x v="0"/>
    <x v="6"/>
    <m/>
    <s v="2000-BPRS"/>
    <m/>
    <s v="KANPUR"/>
    <s v="KANP"/>
    <n v="933952"/>
    <s v="AGARWAL STEEL TRADERS"/>
    <n v="3240787"/>
    <s v="CRCA SHEET TSBCRC SR15 0.700X1250X1930"/>
    <s v="C06"/>
    <s v="TSBCRC"/>
    <s v="SR15"/>
    <n v="0.7"/>
    <n v="1250"/>
    <n v="1930"/>
    <s v="T2 DONE"/>
    <s v=" "/>
    <s v=""/>
    <n v="2.5"/>
    <n v="3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68-0.72"/>
    <s v="1250-1254"/>
    <m/>
    <m/>
    <m/>
    <m/>
    <m/>
    <x v="0"/>
    <s v="M"/>
    <x v="7"/>
    <s v="C06-SR15-0.7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s v="AGARWAL STEEL TRADERS"/>
  </r>
  <r>
    <n v="743"/>
    <d v="2025-08-22T00:00:00"/>
    <s v="ZBTO"/>
    <n v="9519038643"/>
    <n v="3"/>
    <s v="9519038643-3"/>
    <s v="No Priority"/>
    <s v="Released"/>
    <x v="1"/>
    <x v="3"/>
    <x v="7"/>
    <m/>
    <s v="2000-BPRS"/>
    <m/>
    <s v="WEST BENGAL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s v=""/>
    <n v="5"/>
    <n v="15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37-0.4"/>
    <s v="900-902"/>
    <m/>
    <m/>
    <m/>
    <m/>
    <m/>
    <x v="0"/>
    <s v="R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BUBNA COMMERCIAL COMPANY"/>
  </r>
  <r>
    <n v="742"/>
    <d v="2025-08-18T00:00:00"/>
    <s v="ZBTO"/>
    <n v="9519025273"/>
    <n v="9"/>
    <s v="9519025273-9"/>
    <s v="Oct'25"/>
    <s v="Released"/>
    <x v="1"/>
    <x v="0"/>
    <x v="6"/>
    <m/>
    <s v="2000-BPRS"/>
    <m/>
    <s v="HOWRAH"/>
    <s v="CALS"/>
    <n v="925093"/>
    <s v="PSPL STEEL PROCESSORS PRIVATE LIMIT"/>
    <n v="3402254"/>
    <s v="CRCA SHEET TSBCRC SR15 0.600X1000X2000"/>
    <s v="C06"/>
    <s v="TSBCRC"/>
    <s v="SR15"/>
    <n v="0.6"/>
    <n v="1000"/>
    <n v="200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57-0.6"/>
    <s v="1000-1002"/>
    <m/>
    <m/>
    <m/>
    <m/>
    <m/>
    <x v="0"/>
    <s v="T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PSPL STEEL PROCESSORS PRIVATE LIMIT"/>
  </r>
  <r>
    <n v="742"/>
    <d v="2025-08-18T00:00:00"/>
    <s v="ZBTO"/>
    <n v="9519025273"/>
    <n v="11"/>
    <s v="9519025273-11"/>
    <s v="Oct'25"/>
    <s v="Released"/>
    <x v="1"/>
    <x v="0"/>
    <x v="6"/>
    <m/>
    <s v="2000-BPRS"/>
    <m/>
    <s v="HOWRAH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s v=" "/>
    <s v=""/>
    <n v="0"/>
    <n v="0"/>
    <n v="26"/>
    <n v="0"/>
    <n v="26"/>
    <n v="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6"/>
    <s v="0.77-0.8"/>
    <s v="1120-1122"/>
    <m/>
    <m/>
    <m/>
    <m/>
    <m/>
    <x v="0"/>
    <s v="T"/>
    <x v="19"/>
    <s v="C06-SR15-0.8-1120"/>
    <s v="B69-SH69-2.8-1130"/>
    <x v="2"/>
    <x v="7"/>
    <x v="7"/>
    <x v="7"/>
    <x v="0"/>
    <x v="21"/>
    <x v="109"/>
    <m/>
    <m/>
    <m/>
    <m/>
    <m/>
    <m/>
    <m/>
    <m/>
    <m/>
    <m/>
    <m/>
    <m/>
    <m/>
    <m/>
    <m/>
    <m/>
    <m/>
    <m/>
    <m/>
    <s v="PSPL STEEL PROCESSORS PRIVATE LIMIT"/>
  </r>
  <r>
    <n v="743"/>
    <d v="2025-08-21T00:00:00"/>
    <s v="ZBTO"/>
    <n v="9519036143"/>
    <n v="7"/>
    <s v="9519036143-7"/>
    <s v="No Priority"/>
    <s v="Released"/>
    <x v="1"/>
    <x v="3"/>
    <x v="7"/>
    <m/>
    <s v="2000-BPRS"/>
    <m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38-0.42"/>
    <s v="900-904"/>
    <m/>
    <m/>
    <m/>
    <m/>
    <m/>
    <x v="0"/>
    <s v="S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hree Bajrang Steel Udyog"/>
  </r>
  <r>
    <n v="743"/>
    <d v="2025-08-21T00:00:00"/>
    <s v="ZBTO"/>
    <n v="9519036143"/>
    <n v="8"/>
    <s v="9519036143-8"/>
    <s v="Sep'25"/>
    <s v="Released"/>
    <x v="0"/>
    <x v="3"/>
    <x v="7"/>
    <m/>
    <s v="2000-BPRS"/>
    <m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26"/>
    <n v="0"/>
    <s v="0.48-0.52"/>
    <s v="900-904"/>
    <m/>
    <m/>
    <m/>
    <m/>
    <m/>
    <x v="0"/>
    <s v="S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hree Bajrang Steel Udyog"/>
  </r>
  <r>
    <n v="742"/>
    <d v="2025-08-14T00:00:00"/>
    <s v="ZBTF"/>
    <n v="9519016025"/>
    <n v="1"/>
    <s v="9519016025-1"/>
    <s v="No Priority"/>
    <s v="Released"/>
    <x v="0"/>
    <x v="0"/>
    <x v="8"/>
    <m/>
    <s v="2000-BPRS"/>
    <m/>
    <s v="JSR"/>
    <s v="TUBE"/>
    <n v="760004"/>
    <s v="TUBES DIVISION"/>
    <n v="2279476"/>
    <s v="CRCA COIL TSBHSQ TU99 1.400X1270"/>
    <s v="C01"/>
    <s v="TSBHSQ"/>
    <s v="TU99"/>
    <n v="1.4"/>
    <n v="1270"/>
    <n v="0"/>
    <s v="T2 DONE"/>
    <s v=" "/>
    <s v=""/>
    <n v="10"/>
    <n v="28"/>
    <n v="192.99"/>
    <n v="26.7"/>
    <n v="166.29"/>
    <n v="1.44"/>
    <n v="0"/>
    <n v="0"/>
    <n v="0"/>
    <s v=""/>
    <s v=""/>
    <s v=""/>
    <s v=""/>
    <s v=""/>
    <s v=""/>
    <s v=""/>
    <s v=""/>
    <n v="164.85"/>
    <s v=""/>
    <s v=""/>
    <n v="0"/>
    <s v=""/>
    <s v=""/>
    <s v=""/>
    <s v=""/>
    <n v="164.85"/>
    <n v="164.85"/>
    <n v="0"/>
    <n v="1.4399999999999977"/>
    <s v="1.37-1.43"/>
    <s v="1270-1290"/>
    <m/>
    <m/>
    <m/>
    <m/>
    <m/>
    <x v="0"/>
    <s v="U"/>
    <x v="3"/>
    <s v="C01-TU99-1.4-1270"/>
    <s v="367-SD30-4-1270"/>
    <x v="0"/>
    <x v="15"/>
    <x v="15"/>
    <x v="15"/>
    <x v="10"/>
    <x v="8"/>
    <x v="107"/>
    <m/>
    <m/>
    <m/>
    <m/>
    <m/>
    <m/>
    <m/>
    <m/>
    <m/>
    <m/>
    <m/>
    <m/>
    <m/>
    <m/>
    <m/>
    <m/>
    <m/>
    <m/>
    <m/>
    <s v="TUBES DIVISION"/>
  </r>
  <r>
    <n v="743"/>
    <d v="2025-09-09T00:00:00"/>
    <s v="ZBTO"/>
    <n v="9519090170"/>
    <n v="1"/>
    <s v="9519090170-1"/>
    <s v="No Priority"/>
    <s v="Released"/>
    <x v="1"/>
    <x v="1"/>
    <x v="4"/>
    <n v="3000"/>
    <s v="1000-IPPE"/>
    <m/>
    <s v="TATANAGAR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s v="aZ70"/>
    <s v=""/>
    <n v="3"/>
    <n v="5"/>
    <n v="231"/>
    <n v="0"/>
    <n v="231"/>
    <n v="23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1"/>
    <s v="0.31-0.35"/>
    <s v="900-903"/>
    <m/>
    <m/>
    <m/>
    <m/>
    <m/>
    <x v="0"/>
    <s v="R"/>
    <x v="3"/>
    <s v="B04-M306-0.33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TATA BLUESCOPE STEEL PRIVATE LIMITE"/>
  </r>
  <r>
    <n v="743"/>
    <d v="2025-09-09T00:00:00"/>
    <s v="ZBTO"/>
    <n v="9519090170"/>
    <n v="2"/>
    <s v="9519090170-2"/>
    <s v="No Priority"/>
    <s v="Released"/>
    <x v="1"/>
    <x v="1"/>
    <x v="4"/>
    <m/>
    <s v="1000-IPPE"/>
    <m/>
    <s v="TATANAGAR"/>
    <s v="BOMB"/>
    <n v="942284"/>
    <s v="TATA BLUESCOPE STEEL PRIVATE LIMITE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0"/>
    <n v="147"/>
    <n v="14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47"/>
    <s v="0.36-0.4"/>
    <s v="900-903"/>
    <m/>
    <m/>
    <m/>
    <m/>
    <m/>
    <x v="0"/>
    <s v="R"/>
    <x v="3"/>
    <s v="B04-M306-0.38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TATA BLUESCOPE STEEL PRIVATE LIMITE"/>
  </r>
  <r>
    <n v="742"/>
    <d v="2025-07-29T00:00:00"/>
    <s v="ZBTO"/>
    <n v="9518970422"/>
    <n v="1"/>
    <s v="9518970422-1"/>
    <s v="Sep'25"/>
    <s v="Released"/>
    <x v="0"/>
    <x v="0"/>
    <x v="6"/>
    <m/>
    <s v="2000-BPRS"/>
    <m/>
    <s v="NAGPUR"/>
    <s v="NPUR"/>
    <n v="103092"/>
    <s v="TEJRAM RAMNIWAS AGARWAL"/>
    <n v="3240765"/>
    <s v="CRCA SHEET TSBCRC SR15 0.500X1250X2500"/>
    <s v="C06"/>
    <s v="TSBCRC"/>
    <s v="SR15"/>
    <n v="0.5"/>
    <n v="1250"/>
    <n v="2500"/>
    <s v="T2 DONE"/>
    <s v=" "/>
    <s v=""/>
    <n v="2"/>
    <n v="3.1"/>
    <n v="57.997999999999998"/>
    <n v="26.27"/>
    <n v="31.728000000000002"/>
    <n v="31.347999999999999"/>
    <n v="15.040000000000001"/>
    <n v="0"/>
    <n v="0"/>
    <s v=""/>
    <s v=""/>
    <s v=""/>
    <s v=""/>
    <s v=""/>
    <s v=""/>
    <s v=""/>
    <s v=""/>
    <s v=""/>
    <s v=""/>
    <s v=""/>
    <n v="0.38"/>
    <s v=""/>
    <s v=""/>
    <s v=""/>
    <s v=""/>
    <n v="0.38"/>
    <n v="0.38"/>
    <n v="31"/>
    <n v="0"/>
    <s v="0.48-0.52"/>
    <s v="1250-1251"/>
    <m/>
    <m/>
    <m/>
    <m/>
    <m/>
    <x v="0"/>
    <s v="R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TEJRAM RAMNIWAS AGARWAL"/>
  </r>
  <r>
    <n v="742"/>
    <d v="2025-08-19T00:00:00"/>
    <s v="ZBTO"/>
    <n v="9519029782"/>
    <n v="9"/>
    <s v="9519029782-9"/>
    <s v="Oct'25"/>
    <s v="Released"/>
    <x v="1"/>
    <x v="0"/>
    <x v="6"/>
    <m/>
    <s v="2000-BPRS"/>
    <m/>
    <s v="PATNA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57-0.6"/>
    <s v="1000-1002"/>
    <m/>
    <m/>
    <m/>
    <m/>
    <m/>
    <x v="0"/>
    <s v="T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11"/>
    <s v="9519029782-11"/>
    <s v="No Priority"/>
    <s v="Released"/>
    <x v="0"/>
    <x v="0"/>
    <x v="6"/>
    <m/>
    <s v="2000-BPRS"/>
    <m/>
    <s v="PATNA"/>
    <s v="PATN"/>
    <n v="103227"/>
    <s v="BMW VENTURES LIMITED"/>
    <n v="3240842"/>
    <s v="CRCA SHEET TSBCRC SR15 1X1250X2500"/>
    <s v="C06"/>
    <s v="TSBCRC"/>
    <s v="SR15"/>
    <n v="1"/>
    <n v="1250"/>
    <n v="2500"/>
    <s v="T2 DONE"/>
    <s v=" "/>
    <s v=""/>
    <n v="2"/>
    <n v="3"/>
    <n v="28.998999999999999"/>
    <n v="0"/>
    <n v="28.998999999999999"/>
    <n v="28.998999999999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8.998999999999999"/>
    <s v="0.97-1"/>
    <s v="1250-1252"/>
    <m/>
    <m/>
    <m/>
    <m/>
    <m/>
    <x v="0"/>
    <s v="T"/>
    <x v="7"/>
    <s v="C06-SR15-1-1250"/>
    <s v="367-SH69-3.2-1260"/>
    <x v="0"/>
    <x v="7"/>
    <x v="7"/>
    <x v="7"/>
    <x v="3"/>
    <x v="10"/>
    <x v="50"/>
    <m/>
    <m/>
    <m/>
    <m/>
    <m/>
    <m/>
    <m/>
    <m/>
    <m/>
    <m/>
    <m/>
    <m/>
    <m/>
    <m/>
    <m/>
    <m/>
    <m/>
    <m/>
    <m/>
    <s v="BMW VENTURES LIMITED"/>
  </r>
  <r>
    <n v="742"/>
    <d v="2025-08-26T00:00:00"/>
    <s v="ZBTO"/>
    <n v="9519049797"/>
    <n v="3"/>
    <s v="9519049797-3"/>
    <s v="Oct'25"/>
    <s v="Released"/>
    <x v="1"/>
    <x v="0"/>
    <x v="6"/>
    <m/>
    <s v="2000-BPRS"/>
    <m/>
    <s v="SILIGURI TOWN"/>
    <s v="GWAH"/>
    <n v="948783"/>
    <s v="SAGAR STEELS"/>
    <n v="3409913"/>
    <s v="CRCA SHEET TSBCRC SR15 0.600X1120X2000"/>
    <s v="C06"/>
    <s v="TSBCRC"/>
    <s v="SR15"/>
    <n v="0.6"/>
    <n v="1120"/>
    <n v="2000"/>
    <s v="T2 DONE"/>
    <s v=" "/>
    <s v=""/>
    <n v="2"/>
    <n v="3"/>
    <n v="52"/>
    <n v="0"/>
    <n v="52"/>
    <n v="5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2"/>
    <s v="0.57-0.6"/>
    <s v="1120-1132"/>
    <m/>
    <m/>
    <m/>
    <m/>
    <m/>
    <x v="0"/>
    <s v="T"/>
    <x v="7"/>
    <s v="C06-SR15-0.6-1120"/>
    <s v="367-SH69-2.5-1130"/>
    <x v="0"/>
    <x v="7"/>
    <x v="7"/>
    <x v="7"/>
    <x v="7"/>
    <x v="21"/>
    <x v="2"/>
    <m/>
    <m/>
    <m/>
    <m/>
    <m/>
    <m/>
    <m/>
    <m/>
    <m/>
    <m/>
    <m/>
    <m/>
    <m/>
    <m/>
    <m/>
    <m/>
    <m/>
    <m/>
    <m/>
    <s v="SAGAR STEELS"/>
  </r>
  <r>
    <n v="743"/>
    <d v="2025-09-12T00:00:00"/>
    <s v="ZBTO"/>
    <n v="9519099563"/>
    <n v="6"/>
    <s v="9519099563-6"/>
    <s v="No Priority"/>
    <s v="Released"/>
    <x v="1"/>
    <x v="3"/>
    <x v="7"/>
    <m/>
    <s v="2000-BPRS"/>
    <m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33-0.37"/>
    <s v="900-904"/>
    <m/>
    <m/>
    <m/>
    <m/>
    <m/>
    <x v="0"/>
    <s v="S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hree Bajrang Steel Udyog"/>
  </r>
  <r>
    <n v="743"/>
    <d v="2025-09-15T00:00:00"/>
    <s v="ZBTO"/>
    <n v="9519104694"/>
    <n v="3"/>
    <s v="9519104694-3"/>
    <s v="No Priority"/>
    <s v="Released"/>
    <x v="1"/>
    <x v="3"/>
    <x v="7"/>
    <m/>
    <s v="2000-BPRS"/>
    <m/>
    <s v=" 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4"/>
    <n v="12"/>
    <n v="168"/>
    <n v="0"/>
    <n v="168"/>
    <n v="16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68"/>
    <s v="0.33-0.37"/>
    <s v="900-904"/>
    <m/>
    <m/>
    <m/>
    <m/>
    <m/>
    <x v="0"/>
    <s v="S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R. S. BOKARO METAL (P) LTD."/>
  </r>
  <r>
    <n v="743"/>
    <d v="2025-09-12T00:00:00"/>
    <s v="ZBTO"/>
    <n v="9519099563"/>
    <n v="12"/>
    <s v="9519099563-12"/>
    <s v="No Priority"/>
    <s v="Released"/>
    <x v="1"/>
    <x v="3"/>
    <x v="7"/>
    <m/>
    <s v="2000-BPRS"/>
    <m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48-0.52"/>
    <s v="900-904"/>
    <m/>
    <m/>
    <m/>
    <m/>
    <m/>
    <x v="0"/>
    <s v="S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hree Bajrang Steel Udyog"/>
  </r>
  <r>
    <n v="742"/>
    <d v="2025-08-19T00:00:00"/>
    <s v="ZBTO"/>
    <n v="9519029800"/>
    <n v="8"/>
    <s v="9519029800-8"/>
    <s v="No Priority"/>
    <s v="Released"/>
    <x v="0"/>
    <x v="0"/>
    <x v="6"/>
    <m/>
    <s v="2000-BPRS"/>
    <m/>
    <s v="PURNIA"/>
    <s v="PATN"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3"/>
    <n v="57.997999999999998"/>
    <n v="29.76"/>
    <n v="28.238"/>
    <n v="27.937999999999999"/>
    <n v="6.0350000000000001"/>
    <n v="0"/>
    <n v="0"/>
    <s v=""/>
    <s v=""/>
    <s v=""/>
    <s v=""/>
    <s v=""/>
    <s v=""/>
    <s v=""/>
    <s v=""/>
    <s v=""/>
    <s v=""/>
    <s v=""/>
    <n v="0.3"/>
    <s v=""/>
    <s v=""/>
    <s v=""/>
    <s v=""/>
    <n v="0.3"/>
    <n v="0.3"/>
    <n v="28"/>
    <n v="0"/>
    <s v="0.47-0.5"/>
    <s v="1250-1252"/>
    <m/>
    <m/>
    <m/>
    <m/>
    <m/>
    <x v="0"/>
    <s v="T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800"/>
    <n v="9"/>
    <s v="9519029800-9"/>
    <s v="Oct'25"/>
    <s v="Released"/>
    <x v="1"/>
    <x v="0"/>
    <x v="6"/>
    <m/>
    <s v="2000-BPRS"/>
    <m/>
    <s v="PURNIA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57-0.6"/>
    <s v="1000-1002"/>
    <m/>
    <m/>
    <m/>
    <m/>
    <m/>
    <x v="0"/>
    <s v="T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800"/>
    <n v="11"/>
    <s v="9519029800-11"/>
    <s v="No Priority"/>
    <s v="Released"/>
    <x v="0"/>
    <x v="0"/>
    <x v="6"/>
    <m/>
    <s v="2000-BPRS"/>
    <m/>
    <s v="PURNIA"/>
    <s v="PATN"/>
    <n v="103227"/>
    <s v="BMW VENTURES LIMITED"/>
    <n v="3240842"/>
    <s v="CRCA SHEET TSBCRC SR15 1X1250X2500"/>
    <s v="C06"/>
    <s v="TSBCRC"/>
    <s v="SR15"/>
    <n v="1"/>
    <n v="1250"/>
    <n v="2500"/>
    <s v="T2 DONE"/>
    <s v=" "/>
    <s v=""/>
    <n v="2"/>
    <n v="3"/>
    <n v="28.998999999999999"/>
    <n v="0"/>
    <n v="28.998999999999999"/>
    <n v="2.319"/>
    <n v="0"/>
    <n v="0"/>
    <n v="0"/>
    <s v=""/>
    <s v=""/>
    <s v=""/>
    <s v=""/>
    <s v=""/>
    <s v=""/>
    <s v=""/>
    <s v=""/>
    <n v="26.68"/>
    <s v=""/>
    <s v=""/>
    <n v="0"/>
    <s v=""/>
    <s v=""/>
    <s v=""/>
    <s v=""/>
    <n v="26.68"/>
    <n v="26.68"/>
    <n v="0"/>
    <n v="2.3189999999999991"/>
    <s v="0.97-1"/>
    <s v="1250-1252"/>
    <m/>
    <m/>
    <m/>
    <m/>
    <m/>
    <x v="0"/>
    <s v="T"/>
    <x v="7"/>
    <s v="C06-SR15-1-1250"/>
    <s v="367-SH69-3.2-1260"/>
    <x v="0"/>
    <x v="7"/>
    <x v="7"/>
    <x v="7"/>
    <x v="3"/>
    <x v="10"/>
    <x v="50"/>
    <m/>
    <m/>
    <m/>
    <m/>
    <m/>
    <m/>
    <m/>
    <m/>
    <m/>
    <m/>
    <m/>
    <m/>
    <m/>
    <m/>
    <m/>
    <m/>
    <m/>
    <m/>
    <m/>
    <s v="BMW VENTURES LIMITED"/>
  </r>
  <r>
    <n v="742"/>
    <d v="2025-08-18T00:00:00"/>
    <s v="ZBTO"/>
    <n v="9519025430"/>
    <n v="6"/>
    <s v="9519025430-6"/>
    <s v="Sep'25"/>
    <s v="Released"/>
    <x v="0"/>
    <x v="0"/>
    <x v="6"/>
    <m/>
    <s v="2000-BPRS"/>
    <m/>
    <s v="SALEM"/>
    <s v="MADS"/>
    <n v="116465"/>
    <s v="SRI BALAJI STEEL TRADERS"/>
    <n v="3239543"/>
    <s v="CRCA SHEET TATCRC SR16 0.350X1250X2500"/>
    <s v="C06"/>
    <s v="TATCRC"/>
    <s v="SR16"/>
    <n v="0.35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3-0.37"/>
    <s v="1250-1254"/>
    <m/>
    <m/>
    <m/>
    <m/>
    <m/>
    <x v="0"/>
    <s v="U"/>
    <x v="7"/>
    <s v="C06-SR16-0.35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s v="SRI BALAJI STEEL TRADERS"/>
  </r>
  <r>
    <n v="742"/>
    <d v="2025-08-19T00:00:00"/>
    <s v="ZBTO"/>
    <n v="9519028231"/>
    <n v="3"/>
    <s v="9519028231-3"/>
    <s v="No Priority"/>
    <s v="Released"/>
    <x v="0"/>
    <x v="0"/>
    <x v="0"/>
    <m/>
    <s v="2000-BPRS"/>
    <m/>
    <s v="CHENNAI"/>
    <s v="MADS"/>
    <n v="938550"/>
    <s v="BASEER AND CO"/>
    <n v="1801290"/>
    <s v="CRCA COIL-TATXXD-AU03-0.6X1250"/>
    <s v="C01"/>
    <s v="TATXXD"/>
    <s v="AU03"/>
    <n v="0.6"/>
    <n v="1250"/>
    <n v="0"/>
    <s v="T2 DONE"/>
    <s v=" "/>
    <s v=""/>
    <n v="6"/>
    <n v="18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58-0.62"/>
    <s v="1250-1254"/>
    <m/>
    <m/>
    <m/>
    <m/>
    <m/>
    <x v="0"/>
    <s v="R"/>
    <x v="0"/>
    <s v="C01-AU03-0.6-1250"/>
    <s v="367-SH08-2.5-1260"/>
    <x v="0"/>
    <x v="0"/>
    <x v="0"/>
    <x v="0"/>
    <x v="7"/>
    <x v="10"/>
    <x v="17"/>
    <m/>
    <m/>
    <m/>
    <m/>
    <m/>
    <m/>
    <m/>
    <m/>
    <m/>
    <m/>
    <m/>
    <m/>
    <m/>
    <m/>
    <m/>
    <m/>
    <m/>
    <m/>
    <m/>
    <s v="BASEER AND CO"/>
  </r>
  <r>
    <n v="742"/>
    <d v="2025-08-19T00:00:00"/>
    <s v="ZBTO"/>
    <n v="9519028231"/>
    <n v="5"/>
    <s v="9519028231-5"/>
    <s v="No Priority"/>
    <s v="Released"/>
    <x v="0"/>
    <x v="0"/>
    <x v="0"/>
    <m/>
    <s v="2000-BPRS"/>
    <m/>
    <s v="CHENNAI"/>
    <s v="MADS"/>
    <n v="938550"/>
    <s v="BASEER AND CO"/>
    <n v="1804814"/>
    <s v="CRCA COIL TATXXD AU03 0.8X1250"/>
    <s v="C01"/>
    <s v="TATXXD"/>
    <s v="AU03"/>
    <n v="0.8"/>
    <n v="1250"/>
    <n v="0"/>
    <s v="T2 DONE"/>
    <s v=" "/>
    <s v=""/>
    <n v="6"/>
    <n v="18"/>
    <n v="116"/>
    <n v="0"/>
    <n v="116"/>
    <n v="63.07"/>
    <n v="0"/>
    <n v="0"/>
    <n v="0"/>
    <s v=""/>
    <s v=""/>
    <s v=""/>
    <s v=""/>
    <s v=""/>
    <s v=""/>
    <s v=""/>
    <s v=""/>
    <n v="52.93"/>
    <s v=""/>
    <s v=""/>
    <n v="0"/>
    <s v=""/>
    <s v=""/>
    <s v=""/>
    <s v=""/>
    <n v="52.93"/>
    <n v="52.93"/>
    <n v="0"/>
    <n v="63.07"/>
    <s v="0.78-0.82"/>
    <s v="1250-1254"/>
    <m/>
    <m/>
    <m/>
    <m/>
    <m/>
    <x v="0"/>
    <s v="R"/>
    <x v="0"/>
    <s v="C01-AU03-0.8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s v="BASEER AND CO"/>
  </r>
  <r>
    <n v="742"/>
    <d v="2025-08-19T00:00:00"/>
    <s v="ZBTO"/>
    <n v="9519028231"/>
    <n v="6"/>
    <s v="9519028231-6"/>
    <s v="Oct'25"/>
    <s v="Released"/>
    <x v="1"/>
    <x v="0"/>
    <x v="0"/>
    <m/>
    <s v="2000-BPRS"/>
    <m/>
    <s v="CHENNAI"/>
    <s v="MADS"/>
    <n v="938550"/>
    <s v="BASEER AND CO"/>
    <n v="2334995"/>
    <s v="CRCA COIL TATXXD AU03 1.500X1250"/>
    <s v="C01"/>
    <s v="TATXXD"/>
    <s v="AU03"/>
    <n v="1.5"/>
    <n v="1250"/>
    <n v="0"/>
    <s v="T2 DONE"/>
    <s v=" "/>
    <s v=""/>
    <n v="6"/>
    <n v="18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1.48-1.52"/>
    <s v="1250-1254"/>
    <m/>
    <m/>
    <m/>
    <m/>
    <m/>
    <x v="0"/>
    <s v="R"/>
    <x v="0"/>
    <s v="C01-AU03-1.5-1250"/>
    <s v="367-SH08-4-1260"/>
    <x v="0"/>
    <x v="0"/>
    <x v="0"/>
    <x v="0"/>
    <x v="10"/>
    <x v="10"/>
    <x v="93"/>
    <m/>
    <m/>
    <m/>
    <m/>
    <m/>
    <m/>
    <m/>
    <m/>
    <m/>
    <m/>
    <m/>
    <m/>
    <m/>
    <m/>
    <m/>
    <m/>
    <m/>
    <m/>
    <m/>
    <s v="BASEER AND CO"/>
  </r>
  <r>
    <n v="742"/>
    <d v="2025-08-29T00:00:00"/>
    <s v="ZBTF"/>
    <n v="9519062598"/>
    <n v="3"/>
    <s v="9519062598-3"/>
    <s v="No Priority"/>
    <s v="Released"/>
    <x v="0"/>
    <x v="0"/>
    <x v="9"/>
    <m/>
    <s v="1000-IPPE"/>
    <m/>
    <s v="PILKHUWA"/>
    <s v="SHBD"/>
    <n v="187692"/>
    <s v="KUMAR PRECISION STAMPINGS PVT. LTD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KUMAR PRECISION STAMPINGS PVT. LTD"/>
  </r>
  <r>
    <n v="742"/>
    <d v="2025-08-29T00:00:00"/>
    <s v="ZBTF"/>
    <n v="9519062598"/>
    <n v="4"/>
    <s v="9519062598-4"/>
    <s v="No Priority"/>
    <s v="Released"/>
    <x v="0"/>
    <x v="0"/>
    <x v="9"/>
    <m/>
    <s v="1000-IPPE"/>
    <m/>
    <s v="PILKHUWA"/>
    <s v="SHBD"/>
    <n v="187692"/>
    <s v="KUMAR PRECISION STAMPINGS PVT. LTD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KUMAR PRECISION STAMPINGS PVT. LTD"/>
  </r>
  <r>
    <n v="742"/>
    <d v="2025-08-29T00:00:00"/>
    <s v="ZBTF"/>
    <n v="9519062598"/>
    <n v="5"/>
    <s v="9519062598-5"/>
    <s v="No Priority"/>
    <s v="Released"/>
    <x v="0"/>
    <x v="0"/>
    <x v="9"/>
    <m/>
    <s v="1000-IPPE"/>
    <m/>
    <s v="PILKHUWA"/>
    <s v="SHBD"/>
    <n v="187692"/>
    <s v="KUMAR PRECISION STAMPINGS PVT. LTD"/>
    <n v="3587949"/>
    <s v="CR COIL TSBSTA EL06 0.500X1250"/>
    <s v="C01"/>
    <s v="TSBSTA"/>
    <s v="EL06"/>
    <n v="0.5"/>
    <n v="1250"/>
    <n v="0"/>
    <s v="T2 DONE"/>
    <s v=" "/>
    <s v=""/>
    <n v="11"/>
    <n v="14"/>
    <n v="261"/>
    <n v="12.74"/>
    <n v="248.26"/>
    <n v="248.26"/>
    <n v="12.74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48.26"/>
    <s v="0.49-0.51"/>
    <s v="1250-1270"/>
    <m/>
    <m/>
    <m/>
    <m/>
    <m/>
    <x v="0"/>
    <s v="U"/>
    <x v="11"/>
    <s v="C01-EL06-0.5-1250"/>
    <s v="367-BS74-2.25-1250"/>
    <x v="0"/>
    <x v="10"/>
    <x v="10"/>
    <x v="10"/>
    <x v="4"/>
    <x v="0"/>
    <x v="110"/>
    <m/>
    <m/>
    <m/>
    <m/>
    <m/>
    <m/>
    <m/>
    <m/>
    <m/>
    <m/>
    <m/>
    <m/>
    <m/>
    <m/>
    <m/>
    <m/>
    <m/>
    <m/>
    <m/>
    <s v="KUMAR PRECISION STAMPINGS PVT. LTD"/>
  </r>
  <r>
    <n v="742"/>
    <d v="2025-08-29T00:00:00"/>
    <s v="ZBTF"/>
    <n v="9519062598"/>
    <n v="6"/>
    <s v="9519062598-6"/>
    <s v="No Priority"/>
    <s v="Released"/>
    <x v="0"/>
    <x v="0"/>
    <x v="9"/>
    <m/>
    <s v="1000-IPPE"/>
    <m/>
    <s v="PILKHUWA"/>
    <s v="SHBD"/>
    <n v="187692"/>
    <s v="KUMAR PRECISION STAMPINGS PVT. LTD"/>
    <n v="3587949"/>
    <s v="CR COIL TSBSTA EL06 0.500X1250"/>
    <s v="C01"/>
    <s v="TSBSTA"/>
    <s v="EL06"/>
    <n v="0.5"/>
    <n v="1250"/>
    <n v="0"/>
    <s v="T2 DONE"/>
    <s v=" "/>
    <s v=""/>
    <n v="11"/>
    <n v="14"/>
    <n v="261"/>
    <n v="0"/>
    <n v="261"/>
    <n v="26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61"/>
    <s v="0.49-0.51"/>
    <s v="1250-1270"/>
    <m/>
    <m/>
    <m/>
    <m/>
    <m/>
    <x v="0"/>
    <s v="U"/>
    <x v="11"/>
    <s v="C01-EL06-0.5-1250"/>
    <s v="367-BS74-2.25-1250"/>
    <x v="0"/>
    <x v="10"/>
    <x v="10"/>
    <x v="10"/>
    <x v="4"/>
    <x v="0"/>
    <x v="110"/>
    <m/>
    <m/>
    <m/>
    <m/>
    <m/>
    <m/>
    <m/>
    <m/>
    <m/>
    <m/>
    <m/>
    <m/>
    <m/>
    <m/>
    <m/>
    <m/>
    <m/>
    <m/>
    <m/>
    <s v="KUMAR PRECISION STAMPINGS PVT. LTD"/>
  </r>
  <r>
    <n v="742"/>
    <d v="2025-07-31T00:00:00"/>
    <s v="ZBTO"/>
    <n v="9518980896"/>
    <n v="1"/>
    <s v="9518980896-1"/>
    <s v="No Priority"/>
    <s v="Released"/>
    <x v="0"/>
    <x v="0"/>
    <x v="15"/>
    <m/>
    <s v="2000-BPRS"/>
    <m/>
    <s v="AHMEDABAD"/>
    <s v="AMED"/>
    <n v="940707"/>
    <s v="GIRIRAJ EXIM PRIVATE LIMITED"/>
    <n v="2420508"/>
    <s v="CRCA COIL TATXXD AH03 0.500X1250"/>
    <s v="C01"/>
    <s v="TATXXD"/>
    <s v="AH03"/>
    <n v="0.5"/>
    <n v="1250"/>
    <n v="0"/>
    <s v="T2 DONE"/>
    <s v=" "/>
    <s v=""/>
    <n v="16"/>
    <n v="27"/>
    <n v="58"/>
    <n v="0"/>
    <n v="58"/>
    <n v="8.0299999999999994"/>
    <n v="0"/>
    <n v="0"/>
    <n v="0"/>
    <s v=""/>
    <s v=""/>
    <s v=""/>
    <s v=""/>
    <s v=""/>
    <s v=""/>
    <s v=""/>
    <n v="24.55"/>
    <n v="25.42"/>
    <s v=""/>
    <s v=""/>
    <n v="0"/>
    <s v=""/>
    <s v=""/>
    <s v=""/>
    <s v=""/>
    <n v="49.97"/>
    <n v="49.97"/>
    <n v="0"/>
    <n v="8.0300000000000011"/>
    <s v="0.47-0.51"/>
    <s v="1250-1270"/>
    <m/>
    <m/>
    <m/>
    <m/>
    <m/>
    <x v="0"/>
    <s v="U"/>
    <x v="23"/>
    <s v="C01-AH03-0.5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s v="GIRIRAJ EXIM PRIVATE LIMITED"/>
  </r>
  <r>
    <n v="742"/>
    <d v="2025-08-22T00:00:00"/>
    <s v="ZBTO"/>
    <n v="9519038135"/>
    <n v="2"/>
    <s v="9519038135-2"/>
    <s v="No Priority"/>
    <s v="Released"/>
    <x v="0"/>
    <x v="0"/>
    <x v="14"/>
    <m/>
    <s v="2000-BPRS"/>
    <m/>
    <s v="VALPARAI"/>
    <s v="MADS"/>
    <n v="116465"/>
    <s v="SRI BALAJI STEEL TRADERS"/>
    <n v="3587949"/>
    <s v="CR COIL TSBSTA EL06 0.500X1250"/>
    <s v="C01"/>
    <s v="TSBSTA"/>
    <s v="EL06"/>
    <n v="0.5"/>
    <n v="1250"/>
    <n v="0"/>
    <s v=""/>
    <s v=" "/>
    <s v=""/>
    <n v="8"/>
    <n v="14"/>
    <n v="116"/>
    <n v="12.74"/>
    <n v="103.26"/>
    <n v="103.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3.26"/>
    <s v="0.48-0.52"/>
    <s v="1250-1270"/>
    <m/>
    <m/>
    <m/>
    <m/>
    <m/>
    <x v="0"/>
    <s v="U"/>
    <x v="11"/>
    <s v="C01-EL06-0.5-1250"/>
    <s v="367-BS74-2.25-1250"/>
    <x v="0"/>
    <x v="10"/>
    <x v="10"/>
    <x v="10"/>
    <x v="4"/>
    <x v="0"/>
    <x v="110"/>
    <m/>
    <m/>
    <m/>
    <m/>
    <m/>
    <m/>
    <m/>
    <m/>
    <m/>
    <m/>
    <m/>
    <m/>
    <m/>
    <m/>
    <m/>
    <m/>
    <m/>
    <m/>
    <m/>
    <s v="SRI BALAJI STEEL TRADERS"/>
  </r>
  <r>
    <n v="742"/>
    <d v="2025-08-20T00:00:00"/>
    <s v="ZBTF"/>
    <n v="9519030952"/>
    <n v="1"/>
    <s v="9519030952-1"/>
    <s v="No Priority"/>
    <s v="Released"/>
    <x v="1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8-20T00:00:00"/>
    <s v="ZBTF"/>
    <n v="9519030952"/>
    <n v="2"/>
    <s v="9519030952-2"/>
    <s v="Sep'25"/>
    <s v="Released"/>
    <x v="1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7-21T00:00:00"/>
    <s v="ZBTO"/>
    <n v="9518946840"/>
    <n v="5"/>
    <s v="9518946840-5"/>
    <s v="No Priority"/>
    <s v="Released"/>
    <x v="0"/>
    <x v="0"/>
    <x v="0"/>
    <m/>
    <s v="2000-BPRS"/>
    <m/>
    <s v="LONI"/>
    <s v="FBAD"/>
    <n v="123052"/>
    <s v="G R GUPTA &amp; BROS"/>
    <n v="1884117"/>
    <s v="CRCA COIL-TATXXD-AU03-2X1250"/>
    <s v="C01"/>
    <s v="TATXXD"/>
    <s v="AU03"/>
    <n v="2"/>
    <n v="1250"/>
    <n v="0"/>
    <s v="T2 DONE"/>
    <s v=" "/>
    <s v=""/>
    <n v="10"/>
    <n v="30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1.96-2.01"/>
    <s v="1250-1252"/>
    <m/>
    <m/>
    <m/>
    <m/>
    <m/>
    <x v="0"/>
    <s v="U"/>
    <x v="0"/>
    <s v="C01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s v="G R GUPTA &amp; BROS"/>
  </r>
  <r>
    <n v="742"/>
    <d v="2025-08-18T00:00:00"/>
    <s v="ZBTO"/>
    <n v="9519025273"/>
    <n v="10"/>
    <s v="9519025273-10"/>
    <s v="Oct'25"/>
    <s v="Released"/>
    <x v="1"/>
    <x v="0"/>
    <x v="6"/>
    <m/>
    <s v="2000-BPRS"/>
    <m/>
    <s v="HOWRAH"/>
    <s v="CALS"/>
    <n v="925093"/>
    <s v="PSPL STEEL PROCESSORS PRIVATE LIMIT"/>
    <n v="3409913"/>
    <s v="CRCA SHEET TSBCRC SR15 0.600X1120X2000"/>
    <s v="C06"/>
    <s v="TSBCRC"/>
    <s v="SR15"/>
    <n v="0.6"/>
    <n v="1120"/>
    <n v="2000"/>
    <s v="T2 DONE"/>
    <s v=" "/>
    <s v=""/>
    <n v="0"/>
    <n v="0"/>
    <n v="52"/>
    <n v="0"/>
    <n v="52"/>
    <n v="5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2"/>
    <s v="0.57-0.6"/>
    <s v="1120-1122"/>
    <m/>
    <m/>
    <m/>
    <m/>
    <m/>
    <x v="0"/>
    <s v="T"/>
    <x v="7"/>
    <s v="C06-SR15-0.6-1120"/>
    <s v="367-SH69-2.5-1130"/>
    <x v="0"/>
    <x v="7"/>
    <x v="7"/>
    <x v="7"/>
    <x v="7"/>
    <x v="21"/>
    <x v="2"/>
    <m/>
    <m/>
    <m/>
    <m/>
    <m/>
    <m/>
    <m/>
    <m/>
    <m/>
    <m/>
    <m/>
    <m/>
    <m/>
    <m/>
    <m/>
    <m/>
    <m/>
    <m/>
    <m/>
    <s v="PSPL STEEL PROCESSORS PRIVATE LIMIT"/>
  </r>
  <r>
    <n v="742"/>
    <d v="2025-07-18T00:00:00"/>
    <s v="ZBTO"/>
    <n v="9518939588"/>
    <n v="11"/>
    <s v="9518939588-11"/>
    <s v="No Priority"/>
    <s v="Released"/>
    <x v="0"/>
    <x v="0"/>
    <x v="0"/>
    <m/>
    <s v="2000-BPRS"/>
    <m/>
    <s v="LONI"/>
    <s v="DELI"/>
    <n v="101499"/>
    <s v="G.R. GUPTA &amp; BROS."/>
    <n v="1884117"/>
    <s v="CRCA COIL-TATXXD-AU03-2X1250"/>
    <s v="C01"/>
    <s v="TATXXD"/>
    <s v="AU03"/>
    <n v="2"/>
    <n v="1250"/>
    <n v="0"/>
    <s v="T2 DONE"/>
    <s v=" "/>
    <s v=""/>
    <n v="10"/>
    <n v="3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1.97-2.01"/>
    <s v="1250-1262"/>
    <m/>
    <m/>
    <m/>
    <m/>
    <m/>
    <x v="0"/>
    <s v="U"/>
    <x v="0"/>
    <s v="C01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s v="G.R. GUPTA &amp; BROS."/>
  </r>
  <r>
    <n v="742"/>
    <d v="2025-09-09T00:00:00"/>
    <s v="ZBTF"/>
    <n v="9519089693"/>
    <n v="2"/>
    <s v="9519089693-2"/>
    <s v="No Priority"/>
    <s v="Released"/>
    <x v="0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1 REJECT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9-09T00:00:00"/>
    <s v="ZBTF"/>
    <n v="9519089693"/>
    <n v="3"/>
    <s v="9519089693-3"/>
    <s v="No Priority"/>
    <s v="Released"/>
    <x v="0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1 REJECT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9-09T00:00:00"/>
    <s v="ZBTF"/>
    <n v="9519089693"/>
    <n v="4"/>
    <s v="9519089693-4"/>
    <s v="No Priority"/>
    <s v="Released"/>
    <x v="0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1 REJECT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9-09T00:00:00"/>
    <s v="ZBTF"/>
    <n v="9519089693"/>
    <n v="5"/>
    <s v="9519089693-5"/>
    <s v="No Priority"/>
    <s v="Released"/>
    <x v="0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1 REJECT"/>
    <s v=" "/>
    <s v=""/>
    <n v="11"/>
    <n v="14"/>
    <n v="297"/>
    <n v="0"/>
    <n v="297"/>
    <n v="29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7"/>
    <s v="0.49-0.51"/>
    <s v="1160-1185"/>
    <m/>
    <m/>
    <m/>
    <m/>
    <m/>
    <x v="0"/>
    <s v="U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s v="TATA CENTER"/>
  </r>
  <r>
    <n v="742"/>
    <d v="2025-09-09T00:00:00"/>
    <s v="ZBTF"/>
    <n v="9519089693"/>
    <n v="6"/>
    <s v="9519089693-6"/>
    <s v="No Priority"/>
    <s v="Released"/>
    <x v="0"/>
    <x v="0"/>
    <x v="9"/>
    <m/>
    <s v="1000-IPPE"/>
    <m/>
    <s v="PILKHUWA"/>
    <s v="DELI"/>
    <n v="600250"/>
    <s v="TATA CENTER"/>
    <n v="3587949"/>
    <s v="CR COIL TSBSTA EL06 0.500X1250"/>
    <s v="C01"/>
    <s v="TSBSTA"/>
    <s v="EL06"/>
    <n v="0.5"/>
    <n v="1250"/>
    <n v="0"/>
    <s v="T1 REJECT"/>
    <s v=" "/>
    <s v=""/>
    <n v="11"/>
    <n v="14"/>
    <n v="261"/>
    <n v="0"/>
    <n v="261"/>
    <n v="26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61"/>
    <s v="0.49-0.51"/>
    <s v="1250-1270"/>
    <m/>
    <m/>
    <m/>
    <m/>
    <m/>
    <x v="0"/>
    <s v="U"/>
    <x v="11"/>
    <s v="C01-EL06-0.5-1250"/>
    <s v="367-BS74-2.25-1250"/>
    <x v="0"/>
    <x v="10"/>
    <x v="10"/>
    <x v="10"/>
    <x v="4"/>
    <x v="0"/>
    <x v="110"/>
    <m/>
    <m/>
    <m/>
    <m/>
    <m/>
    <m/>
    <m/>
    <m/>
    <m/>
    <m/>
    <m/>
    <m/>
    <m/>
    <m/>
    <m/>
    <m/>
    <m/>
    <m/>
    <m/>
    <s v="TATA CENTER"/>
  </r>
  <r>
    <n v="742"/>
    <d v="2025-09-11T00:00:00"/>
    <s v="ZBTO"/>
    <n v="9519096071"/>
    <n v="1"/>
    <s v="9519096071-1"/>
    <s v="Oct'25"/>
    <s v="Released"/>
    <x v="1"/>
    <x v="0"/>
    <x v="6"/>
    <m/>
    <s v="2000-BPRS"/>
    <m/>
    <s v=" "/>
    <s v="JAMS"/>
    <n v="121328"/>
    <s v="R. S. BOKARO METAL (P) LTD."/>
    <n v="3239548"/>
    <s v="CRCA SHEET TATCRC SR16 0.400X900X2500"/>
    <s v="C06"/>
    <s v="TATCRC"/>
    <s v="SR16"/>
    <n v="0.4"/>
    <n v="900"/>
    <n v="2500"/>
    <s v="T2 DONE"/>
    <s v=" "/>
    <s v=""/>
    <n v="2.5"/>
    <n v="3.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8-0.42"/>
    <s v="900-904"/>
    <m/>
    <m/>
    <m/>
    <m/>
    <m/>
    <x v="0"/>
    <s v="R"/>
    <x v="7"/>
    <s v="C06-SR16-0.4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s v="R. S. BOKARO METAL (P) LTD."/>
  </r>
  <r>
    <n v="742"/>
    <d v="2025-09-11T00:00:00"/>
    <s v="ZBTO"/>
    <n v="9519096071"/>
    <n v="3"/>
    <s v="9519096071-3"/>
    <s v="Oct'25"/>
    <s v="Released"/>
    <x v="1"/>
    <x v="0"/>
    <x v="6"/>
    <m/>
    <s v="2000-BPRS"/>
    <m/>
    <s v=" "/>
    <s v="JAMS"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5"/>
    <n v="3.2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1-0.45"/>
    <s v="1250-1252"/>
    <m/>
    <m/>
    <m/>
    <m/>
    <m/>
    <x v="0"/>
    <s v="R"/>
    <x v="7"/>
    <s v="C06-SR16-0.43-1250"/>
    <s v="367-SH67-2.25-1265"/>
    <x v="0"/>
    <x v="6"/>
    <x v="6"/>
    <x v="6"/>
    <x v="4"/>
    <x v="1"/>
    <x v="111"/>
    <m/>
    <m/>
    <m/>
    <m/>
    <m/>
    <m/>
    <m/>
    <m/>
    <m/>
    <m/>
    <m/>
    <m/>
    <m/>
    <m/>
    <m/>
    <m/>
    <m/>
    <m/>
    <m/>
    <s v="R. S. BOKARO METAL (P) LTD."/>
  </r>
  <r>
    <n v="742"/>
    <d v="2025-08-20T00:00:00"/>
    <s v="ZBTO"/>
    <n v="9519032653"/>
    <n v="1"/>
    <s v="9519032653-1"/>
    <s v="Sep'25"/>
    <s v="Released"/>
    <x v="0"/>
    <x v="0"/>
    <x v="5"/>
    <m/>
    <s v="1000-IPPE"/>
    <m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s v="T2 DONE"/>
    <s v=" "/>
    <s v=""/>
    <n v="6"/>
    <n v="10"/>
    <n v="105"/>
    <n v="83.98"/>
    <n v="21.02"/>
    <n v="21.02"/>
    <n v="15.19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1"/>
    <n v="0"/>
    <s v="0.95-1"/>
    <s v="913-914"/>
    <m/>
    <m/>
    <m/>
    <m/>
    <m/>
    <x v="0"/>
    <s v="T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s v="Balmer Lawrie And Co. Ltd."/>
  </r>
  <r>
    <n v="742"/>
    <d v="2025-08-21T00:00:00"/>
    <s v="ZBTO"/>
    <n v="9519036272"/>
    <n v="9"/>
    <s v="9519036272-9"/>
    <s v="Oct'25"/>
    <s v="Released"/>
    <x v="1"/>
    <x v="0"/>
    <x v="6"/>
    <m/>
    <s v="2000-BPRS"/>
    <m/>
    <s v="WEST BOKARO"/>
    <s v="JAMS"/>
    <n v="185794"/>
    <s v="Shree Bajrang Steel Udyog"/>
    <n v="3240778"/>
    <s v="CRCA SHEET TSBCRC SR15 0.600X1000X2500"/>
    <s v="C06"/>
    <s v="TSBCRC"/>
    <s v="SR15"/>
    <n v="0.6"/>
    <n v="1000"/>
    <n v="2500"/>
    <s v="T2 DONE"/>
    <s v=" "/>
    <s v=""/>
    <n v="2.5"/>
    <n v="3.2"/>
    <n v="92"/>
    <n v="0"/>
    <n v="92"/>
    <n v="9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92"/>
    <s v="0.58-0.62"/>
    <s v="1000-1002"/>
    <m/>
    <m/>
    <m/>
    <m/>
    <m/>
    <x v="0"/>
    <s v="R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Shree Bajrang Steel Udyog"/>
  </r>
  <r>
    <n v="743"/>
    <d v="2025-09-02T00:00:00"/>
    <s v="ZBTO"/>
    <n v="9519072913"/>
    <n v="1"/>
    <s v="9519072913-1"/>
    <s v="No Priority"/>
    <s v="Released"/>
    <x v="1"/>
    <x v="3"/>
    <x v="7"/>
    <m/>
    <s v="2000-BPRS"/>
    <m/>
    <s v=" "/>
    <s v="JAMS"/>
    <n v="121328"/>
    <s v="R. S. BOKARO METAL (P) LTD."/>
    <n v="1191955"/>
    <s v="GP COIL SOFT-TATXGP-GK09-0.3X900"/>
    <s v="C02"/>
    <s v="TATXGP"/>
    <s v="GK09"/>
    <n v="0.3"/>
    <n v="900"/>
    <n v="0"/>
    <s v="T2 DONE"/>
    <s v="Z80"/>
    <s v=""/>
    <n v="4"/>
    <n v="12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28-0.32"/>
    <s v="900-904"/>
    <m/>
    <m/>
    <m/>
    <m/>
    <m/>
    <x v="0"/>
    <s v="S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R. S. BOKARO METAL (P) LTD."/>
  </r>
  <r>
    <n v="743"/>
    <d v="2025-09-12T00:00:00"/>
    <s v="ZBTO"/>
    <n v="9519099563"/>
    <n v="7"/>
    <s v="9519099563-7"/>
    <s v="No Priority"/>
    <s v="Released"/>
    <x v="1"/>
    <x v="3"/>
    <x v="7"/>
    <m/>
    <s v="2000-BPRS"/>
    <m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4"/>
    <n v="12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33-0.37"/>
    <s v="900-904"/>
    <m/>
    <m/>
    <m/>
    <m/>
    <m/>
    <x v="0"/>
    <s v="S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hree Bajrang Steel Udyog"/>
  </r>
  <r>
    <n v="742"/>
    <d v="2025-09-12T00:00:00"/>
    <s v="ZBTO"/>
    <n v="9519097437"/>
    <n v="6"/>
    <s v="9519097437-6"/>
    <s v="Oct'25"/>
    <s v="Released"/>
    <x v="1"/>
    <x v="0"/>
    <x v="6"/>
    <m/>
    <s v="2000-BPRS"/>
    <m/>
    <s v="WEST BOKARO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5"/>
    <n v="3.2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8-0.42"/>
    <s v="900-904"/>
    <m/>
    <m/>
    <m/>
    <m/>
    <m/>
    <x v="0"/>
    <s v="R"/>
    <x v="7"/>
    <s v="C06-SR16-0.4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s v="Shree Bajrang Steel Udyog"/>
  </r>
  <r>
    <n v="743"/>
    <d v="2025-09-16T00:00:00"/>
    <s v="ZBTO"/>
    <n v="9519107089"/>
    <n v="3"/>
    <s v="9519107089-3"/>
    <s v="No Priority"/>
    <s v="Released"/>
    <x v="1"/>
    <x v="3"/>
    <x v="7"/>
    <m/>
    <s v="2000-BPRS"/>
    <m/>
    <s v="URLA"/>
    <s v="RPUR"/>
    <n v="139336"/>
    <s v="PASA ASSOCIATES PRIVATE LIMITED"/>
    <n v="1854413"/>
    <s v="GP COIL SOFT-TATXGP-GK09-0.45X900"/>
    <s v="C02"/>
    <s v="TATXGP"/>
    <s v="GK09"/>
    <n v="0.45"/>
    <n v="900"/>
    <n v="0"/>
    <s v="T2 DONE"/>
    <s v="Z80"/>
    <s v=""/>
    <n v="3"/>
    <n v="5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42-0.46"/>
    <s v="900-903"/>
    <m/>
    <m/>
    <m/>
    <m/>
    <m/>
    <x v="0"/>
    <s v="M"/>
    <x v="8"/>
    <s v="C02-GK09-0.4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PASA ASSOCIATES PRIVATE LIMITED"/>
  </r>
  <r>
    <n v="743"/>
    <d v="2025-09-15T00:00:00"/>
    <s v="ZBTO"/>
    <n v="9519104694"/>
    <n v="4"/>
    <s v="9519104694-4"/>
    <s v="No Priority"/>
    <s v="Released"/>
    <x v="1"/>
    <x v="3"/>
    <x v="7"/>
    <m/>
    <s v="2000-BPRS"/>
    <m/>
    <s v=" 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4"/>
    <n v="12"/>
    <n v="168"/>
    <n v="0"/>
    <n v="168"/>
    <n v="16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68"/>
    <s v="0.38-0.42"/>
    <s v="900-904"/>
    <m/>
    <m/>
    <m/>
    <m/>
    <m/>
    <x v="0"/>
    <s v="S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R. S. BOKARO METAL (P) LTD."/>
  </r>
  <r>
    <n v="743"/>
    <d v="2025-09-15T00:00:00"/>
    <s v="ZBTO"/>
    <n v="9519104694"/>
    <n v="5"/>
    <s v="9519104694-5"/>
    <s v="No Priority"/>
    <s v="Released"/>
    <x v="1"/>
    <x v="3"/>
    <x v="7"/>
    <m/>
    <s v="2000-BPRS"/>
    <m/>
    <s v=" 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4"/>
    <n v="12"/>
    <n v="168"/>
    <n v="0"/>
    <n v="168"/>
    <n v="16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68"/>
    <s v="0.48-0.52"/>
    <s v="900-904"/>
    <m/>
    <m/>
    <m/>
    <m/>
    <m/>
    <x v="0"/>
    <s v="S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R. S. BOKARO METAL (P) LTD."/>
  </r>
  <r>
    <n v="743"/>
    <d v="2025-09-12T00:00:00"/>
    <s v="ZBTO"/>
    <n v="9519099563"/>
    <n v="13"/>
    <s v="9519099563-13"/>
    <s v="No Priority"/>
    <s v="Released"/>
    <x v="1"/>
    <x v="3"/>
    <x v="7"/>
    <m/>
    <s v="2000-BPRS"/>
    <m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48-0.52"/>
    <s v="900-904"/>
    <m/>
    <m/>
    <m/>
    <m/>
    <m/>
    <x v="0"/>
    <s v="S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hree Bajrang Steel Udyog"/>
  </r>
  <r>
    <n v="743"/>
    <d v="2025-09-12T00:00:00"/>
    <s v="ZBTO"/>
    <n v="9519099563"/>
    <n v="14"/>
    <s v="9519099563-14"/>
    <s v="No Priority"/>
    <s v="Released"/>
    <x v="1"/>
    <x v="3"/>
    <x v="7"/>
    <m/>
    <s v="2000-BPRS"/>
    <m/>
    <s v="WEST BOKARO"/>
    <s v="JAMS"/>
    <n v="185794"/>
    <s v="Shree Bajrang Steel Udyog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58-0.62"/>
    <s v="900-904"/>
    <m/>
    <m/>
    <m/>
    <m/>
    <m/>
    <x v="0"/>
    <s v="S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hree Bajrang Steel Udyog"/>
  </r>
  <r>
    <n v="743"/>
    <d v="2025-09-16T00:00:00"/>
    <s v="ZBTO"/>
    <n v="9519107089"/>
    <n v="1"/>
    <s v="9519107089-1"/>
    <s v="No Priority"/>
    <s v="Released"/>
    <x v="1"/>
    <x v="3"/>
    <x v="7"/>
    <m/>
    <s v="2000-BPRS"/>
    <m/>
    <s v="URLA"/>
    <s v="RPUR"/>
    <n v="139336"/>
    <s v="PASA ASSOCIATES PRIVATE LIMITED"/>
    <n v="1191956"/>
    <s v="GP COIL SOFT-TATXGP-GK09-0.35X900"/>
    <s v="C02"/>
    <s v="TATXGP"/>
    <s v="GK09"/>
    <n v="0.35"/>
    <n v="900"/>
    <n v="0"/>
    <s v="T2 DONE"/>
    <s v="Z80"/>
    <s v=""/>
    <n v="3"/>
    <n v="5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3-0.36"/>
    <s v="900-903"/>
    <m/>
    <m/>
    <m/>
    <m/>
    <m/>
    <x v="0"/>
    <s v="M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PASA ASSOCIATES PRIVATE LIMITED"/>
  </r>
  <r>
    <n v="742"/>
    <d v="2025-07-18T00:00:00"/>
    <s v="ZBTO"/>
    <n v="9518939680"/>
    <n v="29"/>
    <s v="9518939680-29"/>
    <s v="Oct'25"/>
    <s v="Released"/>
    <x v="1"/>
    <x v="0"/>
    <x v="0"/>
    <m/>
    <s v="2000-BPRS"/>
    <m/>
    <s v="CHENNAI"/>
    <s v="MADS"/>
    <n v="938550"/>
    <s v="BASEER AND CO"/>
    <n v="1884117"/>
    <s v="CRCA COIL-TATXXD-AU03-2X1250"/>
    <s v="C01"/>
    <s v="TATXXD"/>
    <s v="AU03"/>
    <n v="2"/>
    <n v="1250"/>
    <n v="0"/>
    <s v="T2 DONE"/>
    <s v=" "/>
    <s v=""/>
    <n v="6"/>
    <n v="18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1.98-2.02"/>
    <s v="1250-1254"/>
    <m/>
    <m/>
    <m/>
    <m/>
    <m/>
    <x v="0"/>
    <s v="R"/>
    <x v="0"/>
    <s v="C01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s v="BASEER AND CO"/>
  </r>
  <r>
    <n v="742"/>
    <d v="2025-06-27T00:00:00"/>
    <s v="ZBTO"/>
    <n v="9518886012"/>
    <n v="3"/>
    <s v="9518886012-3"/>
    <s v="No Priority"/>
    <s v="Released"/>
    <x v="0"/>
    <x v="0"/>
    <x v="0"/>
    <m/>
    <s v="2000-BPRS"/>
    <m/>
    <s v="JSR"/>
    <s v="CALS"/>
    <n v="155536"/>
    <s v="TATA STEEL DOWNSTREAM PRODUCTS LIMI"/>
    <n v="187574"/>
    <s v="CR COIL-ICF TATXXD AU03 2.50X1250"/>
    <s v="C01"/>
    <s v="TATXXD"/>
    <s v="AU03"/>
    <n v="2.5"/>
    <n v="1250"/>
    <n v="0"/>
    <s v="T2 DONE"/>
    <s v=" "/>
    <s v=""/>
    <n v="13"/>
    <n v="29"/>
    <n v="116"/>
    <n v="66.784999999999997"/>
    <n v="49.215000000000003"/>
    <n v="49.21500000000000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49"/>
    <n v="0"/>
    <s v="2.47-2.5"/>
    <s v="1250-1270"/>
    <m/>
    <m/>
    <m/>
    <m/>
    <m/>
    <x v="0"/>
    <s v="U"/>
    <x v="0"/>
    <s v="C01-AU03-2.5-1250"/>
    <s v="367-SH08-5-1250"/>
    <x v="0"/>
    <x v="0"/>
    <x v="0"/>
    <x v="0"/>
    <x v="12"/>
    <x v="0"/>
    <x v="112"/>
    <m/>
    <m/>
    <m/>
    <m/>
    <m/>
    <m/>
    <m/>
    <m/>
    <m/>
    <m/>
    <m/>
    <m/>
    <m/>
    <m/>
    <m/>
    <m/>
    <m/>
    <m/>
    <m/>
    <s v="TATA STEEL DOWNSTREAM PRODUCTS LIMI"/>
  </r>
  <r>
    <n v="742"/>
    <d v="2025-08-18T00:00:00"/>
    <s v="ZBTO"/>
    <n v="9519024914"/>
    <n v="4"/>
    <s v="9519024914-4"/>
    <s v="No Priority"/>
    <s v="Released"/>
    <x v="0"/>
    <x v="0"/>
    <x v="6"/>
    <m/>
    <s v="2000-BPRS"/>
    <m/>
    <s v="CHENNAI"/>
    <s v="MADS"/>
    <n v="116465"/>
    <s v="SRI BALAJI STEEL TRADERS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3"/>
    <s v="0.33-0.37"/>
    <s v="1000-1004"/>
    <m/>
    <m/>
    <m/>
    <m/>
    <m/>
    <x v="0"/>
    <s v="U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4914"/>
    <n v="5"/>
    <s v="9519024914-5"/>
    <s v="Sep'25"/>
    <s v="Released"/>
    <x v="0"/>
    <x v="0"/>
    <x v="6"/>
    <m/>
    <s v="2000-BPRS"/>
    <m/>
    <s v="CHENNAI"/>
    <s v="MADS"/>
    <n v="116465"/>
    <s v="SRI BALAJI STEEL TRADERS"/>
    <n v="3239543"/>
    <s v="CRCA SHEET TATCRC SR16 0.350X1250X2500"/>
    <s v="C06"/>
    <s v="TATCRC"/>
    <s v="SR16"/>
    <n v="0.35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3-0.37"/>
    <s v="1250-1254"/>
    <m/>
    <m/>
    <m/>
    <m/>
    <m/>
    <x v="0"/>
    <s v="U"/>
    <x v="7"/>
    <s v="C06-SR16-0.35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s v="SRI BALAJI STEEL TRADERS"/>
  </r>
  <r>
    <n v="744"/>
    <d v="2025-08-21T00:00:00"/>
    <s v="ZBTO"/>
    <n v="9519035613"/>
    <n v="2"/>
    <s v="9519035613-2"/>
    <s v="Sep'25"/>
    <s v="Released"/>
    <x v="0"/>
    <x v="4"/>
    <x v="4"/>
    <m/>
    <s v="1000-IPPE"/>
    <m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0"/>
    <n v="280"/>
    <n v="28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80"/>
    <n v="0"/>
    <s v="0.41-0.45"/>
    <s v="1220-1222"/>
    <m/>
    <m/>
    <m/>
    <m/>
    <m/>
    <x v="0"/>
    <s v="M"/>
    <x v="5"/>
    <s v="B18-D0C7-0.43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4"/>
    <d v="2025-08-21T00:00:00"/>
    <s v="ZBTO"/>
    <n v="9519035613"/>
    <n v="3"/>
    <s v="9519035613-3"/>
    <s v="Sep'25"/>
    <s v="Released"/>
    <x v="0"/>
    <x v="4"/>
    <x v="4"/>
    <m/>
    <s v="1000-IPPE"/>
    <m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1.5"/>
    <n v="5.0999999999999996"/>
    <n v="279.99900000000002"/>
    <n v="247.08"/>
    <n v="32.918999999999997"/>
    <n v="17.809000000000001"/>
    <n v="247.08"/>
    <n v="0"/>
    <n v="0"/>
    <s v=""/>
    <s v=""/>
    <s v=""/>
    <s v=""/>
    <n v="10.91"/>
    <n v="4.2"/>
    <s v=""/>
    <s v=""/>
    <s v=""/>
    <s v=""/>
    <s v=""/>
    <n v="0"/>
    <s v=""/>
    <s v=""/>
    <s v=""/>
    <s v=""/>
    <n v="15.11"/>
    <n v="15.11"/>
    <n v="18"/>
    <n v="-0.1910000000000025"/>
    <s v="0.41-0.45"/>
    <s v="1220-1222"/>
    <m/>
    <m/>
    <m/>
    <m/>
    <m/>
    <x v="0"/>
    <s v="M"/>
    <x v="5"/>
    <s v="B18-D0C7-0.43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4"/>
    <d v="2025-08-21T00:00:00"/>
    <s v="ZBTO"/>
    <n v="9519035613"/>
    <n v="5"/>
    <s v="9519035613-5"/>
    <s v="Sep'25"/>
    <s v="Released"/>
    <x v="0"/>
    <x v="4"/>
    <x v="4"/>
    <m/>
    <s v="1000-IPPE"/>
    <m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0"/>
    <n v="280"/>
    <n v="-6.93"/>
    <n v="0"/>
    <n v="0"/>
    <n v="0"/>
    <s v=""/>
    <s v=""/>
    <s v=""/>
    <s v=""/>
    <n v="10.74"/>
    <n v="276.19"/>
    <s v=""/>
    <s v=""/>
    <s v=""/>
    <s v=""/>
    <s v=""/>
    <n v="0"/>
    <s v=""/>
    <s v=""/>
    <s v=""/>
    <s v=""/>
    <n v="286.93"/>
    <n v="286.93"/>
    <n v="0"/>
    <n v="-6.9300000000000068"/>
    <s v="0.41-0.45"/>
    <s v="1220-1222"/>
    <m/>
    <m/>
    <m/>
    <m/>
    <m/>
    <x v="0"/>
    <s v="M"/>
    <x v="5"/>
    <s v="B18-D0C7-0.43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4"/>
    <d v="2025-08-21T00:00:00"/>
    <s v="ZBTO"/>
    <n v="9519035613"/>
    <n v="7"/>
    <s v="9519035613-7"/>
    <s v="Sep'25"/>
    <s v="Released"/>
    <x v="0"/>
    <x v="4"/>
    <x v="4"/>
    <m/>
    <s v="1000-IPPE"/>
    <m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8"/>
    <n v="81.064999999999998"/>
    <n v="86.935000000000002"/>
    <n v="12.01"/>
    <n v="81.064999999999998"/>
    <n v="0"/>
    <n v="56.21"/>
    <s v=""/>
    <s v=""/>
    <s v=""/>
    <s v=""/>
    <s v=""/>
    <n v="18.715"/>
    <s v=""/>
    <s v=""/>
    <s v=""/>
    <s v=""/>
    <s v=""/>
    <n v="0"/>
    <s v=""/>
    <s v=""/>
    <s v=""/>
    <s v=""/>
    <n v="74.924999999999997"/>
    <n v="74.924999999999997"/>
    <n v="0"/>
    <n v="12.010000000000005"/>
    <s v="0.41-0.45"/>
    <s v="1220-1222"/>
    <m/>
    <m/>
    <m/>
    <m/>
    <m/>
    <x v="0"/>
    <s v="M"/>
    <x v="5"/>
    <s v="B18-D0C7-0.43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s v="TATA BLUESCOPE STEEL PVT LTD."/>
  </r>
  <r>
    <n v="742"/>
    <d v="2025-08-19T00:00:00"/>
    <s v="ZBTO"/>
    <n v="9519027787"/>
    <n v="5"/>
    <s v="9519027787-5"/>
    <s v="Oct'25"/>
    <s v="Released"/>
    <x v="1"/>
    <x v="0"/>
    <x v="6"/>
    <m/>
    <s v="2000-BPRS"/>
    <m/>
    <s v="VISHAKHAPATNAM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s v=" "/>
    <s v=""/>
    <n v="0"/>
    <n v="0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58-0.62"/>
    <s v="1000-1004"/>
    <m/>
    <m/>
    <m/>
    <m/>
    <m/>
    <x v="0"/>
    <s v="M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SITARAM IRON AND STEEL PVT LTD"/>
  </r>
  <r>
    <n v="742"/>
    <d v="2025-08-18T00:00:00"/>
    <s v="ZBTO"/>
    <n v="9519025430"/>
    <n v="1"/>
    <s v="9519025430-1"/>
    <s v="No Priority"/>
    <s v="Released"/>
    <x v="0"/>
    <x v="0"/>
    <x v="0"/>
    <m/>
    <s v="2000-BPRS"/>
    <m/>
    <s v="SALEM"/>
    <s v="MADS"/>
    <n v="116465"/>
    <s v="SRI BALAJI STEEL TRADERS"/>
    <n v="185675"/>
    <s v="CRCA COIL-TATXXD-AU03-0.5X1250"/>
    <s v="C01"/>
    <s v="TATXXD"/>
    <s v="AU03"/>
    <n v="0.5"/>
    <n v="1250"/>
    <n v="0"/>
    <s v="T2 DONE"/>
    <s v=" "/>
    <s v=""/>
    <n v="6"/>
    <n v="18"/>
    <n v="29"/>
    <n v="0"/>
    <n v="29"/>
    <n v="3.41"/>
    <n v="0"/>
    <n v="0"/>
    <n v="0"/>
    <s v=""/>
    <s v=""/>
    <s v=""/>
    <s v=""/>
    <s v=""/>
    <s v=""/>
    <s v=""/>
    <s v=""/>
    <n v="25.59"/>
    <s v=""/>
    <s v=""/>
    <n v="0"/>
    <s v=""/>
    <s v=""/>
    <s v=""/>
    <s v=""/>
    <n v="25.59"/>
    <n v="25.59"/>
    <n v="0"/>
    <n v="3.41"/>
    <s v="0.48-0.52"/>
    <s v="1250-1262"/>
    <m/>
    <m/>
    <m/>
    <m/>
    <m/>
    <x v="0"/>
    <s v="U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5430"/>
    <n v="2"/>
    <s v="9519025430-2"/>
    <s v="Oct'25"/>
    <s v="Released"/>
    <x v="1"/>
    <x v="0"/>
    <x v="0"/>
    <m/>
    <s v="2000-BPRS"/>
    <m/>
    <s v="SALEM"/>
    <s v="MADS"/>
    <n v="116465"/>
    <s v="SRI BALAJI STEEL TRADERS"/>
    <n v="1801290"/>
    <s v="CRCA COIL-TATXXD-AU03-0.6X1250"/>
    <s v="C01"/>
    <s v="TATXXD"/>
    <s v="AU03"/>
    <n v="0.6"/>
    <n v="1250"/>
    <n v="0"/>
    <s v="T2 DONE"/>
    <s v=" "/>
    <s v=""/>
    <n v="6"/>
    <n v="18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58-0.62"/>
    <s v="1250-1262"/>
    <m/>
    <m/>
    <m/>
    <m/>
    <m/>
    <x v="1"/>
    <s v="U"/>
    <x v="0"/>
    <s v="C01-AU03-0.6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SRI BALAJI STEEL TRADERS"/>
  </r>
  <r>
    <n v="742"/>
    <d v="2025-08-22T00:00:00"/>
    <s v="ZBTO"/>
    <n v="9519038135"/>
    <n v="1"/>
    <s v="9519038135-1"/>
    <s v="No Priority"/>
    <s v="Released"/>
    <x v="0"/>
    <x v="0"/>
    <x v="0"/>
    <m/>
    <s v="2000-BPRS"/>
    <m/>
    <s v="VALPARAI"/>
    <s v="MADS"/>
    <n v="116465"/>
    <s v="SRI BALAJI STEEL TRADERS"/>
    <n v="185675"/>
    <s v="CRCA COIL-TATXXD-AU03-0.5X1250"/>
    <s v="C01"/>
    <s v="TATXXD"/>
    <s v="AU03"/>
    <n v="0.5"/>
    <n v="1250"/>
    <n v="0"/>
    <s v="T2 DONE"/>
    <s v=" "/>
    <s v=""/>
    <n v="6"/>
    <n v="18"/>
    <n v="87"/>
    <n v="0"/>
    <n v="87"/>
    <n v="8.9"/>
    <n v="0"/>
    <n v="0"/>
    <n v="0"/>
    <s v=""/>
    <s v=""/>
    <s v=""/>
    <s v=""/>
    <s v=""/>
    <s v=""/>
    <s v=""/>
    <s v=""/>
    <n v="78.100000000000009"/>
    <s v=""/>
    <s v=""/>
    <n v="0"/>
    <s v=""/>
    <s v=""/>
    <s v=""/>
    <s v=""/>
    <n v="78.100000000000009"/>
    <n v="78.100000000000009"/>
    <n v="0"/>
    <n v="8.8999999999999915"/>
    <s v="0.48-0.52"/>
    <s v="1250-1262"/>
    <m/>
    <m/>
    <m/>
    <m/>
    <m/>
    <x v="0"/>
    <s v="U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SRI BALAJI STEEL TRADERS"/>
  </r>
  <r>
    <n v="742"/>
    <d v="2025-08-21T00:00:00"/>
    <s v="ZBTO"/>
    <n v="9519036272"/>
    <n v="4"/>
    <s v="9519036272-4"/>
    <s v="Oct'25"/>
    <s v="Released"/>
    <x v="1"/>
    <x v="0"/>
    <x v="6"/>
    <m/>
    <s v="2000-BPRS"/>
    <m/>
    <s v="WEST BOKARO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5"/>
    <n v="3.2"/>
    <n v="63"/>
    <n v="18.809999999999999"/>
    <n v="44.19"/>
    <n v="44.1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4.19"/>
    <s v="0.38-0.42"/>
    <s v="900-904"/>
    <m/>
    <m/>
    <m/>
    <m/>
    <m/>
    <x v="0"/>
    <s v="R"/>
    <x v="7"/>
    <s v="C06-SR16-0.4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s v="Shree Bajrang Steel Udyog"/>
  </r>
  <r>
    <n v="743"/>
    <d v="2025-08-22T00:00:00"/>
    <s v="ZBTO"/>
    <n v="9519038643"/>
    <n v="4"/>
    <s v="9519038643-4"/>
    <s v="No Priority"/>
    <s v="Released"/>
    <x v="1"/>
    <x v="3"/>
    <x v="7"/>
    <m/>
    <s v="2000-BPRS"/>
    <m/>
    <s v="WEST BENGAL"/>
    <s v="CALS"/>
    <n v="100922"/>
    <s v="BUBNA COMMERCIAL COMPANY"/>
    <n v="1854418"/>
    <s v="GP COIL SOFT-TATXGP-GK09-0.5X900"/>
    <s v="C02"/>
    <s v="TATXGP"/>
    <s v="GK09"/>
    <n v="0.5"/>
    <n v="900"/>
    <n v="0"/>
    <s v="T2 DONE"/>
    <s v="Z80"/>
    <s v=""/>
    <n v="5"/>
    <n v="15"/>
    <n v="105"/>
    <n v="0"/>
    <n v="105"/>
    <n v="10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05"/>
    <s v="0.47-0.5"/>
    <s v="900-902"/>
    <m/>
    <m/>
    <m/>
    <m/>
    <m/>
    <x v="0"/>
    <s v="R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BUBNA COMMERCIAL COMPANY"/>
  </r>
  <r>
    <n v="743"/>
    <d v="2025-08-22T00:00:00"/>
    <s v="ZBTO"/>
    <n v="9519038643"/>
    <n v="5"/>
    <s v="9519038643-5"/>
    <s v="No Priority"/>
    <s v="Released"/>
    <x v="1"/>
    <x v="3"/>
    <x v="7"/>
    <m/>
    <s v="2000-BPRS"/>
    <m/>
    <s v="WEST BENGAL"/>
    <s v="CALS"/>
    <n v="100922"/>
    <s v="BUBNA COMMERCIAL COMPANY"/>
    <n v="1854424"/>
    <s v="GP COIL SOFT-TATXGP-GK09-0.6X900"/>
    <s v="C02"/>
    <s v="TATXGP"/>
    <s v="GK09"/>
    <n v="0.6"/>
    <n v="900"/>
    <n v="0"/>
    <s v="T2 DONE"/>
    <s v="Z80"/>
    <s v=""/>
    <n v="5"/>
    <n v="15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57-0.6"/>
    <s v="900-902"/>
    <m/>
    <m/>
    <m/>
    <m/>
    <m/>
    <x v="0"/>
    <s v="R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BUBNA COMMERCIAL COMPANY"/>
  </r>
  <r>
    <n v="742"/>
    <d v="2025-09-12T00:00:00"/>
    <s v="ZBTO"/>
    <n v="9519098913"/>
    <n v="1"/>
    <s v="9519098913-1"/>
    <s v="Oct'25"/>
    <s v="Released"/>
    <x v="1"/>
    <x v="0"/>
    <x v="15"/>
    <m/>
    <s v="2000-BPRS"/>
    <m/>
    <s v="FARIDABAD"/>
    <s v="FBAD"/>
    <n v="831432"/>
    <s v="FERRO STEEL SOLUTIONS"/>
    <n v="2420508"/>
    <s v="CRCA COIL TATXXD AH03 0.500X1250"/>
    <s v="C01"/>
    <s v="TATXXD"/>
    <s v="AH03"/>
    <n v="0.5"/>
    <n v="1250"/>
    <n v="0"/>
    <s v="T2 DONE"/>
    <s v=" "/>
    <s v=""/>
    <n v="9"/>
    <n v="27"/>
    <n v="174"/>
    <n v="0"/>
    <n v="174"/>
    <n v="17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74"/>
    <s v="0.47-0.51"/>
    <s v="1250-1270"/>
    <m/>
    <m/>
    <m/>
    <m/>
    <m/>
    <x v="0"/>
    <s v="U"/>
    <x v="23"/>
    <s v="C01-AH03-0.5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s v="FERRO STEEL SOLUTIONS"/>
  </r>
  <r>
    <n v="742"/>
    <d v="2025-08-21T00:00:00"/>
    <s v="ZBTO"/>
    <n v="9519036388"/>
    <n v="3"/>
    <s v="9519036388-3"/>
    <s v="Sep'25"/>
    <s v="Released"/>
    <x v="1"/>
    <x v="0"/>
    <x v="6"/>
    <m/>
    <s v="2000-BPRS"/>
    <m/>
    <s v=" "/>
    <s v="JAMS"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5"/>
    <n v="3.2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1-0.45"/>
    <s v="1250-1252"/>
    <m/>
    <m/>
    <m/>
    <m/>
    <m/>
    <x v="0"/>
    <s v="R"/>
    <x v="7"/>
    <s v="C06-SR16-0.43-1250"/>
    <s v="367-SH67-2.25-1265"/>
    <x v="0"/>
    <x v="6"/>
    <x v="6"/>
    <x v="6"/>
    <x v="4"/>
    <x v="1"/>
    <x v="111"/>
    <m/>
    <m/>
    <m/>
    <m/>
    <m/>
    <m/>
    <m/>
    <m/>
    <m/>
    <m/>
    <m/>
    <m/>
    <m/>
    <m/>
    <m/>
    <m/>
    <m/>
    <m/>
    <m/>
    <s v="R. S. BOKARO METAL (P) LTD."/>
  </r>
  <r>
    <n v="742"/>
    <d v="2025-08-12T00:00:00"/>
    <s v="ZBTO"/>
    <n v="9519011540"/>
    <n v="1"/>
    <s v="9519011540-1"/>
    <s v="No Priority"/>
    <s v="Released"/>
    <x v="0"/>
    <x v="0"/>
    <x v="0"/>
    <m/>
    <s v="2000-BPRS"/>
    <m/>
    <s v="GORAKHPUR"/>
    <s v="KANP"/>
    <n v="115841"/>
    <s v="O.V.S. ISPAT UDYOG"/>
    <n v="322578"/>
    <s v="CRCA SHEET TATCRC TR15 .5X1250X2500"/>
    <s v="C06"/>
    <s v="TATCRC"/>
    <s v="TR15"/>
    <n v="0.5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48-0.52"/>
    <s v="1250-1254"/>
    <m/>
    <m/>
    <m/>
    <m/>
    <m/>
    <x v="0"/>
    <s v="M"/>
    <x v="0"/>
    <s v="C06-TR15-0.5-1250"/>
    <s v="367-SF98-2.5-1260"/>
    <x v="0"/>
    <x v="11"/>
    <x v="11"/>
    <x v="11"/>
    <x v="7"/>
    <x v="10"/>
    <x v="113"/>
    <m/>
    <m/>
    <m/>
    <m/>
    <m/>
    <m/>
    <m/>
    <m/>
    <m/>
    <m/>
    <m/>
    <m/>
    <m/>
    <m/>
    <m/>
    <m/>
    <m/>
    <m/>
    <m/>
    <s v="O.V.S. ISPAT UDYOG"/>
  </r>
  <r>
    <n v="742"/>
    <d v="2025-07-23T00:00:00"/>
    <s v="ZBTO"/>
    <n v="9518952583"/>
    <n v="1"/>
    <s v="9518952583-1"/>
    <s v="No Priority"/>
    <s v="Released"/>
    <x v="0"/>
    <x v="0"/>
    <x v="0"/>
    <m/>
    <s v="2000-BPRS"/>
    <m/>
    <s v="GORAKHPUR"/>
    <s v="KANP"/>
    <n v="115841"/>
    <s v="O.V.S. ISPAT UDYOG"/>
    <n v="322585"/>
    <s v="CRCA SHEET TATCRC TR15 .9X1250X2500"/>
    <s v="C06"/>
    <s v="TATCRC"/>
    <s v="TR15"/>
    <n v="0.9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88-0.92"/>
    <s v="1250-1254"/>
    <m/>
    <m/>
    <m/>
    <m/>
    <m/>
    <x v="0"/>
    <s v="M"/>
    <x v="0"/>
    <s v="C06-TR15-0.9-1250"/>
    <s v="367-SF98-2.8-1260"/>
    <x v="0"/>
    <x v="11"/>
    <x v="11"/>
    <x v="11"/>
    <x v="0"/>
    <x v="10"/>
    <x v="114"/>
    <m/>
    <m/>
    <m/>
    <m/>
    <m/>
    <m/>
    <m/>
    <m/>
    <m/>
    <m/>
    <m/>
    <m/>
    <m/>
    <m/>
    <m/>
    <m/>
    <m/>
    <m/>
    <m/>
    <s v="O.V.S. ISPAT UDYOG"/>
  </r>
  <r>
    <n v="743"/>
    <d v="2025-09-17T00:00:00"/>
    <s v="ZBTO"/>
    <n v="9519113387"/>
    <n v="2"/>
    <s v="9519113387-2"/>
    <s v="No Priority"/>
    <s v="Released"/>
    <x v="1"/>
    <x v="3"/>
    <x v="3"/>
    <m/>
    <s v="2000-BPRS"/>
    <m/>
    <s v="SRINAGAR"/>
    <s v="LUDH"/>
    <n v="115190"/>
    <s v="SHEYRUB AGENCIES"/>
    <n v="3897429"/>
    <s v="GP COIL XXXGPH GPH3 0.350X900"/>
    <s v="C05"/>
    <s v="XXXGPH"/>
    <s v="GPH3"/>
    <n v="0.35"/>
    <n v="900"/>
    <n v="0"/>
    <s v=""/>
    <s v="Z80"/>
    <s v=""/>
    <n v="3"/>
    <n v="5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32-0.36"/>
    <s v="900-903"/>
    <m/>
    <m/>
    <m/>
    <m/>
    <m/>
    <x v="0"/>
    <s v="U"/>
    <x v="3"/>
    <s v="C05-GPH3-0.35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SHEYRUB AGENCIES"/>
  </r>
  <r>
    <n v="743"/>
    <d v="2025-09-17T00:00:00"/>
    <s v="ZBTO"/>
    <n v="9519113387"/>
    <n v="3"/>
    <s v="9519113387-3"/>
    <s v="No Priority"/>
    <s v="Released"/>
    <x v="1"/>
    <x v="3"/>
    <x v="3"/>
    <m/>
    <s v="2000-BPRS"/>
    <m/>
    <s v="SRINAGAR"/>
    <s v="LUDH"/>
    <n v="115190"/>
    <s v="SHEYRUB AGENCIES"/>
    <n v="3897430"/>
    <s v="GP COIL XXXGPH GPH3 0.400X900"/>
    <s v="C05"/>
    <s v="XXXGPH"/>
    <s v="GPH3"/>
    <n v="0.4"/>
    <n v="900"/>
    <n v="0"/>
    <s v=""/>
    <s v="Z80"/>
    <s v=""/>
    <n v="3"/>
    <n v="5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7-0.41"/>
    <s v="900-903"/>
    <m/>
    <m/>
    <m/>
    <m/>
    <m/>
    <x v="0"/>
    <s v="U"/>
    <x v="3"/>
    <s v="C05-GPH3-0.4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SHEYRUB AGENCIES"/>
  </r>
  <r>
    <n v="743"/>
    <d v="2025-09-17T00:00:00"/>
    <s v="ZBTO"/>
    <n v="9519113387"/>
    <n v="4"/>
    <s v="9519113387-4"/>
    <s v="No Priority"/>
    <s v="Released"/>
    <x v="1"/>
    <x v="3"/>
    <x v="3"/>
    <m/>
    <s v="2000-BPRS"/>
    <m/>
    <s v="SRINAGAR"/>
    <s v="LUDH"/>
    <n v="115190"/>
    <s v="SHEYRUB AGENCIES"/>
    <n v="3897501"/>
    <s v="GP COIL XXXGPH GPH3 0.500X900"/>
    <s v="C05"/>
    <s v="XXXGPH"/>
    <s v="GPH3"/>
    <n v="0.5"/>
    <n v="900"/>
    <n v="0"/>
    <s v=""/>
    <s v="Z80"/>
    <s v=""/>
    <n v="3"/>
    <n v="5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47-0.51"/>
    <s v="900-903"/>
    <m/>
    <m/>
    <m/>
    <m/>
    <m/>
    <x v="0"/>
    <s v="U"/>
    <x v="3"/>
    <s v="C05-GPH3-0.5-900"/>
    <s v="B69-SF93-2.5-925"/>
    <x v="2"/>
    <x v="4"/>
    <x v="4"/>
    <x v="4"/>
    <x v="7"/>
    <x v="3"/>
    <x v="71"/>
    <m/>
    <m/>
    <m/>
    <m/>
    <m/>
    <m/>
    <m/>
    <m/>
    <m/>
    <m/>
    <m/>
    <m/>
    <m/>
    <m/>
    <m/>
    <m/>
    <m/>
    <m/>
    <m/>
    <s v="SHEYRUB AGENCIES"/>
  </r>
  <r>
    <n v="742"/>
    <d v="2025-08-23T00:00:00"/>
    <s v="ZBTO"/>
    <n v="9519041216"/>
    <n v="1"/>
    <s v="9519041216-1"/>
    <s v="Oct'25"/>
    <s v="Released"/>
    <x v="1"/>
    <x v="0"/>
    <x v="6"/>
    <m/>
    <s v="2000-BPRS"/>
    <m/>
    <s v="VISHAKHAPATNAM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s v=" "/>
    <s v=""/>
    <n v="0"/>
    <n v="0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58-0.62"/>
    <s v="1000-1004"/>
    <m/>
    <m/>
    <m/>
    <m/>
    <m/>
    <x v="0"/>
    <s v="M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s v="SITARAM IRON AND STEEL PVT LTD"/>
  </r>
  <r>
    <n v="742"/>
    <d v="2025-08-23T00:00:00"/>
    <s v="ZBTO"/>
    <n v="9519041216"/>
    <n v="2"/>
    <s v="9519041216-2"/>
    <s v="Oct'25"/>
    <s v="Released"/>
    <x v="1"/>
    <x v="0"/>
    <x v="6"/>
    <m/>
    <s v="2000-BPRS"/>
    <m/>
    <s v="VISHAKHAPATNAM"/>
    <s v="SBAD"/>
    <n v="946077"/>
    <s v="SITARAM IRON AND STEEL PVT LTD"/>
    <n v="3240771"/>
    <s v="CRCA SHEET TSBCRC SR15 0.600X900X2440"/>
    <s v="C06"/>
    <s v="TSBCRC"/>
    <s v="SR15"/>
    <n v="0.6"/>
    <n v="900"/>
    <n v="2440"/>
    <s v="T2 DONE"/>
    <s v=" "/>
    <s v=""/>
    <n v="0"/>
    <n v="0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58-0.62"/>
    <s v="900-904"/>
    <m/>
    <m/>
    <m/>
    <m/>
    <m/>
    <x v="0"/>
    <s v="M"/>
    <x v="7"/>
    <s v="C06-SR15-0.6-900"/>
    <s v="B69-SH69-2.5-925"/>
    <x v="2"/>
    <x v="7"/>
    <x v="7"/>
    <x v="7"/>
    <x v="7"/>
    <x v="3"/>
    <x v="30"/>
    <m/>
    <m/>
    <m/>
    <m/>
    <m/>
    <m/>
    <m/>
    <m/>
    <m/>
    <m/>
    <m/>
    <m/>
    <m/>
    <m/>
    <m/>
    <m/>
    <m/>
    <m/>
    <m/>
    <s v="SITARAM IRON AND STEEL PVT LTD"/>
  </r>
  <r>
    <n v="743"/>
    <d v="2025-08-29T00:00:00"/>
    <s v="ZBTO"/>
    <n v="9519061532"/>
    <n v="2"/>
    <s v="9519061532-2"/>
    <s v="No Priority"/>
    <s v="Released"/>
    <x v="1"/>
    <x v="3"/>
    <x v="3"/>
    <m/>
    <s v="2000-BPRS"/>
    <m/>
    <s v="LONI"/>
    <s v="GBAD"/>
    <n v="931234"/>
    <s v="JAI LAXMI STEELS"/>
    <n v="1851762"/>
    <s v="GP COIL SOFT-TSBXGP-T1GP-0.25X1000"/>
    <s v="C02"/>
    <s v="TSBXGP"/>
    <s v="T1GP"/>
    <n v="0.25"/>
    <n v="1000"/>
    <n v="0"/>
    <s v="T2 DONE"/>
    <s v="Z80"/>
    <s v=""/>
    <n v="4"/>
    <n v="6"/>
    <n v="46"/>
    <n v="0"/>
    <n v="46"/>
    <n v="4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6"/>
    <s v="0.22-0.25"/>
    <s v="1000-1003"/>
    <m/>
    <m/>
    <m/>
    <m/>
    <m/>
    <x v="0"/>
    <s v="S"/>
    <x v="4"/>
    <s v="C02-T1GP-0.25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s v="JAI LAXMI STEELS"/>
  </r>
  <r>
    <n v="742"/>
    <d v="2025-08-12T00:00:00"/>
    <s v="ZBTO"/>
    <n v="9519011538"/>
    <n v="1"/>
    <s v="9519011538-1"/>
    <s v="Sep'25"/>
    <s v="Released"/>
    <x v="1"/>
    <x v="0"/>
    <x v="6"/>
    <m/>
    <s v="2000-BPRS"/>
    <m/>
    <s v="VARANASI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0"/>
    <n v="0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0.38-0.42"/>
    <s v="1250-1254"/>
    <m/>
    <m/>
    <m/>
    <m/>
    <m/>
    <x v="0"/>
    <s v="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s v="O.V.S. ISPAT UDYOG"/>
  </r>
  <r>
    <n v="742"/>
    <d v="2025-08-18T00:00:00"/>
    <s v="ZBTO"/>
    <n v="9519025430"/>
    <n v="3"/>
    <s v="9519025430-3"/>
    <s v="Oct'25"/>
    <s v="Released"/>
    <x v="1"/>
    <x v="0"/>
    <x v="6"/>
    <m/>
    <s v="2000-BPRS"/>
    <m/>
    <s v="SALEM"/>
    <s v="MADS"/>
    <n v="116465"/>
    <s v="SRI BALAJI STEEL TRADERS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8-0.32"/>
    <s v="900-904"/>
    <m/>
    <m/>
    <m/>
    <m/>
    <m/>
    <x v="0"/>
    <s v="U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SRI BALAJI STEEL TRADERS"/>
  </r>
  <r>
    <n v="742"/>
    <d v="2025-07-29T00:00:00"/>
    <s v="ZBTO"/>
    <n v="9518970422"/>
    <n v="2"/>
    <s v="9518970422-2"/>
    <s v="Sep'25"/>
    <s v="Released"/>
    <x v="0"/>
    <x v="0"/>
    <x v="6"/>
    <m/>
    <s v="2000-BPRS"/>
    <m/>
    <s v="NAGPUR"/>
    <s v="NPUR"/>
    <n v="103092"/>
    <s v="TEJRAM RAMNIWAS AGARWAL"/>
    <n v="3240792"/>
    <s v="CRCA SHEET TSBCRC SR15 0.600X1250X2500"/>
    <s v="C06"/>
    <s v="TSBCRC"/>
    <s v="SR15"/>
    <n v="0.6"/>
    <n v="1250"/>
    <n v="2500"/>
    <s v="T2 DONE"/>
    <s v=" "/>
    <s v=""/>
    <n v="2"/>
    <n v="3"/>
    <n v="57.999000000000002"/>
    <n v="36.365000000000002"/>
    <n v="21.634"/>
    <n v="21.634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22"/>
    <n v="0"/>
    <s v="0.58-0.61"/>
    <s v="1250-1251"/>
    <m/>
    <m/>
    <m/>
    <m/>
    <m/>
    <x v="0"/>
    <s v="R"/>
    <x v="7"/>
    <s v="C06-SR15-0.6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s v="TEJRAM RAMNIWAS AGARWAL"/>
  </r>
  <r>
    <n v="742"/>
    <d v="2025-08-22T00:00:00"/>
    <s v="ZBTO"/>
    <n v="9519040469"/>
    <n v="2"/>
    <s v="9519040469-2"/>
    <s v="Sep'25"/>
    <s v="Released"/>
    <x v="0"/>
    <x v="0"/>
    <x v="5"/>
    <m/>
    <s v="1000-IPPE"/>
    <m/>
    <s v="VILLAGE DADRA"/>
    <s v="NPUR"/>
    <n v="189405"/>
    <s v="Balmer Lawrie And Co. Ltd."/>
    <n v="3655054"/>
    <s v="CR COIL TATXXD BT01 1.200X1215"/>
    <s v="C01"/>
    <s v="TATXXD"/>
    <s v="BT01"/>
    <n v="1.2"/>
    <n v="1215"/>
    <n v="0"/>
    <s v="T2 DONE"/>
    <s v=" "/>
    <s v=""/>
    <n v="6"/>
    <n v="10"/>
    <n v="140"/>
    <n v="25.024999999999999"/>
    <n v="114.97499999999999"/>
    <n v="114.9749999999999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15"/>
    <n v="0"/>
    <s v="1.17-1.23"/>
    <s v="1215-1216"/>
    <m/>
    <m/>
    <m/>
    <m/>
    <m/>
    <x v="0"/>
    <s v="M"/>
    <x v="6"/>
    <s v="C01-BT01-1.2-1215"/>
    <s v="367-SH67-3.2-1235"/>
    <x v="0"/>
    <x v="6"/>
    <x v="6"/>
    <x v="6"/>
    <x v="3"/>
    <x v="4"/>
    <x v="115"/>
    <m/>
    <m/>
    <m/>
    <m/>
    <m/>
    <m/>
    <m/>
    <m/>
    <m/>
    <m/>
    <m/>
    <m/>
    <m/>
    <m/>
    <m/>
    <m/>
    <m/>
    <m/>
    <m/>
    <s v="Balmer Lawrie And Co. Ltd."/>
  </r>
  <r>
    <n v="742"/>
    <d v="2025-09-05T00:00:00"/>
    <s v="ZBTO"/>
    <n v="9519080347"/>
    <n v="1"/>
    <s v="9519080347-1"/>
    <s v="Oct'25"/>
    <s v="Released"/>
    <x v="1"/>
    <x v="0"/>
    <x v="0"/>
    <m/>
    <s v="2000-BPRS"/>
    <m/>
    <s v="FARIDABAD"/>
    <s v="FBAD"/>
    <n v="144917"/>
    <s v="BANSAL BROTHERS"/>
    <n v="1804772"/>
    <s v="CRCA COIL TATXXD AU03 0.4X1250"/>
    <s v="C01"/>
    <s v="TATXXD"/>
    <s v="AU03"/>
    <n v="0.4"/>
    <n v="1250"/>
    <n v="0"/>
    <s v="T2 DONE"/>
    <s v=" "/>
    <s v=""/>
    <n v="10"/>
    <n v="3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7-0.41"/>
    <s v="1250-1262"/>
    <m/>
    <m/>
    <m/>
    <m/>
    <m/>
    <x v="1"/>
    <s v="U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BANSAL BROTHERS"/>
  </r>
  <r>
    <n v="743"/>
    <d v="2025-09-15T00:00:00"/>
    <s v="ZBTO"/>
    <n v="9519104694"/>
    <n v="6"/>
    <s v="9519104694-6"/>
    <s v="No Priority"/>
    <s v="Released"/>
    <x v="1"/>
    <x v="3"/>
    <x v="7"/>
    <m/>
    <s v="2000-BPRS"/>
    <m/>
    <s v=" 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58-0.62"/>
    <s v="900-904"/>
    <m/>
    <m/>
    <m/>
    <m/>
    <m/>
    <x v="0"/>
    <s v="S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R. S. BOKARO METAL (P) LTD."/>
  </r>
  <r>
    <n v="743"/>
    <d v="2025-09-16T00:00:00"/>
    <s v="ZBTO"/>
    <n v="9519107755"/>
    <n v="3"/>
    <s v="9519107755-3"/>
    <s v="No Priority"/>
    <s v="Released"/>
    <x v="1"/>
    <x v="3"/>
    <x v="13"/>
    <m/>
    <s v="2000-BPRS"/>
    <m/>
    <s v="UTTARKASHI"/>
    <s v="JPUR"/>
    <n v="150962"/>
    <s v="BIHANI INTERNATIONAL PVT LTD."/>
    <n v="1854399"/>
    <s v="GP COIL SOFT-TATXGP-GK09-0.35X1220"/>
    <s v="C02"/>
    <s v="TATXGP"/>
    <s v="GK09"/>
    <n v="0.35"/>
    <n v="1220"/>
    <n v="0"/>
    <s v="T2 DONE"/>
    <s v="Z80"/>
    <s v=""/>
    <n v="4"/>
    <n v="7"/>
    <n v="28"/>
    <n v="0"/>
    <n v="28"/>
    <n v="2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8"/>
    <s v="0.32-0.35"/>
    <s v="1220-1222"/>
    <m/>
    <m/>
    <m/>
    <m/>
    <m/>
    <x v="0"/>
    <s v="R"/>
    <x v="8"/>
    <s v="C02-GK09-0.35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BIHANI INTERNATIONAL PVT LTD."/>
  </r>
  <r>
    <n v="742"/>
    <d v="2025-07-21T00:00:00"/>
    <s v="ZBTO"/>
    <n v="9518945221"/>
    <n v="3"/>
    <s v="9518945221-3"/>
    <s v="Oct'25"/>
    <s v="Released"/>
    <x v="1"/>
    <x v="0"/>
    <x v="0"/>
    <m/>
    <s v="2000-BPRS"/>
    <m/>
    <s v="GUMMIDIPOONDI"/>
    <s v="MADS"/>
    <n v="822271"/>
    <s v="TATA STEEL DOWNSTREAM PRODUCTS LIMI"/>
    <n v="2434555"/>
    <s v="CRCA COIL TATXXD AU03 0.600X1320"/>
    <s v="C01"/>
    <s v="TATXXD"/>
    <s v="AU03"/>
    <n v="0.6"/>
    <n v="1320"/>
    <n v="0"/>
    <s v="T2 DONE"/>
    <s v=" "/>
    <s v=""/>
    <n v="5"/>
    <n v="29"/>
    <n v="60"/>
    <n v="0"/>
    <n v="60"/>
    <n v="60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0"/>
    <s v="0.58-0.62"/>
    <s v="1320-1332"/>
    <m/>
    <m/>
    <m/>
    <m/>
    <m/>
    <x v="1"/>
    <s v="U"/>
    <x v="0"/>
    <s v="C01-AU03-0.6-1320"/>
    <s v="367-SH08-2.5-1320"/>
    <x v="0"/>
    <x v="0"/>
    <x v="0"/>
    <x v="0"/>
    <x v="7"/>
    <x v="18"/>
    <x v="116"/>
    <m/>
    <m/>
    <m/>
    <m/>
    <m/>
    <m/>
    <m/>
    <m/>
    <m/>
    <m/>
    <m/>
    <m/>
    <m/>
    <m/>
    <m/>
    <m/>
    <m/>
    <m/>
    <m/>
    <s v="TATA STEEL DOWNSTREAM PRODUCTS LIMI"/>
  </r>
  <r>
    <n v="742"/>
    <d v="2025-08-19T00:00:00"/>
    <s v="ZBTO"/>
    <n v="9519028231"/>
    <n v="2"/>
    <s v="9519028231-2"/>
    <s v="No Priority"/>
    <s v="Released"/>
    <x v="0"/>
    <x v="0"/>
    <x v="0"/>
    <m/>
    <s v="2000-BPRS"/>
    <m/>
    <s v="CHENNAI"/>
    <s v="MADS"/>
    <n v="938550"/>
    <s v="BASEER AND CO"/>
    <n v="185675"/>
    <s v="CRCA COIL-TATXXD-AU03-0.5X1250"/>
    <s v="C01"/>
    <s v="TATXXD"/>
    <s v="AU03"/>
    <n v="0.5"/>
    <n v="1250"/>
    <n v="0"/>
    <s v="T2 DONE"/>
    <s v=" "/>
    <s v=""/>
    <n v="6"/>
    <n v="18"/>
    <n v="58"/>
    <n v="0"/>
    <n v="58"/>
    <n v="6.17"/>
    <n v="0"/>
    <n v="0"/>
    <n v="0"/>
    <s v=""/>
    <s v=""/>
    <s v=""/>
    <s v=""/>
    <s v=""/>
    <s v=""/>
    <s v=""/>
    <s v=""/>
    <n v="51.83"/>
    <s v=""/>
    <s v=""/>
    <n v="0"/>
    <s v=""/>
    <s v=""/>
    <s v=""/>
    <s v=""/>
    <n v="51.83"/>
    <n v="51.83"/>
    <n v="0"/>
    <n v="6.1700000000000017"/>
    <s v="0.48-0.52"/>
    <s v="1250-1254"/>
    <m/>
    <m/>
    <m/>
    <m/>
    <m/>
    <x v="0"/>
    <s v="R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s v="BASEER AND CO"/>
  </r>
  <r>
    <n v="742"/>
    <d v="2025-08-14T00:00:00"/>
    <s v="ZBTF"/>
    <n v="9519017114"/>
    <n v="1"/>
    <s v="9519017114-1"/>
    <s v="No Priority"/>
    <s v="Released"/>
    <x v="1"/>
    <x v="0"/>
    <x v="9"/>
    <m/>
    <s v="1000-IPPE"/>
    <m/>
    <s v="THIRUVALLUR"/>
    <s v="MADS"/>
    <n v="600250"/>
    <s v="TATA CENTER"/>
    <n v="3659268"/>
    <s v="CR COIL TSBSTA EL03 0.500X1217"/>
    <s v="C01"/>
    <s v="TSBSTA"/>
    <s v="EL03"/>
    <n v="0.5"/>
    <n v="1217"/>
    <n v="0"/>
    <s v="T2 DONE"/>
    <s v=" "/>
    <s v=""/>
    <n v="8"/>
    <n v="25"/>
    <n v="196"/>
    <n v="12.875"/>
    <n v="183.125"/>
    <n v="183.12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83.125"/>
    <s v="0.49-0.51"/>
    <s v="1217-1222"/>
    <m/>
    <m/>
    <m/>
    <m/>
    <m/>
    <x v="0"/>
    <s v="C"/>
    <x v="11"/>
    <s v="C01-EL03-0.5-1217"/>
    <s v="367-SH67-2.5-1235"/>
    <x v="0"/>
    <x v="6"/>
    <x v="6"/>
    <x v="6"/>
    <x v="7"/>
    <x v="4"/>
    <x v="96"/>
    <m/>
    <m/>
    <m/>
    <m/>
    <m/>
    <m/>
    <m/>
    <m/>
    <m/>
    <m/>
    <m/>
    <m/>
    <m/>
    <m/>
    <m/>
    <m/>
    <m/>
    <m/>
    <m/>
    <s v="TATA CENTER"/>
  </r>
  <r>
    <n v="743"/>
    <d v="2025-09-09T00:00:00"/>
    <s v="ZBTO"/>
    <n v="9519090170"/>
    <n v="3"/>
    <s v="9519090170-3"/>
    <s v="No Priority"/>
    <s v="Released"/>
    <x v="1"/>
    <x v="1"/>
    <x v="4"/>
    <m/>
    <s v="1000-IPPE"/>
    <m/>
    <s v="TATANAGAR"/>
    <s v="BOMB"/>
    <n v="942284"/>
    <s v="TATA BLUESCOPE STEEL PRIVATE LIMITE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41-0.45"/>
    <s v="900-903"/>
    <m/>
    <m/>
    <m/>
    <m/>
    <m/>
    <x v="0"/>
    <s v="R"/>
    <x v="3"/>
    <s v="B04-M306-0.43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s v="TATA BLUESCOPE STEEL PRIVATE LIMITE"/>
  </r>
  <r>
    <n v="742"/>
    <d v="2025-08-18T00:00:00"/>
    <s v="ZBTF"/>
    <n v="9519024849"/>
    <n v="1"/>
    <s v="9519024849-1"/>
    <s v="Sep'25"/>
    <s v="Released"/>
    <x v="1"/>
    <x v="0"/>
    <x v="5"/>
    <m/>
    <s v="1000-IPPE"/>
    <m/>
    <s v="PILKHUWA"/>
    <s v="DELI"/>
    <n v="600250"/>
    <s v="TATA CENTER"/>
    <n v="2164800"/>
    <s v="CRCA COIL TATXXD BT02 0.970X913"/>
    <s v="C01"/>
    <s v="TATXXD"/>
    <s v="BT02"/>
    <n v="0.97"/>
    <n v="913"/>
    <n v="0"/>
    <s v="T2 DONE"/>
    <s v=" "/>
    <s v=""/>
    <n v="5"/>
    <n v="10"/>
    <n v="147"/>
    <n v="0"/>
    <n v="147"/>
    <n v="14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47"/>
    <s v="0.95-0.99"/>
    <s v="913-913.5"/>
    <m/>
    <m/>
    <m/>
    <m/>
    <m/>
    <x v="0"/>
    <s v="T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s v="TATA CENTER"/>
  </r>
  <r>
    <n v="742"/>
    <d v="2025-07-29T00:00:00"/>
    <s v="ZBTO"/>
    <n v="9518972719"/>
    <n v="9"/>
    <s v="9518972719-9"/>
    <s v="No Priority"/>
    <s v="Released"/>
    <x v="0"/>
    <x v="0"/>
    <x v="0"/>
    <m/>
    <s v="2000-BPRS"/>
    <m/>
    <s v="VALPARAI"/>
    <s v="MADS"/>
    <n v="116465"/>
    <s v="SRI BALAJI STEEL TRADERS"/>
    <n v="189866"/>
    <s v="CRSHEET TATXXD AU03 1.20X1250X2500"/>
    <s v="C06"/>
    <s v="TATXXD"/>
    <s v="AU03"/>
    <n v="1.2"/>
    <n v="1250"/>
    <n v="2500"/>
    <s v="T2 DONE"/>
    <s v=" "/>
    <s v=""/>
    <n v="0"/>
    <n v="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1.18-1.22"/>
    <s v="1250-1254"/>
    <m/>
    <m/>
    <m/>
    <m/>
    <m/>
    <x v="0"/>
    <s v="U"/>
    <x v="0"/>
    <s v="C06-AU03-1.2-1250"/>
    <s v="367-SH08-3.2-1260"/>
    <x v="0"/>
    <x v="0"/>
    <x v="0"/>
    <x v="0"/>
    <x v="3"/>
    <x v="10"/>
    <x v="117"/>
    <m/>
    <m/>
    <m/>
    <m/>
    <m/>
    <m/>
    <m/>
    <m/>
    <m/>
    <m/>
    <m/>
    <m/>
    <m/>
    <m/>
    <m/>
    <m/>
    <m/>
    <m/>
    <m/>
    <s v="SRI BALAJI STEEL TRADERS"/>
  </r>
  <r>
    <n v="742"/>
    <d v="2025-07-29T00:00:00"/>
    <s v="ZBTO"/>
    <n v="9518972719"/>
    <n v="10"/>
    <s v="9518972719-10"/>
    <s v="No Priority"/>
    <s v="Released"/>
    <x v="0"/>
    <x v="0"/>
    <x v="0"/>
    <m/>
    <s v="2000-BPRS"/>
    <m/>
    <s v="VALPARAI"/>
    <s v="MADS"/>
    <n v="116465"/>
    <s v="SRI BALAJI STEEL TRADERS"/>
    <n v="194544"/>
    <s v="CRSHEET TATXXD AU03 1.50X1250X2500"/>
    <s v="C06"/>
    <s v="TATXXD"/>
    <s v="AU03"/>
    <n v="1.5"/>
    <n v="1250"/>
    <n v="2500"/>
    <s v="T2 DONE"/>
    <s v=" "/>
    <s v=""/>
    <n v="0"/>
    <n v="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1.48-1.52"/>
    <s v="1250-1254"/>
    <m/>
    <m/>
    <m/>
    <m/>
    <m/>
    <x v="0"/>
    <s v="U"/>
    <x v="0"/>
    <s v="C06-AU03-1.5-1250"/>
    <s v="367-SH08-4-1260"/>
    <x v="0"/>
    <x v="0"/>
    <x v="0"/>
    <x v="0"/>
    <x v="10"/>
    <x v="10"/>
    <x v="93"/>
    <m/>
    <m/>
    <m/>
    <m/>
    <m/>
    <m/>
    <m/>
    <m/>
    <m/>
    <m/>
    <m/>
    <m/>
    <m/>
    <m/>
    <m/>
    <m/>
    <m/>
    <m/>
    <m/>
    <s v="SRI BALAJI STEEL TRADERS"/>
  </r>
  <r>
    <n v="742"/>
    <d v="2025-07-29T00:00:00"/>
    <s v="ZBTO"/>
    <n v="9518972719"/>
    <n v="11"/>
    <s v="9518972719-11"/>
    <s v="No Priority"/>
    <s v="Released"/>
    <x v="0"/>
    <x v="0"/>
    <x v="0"/>
    <m/>
    <s v="2000-BPRS"/>
    <m/>
    <s v="VALPARAI"/>
    <s v="MADS"/>
    <n v="116465"/>
    <s v="SRI BALAJI STEEL TRADERS"/>
    <n v="3533096"/>
    <s v="CRSHEET C06 TATXXD AU03 1.6X1250X2500"/>
    <s v="C06"/>
    <s v="TATXXD"/>
    <s v="AU03"/>
    <n v="1.6"/>
    <n v="1250"/>
    <n v="2500"/>
    <s v="T2 DONE"/>
    <s v=" "/>
    <s v=""/>
    <n v="0"/>
    <n v="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1.58-1.62"/>
    <s v="1250-1254"/>
    <m/>
    <m/>
    <m/>
    <m/>
    <m/>
    <x v="0"/>
    <s v="U"/>
    <x v="0"/>
    <s v="C06-AU03-1.6-1250"/>
    <s v="367-SH08-4-1260"/>
    <x v="0"/>
    <x v="0"/>
    <x v="0"/>
    <x v="0"/>
    <x v="10"/>
    <x v="10"/>
    <x v="93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5763"/>
    <n v="1"/>
    <s v="9519025763-1"/>
    <s v="No Priority"/>
    <s v="Released"/>
    <x v="0"/>
    <x v="0"/>
    <x v="0"/>
    <m/>
    <s v="2000-BPRS"/>
    <m/>
    <s v="GORAKHPUR"/>
    <s v="KANP"/>
    <n v="115841"/>
    <s v="O.V.S. ISPAT UDYOG"/>
    <n v="322578"/>
    <s v="CRCA SHEET TATCRC TR15 .5X1250X2500"/>
    <s v="C06"/>
    <s v="TATCRC"/>
    <s v="TR15"/>
    <n v="0.5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53-0.57"/>
    <s v="1250-1254"/>
    <m/>
    <m/>
    <m/>
    <m/>
    <m/>
    <x v="0"/>
    <s v="M"/>
    <x v="0"/>
    <s v="C06-TR15-0.5-1250"/>
    <s v="367-SF98-2.5-1260"/>
    <x v="0"/>
    <x v="11"/>
    <x v="11"/>
    <x v="11"/>
    <x v="7"/>
    <x v="10"/>
    <x v="113"/>
    <m/>
    <m/>
    <m/>
    <m/>
    <m/>
    <m/>
    <m/>
    <m/>
    <m/>
    <m/>
    <m/>
    <m/>
    <m/>
    <m/>
    <m/>
    <m/>
    <m/>
    <m/>
    <m/>
    <s v="O.V.S. ISPAT UDYOG"/>
  </r>
  <r>
    <n v="742"/>
    <d v="2025-08-18T00:00:00"/>
    <s v="ZBTO"/>
    <n v="9519025763"/>
    <n v="3"/>
    <s v="9519025763-3"/>
    <s v="No Priority"/>
    <s v="Released"/>
    <x v="0"/>
    <x v="0"/>
    <x v="0"/>
    <m/>
    <s v="2000-BPRS"/>
    <m/>
    <s v="GORAKHPUR"/>
    <s v="KANP"/>
    <n v="115841"/>
    <s v="O.V.S. ISPAT UDYOG"/>
    <n v="322575"/>
    <s v="CRCA SHEET TATCRC TR15 .7X1250X2500"/>
    <s v="C06"/>
    <s v="TATCRC"/>
    <s v="TR15"/>
    <n v="0.7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68-0.72"/>
    <s v="1250-1254"/>
    <m/>
    <m/>
    <m/>
    <m/>
    <m/>
    <x v="0"/>
    <s v="M"/>
    <x v="19"/>
    <s v="C06-TR15-0.7-1250"/>
    <s v="367-SF98-2.8-1260"/>
    <x v="0"/>
    <x v="11"/>
    <x v="11"/>
    <x v="11"/>
    <x v="0"/>
    <x v="10"/>
    <x v="114"/>
    <m/>
    <m/>
    <m/>
    <m/>
    <m/>
    <m/>
    <m/>
    <m/>
    <m/>
    <m/>
    <m/>
    <m/>
    <m/>
    <m/>
    <m/>
    <m/>
    <m/>
    <m/>
    <m/>
    <s v="O.V.S. ISPAT UDYOG"/>
  </r>
  <r>
    <n v="742"/>
    <d v="2025-08-22T00:00:00"/>
    <s v="ZBTO"/>
    <n v="9519038135"/>
    <n v="13"/>
    <s v="9519038135-13"/>
    <s v="No Priority"/>
    <s v="Released"/>
    <x v="0"/>
    <x v="0"/>
    <x v="0"/>
    <m/>
    <s v="2000-BPRS"/>
    <m/>
    <s v="VALPARAI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s v=" "/>
    <s v=""/>
    <n v="0"/>
    <n v="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1.98-2.02"/>
    <s v="1250-1254"/>
    <m/>
    <m/>
    <m/>
    <m/>
    <m/>
    <x v="0"/>
    <s v="R"/>
    <x v="0"/>
    <s v="C06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s v="SRI BALAJI STEEL TRADERS"/>
  </r>
  <r>
    <n v="742"/>
    <d v="2025-08-22T00:00:00"/>
    <s v="ZBTO"/>
    <n v="9519038135"/>
    <n v="14"/>
    <s v="9519038135-14"/>
    <s v="No Priority"/>
    <s v="Released"/>
    <x v="0"/>
    <x v="0"/>
    <x v="0"/>
    <m/>
    <s v="2000-BPRS"/>
    <m/>
    <s v="VALPARAI"/>
    <s v="MADS"/>
    <n v="116465"/>
    <s v="SRI BALAJI STEEL TRADERS"/>
    <n v="325986"/>
    <s v="CRCA SHEET TATXXD AU03 2.5X1250X2500"/>
    <s v="C06"/>
    <s v="TATXXD"/>
    <s v="AU03"/>
    <n v="2.5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2.48-2.52"/>
    <s v="1250-1254"/>
    <m/>
    <m/>
    <m/>
    <m/>
    <m/>
    <x v="0"/>
    <s v="R"/>
    <x v="0"/>
    <s v="C06-AU03-2.5-1250"/>
    <s v="367-SH08-5-1260"/>
    <x v="0"/>
    <x v="0"/>
    <x v="0"/>
    <x v="0"/>
    <x v="12"/>
    <x v="10"/>
    <x v="57"/>
    <m/>
    <m/>
    <m/>
    <m/>
    <m/>
    <m/>
    <m/>
    <m/>
    <m/>
    <m/>
    <m/>
    <m/>
    <m/>
    <m/>
    <m/>
    <m/>
    <m/>
    <m/>
    <m/>
    <s v="SRI BALAJI STEEL TRADERS"/>
  </r>
  <r>
    <n v="743"/>
    <d v="2025-08-21T00:00:00"/>
    <s v="ZBTO"/>
    <n v="9519036143"/>
    <n v="9"/>
    <s v="9519036143-9"/>
    <s v="Sep'25"/>
    <s v="Released"/>
    <x v="0"/>
    <x v="3"/>
    <x v="7"/>
    <m/>
    <s v="2000-BPRS"/>
    <m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26"/>
    <n v="0"/>
    <s v="0.48-0.52"/>
    <s v="900-904"/>
    <m/>
    <m/>
    <m/>
    <m/>
    <m/>
    <x v="0"/>
    <s v="S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s v="Shree Bajrang Steel Udyog"/>
  </r>
  <r>
    <n v="742"/>
    <d v="2025-08-18T00:00:00"/>
    <s v="ZBTO"/>
    <n v="9519025273"/>
    <n v="1"/>
    <s v="9519025273-1"/>
    <s v="Sep'25"/>
    <s v="Released"/>
    <x v="1"/>
    <x v="0"/>
    <x v="6"/>
    <m/>
    <s v="2000-BPRS"/>
    <m/>
    <s v="HOWRAH"/>
    <s v="CALS"/>
    <n v="925093"/>
    <s v="PSPL STEEL PROCESSORS PRIVATE LIMIT"/>
    <n v="2441000"/>
    <s v="CRCA SHEET TATCRC SR16 0.330X1250X2500"/>
    <s v="C06"/>
    <s v="TATCRC"/>
    <s v="SR16"/>
    <n v="0.33"/>
    <n v="1250"/>
    <n v="2500"/>
    <s v="T2 DONE"/>
    <s v=" "/>
    <s v=""/>
    <n v="0"/>
    <n v="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3-0.33"/>
    <s v="1250-1252"/>
    <m/>
    <m/>
    <m/>
    <m/>
    <m/>
    <x v="0"/>
    <s v="T"/>
    <x v="7"/>
    <s v="C06-SR16-0.33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s v="PSPL STEEL PROCESSORS PRIVATE LIMIT"/>
  </r>
  <r>
    <n v="743"/>
    <d v="2025-09-12T00:00:00"/>
    <s v="ZBTO"/>
    <n v="9519099563"/>
    <n v="8"/>
    <s v="9519099563-8"/>
    <s v="No Priority"/>
    <s v="Released"/>
    <x v="1"/>
    <x v="3"/>
    <x v="7"/>
    <m/>
    <s v="2000-BPRS"/>
    <m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38-0.42"/>
    <s v="900-904"/>
    <m/>
    <m/>
    <m/>
    <m/>
    <m/>
    <x v="0"/>
    <s v="S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hree Bajrang Steel Udyog"/>
  </r>
  <r>
    <n v="743"/>
    <d v="2025-09-12T00:00:00"/>
    <s v="ZBTO"/>
    <n v="9519099563"/>
    <n v="9"/>
    <s v="9519099563-9"/>
    <s v="No Priority"/>
    <s v="Released"/>
    <x v="1"/>
    <x v="3"/>
    <x v="7"/>
    <m/>
    <s v="2000-BPRS"/>
    <m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26"/>
    <s v="0.38-0.42"/>
    <s v="900-904"/>
    <m/>
    <m/>
    <m/>
    <m/>
    <m/>
    <x v="0"/>
    <s v="S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hree Bajrang Steel Udyog"/>
  </r>
  <r>
    <n v="743"/>
    <d v="2025-08-27T00:00:00"/>
    <s v="ZBTO"/>
    <n v="9519054625"/>
    <n v="5"/>
    <s v="9519054625-5"/>
    <s v="No Priority"/>
    <s v="Released"/>
    <x v="1"/>
    <x v="3"/>
    <x v="7"/>
    <m/>
    <s v="2000-BPRS"/>
    <m/>
    <s v="GUWAHATI"/>
    <s v="GWAH"/>
    <n v="116649"/>
    <s v="SAGAR STEELS"/>
    <n v="1853143"/>
    <s v="GP COIL SOFT-TATXGP-GLK1-0.4X900"/>
    <s v="C02"/>
    <s v="TATXGP"/>
    <s v="GLK1"/>
    <n v="0.4"/>
    <n v="900"/>
    <n v="0"/>
    <s v="T2 DONE"/>
    <s v="Z80"/>
    <s v=""/>
    <n v="6"/>
    <n v="28"/>
    <n v="42"/>
    <n v="0"/>
    <n v="42"/>
    <n v="42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42"/>
    <s v="0.37-0.4"/>
    <s v="900-920"/>
    <m/>
    <m/>
    <m/>
    <m/>
    <m/>
    <x v="0"/>
    <s v="U"/>
    <x v="8"/>
    <s v="C02-GLK1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AGAR STEELS"/>
  </r>
  <r>
    <n v="743"/>
    <d v="2025-08-27T00:00:00"/>
    <s v="ZBTO"/>
    <n v="9519054625"/>
    <n v="6"/>
    <s v="9519054625-6"/>
    <s v="No Priority"/>
    <s v="Released"/>
    <x v="1"/>
    <x v="3"/>
    <x v="7"/>
    <m/>
    <s v="2000-BPRS"/>
    <m/>
    <s v="GUWAHATI"/>
    <s v="GWAH"/>
    <n v="116649"/>
    <s v="SAGAR STEELS"/>
    <n v="1142893"/>
    <s v="GP COIL SOFT-TATXGP-GLK1-0.35X900"/>
    <s v="C02"/>
    <s v="TATXGP"/>
    <s v="GLK1"/>
    <n v="0.35"/>
    <n v="900"/>
    <n v="0"/>
    <s v="T2 DONE"/>
    <s v="Z80"/>
    <s v=""/>
    <n v="6"/>
    <n v="28"/>
    <n v="42"/>
    <n v="16.649999999999999"/>
    <n v="25.35"/>
    <n v="25.35"/>
    <n v="16.649999999999999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5.35"/>
    <s v="0.33-0.35"/>
    <s v="900-920"/>
    <m/>
    <m/>
    <m/>
    <m/>
    <m/>
    <x v="0"/>
    <s v="R"/>
    <x v="8"/>
    <s v="C02-GLK1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s v="SAGAR STEELS"/>
  </r>
  <r>
    <n v="743"/>
    <d v="2025-08-27T00:00:00"/>
    <s v="ZBTO"/>
    <n v="9519054625"/>
    <n v="8"/>
    <s v="9519054625-8"/>
    <s v="Sep'25"/>
    <s v="Released"/>
    <x v="0"/>
    <x v="3"/>
    <x v="13"/>
    <m/>
    <s v="2000-BPRS"/>
    <m/>
    <s v="GUWAHATI"/>
    <s v="GWAH"/>
    <n v="116649"/>
    <s v="SAGAR STEELS"/>
    <n v="2233645"/>
    <s v="GP COIL SOFT TATXGP GLK1 0.35X1220"/>
    <s v="C02"/>
    <s v="TATXGP"/>
    <s v="GLK1"/>
    <n v="0.35"/>
    <n v="1220"/>
    <n v="0"/>
    <s v="T2 DONE"/>
    <s v="Z80"/>
    <s v=""/>
    <n v="6"/>
    <n v="24"/>
    <n v="84"/>
    <n v="54.164999999999999"/>
    <n v="29.835000000000001"/>
    <n v="29.835000000000001"/>
    <n v="54.164999999999999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30"/>
    <n v="0"/>
    <s v="0.32-0.35"/>
    <s v="1220-1240"/>
    <m/>
    <m/>
    <m/>
    <m/>
    <m/>
    <x v="0"/>
    <s v="R"/>
    <x v="8"/>
    <s v="C02-GLK1-0.35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s v="SAGAR STEELS"/>
  </r>
  <r>
    <n v="742"/>
    <d v="2025-08-19T00:00:00"/>
    <s v="ZBTO"/>
    <n v="9519029800"/>
    <n v="1"/>
    <s v="9519029800-1"/>
    <s v="Oct'25"/>
    <s v="Released"/>
    <x v="1"/>
    <x v="0"/>
    <x v="6"/>
    <m/>
    <s v="2000-BPRS"/>
    <m/>
    <s v="PURNIA"/>
    <s v="PATN"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7-0.3"/>
    <s v="900-902"/>
    <m/>
    <m/>
    <m/>
    <m/>
    <m/>
    <x v="0"/>
    <s v="T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800"/>
    <n v="2"/>
    <s v="9519029800-2"/>
    <s v="Oct'25"/>
    <s v="Released"/>
    <x v="1"/>
    <x v="0"/>
    <x v="6"/>
    <m/>
    <s v="2000-BPRS"/>
    <m/>
    <s v="PURNIA"/>
    <s v="PATN"/>
    <n v="103227"/>
    <s v="BMW VENTURES LIMITED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-0.33"/>
    <s v="900-902"/>
    <m/>
    <m/>
    <m/>
    <m/>
    <m/>
    <x v="0"/>
    <s v="T"/>
    <x v="7"/>
    <s v="C06-SR16-0.3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1"/>
    <s v="9519029782-1"/>
    <s v="No Priority"/>
    <s v="Released"/>
    <x v="0"/>
    <x v="0"/>
    <x v="6"/>
    <m/>
    <s v="2000-BPRS"/>
    <m/>
    <s v="PATNA"/>
    <s v="PATN"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27-0.3"/>
    <s v="900-902"/>
    <m/>
    <m/>
    <m/>
    <m/>
    <m/>
    <x v="0"/>
    <s v="T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2"/>
    <s v="9519029782-2"/>
    <s v="No Priority"/>
    <s v="Released"/>
    <x v="0"/>
    <x v="0"/>
    <x v="6"/>
    <m/>
    <s v="2000-BPRS"/>
    <m/>
    <s v="PATNA"/>
    <s v="PATN"/>
    <n v="103227"/>
    <s v="BMW VENTURES LIMITED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3-0.33"/>
    <s v="900-902"/>
    <m/>
    <m/>
    <m/>
    <m/>
    <m/>
    <x v="0"/>
    <s v="T"/>
    <x v="7"/>
    <s v="C06-SR16-0.3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BMW VENTURES LIMITED"/>
  </r>
  <r>
    <n v="742"/>
    <d v="2025-07-31T00:00:00"/>
    <s v="ZBTO"/>
    <n v="9518982165"/>
    <n v="1"/>
    <s v="9518982165-1"/>
    <s v="Oct'25"/>
    <s v="Released"/>
    <x v="1"/>
    <x v="0"/>
    <x v="0"/>
    <m/>
    <s v="2000-BPRS"/>
    <m/>
    <s v="FARIDABAD"/>
    <s v="FBAD"/>
    <n v="831432"/>
    <s v="FERRO STEEL SOLUTIONS"/>
    <n v="1804772"/>
    <s v="CRCA COIL TATXXD AU03 0.4X1250"/>
    <s v="C01"/>
    <s v="TATXXD"/>
    <s v="AU03"/>
    <n v="0.4"/>
    <n v="1250"/>
    <n v="0"/>
    <s v="T2 DONE"/>
    <s v=" "/>
    <s v=""/>
    <n v="10"/>
    <n v="27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37-0.41"/>
    <s v="1250-1262"/>
    <m/>
    <m/>
    <m/>
    <m/>
    <m/>
    <x v="1"/>
    <s v="U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s v="FERRO STEEL SOLUTIONS"/>
  </r>
  <r>
    <n v="743"/>
    <d v="2025-08-21T00:00:00"/>
    <s v="ZBTO"/>
    <n v="9519036143"/>
    <n v="2"/>
    <s v="9519036143-2"/>
    <s v="No Priority"/>
    <s v="Released"/>
    <x v="1"/>
    <x v="3"/>
    <x v="7"/>
    <m/>
    <s v="2000-BPRS"/>
    <m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s v="T2 DONE"/>
    <s v="Z80"/>
    <s v=""/>
    <n v="4"/>
    <n v="12"/>
    <n v="168"/>
    <n v="0"/>
    <n v="168"/>
    <n v="16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68"/>
    <s v="0.28-0.32"/>
    <s v="900-904"/>
    <m/>
    <m/>
    <m/>
    <m/>
    <m/>
    <x v="0"/>
    <s v="S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Shree Bajrang Steel Udyog"/>
  </r>
  <r>
    <n v="743"/>
    <d v="2025-08-21T00:00:00"/>
    <s v="ZBTO"/>
    <n v="9519036143"/>
    <n v="3"/>
    <s v="9519036143-3"/>
    <s v="No Priority"/>
    <s v="Released"/>
    <x v="1"/>
    <x v="3"/>
    <x v="7"/>
    <m/>
    <s v="2000-BPRS"/>
    <m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s v="T2 DONE"/>
    <s v="Z80"/>
    <s v=""/>
    <n v="4"/>
    <n v="12"/>
    <n v="147"/>
    <n v="0"/>
    <n v="147"/>
    <n v="14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47"/>
    <s v="0.28-0.32"/>
    <s v="900-904"/>
    <m/>
    <m/>
    <m/>
    <m/>
    <m/>
    <x v="0"/>
    <s v="S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Shree Bajrang Steel Udyog"/>
  </r>
  <r>
    <n v="743"/>
    <d v="2025-08-20T00:00:00"/>
    <s v="ZBTO"/>
    <n v="9519032510"/>
    <n v="2"/>
    <s v="9519032510-2"/>
    <s v="No Priority"/>
    <s v="Released"/>
    <x v="0"/>
    <x v="3"/>
    <x v="7"/>
    <m/>
    <s v="2000-BPRS"/>
    <m/>
    <s v="PATNA"/>
    <s v="PATN"/>
    <n v="103227"/>
    <s v="BMW VENTURES LIMITED"/>
    <n v="1191955"/>
    <s v="GP COIL SOFT-TATXGP-GK09-0.3X900"/>
    <s v="C02"/>
    <s v="TATXGP"/>
    <s v="GK09"/>
    <n v="0.3"/>
    <n v="900"/>
    <n v="0"/>
    <s v="T2 DONE"/>
    <s v="Z80"/>
    <s v=""/>
    <n v="2"/>
    <n v="6"/>
    <n v="126"/>
    <n v="0"/>
    <n v="126"/>
    <n v="126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26"/>
    <n v="0"/>
    <s v="0.28-0.31"/>
    <s v="900-904"/>
    <m/>
    <m/>
    <m/>
    <m/>
    <m/>
    <x v="0"/>
    <s v="S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s v="BMW VENTURES LIMITED"/>
  </r>
  <r>
    <n v="742"/>
    <d v="2025-09-11T00:00:00"/>
    <s v="ZBTO"/>
    <n v="9519096071"/>
    <n v="5"/>
    <s v="9519096071-5"/>
    <s v="Oct'25"/>
    <s v="Released"/>
    <x v="1"/>
    <x v="0"/>
    <x v="6"/>
    <m/>
    <s v="2000-BPRS"/>
    <m/>
    <s v=" "/>
    <s v="JAMS"/>
    <n v="121328"/>
    <s v="R. S. BOKARO METAL (P) LTD."/>
    <n v="3240792"/>
    <s v="CRCA SHEET TSBCRC SR15 0.600X1250X2500"/>
    <s v="C06"/>
    <s v="TSBCRC"/>
    <s v="SR15"/>
    <n v="0.6"/>
    <n v="1250"/>
    <n v="2500"/>
    <s v="T2 DONE"/>
    <s v=" "/>
    <s v=""/>
    <n v="2.5"/>
    <n v="3.2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58-0.62"/>
    <s v="1250-1252"/>
    <m/>
    <m/>
    <m/>
    <m/>
    <m/>
    <x v="0"/>
    <s v="R"/>
    <x v="7"/>
    <s v="C06-SR15-0.6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s v="R. S. BOKARO METAL (P) LTD."/>
  </r>
  <r>
    <n v="742"/>
    <d v="2025-08-21T00:00:00"/>
    <s v="ZBTO"/>
    <n v="9519036388"/>
    <n v="1"/>
    <s v="9519036388-1"/>
    <s v="Oct'25"/>
    <s v="Released"/>
    <x v="1"/>
    <x v="0"/>
    <x v="6"/>
    <m/>
    <s v="2000-BPRS"/>
    <m/>
    <s v=" "/>
    <s v="JAMS"/>
    <n v="121328"/>
    <s v="R. S. BOKARO METAL (P) LTD."/>
    <n v="2440959"/>
    <s v="CRCA SHEET TATCRC SR16 0.330X900X2500"/>
    <s v="C06"/>
    <s v="TATCRC"/>
    <s v="SR16"/>
    <n v="0.33"/>
    <n v="900"/>
    <n v="2500"/>
    <s v="T2 DONE"/>
    <s v=" "/>
    <s v=""/>
    <n v="2.5"/>
    <n v="3.2"/>
    <n v="63"/>
    <n v="0"/>
    <n v="63"/>
    <n v="6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63"/>
    <s v="0.31-0.35"/>
    <s v="900-904"/>
    <m/>
    <m/>
    <m/>
    <m/>
    <m/>
    <x v="0"/>
    <s v="R"/>
    <x v="7"/>
    <s v="C06-SR16-0.3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s v="R. S. BOKARO METAL (P) LTD."/>
  </r>
  <r>
    <n v="742"/>
    <d v="2025-07-01T00:00:00"/>
    <s v="ZBTO"/>
    <n v="9518899640"/>
    <n v="1"/>
    <s v="9518899640-1"/>
    <s v="Oct'25"/>
    <s v="Released"/>
    <x v="1"/>
    <x v="0"/>
    <x v="15"/>
    <m/>
    <s v="2000-BPRS"/>
    <m/>
    <s v="FARIDABAD"/>
    <s v="FBAD"/>
    <n v="831432"/>
    <s v="FERRO STEEL SOLUTIONS"/>
    <n v="2420512"/>
    <s v="CRCA COIL TATXXD AH03 0.700X1250"/>
    <s v="C01"/>
    <s v="TATXXD"/>
    <s v="AH03"/>
    <n v="0.7"/>
    <n v="1250"/>
    <n v="0"/>
    <s v="T2 DONE"/>
    <s v=" "/>
    <s v=""/>
    <n v="10"/>
    <n v="30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67-0.71"/>
    <s v="1250-1262"/>
    <m/>
    <m/>
    <m/>
    <m/>
    <m/>
    <x v="0"/>
    <s v="U"/>
    <x v="23"/>
    <s v="C01-AH03-0.7-1250"/>
    <s v="367-SH67-2.8-1250"/>
    <x v="0"/>
    <x v="6"/>
    <x v="6"/>
    <x v="6"/>
    <x v="0"/>
    <x v="0"/>
    <x v="82"/>
    <m/>
    <m/>
    <m/>
    <m/>
    <m/>
    <m/>
    <m/>
    <m/>
    <m/>
    <m/>
    <m/>
    <m/>
    <m/>
    <m/>
    <m/>
    <m/>
    <m/>
    <m/>
    <m/>
    <s v="FERRO STEEL SOLUTIONS"/>
  </r>
  <r>
    <n v="743"/>
    <d v="2025-09-10T00:00:00"/>
    <s v="ZBTO"/>
    <n v="9519091866"/>
    <n v="3"/>
    <s v="9519091866-3"/>
    <s v="No Priority"/>
    <s v="Released"/>
    <x v="1"/>
    <x v="3"/>
    <x v="12"/>
    <m/>
    <s v="2000-BPRS"/>
    <m/>
    <s v="PURNIA"/>
    <s v="PATN"/>
    <n v="931671"/>
    <s v="BMW VENTURES LIMITED"/>
    <n v="3767014"/>
    <s v="GP COIL TATGPH GP02 0.400X1350"/>
    <s v="C05"/>
    <s v="TATGPH"/>
    <s v="GP02"/>
    <n v="0.4"/>
    <n v="1350"/>
    <n v="0"/>
    <s v="T2 DONE"/>
    <s v="Z120"/>
    <s v=""/>
    <n v="1"/>
    <n v="5"/>
    <n v="93"/>
    <n v="0"/>
    <n v="93"/>
    <n v="9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93"/>
    <s v="0.38-0.425"/>
    <s v="1350-1370"/>
    <m/>
    <m/>
    <m/>
    <m/>
    <m/>
    <x v="0"/>
    <s v="M"/>
    <x v="14"/>
    <s v="C05-GP02-0.4-1350"/>
    <s v="367-SF93-2.25-1365"/>
    <x v="0"/>
    <x v="4"/>
    <x v="4"/>
    <x v="4"/>
    <x v="4"/>
    <x v="13"/>
    <x v="103"/>
    <m/>
    <m/>
    <m/>
    <m/>
    <m/>
    <m/>
    <m/>
    <m/>
    <m/>
    <m/>
    <m/>
    <m/>
    <m/>
    <m/>
    <m/>
    <m/>
    <m/>
    <m/>
    <m/>
    <s v="BMW VENTURES LIMITED"/>
  </r>
  <r>
    <n v="742"/>
    <d v="2025-09-03T00:00:00"/>
    <s v="ZBTO"/>
    <n v="9519076414"/>
    <n v="4"/>
    <s v="9519076414-4"/>
    <s v="Oct'25"/>
    <s v="Released"/>
    <x v="1"/>
    <x v="0"/>
    <x v="6"/>
    <m/>
    <s v="2000-BPRS"/>
    <m/>
    <s v="VARANASI"/>
    <s v="KANP"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0"/>
    <n v="0"/>
    <n v="87"/>
    <n v="0"/>
    <n v="87"/>
    <n v="87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87"/>
    <s v="0.48-0.52"/>
    <s v="1250-1254"/>
    <m/>
    <m/>
    <m/>
    <m/>
    <m/>
    <x v="0"/>
    <s v="M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INDIA STEEL INDUSTRIES"/>
  </r>
  <r>
    <n v="742"/>
    <d v="2025-09-16T00:00:00"/>
    <s v="ZBTO"/>
    <n v="9519109856"/>
    <n v="4"/>
    <s v="9519109856-4"/>
    <s v="Oct'25"/>
    <s v="Released"/>
    <x v="1"/>
    <x v="0"/>
    <x v="6"/>
    <m/>
    <s v="2000-BPRS"/>
    <m/>
    <s v="SILIGURI TOWN"/>
    <s v="GWAH"/>
    <n v="948783"/>
    <s v="SAGAR STEELS"/>
    <n v="3240786"/>
    <s v="CRCA SHEET TSBCRC SR15 0.700X1250X2500"/>
    <s v="C06"/>
    <s v="TSBCRC"/>
    <s v="SR15"/>
    <n v="0.7"/>
    <n v="1250"/>
    <n v="2500"/>
    <s v="T2 DONE"/>
    <s v=" "/>
    <s v=""/>
    <n v="2"/>
    <n v="3"/>
    <n v="29"/>
    <n v="0"/>
    <n v="29"/>
    <n v="29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9"/>
    <s v="0.67-0.7"/>
    <s v="1250-1252"/>
    <m/>
    <m/>
    <m/>
    <m/>
    <m/>
    <x v="0"/>
    <s v="T"/>
    <x v="7"/>
    <s v="C06-SR15-0.7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s v="SAGAR STEELS"/>
  </r>
  <r>
    <n v="742"/>
    <d v="2025-09-17T00:00:00"/>
    <s v="ZBTO"/>
    <n v="9519112644"/>
    <n v="2"/>
    <s v="9519112644-2"/>
    <s v="Oct'25"/>
    <s v="Released"/>
    <x v="1"/>
    <x v="0"/>
    <x v="6"/>
    <m/>
    <s v="2000-BPRS"/>
    <m/>
    <s v="URLA"/>
    <s v="RPUR"/>
    <n v="139336"/>
    <s v="PASA ASSOCIATES PRIVATE LIMITED"/>
    <n v="3240772"/>
    <s v="CRCA SHEET TSBCRC SR15 0.600X900X2500"/>
    <s v="C06"/>
    <s v="TSBCRC"/>
    <s v="SR15"/>
    <n v="0.6"/>
    <n v="900"/>
    <n v="2500"/>
    <s v="T2 DONE"/>
    <s v=" "/>
    <s v=""/>
    <n v="1"/>
    <n v="5"/>
    <n v="21"/>
    <n v="0"/>
    <n v="21"/>
    <n v="21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21"/>
    <s v="0.57-0.602"/>
    <s v="900-902"/>
    <m/>
    <m/>
    <m/>
    <m/>
    <m/>
    <x v="0"/>
    <s v="R"/>
    <x v="7"/>
    <s v="C06-SR15-0.6-900"/>
    <s v="B69-SH69-2.5-925"/>
    <x v="2"/>
    <x v="7"/>
    <x v="7"/>
    <x v="7"/>
    <x v="7"/>
    <x v="3"/>
    <x v="30"/>
    <m/>
    <m/>
    <m/>
    <m/>
    <m/>
    <m/>
    <m/>
    <m/>
    <m/>
    <m/>
    <m/>
    <m/>
    <m/>
    <m/>
    <m/>
    <m/>
    <m/>
    <m/>
    <m/>
    <s v="PASA ASSOCIATES PRIVATE LIMITED"/>
  </r>
  <r>
    <n v="742"/>
    <d v="2025-09-08T00:00:00"/>
    <s v="ZBTO"/>
    <n v="9519086006"/>
    <n v="1"/>
    <s v="9519086006-1"/>
    <s v="No Priority"/>
    <s v="Released"/>
    <x v="0"/>
    <x v="0"/>
    <x v="6"/>
    <m/>
    <s v="2000-BPRS"/>
    <m/>
    <s v="KANPUR"/>
    <s v="KANP"/>
    <n v="933952"/>
    <s v="AGARWAL STEEL TRADERS"/>
    <n v="3240761"/>
    <s v="CRCA SHEET TSBCRC SR15 0.500X1250X2030"/>
    <s v="C06"/>
    <s v="TSBCRC"/>
    <s v="SR15"/>
    <n v="0.5"/>
    <n v="1250"/>
    <n v="2030"/>
    <s v="T2 DONE"/>
    <s v=" "/>
    <s v=""/>
    <n v="2.5"/>
    <n v="3"/>
    <n v="145"/>
    <n v="0"/>
    <n v="145"/>
    <n v="145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145"/>
    <s v="0.48-0.52"/>
    <s v="1250-1254"/>
    <m/>
    <m/>
    <m/>
    <m/>
    <m/>
    <x v="0"/>
    <s v="M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AGARWAL STEEL TRADERS"/>
  </r>
  <r>
    <n v="742"/>
    <d v="2025-07-20T00:00:00"/>
    <s v="ZBTO"/>
    <n v="9518944236"/>
    <n v="9"/>
    <s v="9518944236-9"/>
    <s v="No Priority"/>
    <s v="Released"/>
    <x v="0"/>
    <x v="0"/>
    <x v="0"/>
    <m/>
    <s v="2000-BPRS"/>
    <m/>
    <s v="VISHAKHAPATNAM"/>
    <s v="SBAD"/>
    <n v="946077"/>
    <s v="SITARAM IRON AND STEEL PVT LTD"/>
    <n v="281630"/>
    <s v="CRSHEET C06 TATXXD AU03 1.6X1250X2500"/>
    <s v="C06"/>
    <s v="TATXXD"/>
    <s v="AU03"/>
    <n v="1.6"/>
    <n v="1250"/>
    <n v="2500"/>
    <s v="T2 DONE"/>
    <s v=" "/>
    <s v=""/>
    <n v="0"/>
    <n v="0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1.57-1.6"/>
    <s v="1250-1254"/>
    <m/>
    <m/>
    <m/>
    <m/>
    <m/>
    <x v="0"/>
    <s v="M"/>
    <x v="0"/>
    <s v="C06-AU03-1.6-1250"/>
    <s v="367-SH08-4-1260"/>
    <x v="0"/>
    <x v="0"/>
    <x v="0"/>
    <x v="0"/>
    <x v="10"/>
    <x v="10"/>
    <x v="93"/>
    <m/>
    <m/>
    <m/>
    <m/>
    <m/>
    <m/>
    <m/>
    <m/>
    <m/>
    <m/>
    <m/>
    <m/>
    <m/>
    <m/>
    <m/>
    <m/>
    <m/>
    <m/>
    <m/>
    <s v="SITARAM IRON AND STEEL PVT LTD"/>
  </r>
  <r>
    <n v="742"/>
    <d v="2025-09-16T00:00:00"/>
    <s v="ZBTO"/>
    <n v="9519109833"/>
    <n v="1"/>
    <s v="9519109833-1"/>
    <s v="Oct'25"/>
    <s v="Released"/>
    <x v="1"/>
    <x v="0"/>
    <x v="6"/>
    <m/>
    <s v="2000-BPRS"/>
    <m/>
    <s v="HOWRAH"/>
    <s v="CALS"/>
    <n v="925093"/>
    <s v="PSPL STEEL PROCESSORS PRIVATE LIMIT"/>
    <n v="3240765"/>
    <s v="CRCA SHEET TSBCRC SR15 0.500X1250X2500"/>
    <s v="C06"/>
    <s v="TSBCRC"/>
    <s v="SR15"/>
    <n v="0.5"/>
    <n v="1250"/>
    <n v="2500"/>
    <s v="T2 DONE"/>
    <s v=" "/>
    <s v=""/>
    <n v="0.1"/>
    <n v="9.9"/>
    <n v="58"/>
    <n v="0"/>
    <n v="58"/>
    <n v="58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0"/>
    <n v="58"/>
    <s v="0.47-0.5"/>
    <s v="1250-1252"/>
    <m/>
    <m/>
    <m/>
    <m/>
    <m/>
    <x v="0"/>
    <s v="T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s v="PSPL STEEL PROCESSORS PRIVATE LIMIT"/>
  </r>
  <r>
    <n v="742"/>
    <d v="2025-08-19T00:00:00"/>
    <s v="ZBTO"/>
    <n v="9519028090"/>
    <n v="4"/>
    <s v="9519028090-4"/>
    <s v="No Priority"/>
    <s v="Released"/>
    <x v="0"/>
    <x v="0"/>
    <x v="15"/>
    <m/>
    <s v="2000-BPRS"/>
    <m/>
    <s v="JSR"/>
    <s v="CALS"/>
    <n v="155536"/>
    <s v="TATA STEEL DOWNSTREAM PRODUCTS LIMI"/>
    <n v="2420525"/>
    <s v="CRCA COIL TATXXD AH03 2X1250"/>
    <s v="C01"/>
    <s v="TATXXD"/>
    <s v="AH03"/>
    <n v="2"/>
    <n v="1250"/>
    <n v="0"/>
    <s v="T2 DONE"/>
    <s v=" "/>
    <s v=""/>
    <n v="13"/>
    <n v="29"/>
    <n v="145"/>
    <n v="52.615000000000002"/>
    <n v="92.385000000000005"/>
    <n v="10.185"/>
    <n v="0"/>
    <n v="0"/>
    <n v="0"/>
    <s v=""/>
    <s v=""/>
    <s v=""/>
    <s v=""/>
    <s v=""/>
    <s v=""/>
    <s v=""/>
    <s v=""/>
    <n v="82.2"/>
    <s v=""/>
    <s v=""/>
    <n v="0"/>
    <s v=""/>
    <s v=""/>
    <s v=""/>
    <s v=""/>
    <n v="82.2"/>
    <n v="82.2"/>
    <n v="0"/>
    <n v="10.185000000000002"/>
    <s v="1.97-2"/>
    <s v="1250-1270"/>
    <m/>
    <m/>
    <m/>
    <m/>
    <m/>
    <x v="0"/>
    <s v="U"/>
    <x v="23"/>
    <s v="C01-AH03-2-1250"/>
    <s v="367-SH67-4-1250"/>
    <x v="0"/>
    <x v="6"/>
    <x v="6"/>
    <x v="6"/>
    <x v="10"/>
    <x v="0"/>
    <x v="84"/>
    <m/>
    <m/>
    <m/>
    <m/>
    <m/>
    <m/>
    <m/>
    <m/>
    <m/>
    <m/>
    <m/>
    <m/>
    <m/>
    <m/>
    <m/>
    <m/>
    <m/>
    <m/>
    <m/>
    <s v="TATA STEEL DOWNSTREAM PRODUCTS LIMI"/>
  </r>
  <r>
    <n v="742"/>
    <d v="2025-08-19T00:00:00"/>
    <s v="ZBTO"/>
    <n v="9519028090"/>
    <n v="5"/>
    <s v="9519028090-5"/>
    <s v="No Priority"/>
    <s v="Released"/>
    <x v="0"/>
    <x v="0"/>
    <x v="15"/>
    <m/>
    <s v="2000-BPRS"/>
    <m/>
    <s v="JSR"/>
    <s v="CALS"/>
    <n v="155536"/>
    <s v="TATA STEEL DOWNSTREAM PRODUCTS LIMI"/>
    <n v="2420540"/>
    <s v="CRCA COIL TATXXD AH03 2.500X1250"/>
    <s v="C01"/>
    <s v="TATXXD"/>
    <s v="AH03"/>
    <n v="2.5"/>
    <n v="1250"/>
    <n v="0"/>
    <s v="T2 DONE"/>
    <s v=" "/>
    <s v=""/>
    <n v="13"/>
    <n v="29"/>
    <n v="203"/>
    <n v="77.069999999999993"/>
    <n v="125.93"/>
    <n v="125.93"/>
    <n v="0"/>
    <n v="0"/>
    <n v="0"/>
    <s v=""/>
    <s v=""/>
    <s v=""/>
    <s v=""/>
    <s v=""/>
    <s v=""/>
    <s v=""/>
    <s v=""/>
    <s v=""/>
    <s v=""/>
    <s v=""/>
    <n v="0"/>
    <s v=""/>
    <s v=""/>
    <s v=""/>
    <s v=""/>
    <n v="0"/>
    <n v="0"/>
    <n v="126"/>
    <n v="0"/>
    <s v="2.47-2.5"/>
    <s v="1250-1270"/>
    <m/>
    <m/>
    <m/>
    <m/>
    <m/>
    <x v="0"/>
    <s v="U"/>
    <x v="23"/>
    <s v="C01-AH03-2.5-1250"/>
    <s v="367-SH67-5-1250"/>
    <x v="0"/>
    <x v="6"/>
    <x v="6"/>
    <x v="6"/>
    <x v="12"/>
    <x v="0"/>
    <x v="118"/>
    <m/>
    <m/>
    <m/>
    <m/>
    <m/>
    <m/>
    <m/>
    <m/>
    <m/>
    <m/>
    <m/>
    <m/>
    <m/>
    <m/>
    <m/>
    <m/>
    <m/>
    <m/>
    <m/>
    <s v="TATA STEEL DOWNSTREAM PRODUCTS LIMI"/>
  </r>
  <r>
    <n v="742"/>
    <d v="2025-08-19T00:00:00"/>
    <s v="ZBTO"/>
    <n v="9519028231"/>
    <n v="28"/>
    <s v="9519028231-28"/>
    <s v="No Priority"/>
    <s v="Failed"/>
    <x v="0"/>
    <x v="0"/>
    <x v="0"/>
    <m/>
    <n v="2000"/>
    <s v="SOUTH"/>
    <s v="Tamil Nadu"/>
    <m/>
    <m/>
    <s v="BASEER AND CO"/>
    <n v="322581"/>
    <s v="CRCA SHEET TATCRC TR15 0.60X1250X2500"/>
    <s v="C06"/>
    <s v="TATCRC"/>
    <s v="TR15"/>
    <n v="0.6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TR15-0.6-1250"/>
    <s v="367-SF98-2.5-1260"/>
    <x v="0"/>
    <x v="11"/>
    <x v="11"/>
    <x v="11"/>
    <x v="7"/>
    <x v="10"/>
    <x v="113"/>
    <m/>
    <m/>
    <m/>
    <m/>
    <m/>
    <m/>
    <m/>
    <m/>
    <m/>
    <m/>
    <m/>
    <m/>
    <m/>
    <m/>
    <m/>
    <m/>
    <m/>
    <m/>
    <m/>
    <m/>
  </r>
  <r>
    <n v="742"/>
    <d v="2025-08-18T00:00:00"/>
    <s v="ZBTO"/>
    <n v="9519025763"/>
    <n v="2"/>
    <s v="9519025763-2"/>
    <s v="No Priority"/>
    <s v="Failed"/>
    <x v="0"/>
    <x v="0"/>
    <x v="0"/>
    <m/>
    <n v="2000"/>
    <s v="NORTH"/>
    <s v="Uttar Pradesh"/>
    <m/>
    <m/>
    <s v="O.V.S. ISPAT UDYOG"/>
    <n v="322581"/>
    <s v="CRCA SHEET TATCRC TR15 0.60X1250X2500"/>
    <s v="C06"/>
    <s v="TATCRC"/>
    <s v="TR15"/>
    <n v="0.6"/>
    <n v="1250"/>
    <n v="2500"/>
    <m/>
    <m/>
    <m/>
    <n v="2.5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TR15-0.6-1250"/>
    <s v="367-SF98-2.5-1260"/>
    <x v="0"/>
    <x v="11"/>
    <x v="11"/>
    <x v="11"/>
    <x v="7"/>
    <x v="10"/>
    <x v="113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6344"/>
    <n v="3"/>
    <s v="9519116344-3"/>
    <s v="No Priority"/>
    <s v="Failed"/>
    <x v="0"/>
    <x v="0"/>
    <x v="0"/>
    <m/>
    <n v="2000"/>
    <s v="SOUTH"/>
    <s v="Tamil Nadu"/>
    <m/>
    <m/>
    <s v="BASEER AND CO"/>
    <n v="1804893"/>
    <s v="CRCA COIL-TATCRC-TR15-0.45X900"/>
    <s v="C01"/>
    <s v="TATCRC"/>
    <s v="TR15"/>
    <n v="0.45"/>
    <n v="900"/>
    <n v="0"/>
    <m/>
    <m/>
    <m/>
    <n v="6"/>
    <n v="18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only at RCL"/>
    <x v="0"/>
    <s v="C01-TR15-0.45-900"/>
    <s v="B69-SF98-2.25-925"/>
    <x v="2"/>
    <x v="11"/>
    <x v="11"/>
    <x v="11"/>
    <x v="4"/>
    <x v="3"/>
    <x v="2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6344"/>
    <n v="2"/>
    <s v="9519116344-2"/>
    <s v="No Priority"/>
    <s v="Failed"/>
    <x v="0"/>
    <x v="0"/>
    <x v="0"/>
    <m/>
    <n v="2000"/>
    <s v="SOUTH"/>
    <s v="Tamil Nadu"/>
    <m/>
    <m/>
    <s v="BASEER AND CO"/>
    <n v="37862"/>
    <s v="CRCA COIL TATCRC TR15 0.4X1250"/>
    <s v="C01"/>
    <s v="TATCRC"/>
    <s v="TR15"/>
    <n v="0.4"/>
    <n v="1250"/>
    <n v="0"/>
    <m/>
    <m/>
    <m/>
    <n v="6"/>
    <n v="18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only at RCL"/>
    <x v="0"/>
    <s v="C01-TR15-0.4-1250"/>
    <s v="367-SF98-2-1250"/>
    <x v="0"/>
    <x v="11"/>
    <x v="11"/>
    <x v="11"/>
    <x v="2"/>
    <x v="0"/>
    <x v="119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6344"/>
    <n v="1"/>
    <s v="9519116344-1"/>
    <s v="No Priority"/>
    <s v="Failed"/>
    <x v="0"/>
    <x v="0"/>
    <x v="0"/>
    <m/>
    <n v="2000"/>
    <s v="SOUTH"/>
    <s v="Tamil Nadu"/>
    <m/>
    <m/>
    <s v="BASEER AND CO"/>
    <n v="2165170"/>
    <s v="CRCA COIL TATCRC TR15 0.400X900"/>
    <s v="C01"/>
    <s v="TATCRC"/>
    <s v="TR15"/>
    <n v="0.4"/>
    <n v="900"/>
    <n v="0"/>
    <m/>
    <m/>
    <m/>
    <n v="6"/>
    <n v="18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only at RCL"/>
    <x v="3"/>
    <s v="C01-TR15-0.4-900"/>
    <s v="B69-SF98-2-925"/>
    <x v="2"/>
    <x v="11"/>
    <x v="11"/>
    <x v="11"/>
    <x v="2"/>
    <x v="3"/>
    <x v="120"/>
    <m/>
    <m/>
    <m/>
    <m/>
    <m/>
    <m/>
    <m/>
    <m/>
    <m/>
    <m/>
    <m/>
    <m/>
    <m/>
    <m/>
    <m/>
    <m/>
    <m/>
    <m/>
    <m/>
    <m/>
  </r>
  <r>
    <n v="743"/>
    <d v="2025-09-10T00:00:00"/>
    <s v="ZBTO"/>
    <n v="9519091866"/>
    <n v="4"/>
    <s v="9519091866-4"/>
    <s v="No Priority"/>
    <s v="Failed"/>
    <x v="1"/>
    <x v="3"/>
    <x v="12"/>
    <m/>
    <n v="2000"/>
    <s v="EAST"/>
    <s v="Bihar"/>
    <m/>
    <m/>
    <s v="BMW VENTURES LIMITED"/>
    <n v="3953694"/>
    <s v="GP COIL TATXGP GP2T 0.250X1350"/>
    <s v="C05"/>
    <s v="TATXGP"/>
    <s v="GP2T"/>
    <n v="0.25"/>
    <n v="1350"/>
    <n v="0"/>
    <m/>
    <m/>
    <m/>
    <n v="1"/>
    <n v="5"/>
    <n v="217"/>
    <n v="0"/>
    <n v="217"/>
    <n v="217"/>
    <n v="0"/>
    <m/>
    <m/>
    <m/>
    <m/>
    <m/>
    <m/>
    <m/>
    <m/>
    <m/>
    <m/>
    <m/>
    <m/>
    <m/>
    <m/>
    <m/>
    <m/>
    <m/>
    <m/>
    <n v="0"/>
    <n v="0"/>
    <n v="0"/>
    <n v="217"/>
    <m/>
    <m/>
    <m/>
    <m/>
    <m/>
    <m/>
    <m/>
    <x v="0"/>
    <s v="Untrimmed edge"/>
    <x v="3"/>
    <s v="C05-GP2T-0.25-1350"/>
    <s v="367-SF93-2-1365"/>
    <x v="0"/>
    <x v="4"/>
    <x v="4"/>
    <x v="4"/>
    <x v="2"/>
    <x v="13"/>
    <x v="102"/>
    <m/>
    <m/>
    <m/>
    <m/>
    <m/>
    <m/>
    <m/>
    <m/>
    <m/>
    <m/>
    <m/>
    <m/>
    <m/>
    <m/>
    <m/>
    <m/>
    <m/>
    <m/>
    <m/>
    <m/>
  </r>
  <r>
    <n v="743"/>
    <d v="2025-09-10T00:00:00"/>
    <s v="ZBTO"/>
    <n v="9519091866"/>
    <n v="1"/>
    <s v="9519091866-1"/>
    <s v="No Priority"/>
    <s v="Failed"/>
    <x v="1"/>
    <x v="3"/>
    <x v="12"/>
    <m/>
    <n v="2000"/>
    <s v="EAST"/>
    <s v="Bihar"/>
    <m/>
    <m/>
    <s v="BMW VENTURES LIMITED"/>
    <n v="3953694"/>
    <s v="GP COIL TATXGP GP2T 0.250X1350"/>
    <s v="C05"/>
    <s v="TATXGP"/>
    <s v="GP2T"/>
    <n v="0.25"/>
    <n v="1350"/>
    <n v="0"/>
    <m/>
    <m/>
    <m/>
    <n v="1"/>
    <n v="5"/>
    <n v="279"/>
    <n v="0"/>
    <n v="279"/>
    <n v="279"/>
    <n v="0"/>
    <m/>
    <m/>
    <m/>
    <m/>
    <m/>
    <m/>
    <m/>
    <m/>
    <m/>
    <m/>
    <m/>
    <m/>
    <m/>
    <m/>
    <m/>
    <m/>
    <m/>
    <m/>
    <n v="0"/>
    <n v="0"/>
    <n v="0"/>
    <n v="279"/>
    <m/>
    <m/>
    <m/>
    <m/>
    <m/>
    <m/>
    <m/>
    <x v="0"/>
    <s v="Untrimmed edge"/>
    <x v="3"/>
    <s v="C05-GP2T-0.25-1350"/>
    <s v="367-SF93-2-1365"/>
    <x v="0"/>
    <x v="4"/>
    <x v="4"/>
    <x v="4"/>
    <x v="2"/>
    <x v="13"/>
    <x v="102"/>
    <m/>
    <m/>
    <m/>
    <m/>
    <m/>
    <m/>
    <m/>
    <m/>
    <m/>
    <m/>
    <m/>
    <m/>
    <m/>
    <m/>
    <m/>
    <m/>
    <m/>
    <m/>
    <m/>
    <m/>
  </r>
  <r>
    <n v="743"/>
    <d v="2025-09-02T00:00:00"/>
    <s v="ZBTO"/>
    <n v="9519072526"/>
    <n v="1"/>
    <s v="9519072526-1"/>
    <s v="No Priority"/>
    <s v="Failed"/>
    <x v="1"/>
    <x v="3"/>
    <x v="12"/>
    <m/>
    <n v="2000"/>
    <s v="EAST"/>
    <s v="Bihar"/>
    <m/>
    <m/>
    <s v="BMW VENTURES LIMITED"/>
    <n v="3953694"/>
    <s v="GP COIL TATXGP GP2T 0.250X1350"/>
    <s v="C05"/>
    <s v="TATXGP"/>
    <s v="GP2T"/>
    <n v="0.25"/>
    <n v="1350"/>
    <n v="0"/>
    <m/>
    <m/>
    <m/>
    <n v="1"/>
    <n v="5"/>
    <n v="93"/>
    <n v="0"/>
    <n v="93"/>
    <n v="93"/>
    <n v="0"/>
    <m/>
    <m/>
    <m/>
    <m/>
    <m/>
    <m/>
    <m/>
    <m/>
    <m/>
    <m/>
    <m/>
    <m/>
    <m/>
    <m/>
    <m/>
    <m/>
    <m/>
    <m/>
    <n v="0"/>
    <n v="0"/>
    <n v="0"/>
    <n v="93"/>
    <m/>
    <m/>
    <m/>
    <m/>
    <m/>
    <m/>
    <m/>
    <x v="0"/>
    <s v="Untrimmed edge"/>
    <x v="3"/>
    <s v="C05-GP2T-0.25-1350"/>
    <s v="367-SF93-2-1365"/>
    <x v="0"/>
    <x v="4"/>
    <x v="4"/>
    <x v="4"/>
    <x v="2"/>
    <x v="13"/>
    <x v="102"/>
    <m/>
    <m/>
    <m/>
    <m/>
    <m/>
    <m/>
    <m/>
    <m/>
    <m/>
    <m/>
    <m/>
    <m/>
    <m/>
    <m/>
    <m/>
    <m/>
    <m/>
    <m/>
    <m/>
    <m/>
  </r>
  <r>
    <n v="743"/>
    <d v="2025-07-02T00:00:00"/>
    <s v="ZBTO"/>
    <n v="9518902718"/>
    <n v="6"/>
    <s v="9518902718-6"/>
    <s v="No Priority"/>
    <s v="Failed"/>
    <x v="0"/>
    <x v="3"/>
    <x v="12"/>
    <m/>
    <n v="2000"/>
    <s v="EAST"/>
    <e v="#N/A"/>
    <m/>
    <m/>
    <s v="BMW VENTURES LIMITED"/>
    <n v="3953694"/>
    <s v="GP COIL TATXGP GP2T 0.250X1350"/>
    <s v="C05"/>
    <s v="TATXGP"/>
    <s v="GP2T"/>
    <n v="0.25"/>
    <n v="1350"/>
    <n v="0"/>
    <m/>
    <m/>
    <m/>
    <n v="1"/>
    <n v="5"/>
    <n v="62"/>
    <n v="0"/>
    <n v="62"/>
    <n v="62"/>
    <n v="0"/>
    <m/>
    <m/>
    <m/>
    <m/>
    <m/>
    <m/>
    <m/>
    <m/>
    <m/>
    <m/>
    <m/>
    <m/>
    <m/>
    <m/>
    <m/>
    <m/>
    <m/>
    <m/>
    <n v="0"/>
    <n v="0"/>
    <n v="0"/>
    <n v="62"/>
    <m/>
    <m/>
    <m/>
    <m/>
    <m/>
    <m/>
    <m/>
    <x v="0"/>
    <s v="Untrimmed edge"/>
    <x v="3"/>
    <s v="C05-GP2T-0.25-1350"/>
    <s v="367-SF93-2-1365"/>
    <x v="0"/>
    <x v="4"/>
    <x v="4"/>
    <x v="4"/>
    <x v="2"/>
    <x v="13"/>
    <x v="102"/>
    <m/>
    <m/>
    <m/>
    <m/>
    <m/>
    <m/>
    <m/>
    <m/>
    <m/>
    <m/>
    <m/>
    <m/>
    <m/>
    <m/>
    <m/>
    <m/>
    <m/>
    <m/>
    <m/>
    <m/>
  </r>
  <r>
    <n v="742"/>
    <d v="2025-08-05T00:00:00"/>
    <s v="ZBTO"/>
    <n v="9518994601"/>
    <n v="3"/>
    <s v="9518994601-3"/>
    <s v="No Priority"/>
    <s v="Failed"/>
    <x v="0"/>
    <x v="0"/>
    <x v="0"/>
    <m/>
    <n v="2000"/>
    <s v="SOUTH"/>
    <s v="Karnataka"/>
    <m/>
    <m/>
    <s v="DURGA TRADERS"/>
    <n v="1801290"/>
    <s v="CRCA COIL-TATXXD-AU03-0.6X1250"/>
    <s v="C01"/>
    <s v="TATXXD"/>
    <s v="AU03"/>
    <n v="0.6"/>
    <n v="1250"/>
    <n v="0"/>
    <m/>
    <m/>
    <m/>
    <n v="10"/>
    <n v="28"/>
    <n v="87"/>
    <n v="0"/>
    <n v="87"/>
    <n v="87"/>
    <n v="0"/>
    <m/>
    <m/>
    <m/>
    <m/>
    <m/>
    <m/>
    <m/>
    <m/>
    <m/>
    <m/>
    <m/>
    <m/>
    <m/>
    <m/>
    <m/>
    <m/>
    <m/>
    <m/>
    <n v="0"/>
    <n v="0"/>
    <n v="0"/>
    <n v="87"/>
    <m/>
    <m/>
    <m/>
    <m/>
    <m/>
    <m/>
    <m/>
    <x v="0"/>
    <s v="Untrimmed edge"/>
    <x v="0"/>
    <s v="C01-AU03-0.6-1250"/>
    <s v="367-SH08-2.5-1260"/>
    <x v="0"/>
    <x v="0"/>
    <x v="0"/>
    <x v="0"/>
    <x v="7"/>
    <x v="10"/>
    <x v="17"/>
    <m/>
    <m/>
    <m/>
    <m/>
    <m/>
    <m/>
    <m/>
    <m/>
    <m/>
    <m/>
    <m/>
    <m/>
    <m/>
    <m/>
    <m/>
    <m/>
    <m/>
    <m/>
    <m/>
    <m/>
  </r>
  <r>
    <n v="742"/>
    <d v="2025-08-05T00:00:00"/>
    <s v="ZBTO"/>
    <n v="9518994601"/>
    <n v="2"/>
    <s v="9518994601-2"/>
    <s v="Oct'25"/>
    <s v="Failed"/>
    <x v="1"/>
    <x v="0"/>
    <x v="0"/>
    <m/>
    <n v="2000"/>
    <s v="SOUTH"/>
    <s v="Karnataka"/>
    <m/>
    <m/>
    <s v="DURGA TRADERS"/>
    <n v="185675"/>
    <s v="CRCA COIL-TATXXD-AU03-0.5X1250"/>
    <s v="C01"/>
    <s v="TATXXD"/>
    <s v="AU03"/>
    <n v="0.5"/>
    <n v="1250"/>
    <n v="0"/>
    <m/>
    <m/>
    <m/>
    <n v="10"/>
    <n v="28"/>
    <n v="87"/>
    <n v="0"/>
    <n v="87"/>
    <n v="87"/>
    <n v="0"/>
    <m/>
    <m/>
    <m/>
    <m/>
    <m/>
    <m/>
    <m/>
    <m/>
    <m/>
    <m/>
    <m/>
    <m/>
    <m/>
    <m/>
    <m/>
    <m/>
    <m/>
    <m/>
    <n v="0"/>
    <n v="0"/>
    <n v="0"/>
    <n v="87"/>
    <m/>
    <m/>
    <m/>
    <m/>
    <m/>
    <m/>
    <m/>
    <x v="1"/>
    <s v="Untrimmed edge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m/>
  </r>
  <r>
    <n v="742"/>
    <d v="2025-08-05T00:00:00"/>
    <s v="ZBTO"/>
    <n v="9518994601"/>
    <n v="1"/>
    <s v="9518994601-1"/>
    <s v="No Priority"/>
    <s v="Failed"/>
    <x v="0"/>
    <x v="0"/>
    <x v="0"/>
    <m/>
    <n v="2000"/>
    <s v="SOUTH"/>
    <s v="Karnataka"/>
    <m/>
    <m/>
    <s v="DURGA TRADERS"/>
    <n v="1800890"/>
    <s v="CRCA COIL-TATXXD-AU03-0.35X1250"/>
    <s v="C01"/>
    <s v="TATXXD"/>
    <s v="AU03"/>
    <n v="0.35"/>
    <n v="1250"/>
    <n v="0"/>
    <m/>
    <m/>
    <m/>
    <n v="10"/>
    <n v="28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Untrimmed edge"/>
    <x v="0"/>
    <s v="C01-AU03-0.35-1250"/>
    <s v="367-SH08-2-1275"/>
    <x v="0"/>
    <x v="0"/>
    <x v="0"/>
    <x v="0"/>
    <x v="2"/>
    <x v="11"/>
    <x v="19"/>
    <m/>
    <m/>
    <m/>
    <m/>
    <m/>
    <m/>
    <m/>
    <m/>
    <m/>
    <m/>
    <m/>
    <m/>
    <m/>
    <m/>
    <m/>
    <m/>
    <m/>
    <m/>
    <m/>
    <m/>
  </r>
  <r>
    <n v="742"/>
    <d v="2025-07-11T00:00:00"/>
    <s v="ZBTO"/>
    <n v="9518921586"/>
    <n v="8"/>
    <s v="9518921586-8"/>
    <s v="Oct'25"/>
    <s v="Failed"/>
    <x v="1"/>
    <x v="0"/>
    <x v="0"/>
    <m/>
    <n v="2000"/>
    <s v="SOUTH"/>
    <e v="#N/A"/>
    <m/>
    <m/>
    <s v="VIJAY VENKAT STEELS PRIVATE LIMITED"/>
    <n v="1804826"/>
    <s v="CRCA COIL-TATXXD-AU03-0.9X1250"/>
    <s v="C01"/>
    <s v="TATXXD"/>
    <s v="AU03"/>
    <n v="0.9"/>
    <n v="1250"/>
    <n v="0"/>
    <m/>
    <m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Untrimmed edge"/>
    <x v="0"/>
    <s v="C01-AU03-0.9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9083"/>
    <n v="1"/>
    <s v="9519099083-1"/>
    <s v="No Priority"/>
    <s v="Failed"/>
    <x v="0"/>
    <x v="0"/>
    <x v="0"/>
    <m/>
    <n v="2000"/>
    <s v="NORTH"/>
    <s v="Haryana"/>
    <m/>
    <m/>
    <s v="GRG STEELS PVT. LTD."/>
    <n v="1804772"/>
    <s v="CRCA COIL TATXXD AU03 0.4X1250"/>
    <s v="C01"/>
    <s v="TATXXD"/>
    <s v="AU03"/>
    <n v="0.4"/>
    <n v="1250"/>
    <n v="0"/>
    <m/>
    <m/>
    <m/>
    <n v="10"/>
    <n v="30"/>
    <n v="145"/>
    <n v="0"/>
    <n v="145"/>
    <n v="145"/>
    <n v="0"/>
    <m/>
    <m/>
    <m/>
    <m/>
    <m/>
    <m/>
    <m/>
    <m/>
    <m/>
    <m/>
    <m/>
    <m/>
    <m/>
    <m/>
    <m/>
    <m/>
    <m/>
    <m/>
    <n v="0"/>
    <n v="0"/>
    <n v="0"/>
    <n v="145"/>
    <m/>
    <m/>
    <m/>
    <m/>
    <m/>
    <m/>
    <m/>
    <x v="0"/>
    <s v="Untrimmed edge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12"/>
    <s v="9519028231-12"/>
    <s v="No Priority"/>
    <s v="Failed"/>
    <x v="0"/>
    <x v="0"/>
    <x v="0"/>
    <m/>
    <n v="2000"/>
    <s v="SOUTH"/>
    <s v="Tamil Nadu"/>
    <m/>
    <m/>
    <s v="BASEER AND CO"/>
    <n v="1804893"/>
    <s v="CRCA COIL-TATCRC-TR15-0.45X900"/>
    <s v="C01"/>
    <s v="TATCRC"/>
    <s v="TR15"/>
    <n v="0.45"/>
    <n v="900"/>
    <n v="0"/>
    <m/>
    <m/>
    <m/>
    <n v="6"/>
    <n v="18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only at RCL"/>
    <x v="0"/>
    <s v="C01-TR15-0.45-900"/>
    <s v="B69-SF98-2.25-925"/>
    <x v="2"/>
    <x v="11"/>
    <x v="11"/>
    <x v="11"/>
    <x v="4"/>
    <x v="3"/>
    <x v="2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11"/>
    <s v="9519028231-11"/>
    <s v="Oct'25"/>
    <s v="Failed"/>
    <x v="1"/>
    <x v="0"/>
    <x v="0"/>
    <m/>
    <n v="2000"/>
    <s v="SOUTH"/>
    <s v="Tamil Nadu"/>
    <m/>
    <m/>
    <s v="BASEER AND CO"/>
    <n v="37862"/>
    <s v="CRCA COIL TATCRC TR15 0.4X1250"/>
    <s v="C01"/>
    <s v="TATCRC"/>
    <s v="TR15"/>
    <n v="0.4"/>
    <n v="1250"/>
    <n v="0"/>
    <m/>
    <m/>
    <m/>
    <n v="6"/>
    <n v="18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only at RCL"/>
    <x v="0"/>
    <s v="C01-TR15-0.4-1250"/>
    <s v="367-SF98-2-1250"/>
    <x v="0"/>
    <x v="11"/>
    <x v="11"/>
    <x v="11"/>
    <x v="2"/>
    <x v="0"/>
    <x v="119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10"/>
    <s v="9519028231-10"/>
    <s v="No Priority"/>
    <s v="Failed"/>
    <x v="0"/>
    <x v="0"/>
    <x v="0"/>
    <m/>
    <n v="2000"/>
    <s v="SOUTH"/>
    <s v="Tamil Nadu"/>
    <m/>
    <m/>
    <s v="BASEER AND CO"/>
    <n v="2165170"/>
    <s v="CRCA COIL TATCRC TR15 0.400X900"/>
    <s v="C01"/>
    <s v="TATCRC"/>
    <s v="TR15"/>
    <n v="0.4"/>
    <n v="900"/>
    <n v="0"/>
    <m/>
    <m/>
    <m/>
    <n v="6"/>
    <n v="18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only at RCL"/>
    <x v="3"/>
    <s v="C01-TR15-0.4-900"/>
    <s v="B69-SF98-2-925"/>
    <x v="2"/>
    <x v="11"/>
    <x v="11"/>
    <x v="11"/>
    <x v="2"/>
    <x v="3"/>
    <x v="120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7"/>
    <s v="9519028231-7"/>
    <s v="Oct'25"/>
    <s v="Failed"/>
    <x v="1"/>
    <x v="0"/>
    <x v="0"/>
    <m/>
    <n v="2000"/>
    <s v="SOUTH"/>
    <s v="Tamil Nadu"/>
    <m/>
    <m/>
    <s v="BASEER AND CO"/>
    <n v="1804867"/>
    <s v="CRCA COIL-TATXXD-AU03-1.6X1250"/>
    <s v="C01"/>
    <s v="TATXXD"/>
    <s v="AU03"/>
    <n v="1.6"/>
    <n v="1250"/>
    <n v="0"/>
    <m/>
    <m/>
    <m/>
    <n v="6"/>
    <n v="18"/>
    <n v="87"/>
    <n v="0"/>
    <n v="87"/>
    <n v="87"/>
    <n v="0"/>
    <m/>
    <m/>
    <m/>
    <m/>
    <m/>
    <m/>
    <m/>
    <m/>
    <m/>
    <m/>
    <m/>
    <m/>
    <m/>
    <m/>
    <m/>
    <m/>
    <m/>
    <m/>
    <n v="0"/>
    <n v="0"/>
    <n v="0"/>
    <n v="87"/>
    <m/>
    <m/>
    <m/>
    <m/>
    <m/>
    <m/>
    <m/>
    <x v="0"/>
    <s v="Trimming only at RCL"/>
    <x v="0"/>
    <s v="C01-AU03-1.6-1250"/>
    <s v="367-SH08-4-1250"/>
    <x v="0"/>
    <x v="0"/>
    <x v="0"/>
    <x v="0"/>
    <x v="10"/>
    <x v="0"/>
    <x v="74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36"/>
    <s v="9518939680-36"/>
    <s v="No Priority"/>
    <s v="Failed"/>
    <x v="0"/>
    <x v="0"/>
    <x v="0"/>
    <m/>
    <n v="2000"/>
    <s v="SOUTH"/>
    <e v="#N/A"/>
    <m/>
    <m/>
    <s v="BASEER AND CO"/>
    <n v="1804896"/>
    <s v="CRCA COIL-TATCRC-TR15-0.45X1000"/>
    <s v="C01"/>
    <s v="TATCRC"/>
    <s v="TR15"/>
    <n v="0.45"/>
    <n v="1000"/>
    <n v="0"/>
    <m/>
    <m/>
    <m/>
    <n v="6"/>
    <n v="18"/>
    <n v="46"/>
    <n v="0"/>
    <n v="46"/>
    <n v="46"/>
    <n v="0"/>
    <m/>
    <m/>
    <m/>
    <m/>
    <m/>
    <m/>
    <m/>
    <m/>
    <m/>
    <m/>
    <m/>
    <m/>
    <m/>
    <m/>
    <m/>
    <m/>
    <m/>
    <m/>
    <n v="0"/>
    <n v="0"/>
    <n v="0"/>
    <n v="46"/>
    <m/>
    <m/>
    <m/>
    <m/>
    <m/>
    <m/>
    <m/>
    <x v="0"/>
    <s v="Trimming only at RCL"/>
    <x v="0"/>
    <s v="C01-TR15-0.45-1000"/>
    <s v="B69-SF98-2.25-1025"/>
    <x v="2"/>
    <x v="11"/>
    <x v="11"/>
    <x v="11"/>
    <x v="4"/>
    <x v="7"/>
    <x v="2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35"/>
    <s v="9518939680-35"/>
    <s v="No Priority"/>
    <s v="Failed"/>
    <x v="0"/>
    <x v="0"/>
    <x v="0"/>
    <m/>
    <n v="2000"/>
    <s v="SOUTH"/>
    <e v="#N/A"/>
    <m/>
    <m/>
    <s v="BASEER AND CO"/>
    <n v="1804893"/>
    <s v="CRCA COIL-TATCRC-TR15-0.45X900"/>
    <s v="C01"/>
    <s v="TATCRC"/>
    <s v="TR15"/>
    <n v="0.45"/>
    <n v="900"/>
    <n v="0"/>
    <m/>
    <m/>
    <m/>
    <n v="6"/>
    <n v="18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only at RCL"/>
    <x v="0"/>
    <s v="C01-TR15-0.45-900"/>
    <s v="B69-SF98-2.25-925"/>
    <x v="2"/>
    <x v="11"/>
    <x v="11"/>
    <x v="11"/>
    <x v="4"/>
    <x v="3"/>
    <x v="2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34"/>
    <s v="9518939680-34"/>
    <s v="No Priority"/>
    <s v="Failed"/>
    <x v="0"/>
    <x v="0"/>
    <x v="0"/>
    <m/>
    <n v="2000"/>
    <s v="SOUTH"/>
    <e v="#N/A"/>
    <m/>
    <m/>
    <s v="BASEER AND CO"/>
    <n v="2165170"/>
    <s v="CRCA COIL TATCRC TR15 0.400X900"/>
    <s v="C01"/>
    <s v="TATCRC"/>
    <s v="TR15"/>
    <n v="0.4"/>
    <n v="900"/>
    <n v="0"/>
    <m/>
    <m/>
    <m/>
    <n v="6"/>
    <n v="18"/>
    <n v="84"/>
    <n v="0"/>
    <n v="84"/>
    <n v="84"/>
    <n v="0"/>
    <m/>
    <m/>
    <m/>
    <m/>
    <m/>
    <m/>
    <m/>
    <m/>
    <m/>
    <m/>
    <m/>
    <m/>
    <m/>
    <m/>
    <m/>
    <m/>
    <m/>
    <m/>
    <n v="0"/>
    <n v="0"/>
    <n v="0"/>
    <n v="84"/>
    <m/>
    <m/>
    <m/>
    <m/>
    <m/>
    <m/>
    <m/>
    <x v="0"/>
    <s v="Trimming only at RCL"/>
    <x v="3"/>
    <s v="C01-TR15-0.4-900"/>
    <s v="B69-SF98-2-925"/>
    <x v="2"/>
    <x v="11"/>
    <x v="11"/>
    <x v="11"/>
    <x v="2"/>
    <x v="3"/>
    <x v="120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31"/>
    <s v="9518939680-31"/>
    <s v="No Priority"/>
    <s v="Failed"/>
    <x v="0"/>
    <x v="0"/>
    <x v="0"/>
    <m/>
    <n v="2000"/>
    <s v="SOUTH"/>
    <e v="#N/A"/>
    <m/>
    <m/>
    <s v="BASEER AND CO"/>
    <n v="3931386"/>
    <s v="CR COIL TATXXD AU03 0.700X925"/>
    <s v="C01"/>
    <s v="TATXXD"/>
    <s v="AU03"/>
    <n v="0.7"/>
    <n v="925"/>
    <n v="0"/>
    <m/>
    <m/>
    <m/>
    <n v="6"/>
    <n v="18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only at RCL"/>
    <x v="0"/>
    <s v="C01-AU03-0.7-925"/>
    <s v="B69-SH08-2.8-935"/>
    <x v="2"/>
    <x v="0"/>
    <x v="0"/>
    <x v="0"/>
    <x v="0"/>
    <x v="16"/>
    <x v="105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28"/>
    <s v="9518939680-28"/>
    <s v="Oct'25"/>
    <s v="Failed"/>
    <x v="1"/>
    <x v="0"/>
    <x v="0"/>
    <m/>
    <n v="2000"/>
    <s v="SOUTH"/>
    <e v="#N/A"/>
    <m/>
    <m/>
    <s v="BASEER AND CO"/>
    <n v="1804867"/>
    <s v="CRCA COIL-TATXXD-AU03-1.6X1250"/>
    <s v="C01"/>
    <s v="TATXXD"/>
    <s v="AU03"/>
    <n v="1.6"/>
    <n v="1250"/>
    <n v="0"/>
    <m/>
    <m/>
    <m/>
    <n v="6"/>
    <n v="18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only at RCL"/>
    <x v="0"/>
    <s v="C01-AU03-1.6-1250"/>
    <s v="367-SH08-4-1250"/>
    <x v="0"/>
    <x v="0"/>
    <x v="0"/>
    <x v="0"/>
    <x v="10"/>
    <x v="0"/>
    <x v="74"/>
    <m/>
    <m/>
    <m/>
    <m/>
    <m/>
    <m/>
    <m/>
    <m/>
    <m/>
    <m/>
    <m/>
    <m/>
    <m/>
    <m/>
    <m/>
    <m/>
    <m/>
    <m/>
    <m/>
    <m/>
  </r>
  <r>
    <n v="742"/>
    <d v="2025-06-03T00:00:00"/>
    <s v="ZBTO"/>
    <n v="9518822216"/>
    <n v="2"/>
    <s v="9518822216-2"/>
    <s v="No Priority"/>
    <s v="Failed"/>
    <x v="0"/>
    <x v="0"/>
    <x v="0"/>
    <m/>
    <n v="2000"/>
    <s v="NORTH"/>
    <e v="#N/A"/>
    <m/>
    <m/>
    <s v="G R GUPTA &amp; BROS"/>
    <n v="1801290"/>
    <s v="CRCA COIL-TATXXD-AU03-0.6X1250"/>
    <s v="C01"/>
    <s v="TATXXD"/>
    <s v="AU03"/>
    <n v="0.6"/>
    <n v="1250"/>
    <n v="0"/>
    <m/>
    <m/>
    <m/>
    <n v="10"/>
    <n v="30"/>
    <n v="116"/>
    <n v="0"/>
    <n v="116"/>
    <n v="116"/>
    <n v="0"/>
    <m/>
    <m/>
    <m/>
    <m/>
    <m/>
    <m/>
    <m/>
    <m/>
    <m/>
    <m/>
    <m/>
    <m/>
    <m/>
    <m/>
    <m/>
    <m/>
    <m/>
    <m/>
    <n v="0"/>
    <n v="0"/>
    <n v="0"/>
    <n v="116"/>
    <m/>
    <m/>
    <m/>
    <m/>
    <m/>
    <m/>
    <m/>
    <x v="0"/>
    <s v="Untrimmed edge"/>
    <x v="0"/>
    <s v="C01-AU03-0.6-1250"/>
    <s v="367-SH08-2.5-1260"/>
    <x v="0"/>
    <x v="0"/>
    <x v="0"/>
    <x v="0"/>
    <x v="7"/>
    <x v="10"/>
    <x v="17"/>
    <m/>
    <m/>
    <m/>
    <m/>
    <m/>
    <m/>
    <m/>
    <m/>
    <m/>
    <m/>
    <m/>
    <m/>
    <m/>
    <m/>
    <m/>
    <m/>
    <m/>
    <m/>
    <m/>
    <m/>
  </r>
  <r>
    <n v="742"/>
    <d v="2025-09-11T00:00:00"/>
    <s v="ZBTF"/>
    <n v="4000517943"/>
    <n v="4"/>
    <s v="4000517943-4"/>
    <s v="No Priority"/>
    <s v="Failed"/>
    <x v="0"/>
    <x v="2"/>
    <x v="8"/>
    <m/>
    <n v="2000"/>
    <s v="SOUTH"/>
    <e v="#N/A"/>
    <m/>
    <m/>
    <s v="HOSUR TUBE PLANT"/>
    <n v="1210083"/>
    <s v="HR COILS-PO IS 1079 HR2 2X1250"/>
    <n v="768"/>
    <s v="THR099"/>
    <s v="HR99"/>
    <n v="2"/>
    <n v="1250"/>
    <n v="0"/>
    <m/>
    <m/>
    <m/>
    <e v="#N/A"/>
    <e v="#N/A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e v="#N/A"/>
    <x v="12"/>
    <s v="768-HR99-2-1250"/>
    <s v="367-HR99-2-1250"/>
    <x v="0"/>
    <x v="9"/>
    <x v="9"/>
    <x v="9"/>
    <x v="2"/>
    <x v="0"/>
    <x v="65"/>
    <m/>
    <m/>
    <m/>
    <m/>
    <m/>
    <m/>
    <m/>
    <m/>
    <m/>
    <m/>
    <m/>
    <m/>
    <m/>
    <m/>
    <m/>
    <m/>
    <m/>
    <m/>
    <m/>
    <m/>
  </r>
  <r>
    <n v="742"/>
    <d v="2025-09-11T00:00:00"/>
    <s v="ZBTF"/>
    <n v="4000517943"/>
    <n v="3"/>
    <s v="4000517943-3"/>
    <s v="No Priority"/>
    <s v="Failed"/>
    <x v="0"/>
    <x v="2"/>
    <x v="8"/>
    <m/>
    <n v="2000"/>
    <s v="SOUTH"/>
    <e v="#N/A"/>
    <m/>
    <m/>
    <s v="HOSUR TUBE PLANT"/>
    <n v="4116634"/>
    <s v="HR COILS-PO THR099 2.50X1255"/>
    <n v="768"/>
    <s v="THR099"/>
    <s v="HR99"/>
    <n v="2.5"/>
    <n v="1255"/>
    <n v="0"/>
    <m/>
    <m/>
    <m/>
    <e v="#N/A"/>
    <e v="#N/A"/>
    <n v="116"/>
    <n v="0"/>
    <n v="116"/>
    <n v="116"/>
    <n v="0"/>
    <m/>
    <m/>
    <m/>
    <m/>
    <m/>
    <m/>
    <m/>
    <m/>
    <m/>
    <m/>
    <m/>
    <m/>
    <m/>
    <m/>
    <m/>
    <m/>
    <m/>
    <m/>
    <n v="0"/>
    <n v="0"/>
    <n v="0"/>
    <n v="116"/>
    <m/>
    <m/>
    <m/>
    <m/>
    <m/>
    <m/>
    <m/>
    <x v="0"/>
    <e v="#N/A"/>
    <x v="3"/>
    <s v="768-HR99-2.5-1255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11T00:00:00"/>
    <s v="ZBTF"/>
    <n v="4000517943"/>
    <n v="2"/>
    <s v="4000517943-2"/>
    <s v="No Priority"/>
    <s v="Failed"/>
    <x v="0"/>
    <x v="2"/>
    <x v="8"/>
    <m/>
    <n v="2000"/>
    <s v="SOUTH"/>
    <e v="#N/A"/>
    <m/>
    <m/>
    <s v="HOSUR TUBE PLANT"/>
    <n v="4116633"/>
    <s v="HR COILS-PO THR099 2.50X1245"/>
    <n v="768"/>
    <s v="THR099"/>
    <s v="HR99"/>
    <n v="2.5"/>
    <n v="1245"/>
    <n v="0"/>
    <m/>
    <m/>
    <m/>
    <e v="#N/A"/>
    <e v="#N/A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e v="#N/A"/>
    <x v="3"/>
    <s v="768-HR99-2.5-1245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11T00:00:00"/>
    <s v="ZBTF"/>
    <n v="4000517943"/>
    <n v="1"/>
    <s v="4000517943-1"/>
    <s v="No Priority"/>
    <s v="Failed"/>
    <x v="0"/>
    <x v="2"/>
    <x v="8"/>
    <m/>
    <n v="2000"/>
    <s v="SOUTH"/>
    <e v="#N/A"/>
    <m/>
    <m/>
    <s v="HOSUR TUBE PLANT"/>
    <n v="1424552"/>
    <s v="HR COILS-PO IS 1079 HR2 2.01X1250"/>
    <n v="768"/>
    <s v="THR099"/>
    <s v="HR99"/>
    <n v="2.0099999999999998"/>
    <n v="1250"/>
    <n v="0"/>
    <m/>
    <m/>
    <m/>
    <e v="#N/A"/>
    <e v="#N/A"/>
    <n v="116"/>
    <n v="0"/>
    <n v="116"/>
    <n v="116"/>
    <n v="0"/>
    <m/>
    <m/>
    <m/>
    <m/>
    <m/>
    <m/>
    <m/>
    <m/>
    <m/>
    <m/>
    <m/>
    <m/>
    <m/>
    <m/>
    <m/>
    <m/>
    <m/>
    <m/>
    <n v="0"/>
    <n v="0"/>
    <n v="0"/>
    <n v="116"/>
    <m/>
    <m/>
    <m/>
    <m/>
    <m/>
    <m/>
    <m/>
    <x v="0"/>
    <e v="#N/A"/>
    <x v="12"/>
    <s v="768-HR99-2.01-1250"/>
    <s v="367-HR99-2.01-1250"/>
    <x v="0"/>
    <x v="9"/>
    <x v="9"/>
    <x v="9"/>
    <x v="17"/>
    <x v="0"/>
    <x v="121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7868"/>
    <n v="6"/>
    <s v="9519107868-6"/>
    <s v="Oct'25"/>
    <s v="Failed"/>
    <x v="1"/>
    <x v="0"/>
    <x v="0"/>
    <m/>
    <n v="2000"/>
    <s v="SOUTH"/>
    <s v="Telangana"/>
    <m/>
    <m/>
    <s v="VIJAY VENKAT STEELS PRIVATE LIMITED"/>
    <n v="292577"/>
    <s v="CR COIL-ICF  DQ TATXXD AU03 2.02X1250"/>
    <s v="C01"/>
    <s v="TATXXD"/>
    <s v="AU03"/>
    <n v="2.02"/>
    <n v="1250"/>
    <n v="0"/>
    <m/>
    <m/>
    <m/>
    <n v="6"/>
    <n v="18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C"/>
    <x v="3"/>
    <s v="C01-AU03-2.02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7868"/>
    <n v="4"/>
    <s v="9519107868-4"/>
    <s v="No Priority"/>
    <s v="Failed"/>
    <x v="0"/>
    <x v="0"/>
    <x v="0"/>
    <m/>
    <n v="2000"/>
    <s v="SOUTH"/>
    <s v="Telangana"/>
    <m/>
    <m/>
    <s v="VIJAY VENKAT STEELS PRIVATE LIMITED"/>
    <n v="187538"/>
    <s v="CR COIL-ICF TATXXD AU03 1.60X1250"/>
    <s v="C01"/>
    <s v="TATXXD"/>
    <s v="AU03"/>
    <n v="1.6"/>
    <n v="1250"/>
    <n v="0"/>
    <m/>
    <m/>
    <m/>
    <n v="6"/>
    <n v="18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C"/>
    <x v="0"/>
    <s v="C01-AU03-1.6-1250"/>
    <s v="367-SH08-4-1250"/>
    <x v="0"/>
    <x v="0"/>
    <x v="0"/>
    <x v="0"/>
    <x v="10"/>
    <x v="0"/>
    <x v="74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6344"/>
    <n v="4"/>
    <s v="9519116344-4"/>
    <s v="No Priority"/>
    <s v="Failed"/>
    <x v="0"/>
    <x v="0"/>
    <x v="0"/>
    <m/>
    <n v="2000"/>
    <s v="SOUTH"/>
    <s v="Tamil Nadu"/>
    <m/>
    <m/>
    <s v="BASEER AND CO"/>
    <n v="1804905"/>
    <s v="CRCA COIL-TATCRC-TR15-0.5X1000"/>
    <s v="C01"/>
    <s v="TATCRC"/>
    <s v="TR15"/>
    <n v="0.5"/>
    <n v="1000"/>
    <n v="0"/>
    <m/>
    <m/>
    <m/>
    <n v="6"/>
    <n v="18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only at RCL"/>
    <x v="0"/>
    <s v="C01-TR15-0.5-1000"/>
    <s v="B69-SF98-2.25-1025"/>
    <x v="2"/>
    <x v="11"/>
    <x v="11"/>
    <x v="11"/>
    <x v="4"/>
    <x v="7"/>
    <x v="2"/>
    <m/>
    <m/>
    <m/>
    <m/>
    <m/>
    <m/>
    <m/>
    <m/>
    <m/>
    <m/>
    <m/>
    <m/>
    <m/>
    <m/>
    <m/>
    <m/>
    <m/>
    <m/>
    <m/>
    <m/>
  </r>
  <r>
    <n v="742"/>
    <d v="2025-08-05T00:00:00"/>
    <s v="ZBTO"/>
    <n v="9518995071"/>
    <n v="5"/>
    <s v="9518995071-5"/>
    <s v="Oct'25"/>
    <s v="Failed"/>
    <x v="1"/>
    <x v="0"/>
    <x v="0"/>
    <m/>
    <n v="2000"/>
    <s v="NORTH"/>
    <s v="Uttar Pradesh"/>
    <m/>
    <m/>
    <s v="AGARWAL STEEL TRADERS"/>
    <n v="1884117"/>
    <s v="CRCA COIL-TATXXD-AU03-2X1250"/>
    <s v="C01"/>
    <s v="TATXXD"/>
    <s v="AU03"/>
    <n v="2"/>
    <n v="1250"/>
    <n v="0"/>
    <m/>
    <m/>
    <m/>
    <n v="7"/>
    <n v="28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Untrimmed edge"/>
    <x v="0"/>
    <s v="C01-AU03-2-1250"/>
    <s v="367-SH08-4.5-1250"/>
    <x v="0"/>
    <x v="0"/>
    <x v="0"/>
    <x v="0"/>
    <x v="9"/>
    <x v="0"/>
    <x v="122"/>
    <m/>
    <m/>
    <m/>
    <m/>
    <m/>
    <m/>
    <m/>
    <m/>
    <m/>
    <m/>
    <m/>
    <m/>
    <m/>
    <m/>
    <m/>
    <m/>
    <m/>
    <m/>
    <m/>
    <m/>
  </r>
  <r>
    <n v="742"/>
    <d v="2025-07-21T00:00:00"/>
    <s v="ZBTO"/>
    <n v="9518945240"/>
    <n v="3"/>
    <s v="9518945240-3"/>
    <s v="No Priority"/>
    <s v="Failed"/>
    <x v="0"/>
    <x v="0"/>
    <x v="0"/>
    <m/>
    <n v="2000"/>
    <s v="NORTH"/>
    <e v="#N/A"/>
    <m/>
    <m/>
    <s v="G.R. GUPTA &amp; BROS."/>
    <n v="185675"/>
    <s v="CRCA COIL-TATXXD-AU03-0.5X1250"/>
    <s v="C01"/>
    <s v="TATXXD"/>
    <s v="AU03"/>
    <n v="0.5"/>
    <n v="1250"/>
    <n v="0"/>
    <m/>
    <m/>
    <m/>
    <n v="10"/>
    <n v="30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Untrimmed edge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m/>
  </r>
  <r>
    <n v="742"/>
    <d v="2025-07-11T00:00:00"/>
    <s v="ZBTO"/>
    <n v="9518921586"/>
    <n v="2"/>
    <s v="9518921586-2"/>
    <s v="Oct'25"/>
    <s v="Failed"/>
    <x v="1"/>
    <x v="0"/>
    <x v="0"/>
    <m/>
    <n v="2000"/>
    <s v="SOUTH"/>
    <e v="#N/A"/>
    <m/>
    <m/>
    <s v="VIJAY VENKAT STEELS PRIVATE LIMITED"/>
    <n v="1804914"/>
    <s v="CRCA COIL TATCRC TR15 0.6X1000"/>
    <s v="C01"/>
    <s v="TATCRC"/>
    <s v="TR15"/>
    <n v="0.6"/>
    <n v="1000"/>
    <n v="0"/>
    <m/>
    <m/>
    <m/>
    <n v="10"/>
    <n v="30"/>
    <n v="46"/>
    <n v="0"/>
    <n v="46"/>
    <n v="46"/>
    <n v="0"/>
    <m/>
    <m/>
    <m/>
    <m/>
    <m/>
    <m/>
    <m/>
    <m/>
    <m/>
    <m/>
    <m/>
    <m/>
    <m/>
    <m/>
    <m/>
    <m/>
    <m/>
    <m/>
    <n v="0"/>
    <n v="0"/>
    <n v="0"/>
    <n v="46"/>
    <m/>
    <m/>
    <m/>
    <m/>
    <m/>
    <m/>
    <m/>
    <x v="0"/>
    <s v="C"/>
    <x v="0"/>
    <s v="C01-TR15-0.6-1000"/>
    <s v="B69-SF98-2.5-1025"/>
    <x v="2"/>
    <x v="11"/>
    <x v="11"/>
    <x v="11"/>
    <x v="7"/>
    <x v="7"/>
    <x v="123"/>
    <m/>
    <m/>
    <m/>
    <m/>
    <m/>
    <m/>
    <m/>
    <m/>
    <m/>
    <m/>
    <m/>
    <m/>
    <m/>
    <m/>
    <m/>
    <m/>
    <m/>
    <m/>
    <m/>
    <m/>
  </r>
  <r>
    <n v="742"/>
    <d v="2025-09-03T00:00:00"/>
    <s v="ZBTO"/>
    <n v="9519076188"/>
    <n v="1"/>
    <s v="9519076188-1"/>
    <s v="No Priority"/>
    <s v="Failed"/>
    <x v="0"/>
    <x v="2"/>
    <x v="3"/>
    <m/>
    <n v="2000"/>
    <s v="SOUTH"/>
    <s v="Tamil Nadu"/>
    <m/>
    <m/>
    <s v="KARTHIK STEEL"/>
    <n v="1210097"/>
    <s v="HR COILS-PO IS 1079 HR2 5X1250"/>
    <n v="768"/>
    <s v="THR099"/>
    <s v="HR99"/>
    <n v="5"/>
    <n v="1250"/>
    <n v="0"/>
    <m/>
    <m/>
    <m/>
    <s v=""/>
    <s v="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Untrimmed edge"/>
    <x v="12"/>
    <s v="768-HR99-5-1250"/>
    <s v="367-HR99-5-1250"/>
    <x v="0"/>
    <x v="9"/>
    <x v="9"/>
    <x v="9"/>
    <x v="12"/>
    <x v="0"/>
    <x v="54"/>
    <m/>
    <m/>
    <m/>
    <m/>
    <m/>
    <m/>
    <m/>
    <m/>
    <m/>
    <m/>
    <m/>
    <m/>
    <m/>
    <m/>
    <m/>
    <m/>
    <m/>
    <m/>
    <m/>
    <m/>
  </r>
  <r>
    <n v="742"/>
    <d v="2025-08-29T00:00:00"/>
    <s v="ZBTO"/>
    <n v="9519062649"/>
    <n v="1"/>
    <s v="9519062649-1"/>
    <s v="No Priority"/>
    <s v="Failed"/>
    <x v="0"/>
    <x v="0"/>
    <x v="0"/>
    <m/>
    <n v="2000"/>
    <s v="NORTH"/>
    <s v="Uttar Pradesh"/>
    <m/>
    <m/>
    <s v="INDIA STEEL INDUSTRIES"/>
    <n v="1804905"/>
    <s v="CRCA COIL-TATCRC-TR15-0.5X1000"/>
    <s v="C01"/>
    <s v="TATCRC"/>
    <s v="TR15"/>
    <n v="0.5"/>
    <n v="1000"/>
    <n v="0"/>
    <m/>
    <m/>
    <m/>
    <n v="10"/>
    <n v="2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C"/>
    <x v="0"/>
    <s v="C01-TR15-0.5-1000"/>
    <s v="B69-SF98-2.25-1025"/>
    <x v="2"/>
    <x v="11"/>
    <x v="11"/>
    <x v="11"/>
    <x v="4"/>
    <x v="7"/>
    <x v="2"/>
    <m/>
    <m/>
    <m/>
    <m/>
    <m/>
    <m/>
    <m/>
    <m/>
    <m/>
    <m/>
    <m/>
    <m/>
    <m/>
    <m/>
    <m/>
    <m/>
    <m/>
    <m/>
    <m/>
    <m/>
  </r>
  <r>
    <n v="742"/>
    <d v="2025-08-29T00:00:00"/>
    <s v="ZBTO"/>
    <n v="9519060675"/>
    <n v="7"/>
    <s v="9519060675-7"/>
    <s v="No Priority"/>
    <s v="Failed"/>
    <x v="0"/>
    <x v="2"/>
    <x v="3"/>
    <m/>
    <n v="2000"/>
    <s v="SOUTH"/>
    <s v="Karnataka"/>
    <m/>
    <m/>
    <s v="DURGA STEEL INDUSTRIES"/>
    <n v="1210097"/>
    <s v="HR COILS-PO IS 1079 HR2 5X1250"/>
    <n v="768"/>
    <s v="THR099"/>
    <s v="HR99"/>
    <n v="5"/>
    <n v="1250"/>
    <n v="0"/>
    <m/>
    <m/>
    <m/>
    <n v="15"/>
    <n v="29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Untrimmed edge"/>
    <x v="12"/>
    <s v="768-HR99-5-1250"/>
    <s v="367-HR99-5-1250"/>
    <x v="0"/>
    <x v="9"/>
    <x v="9"/>
    <x v="9"/>
    <x v="12"/>
    <x v="0"/>
    <x v="54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15"/>
    <s v="9519028231-15"/>
    <s v="No Priority"/>
    <s v="Failed"/>
    <x v="0"/>
    <x v="0"/>
    <x v="0"/>
    <m/>
    <n v="2000"/>
    <s v="SOUTH"/>
    <s v="Tamil Nadu"/>
    <m/>
    <m/>
    <s v="BASEER AND CO"/>
    <n v="1804914"/>
    <s v="CRCA COIL TATCRC TR15 0.6X1000"/>
    <s v="C01"/>
    <s v="TATCRC"/>
    <s v="TR15"/>
    <n v="0.6"/>
    <n v="1000"/>
    <n v="0"/>
    <m/>
    <m/>
    <m/>
    <n v="6"/>
    <n v="18"/>
    <n v="46"/>
    <n v="0"/>
    <n v="46"/>
    <n v="46"/>
    <n v="0"/>
    <m/>
    <m/>
    <m/>
    <m/>
    <m/>
    <m/>
    <m/>
    <m/>
    <m/>
    <m/>
    <m/>
    <m/>
    <m/>
    <m/>
    <m/>
    <m/>
    <m/>
    <m/>
    <n v="0"/>
    <n v="0"/>
    <n v="0"/>
    <n v="46"/>
    <m/>
    <m/>
    <m/>
    <m/>
    <m/>
    <m/>
    <m/>
    <x v="0"/>
    <s v="Trimming only at RCL"/>
    <x v="0"/>
    <s v="C01-TR15-0.6-1000"/>
    <s v="B69-SF98-2.5-1025"/>
    <x v="2"/>
    <x v="11"/>
    <x v="11"/>
    <x v="11"/>
    <x v="7"/>
    <x v="7"/>
    <x v="123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14"/>
    <s v="9519028231-14"/>
    <s v="No Priority"/>
    <s v="Failed"/>
    <x v="0"/>
    <x v="0"/>
    <x v="0"/>
    <m/>
    <n v="2000"/>
    <s v="SOUTH"/>
    <s v="Tamil Nadu"/>
    <m/>
    <m/>
    <s v="BASEER AND CO"/>
    <n v="1804905"/>
    <s v="CRCA COIL-TATCRC-TR15-0.5X1000"/>
    <s v="C01"/>
    <s v="TATCRC"/>
    <s v="TR15"/>
    <n v="0.5"/>
    <n v="1000"/>
    <n v="0"/>
    <m/>
    <m/>
    <m/>
    <n v="6"/>
    <n v="18"/>
    <n v="46"/>
    <n v="0"/>
    <n v="46"/>
    <n v="46"/>
    <n v="0"/>
    <m/>
    <m/>
    <m/>
    <m/>
    <m/>
    <m/>
    <m/>
    <m/>
    <m/>
    <m/>
    <m/>
    <m/>
    <m/>
    <m/>
    <m/>
    <m/>
    <m/>
    <m/>
    <n v="0"/>
    <n v="0"/>
    <n v="0"/>
    <n v="46"/>
    <m/>
    <m/>
    <m/>
    <m/>
    <m/>
    <m/>
    <m/>
    <x v="0"/>
    <s v="Trimming only at RCL"/>
    <x v="0"/>
    <s v="C01-TR15-0.5-1000"/>
    <s v="B69-SF98-2.25-1025"/>
    <x v="2"/>
    <x v="11"/>
    <x v="11"/>
    <x v="11"/>
    <x v="4"/>
    <x v="7"/>
    <x v="2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32"/>
    <s v="9518939680-32"/>
    <s v="No Priority"/>
    <s v="Failed"/>
    <x v="0"/>
    <x v="0"/>
    <x v="0"/>
    <m/>
    <n v="2000"/>
    <s v="SOUTH"/>
    <e v="#N/A"/>
    <m/>
    <m/>
    <s v="BASEER AND CO"/>
    <n v="38095"/>
    <s v="CR COIL-ICF C01 TATCRC TR15 0.50 X 1000"/>
    <s v="C01"/>
    <s v="TATCRC"/>
    <s v="TR15"/>
    <n v="0.5"/>
    <n v="1000"/>
    <n v="0"/>
    <m/>
    <m/>
    <m/>
    <n v="6"/>
    <n v="18"/>
    <n v="46"/>
    <n v="0"/>
    <n v="46"/>
    <n v="46"/>
    <n v="0"/>
    <m/>
    <m/>
    <m/>
    <m/>
    <m/>
    <m/>
    <m/>
    <m/>
    <m/>
    <m/>
    <m/>
    <m/>
    <m/>
    <m/>
    <m/>
    <m/>
    <m/>
    <m/>
    <n v="0"/>
    <n v="0"/>
    <n v="0"/>
    <n v="46"/>
    <m/>
    <m/>
    <m/>
    <m/>
    <m/>
    <m/>
    <m/>
    <x v="0"/>
    <s v="Trimming only at RCL"/>
    <x v="0"/>
    <s v="C01-TR15-0.5-1000"/>
    <s v="B69-SF98-2.25-1025"/>
    <x v="2"/>
    <x v="11"/>
    <x v="11"/>
    <x v="11"/>
    <x v="4"/>
    <x v="7"/>
    <x v="2"/>
    <m/>
    <m/>
    <m/>
    <m/>
    <m/>
    <m/>
    <m/>
    <m/>
    <m/>
    <m/>
    <m/>
    <m/>
    <m/>
    <m/>
    <m/>
    <m/>
    <m/>
    <m/>
    <m/>
    <m/>
  </r>
  <r>
    <n v="742"/>
    <d v="2025-07-07T00:00:00"/>
    <s v="ZBTO"/>
    <n v="9518911416"/>
    <n v="2"/>
    <s v="9518911416-2"/>
    <s v="No Priority"/>
    <s v="Failed"/>
    <x v="0"/>
    <x v="0"/>
    <x v="0"/>
    <m/>
    <n v="2000"/>
    <s v="NORTH"/>
    <e v="#N/A"/>
    <m/>
    <m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at PLTCM"/>
    <x v="0"/>
    <s v="C01-TR15-0.6-1000"/>
    <s v="B69-SF98-2.5-1025"/>
    <x v="2"/>
    <x v="11"/>
    <x v="11"/>
    <x v="11"/>
    <x v="7"/>
    <x v="7"/>
    <x v="123"/>
    <m/>
    <m/>
    <m/>
    <m/>
    <m/>
    <m/>
    <m/>
    <m/>
    <m/>
    <m/>
    <m/>
    <m/>
    <m/>
    <m/>
    <m/>
    <m/>
    <m/>
    <m/>
    <m/>
    <m/>
  </r>
  <r>
    <n v="742"/>
    <d v="2025-07-07T00:00:00"/>
    <s v="ZBTO"/>
    <n v="9518911416"/>
    <n v="1"/>
    <s v="9518911416-1"/>
    <s v="Oct'25"/>
    <s v="Failed"/>
    <x v="1"/>
    <x v="0"/>
    <x v="0"/>
    <m/>
    <n v="2000"/>
    <s v="NORTH"/>
    <e v="#N/A"/>
    <m/>
    <m/>
    <s v="INDIA STEEL INDUSTRIES"/>
    <n v="1804905"/>
    <s v="CRCA COIL-TATCRC-TR15-0.5X1000"/>
    <s v="C01"/>
    <s v="TATCRC"/>
    <s v="TR15"/>
    <n v="0.5"/>
    <n v="1000"/>
    <n v="0"/>
    <m/>
    <m/>
    <m/>
    <n v="10"/>
    <n v="2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at PLTCM"/>
    <x v="0"/>
    <s v="C01-TR15-0.5-1000"/>
    <s v="B69-SF98-2.25-1025"/>
    <x v="2"/>
    <x v="11"/>
    <x v="11"/>
    <x v="11"/>
    <x v="4"/>
    <x v="7"/>
    <x v="2"/>
    <m/>
    <m/>
    <m/>
    <m/>
    <m/>
    <m/>
    <m/>
    <m/>
    <m/>
    <m/>
    <m/>
    <m/>
    <m/>
    <m/>
    <m/>
    <m/>
    <m/>
    <m/>
    <m/>
    <m/>
  </r>
  <r>
    <n v="742"/>
    <d v="2025-06-23T00:00:00"/>
    <s v="ZBTO"/>
    <n v="9518871495"/>
    <n v="5"/>
    <s v="9518871495-5"/>
    <s v="Oct'25"/>
    <s v="Failed"/>
    <x v="1"/>
    <x v="0"/>
    <x v="0"/>
    <m/>
    <n v="2000"/>
    <s v="NORTH"/>
    <e v="#N/A"/>
    <m/>
    <m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at PLTCM"/>
    <x v="0"/>
    <s v="C01-TR15-0.6-1000"/>
    <s v="B69-SF98-2.5-1025"/>
    <x v="2"/>
    <x v="11"/>
    <x v="11"/>
    <x v="11"/>
    <x v="7"/>
    <x v="7"/>
    <x v="123"/>
    <m/>
    <m/>
    <m/>
    <m/>
    <m/>
    <m/>
    <m/>
    <m/>
    <m/>
    <m/>
    <m/>
    <m/>
    <m/>
    <m/>
    <m/>
    <m/>
    <m/>
    <m/>
    <m/>
    <m/>
  </r>
  <r>
    <n v="742"/>
    <d v="2025-06-23T00:00:00"/>
    <s v="ZBTO"/>
    <n v="9518871495"/>
    <n v="3"/>
    <s v="9518871495-3"/>
    <s v="Oct'25"/>
    <s v="Failed"/>
    <x v="1"/>
    <x v="0"/>
    <x v="0"/>
    <m/>
    <n v="2000"/>
    <s v="NORTH"/>
    <e v="#N/A"/>
    <m/>
    <m/>
    <s v="INDIA STEEL INDUSTRIES"/>
    <n v="1804905"/>
    <s v="CRCA COIL-TATCRC-TR15-0.5X1000"/>
    <s v="C01"/>
    <s v="TATCRC"/>
    <s v="TR15"/>
    <n v="0.5"/>
    <n v="1000"/>
    <n v="0"/>
    <m/>
    <m/>
    <m/>
    <n v="10"/>
    <n v="25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at PLTCM"/>
    <x v="0"/>
    <s v="C01-TR15-0.5-1000"/>
    <s v="B69-SF98-2.25-1025"/>
    <x v="2"/>
    <x v="11"/>
    <x v="11"/>
    <x v="11"/>
    <x v="4"/>
    <x v="7"/>
    <x v="2"/>
    <m/>
    <m/>
    <m/>
    <m/>
    <m/>
    <m/>
    <m/>
    <m/>
    <m/>
    <m/>
    <m/>
    <m/>
    <m/>
    <m/>
    <m/>
    <m/>
    <m/>
    <m/>
    <m/>
    <m/>
  </r>
  <r>
    <n v="742"/>
    <d v="2025-06-11T00:00:00"/>
    <s v="ZBTO"/>
    <n v="9518842271"/>
    <n v="1"/>
    <s v="9518842271-1"/>
    <s v="Oct'25"/>
    <s v="Failed"/>
    <x v="1"/>
    <x v="0"/>
    <x v="0"/>
    <m/>
    <n v="2000"/>
    <s v="SOUTH"/>
    <e v="#N/A"/>
    <m/>
    <m/>
    <s v="SITARAM IRON AND STEEL PVT LTD"/>
    <n v="1804902"/>
    <s v="CRCA COIL-TATCRC-TR15-0.5X900"/>
    <s v="C01"/>
    <s v="TATCRC"/>
    <s v="TR15"/>
    <n v="0.5"/>
    <n v="900"/>
    <n v="0"/>
    <m/>
    <m/>
    <m/>
    <n v="8"/>
    <n v="29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C"/>
    <x v="3"/>
    <s v="C01-TR15-0.5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e v="#N/A"/>
    <s v="ZBTO"/>
    <n v="9518799982"/>
    <n v="4"/>
    <s v="9518799982-4"/>
    <s v="No Priority"/>
    <s v="Failed"/>
    <x v="0"/>
    <x v="0"/>
    <x v="0"/>
    <m/>
    <n v="2000"/>
    <s v="NORTH"/>
    <e v="#N/A"/>
    <m/>
    <m/>
    <s v="G.R. GUPTA &amp; BROS."/>
    <n v="185675"/>
    <s v="CRCA COIL-TATXXD-AU03-0.5X1250"/>
    <s v="C01"/>
    <s v="TATXXD"/>
    <s v="AU03"/>
    <n v="0.5"/>
    <n v="1250"/>
    <n v="0"/>
    <m/>
    <m/>
    <m/>
    <e v="#N/A"/>
    <e v="#N/A"/>
    <n v="116"/>
    <n v="0"/>
    <n v="116"/>
    <n v="116"/>
    <n v="0"/>
    <m/>
    <m/>
    <m/>
    <m/>
    <m/>
    <m/>
    <m/>
    <m/>
    <m/>
    <m/>
    <m/>
    <m/>
    <m/>
    <m/>
    <m/>
    <m/>
    <m/>
    <m/>
    <n v="0"/>
    <n v="0"/>
    <n v="0"/>
    <n v="116"/>
    <m/>
    <m/>
    <m/>
    <m/>
    <m/>
    <m/>
    <m/>
    <x v="0"/>
    <e v="#N/A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6344"/>
    <n v="10"/>
    <s v="9519116344-10"/>
    <s v="No Priority"/>
    <s v="Failed"/>
    <x v="0"/>
    <x v="0"/>
    <x v="0"/>
    <m/>
    <n v="2000"/>
    <s v="SOUTH"/>
    <s v="Tamil Nadu"/>
    <m/>
    <m/>
    <s v="BASEER AND CO"/>
    <n v="279229"/>
    <s v="CRSHEET TATXXD AU03 0.50X1250X2500"/>
    <s v="C06"/>
    <s v="TATXXD"/>
    <s v="AU03"/>
    <n v="0.5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at PLTCM"/>
    <x v="0"/>
    <s v="C06-AU03-0.5-1250"/>
    <s v="367-SH08-2.5-1260"/>
    <x v="0"/>
    <x v="0"/>
    <x v="0"/>
    <x v="0"/>
    <x v="7"/>
    <x v="10"/>
    <x v="17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6344"/>
    <n v="7"/>
    <s v="9519116344-7"/>
    <s v="No Priority"/>
    <s v="Failed"/>
    <x v="0"/>
    <x v="0"/>
    <x v="6"/>
    <m/>
    <n v="2000"/>
    <s v="SOUTH"/>
    <s v="Tamil Nadu"/>
    <m/>
    <m/>
    <s v="BASEER AND CO"/>
    <n v="3239539"/>
    <s v="CRCA SHEET TATCRC SR16 0.350X1000X1980"/>
    <s v="C06"/>
    <s v="TATCRC"/>
    <s v="SR16"/>
    <n v="0.35"/>
    <n v="1000"/>
    <n v="1980"/>
    <m/>
    <m/>
    <m/>
    <n v="2"/>
    <n v="3"/>
    <n v="46"/>
    <n v="0"/>
    <n v="46"/>
    <n v="46"/>
    <n v="0"/>
    <m/>
    <m/>
    <m/>
    <m/>
    <m/>
    <m/>
    <m/>
    <m/>
    <m/>
    <m/>
    <m/>
    <m/>
    <m/>
    <m/>
    <m/>
    <m/>
    <m/>
    <m/>
    <n v="0"/>
    <n v="0"/>
    <n v="0"/>
    <n v="46"/>
    <m/>
    <m/>
    <m/>
    <m/>
    <m/>
    <m/>
    <m/>
    <x v="0"/>
    <s v="Trimming at PLTCM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m/>
  </r>
  <r>
    <n v="743"/>
    <d v="2025-09-12T00:00:00"/>
    <s v="ZBTO"/>
    <n v="9519098404"/>
    <n v="2"/>
    <s v="9519098404-2"/>
    <s v="No Priority"/>
    <s v="Failed"/>
    <x v="1"/>
    <x v="3"/>
    <x v="13"/>
    <m/>
    <n v="2000"/>
    <s v="NORTH"/>
    <s v="Rajasthan"/>
    <m/>
    <m/>
    <s v="BIHANI ENTERPRISES"/>
    <n v="1854390"/>
    <s v="GP COIL SOFT-TATXGP-GK09-0.3X1220"/>
    <s v="C02"/>
    <s v="TATXGP"/>
    <s v="GK09"/>
    <n v="0.3"/>
    <n v="1220"/>
    <n v="0"/>
    <m/>
    <m/>
    <m/>
    <n v="5"/>
    <n v="7"/>
    <n v="28"/>
    <n v="0"/>
    <n v="28"/>
    <n v="28"/>
    <n v="0"/>
    <m/>
    <m/>
    <m/>
    <m/>
    <m/>
    <m/>
    <m/>
    <m/>
    <m/>
    <m/>
    <m/>
    <m/>
    <m/>
    <m/>
    <m/>
    <m/>
    <m/>
    <m/>
    <n v="0"/>
    <n v="0"/>
    <n v="0"/>
    <n v="28"/>
    <m/>
    <m/>
    <m/>
    <m/>
    <m/>
    <m/>
    <m/>
    <x v="0"/>
    <s v="Trimming only at RCL"/>
    <x v="8"/>
    <s v="C02-GK09-0.3-1220"/>
    <s v="367-HG02-2-1235"/>
    <x v="0"/>
    <x v="1"/>
    <x v="1"/>
    <x v="1"/>
    <x v="2"/>
    <x v="4"/>
    <x v="27"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6020"/>
    <n v="5"/>
    <s v="9519116020-5"/>
    <s v="No Priority"/>
    <s v="Released"/>
    <x v="1"/>
    <x v="3"/>
    <x v="7"/>
    <m/>
    <n v="2000"/>
    <s v="EAST"/>
    <s v="West Bengal"/>
    <m/>
    <m/>
    <s v="BUBNA COMMERCIAL COMPANY"/>
    <n v="1854424"/>
    <s v="GP COIL SOFT-TATXGP-GK09-0.6X900"/>
    <s v="C02"/>
    <s v="TATXGP"/>
    <s v="GK09"/>
    <n v="0.6"/>
    <n v="900"/>
    <n v="0"/>
    <m/>
    <m/>
    <m/>
    <n v="5"/>
    <n v="15"/>
    <n v="84"/>
    <n v="0"/>
    <n v="84"/>
    <n v="84"/>
    <n v="0"/>
    <m/>
    <m/>
    <m/>
    <m/>
    <m/>
    <m/>
    <m/>
    <m/>
    <m/>
    <m/>
    <m/>
    <m/>
    <m/>
    <m/>
    <m/>
    <m/>
    <m/>
    <m/>
    <n v="0"/>
    <n v="0"/>
    <n v="0"/>
    <n v="84"/>
    <m/>
    <m/>
    <m/>
    <m/>
    <m/>
    <m/>
    <m/>
    <x v="0"/>
    <s v="Trimming only at RCL"/>
    <x v="8"/>
    <s v="C02-GK09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6020"/>
    <n v="4"/>
    <s v="9519116020-4"/>
    <s v="No Priority"/>
    <s v="Released"/>
    <x v="1"/>
    <x v="3"/>
    <x v="7"/>
    <m/>
    <n v="2000"/>
    <s v="EAST"/>
    <s v="West Bengal"/>
    <m/>
    <m/>
    <s v="BUBNA COMMERCIAL COMPANY"/>
    <n v="1353179"/>
    <s v="GP COIL TATXGP GK09 0.500X900"/>
    <s v="C02"/>
    <s v="TATXGP"/>
    <s v="GK09"/>
    <n v="0.5"/>
    <n v="900"/>
    <n v="0"/>
    <m/>
    <m/>
    <m/>
    <n v="5"/>
    <n v="15"/>
    <n v="84"/>
    <n v="0"/>
    <n v="84"/>
    <n v="84"/>
    <n v="0"/>
    <m/>
    <m/>
    <m/>
    <m/>
    <m/>
    <m/>
    <m/>
    <m/>
    <m/>
    <m/>
    <m/>
    <m/>
    <m/>
    <m/>
    <m/>
    <m/>
    <m/>
    <m/>
    <n v="0"/>
    <n v="0"/>
    <n v="0"/>
    <n v="84"/>
    <m/>
    <m/>
    <m/>
    <m/>
    <m/>
    <m/>
    <m/>
    <x v="0"/>
    <s v="Trimming only at RCL"/>
    <x v="8"/>
    <s v="C02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6020"/>
    <n v="3"/>
    <s v="9519116020-3"/>
    <s v="No Priority"/>
    <s v="Released"/>
    <x v="1"/>
    <x v="3"/>
    <x v="7"/>
    <m/>
    <n v="2000"/>
    <s v="EAST"/>
    <s v="West Bengal"/>
    <m/>
    <m/>
    <s v="BUBNA COMMERCIAL COMPANY"/>
    <n v="1178439"/>
    <s v="GP COIL SOFT-TATXGP-GK09-0.4X900"/>
    <s v="C02"/>
    <s v="TATXGP"/>
    <s v="GK09"/>
    <n v="0.4"/>
    <n v="900"/>
    <n v="0"/>
    <m/>
    <m/>
    <m/>
    <n v="5"/>
    <n v="15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only at RCL"/>
    <x v="8"/>
    <s v="C02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6020"/>
    <n v="2"/>
    <s v="9519116020-2"/>
    <s v="No Priority"/>
    <s v="Released"/>
    <x v="1"/>
    <x v="3"/>
    <x v="7"/>
    <m/>
    <n v="2000"/>
    <s v="EAST"/>
    <s v="West Bengal"/>
    <m/>
    <m/>
    <s v="BUBNA COMMERCIAL COMPANY"/>
    <n v="1191956"/>
    <s v="GP COIL SOFT-TATXGP-GK09-0.35X900"/>
    <s v="C02"/>
    <s v="TATXGP"/>
    <s v="GK09"/>
    <n v="0.35"/>
    <n v="900"/>
    <n v="0"/>
    <m/>
    <m/>
    <m/>
    <n v="5"/>
    <n v="15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only at RCL"/>
    <x v="8"/>
    <s v="C02-GK09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6020"/>
    <n v="1"/>
    <s v="9519116020-1"/>
    <s v="No Priority"/>
    <s v="Released"/>
    <x v="1"/>
    <x v="3"/>
    <x v="7"/>
    <m/>
    <n v="2000"/>
    <s v="EAST"/>
    <s v="West Bengal"/>
    <m/>
    <m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only at RCL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10"/>
    <s v="9519110359-10"/>
    <s v="No Priority"/>
    <s v="Failed"/>
    <x v="0"/>
    <x v="0"/>
    <x v="0"/>
    <m/>
    <n v="2000"/>
    <s v="SOUTH"/>
    <s v="Andhra Pradesh"/>
    <m/>
    <m/>
    <s v="SITARAM IRON AND STEEL PVT LTD"/>
    <n v="194544"/>
    <s v="CRSHEET TATXXD AU03 1.50X1250X2500"/>
    <s v="C06"/>
    <s v="TATXXD"/>
    <s v="AU03"/>
    <n v="1.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AU03-1.5-1250"/>
    <s v="367-SH08-4-1260"/>
    <x v="0"/>
    <x v="0"/>
    <x v="0"/>
    <x v="0"/>
    <x v="10"/>
    <x v="10"/>
    <x v="93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9"/>
    <s v="9519110359-9"/>
    <s v="No Priority"/>
    <s v="Failed"/>
    <x v="0"/>
    <x v="0"/>
    <x v="0"/>
    <m/>
    <n v="2000"/>
    <s v="SOUTH"/>
    <s v="Andhra Pradesh"/>
    <m/>
    <m/>
    <s v="SITARAM IRON AND STEEL PVT LTD"/>
    <n v="189865"/>
    <s v="CRSHEET TATXXD AU03 1.0X1250X2500"/>
    <s v="C06"/>
    <s v="TATXXD"/>
    <s v="AU03"/>
    <n v="1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AU03-1-1250"/>
    <s v="367-SH08-2.8-1260"/>
    <x v="0"/>
    <x v="0"/>
    <x v="0"/>
    <x v="0"/>
    <x v="0"/>
    <x v="10"/>
    <x v="124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8"/>
    <s v="9519110359-8"/>
    <s v="No Priority"/>
    <s v="Failed"/>
    <x v="0"/>
    <x v="0"/>
    <x v="0"/>
    <m/>
    <n v="2000"/>
    <s v="SOUTH"/>
    <s v="Andhra Pradesh"/>
    <m/>
    <m/>
    <s v="SITARAM IRON AND STEEL PVT LTD"/>
    <n v="1406015"/>
    <s v="CRCA SHEET TATXXD AU03 0.950X1250X2500"/>
    <s v="C06"/>
    <s v="TATXXD"/>
    <s v="AU03"/>
    <n v="0.9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3"/>
    <s v="C06-AU03-0.95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7"/>
    <s v="9519110359-7"/>
    <s v="No Priority"/>
    <s v="Failed"/>
    <x v="0"/>
    <x v="0"/>
    <x v="0"/>
    <m/>
    <n v="2000"/>
    <s v="SOUTH"/>
    <s v="Andhra Pradesh"/>
    <m/>
    <m/>
    <s v="SITARAM IRON AND STEEL PVT LTD"/>
    <n v="353957"/>
    <s v="CRCA SHEET TATXXD AU03 0.80X1250X2500"/>
    <s v="C06"/>
    <s v="TATXXD"/>
    <s v="AU03"/>
    <n v="0.8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AU03-0.8-1250"/>
    <s v="367-SH08-2.8-1260"/>
    <x v="0"/>
    <x v="0"/>
    <x v="0"/>
    <x v="0"/>
    <x v="0"/>
    <x v="10"/>
    <x v="124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6"/>
    <s v="9519110359-6"/>
    <s v="No Priority"/>
    <s v="Failed"/>
    <x v="0"/>
    <x v="0"/>
    <x v="0"/>
    <m/>
    <n v="2000"/>
    <s v="SOUTH"/>
    <s v="Andhra Pradesh"/>
    <m/>
    <m/>
    <s v="SITARAM IRON AND STEEL PVT LTD"/>
    <n v="1206324"/>
    <s v="CRCA SHEET TATXXD AU03 0.750X1250X2500"/>
    <s v="C06"/>
    <s v="TATXXD"/>
    <s v="AU03"/>
    <n v="0.7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3"/>
    <s v="C06-AU03-0.75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5"/>
    <s v="9519110359-5"/>
    <s v="No Priority"/>
    <s v="Released"/>
    <x v="0"/>
    <x v="0"/>
    <x v="6"/>
    <m/>
    <n v="2000"/>
    <s v="SOUTH"/>
    <s v="Andhra Pradesh"/>
    <m/>
    <m/>
    <s v="SITARAM IRON AND STEEL PVT LTD"/>
    <n v="3240765"/>
    <s v="CRCA SHEET TSBCRC SR15 0.500X1250X2500"/>
    <s v="C06"/>
    <s v="TSBCRC"/>
    <s v="SR15"/>
    <n v="0.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4"/>
    <s v="9519110359-4"/>
    <s v="Oct'25"/>
    <s v="Released"/>
    <x v="1"/>
    <x v="0"/>
    <x v="6"/>
    <m/>
    <n v="2000"/>
    <s v="SOUTH"/>
    <s v="Andhra Pradesh"/>
    <m/>
    <m/>
    <s v="SITARAM IRON AND STEEL PVT LTD"/>
    <n v="3240785"/>
    <s v="CRCA SHEET TSBCRC SR15 0.600X1250X2500"/>
    <s v="C06"/>
    <s v="TSBCRC"/>
    <s v="SR15"/>
    <n v="0.6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7"/>
    <s v="C06-SR15-0.6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3"/>
    <s v="9519110359-3"/>
    <s v="No Priority"/>
    <s v="Released"/>
    <x v="0"/>
    <x v="0"/>
    <x v="6"/>
    <m/>
    <n v="2000"/>
    <s v="SOUTH"/>
    <s v="Andhra Pradesh"/>
    <m/>
    <m/>
    <s v="SITARAM IRON AND STEEL PVT LTD"/>
    <n v="3411571"/>
    <s v="CRCA SHEET TSBCRC SR15 0.500X900X2440"/>
    <s v="C06"/>
    <s v="TSBCRC"/>
    <s v="SR15"/>
    <n v="0.5"/>
    <n v="900"/>
    <n v="2440"/>
    <m/>
    <m/>
    <m/>
    <n v="2"/>
    <n v="3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at PLTCM"/>
    <x v="7"/>
    <s v="C06-SR15-0.5-900"/>
    <s v="B69-SH69-2.25-925"/>
    <x v="2"/>
    <x v="7"/>
    <x v="7"/>
    <x v="7"/>
    <x v="4"/>
    <x v="3"/>
    <x v="2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2"/>
    <s v="9519110359-2"/>
    <s v="No Priority"/>
    <s v="Released"/>
    <x v="0"/>
    <x v="0"/>
    <x v="6"/>
    <m/>
    <n v="2000"/>
    <s v="SOUTH"/>
    <s v="Andhra Pradesh"/>
    <m/>
    <m/>
    <s v="SITARAM IRON AND STEEL PVT LTD"/>
    <n v="3239559"/>
    <s v="CRCA SHEET TATCRC SR16 0.450X900X2440"/>
    <s v="C06"/>
    <s v="TATCRC"/>
    <s v="SR16"/>
    <n v="0.45"/>
    <n v="900"/>
    <n v="2440"/>
    <m/>
    <m/>
    <m/>
    <n v="2"/>
    <n v="3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at PLTCM"/>
    <x v="19"/>
    <s v="C06-SR16-0.45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1"/>
    <s v="9519110359-1"/>
    <s v="No Priority"/>
    <s v="Failed"/>
    <x v="0"/>
    <x v="0"/>
    <x v="6"/>
    <m/>
    <n v="2000"/>
    <s v="SOUTH"/>
    <s v="Andhra Pradesh"/>
    <m/>
    <m/>
    <s v="SITARAM IRON AND STEEL PVT LTD"/>
    <n v="3239535"/>
    <s v="CRCA SHEET TATCRC SR16 0.350X900X2440"/>
    <s v="C06"/>
    <s v="TATCRC"/>
    <s v="SR16"/>
    <n v="0.35"/>
    <n v="900"/>
    <n v="2440"/>
    <m/>
    <m/>
    <m/>
    <n v="2"/>
    <n v="3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at PLTCM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4756"/>
    <n v="3"/>
    <s v="9519114756-3"/>
    <s v="No Priority"/>
    <s v="Released"/>
    <x v="0"/>
    <x v="0"/>
    <x v="6"/>
    <m/>
    <n v="2000"/>
    <s v="SOUTH"/>
    <s v="Andhra Pradesh"/>
    <m/>
    <m/>
    <s v="SITARAM IRON AND STEEL PVT LTD"/>
    <n v="3240771"/>
    <s v="CRCA SHEET TSBCRC SR15 0.600X900X2440"/>
    <s v="C06"/>
    <s v="TSBCRC"/>
    <s v="SR15"/>
    <n v="0.6"/>
    <n v="900"/>
    <n v="2440"/>
    <m/>
    <m/>
    <m/>
    <n v="2"/>
    <n v="3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at PLTCM"/>
    <x v="7"/>
    <s v="C06-SR15-0.6-900"/>
    <s v="B69-SH69-2.5-925"/>
    <x v="2"/>
    <x v="7"/>
    <x v="7"/>
    <x v="7"/>
    <x v="7"/>
    <x v="3"/>
    <x v="30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4756"/>
    <n v="2"/>
    <s v="9519114756-2"/>
    <s v="No Priority"/>
    <s v="Released"/>
    <x v="0"/>
    <x v="0"/>
    <x v="6"/>
    <m/>
    <n v="2000"/>
    <s v="SOUTH"/>
    <s v="Andhra Pradesh"/>
    <m/>
    <m/>
    <s v="SITARAM IRON AND STEEL PVT LTD"/>
    <n v="3411571"/>
    <s v="CRCA SHEET TSBCRC SR15 0.500X900X2440"/>
    <s v="C06"/>
    <s v="TSBCRC"/>
    <s v="SR15"/>
    <n v="0.5"/>
    <n v="900"/>
    <n v="2440"/>
    <m/>
    <m/>
    <m/>
    <n v="2"/>
    <n v="3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at PLTCM"/>
    <x v="7"/>
    <s v="C06-SR15-0.5-900"/>
    <s v="B69-SH69-2.25-925"/>
    <x v="2"/>
    <x v="7"/>
    <x v="7"/>
    <x v="7"/>
    <x v="4"/>
    <x v="3"/>
    <x v="2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4756"/>
    <n v="1"/>
    <s v="9519114756-1"/>
    <s v="No Priority"/>
    <s v="Failed"/>
    <x v="0"/>
    <x v="0"/>
    <x v="6"/>
    <m/>
    <n v="2000"/>
    <s v="SOUTH"/>
    <s v="Andhra Pradesh"/>
    <m/>
    <m/>
    <s v="SITARAM IRON AND STEEL PVT LTD"/>
    <n v="3239535"/>
    <s v="CRCA SHEET TATCRC SR16 0.350X900X2440"/>
    <s v="C06"/>
    <s v="TATCRC"/>
    <s v="SR16"/>
    <n v="0.35"/>
    <n v="900"/>
    <n v="2440"/>
    <m/>
    <m/>
    <m/>
    <n v="2"/>
    <n v="3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at PLTCM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0347"/>
    <n v="2"/>
    <s v="9519080347-2"/>
    <s v="Oct'25"/>
    <s v="Failed"/>
    <x v="1"/>
    <x v="0"/>
    <x v="0"/>
    <m/>
    <n v="2000"/>
    <s v="NORTH"/>
    <s v="Haryana"/>
    <m/>
    <m/>
    <s v="BANSAL BROTHERS"/>
    <n v="185675"/>
    <s v="CRCA COIL-TATXXD-AU03-0.5X1250"/>
    <s v="C01"/>
    <s v="TATXXD"/>
    <s v="AU03"/>
    <n v="0.5"/>
    <n v="1250"/>
    <n v="0"/>
    <m/>
    <m/>
    <m/>
    <n v="10"/>
    <n v="30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1"/>
    <s v="Untrimmed edge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8"/>
    <s v="9519077538-8"/>
    <s v="Oct'25"/>
    <s v="Failed"/>
    <x v="1"/>
    <x v="0"/>
    <x v="6"/>
    <m/>
    <n v="2000"/>
    <s v="EAST"/>
    <s v="West Bengal"/>
    <m/>
    <m/>
    <s v="RAMESH COMPANY"/>
    <n v="3240765"/>
    <s v="CRCA SHEET TSBCRC SR15 0.500X1250X2500"/>
    <s v="C06"/>
    <s v="TSBCRC"/>
    <s v="SR15"/>
    <n v="0.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4"/>
    <s v="9519077538-4"/>
    <s v="Oct'25"/>
    <s v="Failed"/>
    <x v="1"/>
    <x v="0"/>
    <x v="6"/>
    <m/>
    <n v="2000"/>
    <s v="EAST"/>
    <s v="West Bengal"/>
    <m/>
    <m/>
    <s v="RAMESH COMPANY"/>
    <n v="3239548"/>
    <s v="CRCA SHEET TATCRC SR16 0.400X900X2500"/>
    <s v="C06"/>
    <s v="TATCRC"/>
    <s v="SR16"/>
    <n v="0.4"/>
    <n v="900"/>
    <n v="2500"/>
    <m/>
    <m/>
    <m/>
    <n v="2"/>
    <n v="3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( for CRC"/>
    <x v="7"/>
    <s v="C06-SR16-0.4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3"/>
    <s v="9519077538-3"/>
    <s v="Oct'25"/>
    <s v="Failed"/>
    <x v="1"/>
    <x v="0"/>
    <x v="6"/>
    <m/>
    <n v="2000"/>
    <s v="EAST"/>
    <s v="West Bengal"/>
    <m/>
    <m/>
    <s v="RAMESH COMPANY"/>
    <n v="3239543"/>
    <s v="CRCA SHEET TATCRC SR16 0.350X1250X2500"/>
    <s v="C06"/>
    <s v="TATCRC"/>
    <s v="SR16"/>
    <n v="0.3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6-0.35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2"/>
    <s v="9519077538-2"/>
    <s v="Oct'25"/>
    <s v="Failed"/>
    <x v="1"/>
    <x v="0"/>
    <x v="6"/>
    <m/>
    <n v="2000"/>
    <s v="EAST"/>
    <s v="West Bengal"/>
    <m/>
    <m/>
    <s v="RAMESH COMPANY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1"/>
    <s v="9519077538-1"/>
    <s v="Oct'25"/>
    <s v="Failed"/>
    <x v="1"/>
    <x v="0"/>
    <x v="6"/>
    <m/>
    <n v="2000"/>
    <s v="EAST"/>
    <s v="West Bengal"/>
    <m/>
    <m/>
    <s v="RAMESH COMPANY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( for CRC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8-22T00:00:00"/>
    <s v="ZBTO"/>
    <n v="9519038135"/>
    <n v="11"/>
    <s v="9519038135-11"/>
    <s v="No Priority"/>
    <s v="Failed"/>
    <x v="0"/>
    <x v="0"/>
    <x v="0"/>
    <m/>
    <n v="2000"/>
    <s v="SOUTH"/>
    <s v="Tamil Nadu"/>
    <m/>
    <m/>
    <s v="SRI BALAJI STEEL TRADERS"/>
    <n v="194544"/>
    <s v="CRSHEET TATXXD AU03 1.50X1250X2500"/>
    <s v="C06"/>
    <s v="TATXXD"/>
    <s v="AU03"/>
    <n v="1.5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only at RCL"/>
    <x v="0"/>
    <s v="C06-AU03-1.5-1250"/>
    <s v="367-SH08-4-1260"/>
    <x v="0"/>
    <x v="0"/>
    <x v="0"/>
    <x v="0"/>
    <x v="10"/>
    <x v="10"/>
    <x v="93"/>
    <m/>
    <m/>
    <m/>
    <m/>
    <m/>
    <m/>
    <m/>
    <m/>
    <m/>
    <m/>
    <m/>
    <m/>
    <m/>
    <m/>
    <m/>
    <m/>
    <m/>
    <m/>
    <m/>
    <m/>
  </r>
  <r>
    <n v="742"/>
    <d v="2025-08-22T00:00:00"/>
    <s v="ZBTO"/>
    <n v="9519038135"/>
    <n v="10"/>
    <s v="9519038135-10"/>
    <s v="No Priority"/>
    <s v="Failed"/>
    <x v="0"/>
    <x v="0"/>
    <x v="0"/>
    <m/>
    <n v="2000"/>
    <s v="SOUTH"/>
    <s v="Tamil Nadu"/>
    <m/>
    <m/>
    <s v="SRI BALAJI STEEL TRADERS"/>
    <n v="189866"/>
    <s v="CRSHEET TATXXD AU03 1.20X1250X2500"/>
    <s v="C06"/>
    <s v="TATXXD"/>
    <s v="AU03"/>
    <n v="1.2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only at RCL"/>
    <x v="0"/>
    <s v="C06-AU03-1.2-1250"/>
    <s v="367-SH08-3.2-1260"/>
    <x v="0"/>
    <x v="0"/>
    <x v="0"/>
    <x v="0"/>
    <x v="3"/>
    <x v="10"/>
    <x v="117"/>
    <m/>
    <m/>
    <m/>
    <m/>
    <m/>
    <m/>
    <m/>
    <m/>
    <m/>
    <m/>
    <m/>
    <m/>
    <m/>
    <m/>
    <m/>
    <m/>
    <m/>
    <m/>
    <m/>
    <m/>
  </r>
  <r>
    <n v="742"/>
    <d v="2025-08-22T00:00:00"/>
    <s v="ZBTO"/>
    <n v="9519038135"/>
    <n v="6"/>
    <s v="9519038135-6"/>
    <s v="Oct'25"/>
    <s v="Failed"/>
    <x v="1"/>
    <x v="0"/>
    <x v="0"/>
    <m/>
    <n v="2000"/>
    <s v="SOUTH"/>
    <s v="Tamil Nadu"/>
    <m/>
    <m/>
    <s v="SRI BALAJI STEEL TRADERS"/>
    <n v="2155233"/>
    <s v="CRCA COIL TATXXD AU03 2.5X1250"/>
    <s v="C01"/>
    <s v="TATXXD"/>
    <s v="AU03"/>
    <n v="2.5"/>
    <n v="1250"/>
    <n v="0"/>
    <m/>
    <m/>
    <m/>
    <n v="6"/>
    <n v="18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Untrimmed edge"/>
    <x v="0"/>
    <s v="C01-AU03-2.5-1250"/>
    <s v="367-SH08-5-1250"/>
    <x v="0"/>
    <x v="0"/>
    <x v="0"/>
    <x v="0"/>
    <x v="12"/>
    <x v="0"/>
    <x v="112"/>
    <m/>
    <m/>
    <m/>
    <m/>
    <m/>
    <m/>
    <m/>
    <m/>
    <m/>
    <m/>
    <m/>
    <m/>
    <m/>
    <m/>
    <m/>
    <m/>
    <m/>
    <m/>
    <m/>
    <m/>
  </r>
  <r>
    <n v="742"/>
    <d v="2025-08-22T00:00:00"/>
    <s v="ZBTO"/>
    <n v="9519038135"/>
    <n v="5"/>
    <s v="9519038135-5"/>
    <s v="Oct'25"/>
    <s v="Failed"/>
    <x v="1"/>
    <x v="0"/>
    <x v="0"/>
    <n v="3900"/>
    <n v="2000"/>
    <s v="SOUTH"/>
    <s v="Tamil Nadu"/>
    <m/>
    <m/>
    <s v="SRI BALAJI STEEL TRADERS"/>
    <n v="1884117"/>
    <s v="CRCA COIL-TATXXD-AU03-2X1250"/>
    <s v="C01"/>
    <s v="TATXXD"/>
    <s v="AU03"/>
    <n v="2"/>
    <n v="1250"/>
    <n v="0"/>
    <m/>
    <m/>
    <m/>
    <n v="6"/>
    <n v="18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Untrimmed edge"/>
    <x v="0"/>
    <s v="C01-AU03-2-1250"/>
    <s v="367-SH08-4.5-1250"/>
    <x v="0"/>
    <x v="0"/>
    <x v="0"/>
    <x v="0"/>
    <x v="9"/>
    <x v="0"/>
    <x v="122"/>
    <m/>
    <m/>
    <m/>
    <m/>
    <m/>
    <m/>
    <m/>
    <m/>
    <m/>
    <m/>
    <m/>
    <m/>
    <m/>
    <m/>
    <m/>
    <m/>
    <m/>
    <m/>
    <m/>
    <m/>
  </r>
  <r>
    <n v="742"/>
    <d v="2025-08-22T00:00:00"/>
    <s v="ZBTO"/>
    <n v="9519038135"/>
    <n v="4"/>
    <s v="9519038135-4"/>
    <s v="Oct'25"/>
    <s v="Failed"/>
    <x v="1"/>
    <x v="0"/>
    <x v="0"/>
    <m/>
    <n v="2000"/>
    <s v="SOUTH"/>
    <s v="Tamil Nadu"/>
    <m/>
    <m/>
    <s v="SRI BALAJI STEEL TRADERS"/>
    <n v="1804867"/>
    <s v="CRCA COIL-TATXXD-AU03-1.6X1250"/>
    <s v="C01"/>
    <s v="TATXXD"/>
    <s v="AU03"/>
    <n v="1.6"/>
    <n v="1250"/>
    <n v="0"/>
    <m/>
    <m/>
    <m/>
    <n v="6"/>
    <n v="18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1"/>
    <s v="Untrimmed edge"/>
    <x v="0"/>
    <s v="C01-AU03-1.6-1250"/>
    <s v="367-SH08-4-1250"/>
    <x v="0"/>
    <x v="0"/>
    <x v="0"/>
    <x v="0"/>
    <x v="10"/>
    <x v="0"/>
    <x v="74"/>
    <m/>
    <m/>
    <m/>
    <m/>
    <m/>
    <m/>
    <m/>
    <m/>
    <m/>
    <m/>
    <m/>
    <m/>
    <m/>
    <m/>
    <m/>
    <m/>
    <m/>
    <m/>
    <m/>
    <m/>
  </r>
  <r>
    <n v="742"/>
    <d v="2025-08-20T00:00:00"/>
    <s v="ZBTO"/>
    <n v="9519031476"/>
    <n v="8"/>
    <s v="9519031476-8"/>
    <s v="Oct'25"/>
    <s v="Failed"/>
    <x v="1"/>
    <x v="0"/>
    <x v="6"/>
    <m/>
    <n v="2000"/>
    <s v="EAST"/>
    <s v="Orissa"/>
    <m/>
    <m/>
    <s v="BHARTIA  DISTRIBUTORS PVT. LTD."/>
    <n v="3240820"/>
    <s v="CRCA SHEET TSBCRC SR15 0.900X1250X2500"/>
    <s v="C06"/>
    <s v="TSBCRC"/>
    <s v="SR15"/>
    <n v="0.9"/>
    <n v="1250"/>
    <n v="2500"/>
    <m/>
    <m/>
    <m/>
    <n v="2.5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3"/>
    <s v="C06-SR15-0.9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m/>
  </r>
  <r>
    <n v="742"/>
    <d v="2025-08-18T00:00:00"/>
    <s v="ZBTO"/>
    <n v="9519024914"/>
    <n v="2"/>
    <s v="9519024914-2"/>
    <s v="Oct'25"/>
    <s v="Failed"/>
    <x v="1"/>
    <x v="0"/>
    <x v="0"/>
    <m/>
    <n v="2000"/>
    <s v="SOUTH"/>
    <s v="Tamil Nadu"/>
    <m/>
    <m/>
    <s v="SRI BALAJI STEEL TRADERS"/>
    <n v="1884117"/>
    <s v="CRCA COIL-TATXXD-AU03-2X1250"/>
    <s v="C01"/>
    <s v="TATXXD"/>
    <s v="AU03"/>
    <n v="2"/>
    <n v="1250"/>
    <n v="0"/>
    <m/>
    <m/>
    <m/>
    <n v="6"/>
    <n v="18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Untrimmed edge"/>
    <x v="0"/>
    <s v="C01-AU03-2-1250"/>
    <s v="367-SH08-4.5-1250"/>
    <x v="0"/>
    <x v="0"/>
    <x v="0"/>
    <x v="0"/>
    <x v="9"/>
    <x v="0"/>
    <x v="122"/>
    <m/>
    <m/>
    <m/>
    <m/>
    <m/>
    <m/>
    <m/>
    <m/>
    <m/>
    <m/>
    <m/>
    <m/>
    <m/>
    <m/>
    <m/>
    <m/>
    <m/>
    <m/>
    <m/>
    <m/>
  </r>
  <r>
    <n v="742"/>
    <d v="2025-08-18T00:00:00"/>
    <s v="ZBTO"/>
    <n v="9519024914"/>
    <n v="1"/>
    <s v="9519024914-1"/>
    <s v="Oct'25"/>
    <s v="Failed"/>
    <x v="1"/>
    <x v="0"/>
    <x v="0"/>
    <m/>
    <n v="2000"/>
    <s v="SOUTH"/>
    <s v="Tamil Nadu"/>
    <m/>
    <m/>
    <s v="SRI BALAJI STEEL TRADERS"/>
    <n v="1804867"/>
    <s v="CRCA COIL-TATXXD-AU03-1.6X1250"/>
    <s v="C01"/>
    <s v="TATXXD"/>
    <s v="AU03"/>
    <n v="1.6"/>
    <n v="1250"/>
    <n v="0"/>
    <m/>
    <m/>
    <m/>
    <n v="6"/>
    <n v="18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1"/>
    <s v="Untrimmed edge"/>
    <x v="0"/>
    <s v="C01-AU03-1.6-1250"/>
    <s v="367-SH08-4-1250"/>
    <x v="0"/>
    <x v="0"/>
    <x v="0"/>
    <x v="0"/>
    <x v="10"/>
    <x v="0"/>
    <x v="74"/>
    <m/>
    <m/>
    <m/>
    <m/>
    <m/>
    <m/>
    <m/>
    <m/>
    <m/>
    <m/>
    <m/>
    <m/>
    <m/>
    <m/>
    <m/>
    <m/>
    <m/>
    <m/>
    <m/>
    <m/>
  </r>
  <r>
    <n v="742"/>
    <d v="2025-07-25T00:00:00"/>
    <s v="ZBTO"/>
    <n v="9518959858"/>
    <n v="3"/>
    <s v="9518959858-3"/>
    <s v="Oct'25"/>
    <s v="Failed"/>
    <x v="1"/>
    <x v="0"/>
    <x v="0"/>
    <m/>
    <n v="2000"/>
    <s v="NORTH"/>
    <e v="#N/A"/>
    <m/>
    <m/>
    <s v="FERRUS MART PRIVATE LIMITED"/>
    <n v="185675"/>
    <s v="CRCA COIL-TATXXD-AU03-0.5X1250"/>
    <s v="C01"/>
    <s v="TATXXD"/>
    <s v="AU03"/>
    <n v="0.5"/>
    <n v="1250"/>
    <n v="0"/>
    <m/>
    <m/>
    <m/>
    <n v="8"/>
    <n v="14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1"/>
    <s v="Untrimmed edge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m/>
  </r>
  <r>
    <n v="742"/>
    <d v="2025-09-11T00:00:00"/>
    <s v="ZBTO"/>
    <n v="9519096071"/>
    <n v="2"/>
    <s v="9519096071-2"/>
    <s v="Oct'25"/>
    <s v="Released"/>
    <x v="1"/>
    <x v="0"/>
    <x v="6"/>
    <m/>
    <n v="2000"/>
    <s v="EAST"/>
    <s v="Jharkhand"/>
    <m/>
    <m/>
    <s v="R. S. BOKARO METAL (P) LTD."/>
    <n v="2441002"/>
    <s v="CRCA SHEET TATCRC SR16 0.380X1250X2500"/>
    <s v="C06"/>
    <s v="TATCRC"/>
    <s v="SR16"/>
    <n v="0.38"/>
    <n v="1250"/>
    <n v="2500"/>
    <m/>
    <m/>
    <m/>
    <n v="2.5"/>
    <n v="3.2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only at RCL"/>
    <x v="7"/>
    <s v="C06-SR16-0.38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12"/>
    <s v="9519097437-12"/>
    <s v="Oct'25"/>
    <s v="Failed"/>
    <x v="1"/>
    <x v="0"/>
    <x v="6"/>
    <m/>
    <n v="2000"/>
    <s v="EAST"/>
    <s v="Jharkhand"/>
    <m/>
    <m/>
    <s v="SHREE BAJRANG STEEL UDYOG"/>
    <n v="3240792"/>
    <s v="CRCA SHEET TSBCRC SR15 0.600X1250X2500"/>
    <s v="C06"/>
    <s v="TSBCRC"/>
    <s v="SR15"/>
    <n v="0.6"/>
    <n v="1250"/>
    <n v="2500"/>
    <m/>
    <m/>
    <m/>
    <n v="2.5"/>
    <n v="3.2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only at RCL"/>
    <x v="7"/>
    <s v="C06-SR15-0.6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11"/>
    <s v="9519097437-11"/>
    <s v="No Priority"/>
    <s v="Failed"/>
    <x v="0"/>
    <x v="0"/>
    <x v="6"/>
    <m/>
    <n v="2000"/>
    <s v="EAST"/>
    <s v="Jharkhand"/>
    <m/>
    <m/>
    <s v="SHREE BAJRANG STEEL UDYOG"/>
    <n v="3240778"/>
    <s v="CRCA SHEET TSBCRC SR15 0.600X1000X2500"/>
    <s v="C06"/>
    <s v="TSBCRC"/>
    <s v="SR15"/>
    <n v="0.6"/>
    <n v="1000"/>
    <n v="2500"/>
    <m/>
    <m/>
    <m/>
    <n v="2.5"/>
    <n v="3.2"/>
    <n v="115"/>
    <n v="0"/>
    <n v="115"/>
    <n v="115"/>
    <n v="0"/>
    <m/>
    <m/>
    <m/>
    <m/>
    <m/>
    <m/>
    <m/>
    <m/>
    <m/>
    <m/>
    <m/>
    <m/>
    <m/>
    <m/>
    <m/>
    <m/>
    <m/>
    <m/>
    <n v="0"/>
    <n v="0"/>
    <n v="0"/>
    <n v="115"/>
    <m/>
    <m/>
    <m/>
    <m/>
    <m/>
    <m/>
    <m/>
    <x v="0"/>
    <s v="Trimming only at RCL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10"/>
    <s v="9519097437-10"/>
    <s v="Oct'25"/>
    <s v="Failed"/>
    <x v="1"/>
    <x v="0"/>
    <x v="6"/>
    <m/>
    <n v="2000"/>
    <s v="EAST"/>
    <s v="Jharkhand"/>
    <m/>
    <m/>
    <s v="SHREE BAJRANG STEEL UDYOG"/>
    <n v="3240765"/>
    <s v="CRCA SHEET TSBCRC SR15 0.500X1250X2500"/>
    <s v="C06"/>
    <s v="TSBCRC"/>
    <s v="SR15"/>
    <n v="0.5"/>
    <n v="1250"/>
    <n v="2500"/>
    <m/>
    <m/>
    <m/>
    <n v="2.5"/>
    <n v="3.2"/>
    <n v="116"/>
    <n v="0"/>
    <n v="116"/>
    <n v="116"/>
    <n v="0"/>
    <m/>
    <m/>
    <m/>
    <m/>
    <m/>
    <m/>
    <m/>
    <m/>
    <m/>
    <m/>
    <m/>
    <m/>
    <m/>
    <m/>
    <m/>
    <m/>
    <m/>
    <m/>
    <n v="0"/>
    <n v="0"/>
    <n v="0"/>
    <n v="116"/>
    <m/>
    <m/>
    <m/>
    <m/>
    <m/>
    <m/>
    <m/>
    <x v="0"/>
    <s v="Trimming only at RCL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9"/>
    <s v="9519097437-9"/>
    <s v="No Priority"/>
    <s v="Failed"/>
    <x v="0"/>
    <x v="0"/>
    <x v="6"/>
    <m/>
    <n v="2000"/>
    <s v="EAST"/>
    <s v="Jharkhand"/>
    <m/>
    <m/>
    <s v="SHREE BAJRANG STEEL UDYOG"/>
    <n v="3240760"/>
    <s v="CRCA SHEET TSBCRC SR15 0.500X1000X2500"/>
    <s v="C06"/>
    <s v="TSBCRC"/>
    <s v="SR15"/>
    <n v="0.5"/>
    <n v="1000"/>
    <n v="2500"/>
    <m/>
    <m/>
    <m/>
    <n v="2.5"/>
    <n v="3.2"/>
    <n v="92"/>
    <n v="0"/>
    <n v="92"/>
    <n v="92"/>
    <n v="0"/>
    <m/>
    <m/>
    <m/>
    <m/>
    <m/>
    <m/>
    <m/>
    <m/>
    <m/>
    <m/>
    <m/>
    <m/>
    <m/>
    <m/>
    <m/>
    <m/>
    <m/>
    <m/>
    <n v="0"/>
    <n v="0"/>
    <n v="0"/>
    <n v="92"/>
    <m/>
    <m/>
    <m/>
    <m/>
    <m/>
    <m/>
    <m/>
    <x v="0"/>
    <s v="Trimming only at RCL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8"/>
    <s v="9519097437-8"/>
    <s v="No Priority"/>
    <s v="Failed"/>
    <x v="0"/>
    <x v="0"/>
    <x v="6"/>
    <m/>
    <n v="2000"/>
    <s v="EAST"/>
    <s v="Jharkhand"/>
    <m/>
    <m/>
    <s v="SHREE BAJRANG STEEL UDYOG"/>
    <n v="3239567"/>
    <s v="CRCA SHEET TATCRC SR16 0.450X1000X2500"/>
    <s v="C06"/>
    <s v="TATCRC"/>
    <s v="SR16"/>
    <n v="0.45"/>
    <n v="1000"/>
    <n v="2500"/>
    <m/>
    <m/>
    <m/>
    <n v="2.5"/>
    <n v="3.2"/>
    <n v="115"/>
    <n v="0"/>
    <n v="115"/>
    <n v="115"/>
    <n v="0"/>
    <m/>
    <m/>
    <m/>
    <m/>
    <m/>
    <m/>
    <m/>
    <m/>
    <m/>
    <m/>
    <m/>
    <m/>
    <m/>
    <m/>
    <m/>
    <m/>
    <m/>
    <m/>
    <n v="0"/>
    <n v="0"/>
    <n v="0"/>
    <n v="115"/>
    <m/>
    <m/>
    <m/>
    <m/>
    <m/>
    <m/>
    <m/>
    <x v="0"/>
    <s v="Trimming only at RCL"/>
    <x v="7"/>
    <s v="C06-SR16-0.45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5"/>
    <s v="9519097437-5"/>
    <s v="Oct'25"/>
    <s v="Released"/>
    <x v="1"/>
    <x v="0"/>
    <x v="6"/>
    <m/>
    <n v="2000"/>
    <s v="EAST"/>
    <s v="Jharkhand"/>
    <m/>
    <m/>
    <s v="SHREE BAJRANG STEEL UDYOG"/>
    <n v="2441002"/>
    <s v="CRCA SHEET TATCRC SR16 0.380X1250X2500"/>
    <s v="C06"/>
    <s v="TATCRC"/>
    <s v="SR16"/>
    <n v="0.38"/>
    <n v="1250"/>
    <n v="2500"/>
    <m/>
    <m/>
    <m/>
    <n v="2.5"/>
    <n v="3.2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only at RCL"/>
    <x v="7"/>
    <s v="C06-SR16-0.38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4"/>
    <s v="9519097437-4"/>
    <s v="No Priority"/>
    <s v="Released"/>
    <x v="0"/>
    <x v="0"/>
    <x v="6"/>
    <m/>
    <n v="2000"/>
    <s v="EAST"/>
    <s v="Jharkhand"/>
    <m/>
    <m/>
    <s v="SHREE BAJRANG STEEL UDYOG"/>
    <n v="3239542"/>
    <s v="CRCA SHEET TATCRC SR16 0.350X1000X2500"/>
    <s v="C06"/>
    <s v="TATCRC"/>
    <s v="SR16"/>
    <n v="0.35"/>
    <n v="1000"/>
    <n v="2500"/>
    <m/>
    <m/>
    <m/>
    <n v="2.5"/>
    <n v="3.2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only at RCL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3"/>
    <s v="9519097437-3"/>
    <s v="No Priority"/>
    <s v="Released"/>
    <x v="0"/>
    <x v="0"/>
    <x v="6"/>
    <m/>
    <n v="2000"/>
    <s v="EAST"/>
    <s v="Jharkhand"/>
    <m/>
    <m/>
    <s v="SHREE BAJRANG STEEL UDYOG"/>
    <n v="3239536"/>
    <s v="CRCA SHEET TATCRC SR16 0.350X900X2500"/>
    <s v="C06"/>
    <s v="TATCRC"/>
    <s v="SR16"/>
    <n v="0.35"/>
    <n v="900"/>
    <n v="2500"/>
    <m/>
    <m/>
    <m/>
    <n v="2.5"/>
    <n v="3.2"/>
    <n v="126"/>
    <n v="0"/>
    <n v="126"/>
    <n v="126"/>
    <n v="0"/>
    <m/>
    <m/>
    <m/>
    <m/>
    <m/>
    <m/>
    <m/>
    <m/>
    <m/>
    <m/>
    <m/>
    <m/>
    <m/>
    <m/>
    <m/>
    <m/>
    <m/>
    <m/>
    <n v="0"/>
    <n v="0"/>
    <n v="0"/>
    <n v="126"/>
    <m/>
    <m/>
    <m/>
    <m/>
    <m/>
    <m/>
    <m/>
    <x v="0"/>
    <s v="Trimming only at RCL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2"/>
    <s v="9519097437-2"/>
    <s v="No Priority"/>
    <s v="Failed"/>
    <x v="0"/>
    <x v="0"/>
    <x v="6"/>
    <m/>
    <n v="2000"/>
    <s v="EAST"/>
    <s v="Jharkhand"/>
    <m/>
    <m/>
    <s v="SHREE BAJRANG STEEL UDYOG"/>
    <n v="2440959"/>
    <s v="CRCA SHEET TATCRC SR16 0.330X900X2500"/>
    <s v="C06"/>
    <s v="TATCRC"/>
    <s v="SR16"/>
    <n v="0.33"/>
    <n v="900"/>
    <n v="2500"/>
    <m/>
    <m/>
    <m/>
    <n v="2.5"/>
    <n v="3.2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only at RCL"/>
    <x v="7"/>
    <s v="C06-SR16-0.3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1"/>
    <s v="9519097437-1"/>
    <s v="No Priority"/>
    <s v="Failed"/>
    <x v="0"/>
    <x v="0"/>
    <x v="6"/>
    <m/>
    <n v="2000"/>
    <s v="EAST"/>
    <s v="Jharkhand"/>
    <m/>
    <m/>
    <s v="SHREE BAJRANG STEEL UDYOG"/>
    <n v="2427612"/>
    <s v="CRCA SHEET TATCRC SR16 0.300X900X2500"/>
    <s v="C06"/>
    <s v="TATCRC"/>
    <s v="SR16"/>
    <n v="0.3"/>
    <n v="900"/>
    <n v="2500"/>
    <m/>
    <m/>
    <m/>
    <n v="2.5"/>
    <n v="3.2"/>
    <n v="84"/>
    <n v="0"/>
    <n v="84"/>
    <n v="84"/>
    <n v="0"/>
    <m/>
    <m/>
    <m/>
    <m/>
    <m/>
    <m/>
    <m/>
    <m/>
    <m/>
    <m/>
    <m/>
    <m/>
    <m/>
    <m/>
    <m/>
    <m/>
    <m/>
    <m/>
    <n v="0"/>
    <n v="0"/>
    <n v="0"/>
    <n v="84"/>
    <m/>
    <m/>
    <m/>
    <m/>
    <m/>
    <m/>
    <m/>
    <x v="0"/>
    <s v="Trimming only at RCL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3"/>
    <d v="2025-09-12T00:00:00"/>
    <s v="ZBTO"/>
    <n v="9519099563"/>
    <n v="4"/>
    <s v="9519099563-4"/>
    <s v="No Priority"/>
    <s v="Released"/>
    <x v="1"/>
    <x v="3"/>
    <x v="7"/>
    <m/>
    <n v="2000"/>
    <s v="EAST"/>
    <s v="Jharkhand"/>
    <m/>
    <m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n v="0"/>
    <n v="105"/>
    <m/>
    <m/>
    <m/>
    <m/>
    <m/>
    <m/>
    <m/>
    <x v="0"/>
    <s v="Slitting/Trimming at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m/>
  </r>
  <r>
    <n v="743"/>
    <d v="2025-09-12T00:00:00"/>
    <s v="ZBTO"/>
    <n v="9519099563"/>
    <n v="3"/>
    <s v="9519099563-3"/>
    <s v="No Priority"/>
    <s v="Released"/>
    <x v="1"/>
    <x v="3"/>
    <x v="7"/>
    <m/>
    <n v="2000"/>
    <s v="EAST"/>
    <s v="Jharkhand"/>
    <m/>
    <m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26"/>
    <n v="0"/>
    <n v="126"/>
    <n v="126"/>
    <n v="0"/>
    <m/>
    <m/>
    <m/>
    <m/>
    <m/>
    <m/>
    <m/>
    <m/>
    <m/>
    <m/>
    <m/>
    <m/>
    <m/>
    <m/>
    <m/>
    <m/>
    <m/>
    <m/>
    <n v="0"/>
    <n v="0"/>
    <n v="0"/>
    <n v="126"/>
    <m/>
    <m/>
    <m/>
    <m/>
    <m/>
    <m/>
    <m/>
    <x v="0"/>
    <s v="Slitting/Trimming at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10"/>
    <s v="9519104694-10"/>
    <s v="No Priority"/>
    <s v="Released"/>
    <x v="1"/>
    <x v="3"/>
    <x v="13"/>
    <m/>
    <n v="2000"/>
    <s v="EAST"/>
    <s v="Jharkhand"/>
    <m/>
    <m/>
    <s v="R. S. BOKARO METAL (P) LTD."/>
    <n v="1300227"/>
    <s v="GP COIL SOFT-TATXGP-GLK1-0.6X1220"/>
    <s v="C02"/>
    <s v="TATXGP"/>
    <s v="GLK1"/>
    <n v="0.6"/>
    <n v="1220"/>
    <n v="0"/>
    <m/>
    <m/>
    <m/>
    <n v="4"/>
    <n v="12"/>
    <n v="56"/>
    <n v="0"/>
    <n v="56"/>
    <n v="56"/>
    <n v="0"/>
    <m/>
    <m/>
    <m/>
    <m/>
    <m/>
    <m/>
    <m/>
    <m/>
    <m/>
    <m/>
    <m/>
    <m/>
    <m/>
    <m/>
    <m/>
    <m/>
    <m/>
    <m/>
    <n v="0"/>
    <n v="0"/>
    <n v="0"/>
    <n v="56"/>
    <m/>
    <m/>
    <m/>
    <m/>
    <m/>
    <m/>
    <m/>
    <x v="0"/>
    <s v="Slitting/Trimming at"/>
    <x v="8"/>
    <s v="C02-GLK1-0.6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9"/>
    <s v="9519104694-9"/>
    <s v="No Priority"/>
    <s v="Failed"/>
    <x v="1"/>
    <x v="3"/>
    <x v="13"/>
    <m/>
    <n v="2000"/>
    <s v="EAST"/>
    <s v="Jharkhand"/>
    <m/>
    <m/>
    <s v="R. S. BOKARO METAL (P) LTD."/>
    <n v="1300228"/>
    <s v="GP COIL SOFT-TATXGP-GLK1-0.5X1220"/>
    <s v="C02"/>
    <s v="TATXGP"/>
    <s v="GLK1"/>
    <n v="0.5"/>
    <n v="1220"/>
    <n v="0"/>
    <m/>
    <m/>
    <m/>
    <n v="4"/>
    <n v="12"/>
    <n v="84"/>
    <n v="0"/>
    <n v="84"/>
    <n v="84"/>
    <n v="0"/>
    <m/>
    <m/>
    <m/>
    <m/>
    <m/>
    <m/>
    <m/>
    <m/>
    <m/>
    <m/>
    <m/>
    <m/>
    <m/>
    <m/>
    <m/>
    <m/>
    <m/>
    <m/>
    <n v="0"/>
    <n v="0"/>
    <n v="0"/>
    <n v="84"/>
    <m/>
    <m/>
    <m/>
    <m/>
    <m/>
    <m/>
    <m/>
    <x v="0"/>
    <s v="Slitting/Trimming at"/>
    <x v="8"/>
    <s v="C02-GLK1-0.5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8"/>
    <s v="9519104694-8"/>
    <s v="No Priority"/>
    <s v="Failed"/>
    <x v="1"/>
    <x v="3"/>
    <x v="13"/>
    <m/>
    <n v="2000"/>
    <s v="EAST"/>
    <s v="Jharkhand"/>
    <m/>
    <m/>
    <s v="R. S. BOKARO METAL (P) LTD."/>
    <n v="1854416"/>
    <s v="GP COIL SOFT-TATXGP-GLK1-0.45X1220"/>
    <s v="C02"/>
    <s v="TATXGP"/>
    <s v="GLK1"/>
    <n v="0.45"/>
    <n v="1220"/>
    <n v="0"/>
    <m/>
    <m/>
    <m/>
    <n v="4"/>
    <n v="12"/>
    <n v="28"/>
    <n v="0"/>
    <n v="28"/>
    <n v="28"/>
    <n v="0"/>
    <m/>
    <m/>
    <m/>
    <m/>
    <m/>
    <m/>
    <m/>
    <m/>
    <m/>
    <m/>
    <m/>
    <m/>
    <m/>
    <m/>
    <m/>
    <m/>
    <m/>
    <m/>
    <n v="0"/>
    <n v="0"/>
    <n v="0"/>
    <n v="28"/>
    <m/>
    <m/>
    <m/>
    <m/>
    <m/>
    <m/>
    <m/>
    <x v="0"/>
    <s v="Slitting/Trimming at"/>
    <x v="8"/>
    <s v="C02-GLK1-0.45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7"/>
    <s v="9519104694-7"/>
    <s v="No Priority"/>
    <s v="Released"/>
    <x v="1"/>
    <x v="3"/>
    <x v="13"/>
    <m/>
    <n v="2000"/>
    <s v="EAST"/>
    <s v="Jharkhand"/>
    <m/>
    <m/>
    <s v="R. S. BOKARO METAL (P) LTD."/>
    <n v="1300229"/>
    <s v="GP COIL SOFT-TATXGP-GLK1-0.4X1220"/>
    <s v="C02"/>
    <s v="TATXGP"/>
    <s v="GLK1"/>
    <n v="0.4"/>
    <n v="1220"/>
    <n v="0"/>
    <m/>
    <m/>
    <m/>
    <n v="4"/>
    <n v="12"/>
    <n v="28"/>
    <n v="0"/>
    <n v="28"/>
    <n v="28"/>
    <n v="0"/>
    <m/>
    <m/>
    <m/>
    <m/>
    <m/>
    <m/>
    <m/>
    <m/>
    <m/>
    <m/>
    <m/>
    <m/>
    <m/>
    <m/>
    <m/>
    <m/>
    <m/>
    <m/>
    <n v="0"/>
    <n v="0"/>
    <n v="0"/>
    <n v="28"/>
    <m/>
    <m/>
    <m/>
    <m/>
    <m/>
    <m/>
    <m/>
    <x v="0"/>
    <s v="Slitting/Trimming at"/>
    <x v="8"/>
    <s v="C02-GLK1-0.4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2"/>
    <s v="9519104694-2"/>
    <s v="No Priority"/>
    <s v="Failed"/>
    <x v="1"/>
    <x v="3"/>
    <x v="7"/>
    <m/>
    <n v="2000"/>
    <s v="EAST"/>
    <s v="Jharkhand"/>
    <m/>
    <m/>
    <s v="R. S. BOKARO METAL (P) LTD."/>
    <n v="1191955"/>
    <s v="GP COIL SOFT-TATXGP-GK09-0.3X900"/>
    <s v="C02"/>
    <s v="TATXGP"/>
    <s v="GK09"/>
    <n v="0.3"/>
    <n v="900"/>
    <n v="0"/>
    <m/>
    <m/>
    <m/>
    <n v="4"/>
    <n v="12"/>
    <n v="168"/>
    <n v="0"/>
    <n v="168"/>
    <n v="168"/>
    <n v="0"/>
    <m/>
    <m/>
    <m/>
    <m/>
    <m/>
    <m/>
    <m/>
    <m/>
    <m/>
    <m/>
    <m/>
    <m/>
    <m/>
    <m/>
    <m/>
    <m/>
    <m/>
    <m/>
    <n v="0"/>
    <n v="0"/>
    <n v="0"/>
    <n v="168"/>
    <m/>
    <m/>
    <m/>
    <m/>
    <m/>
    <m/>
    <m/>
    <x v="0"/>
    <s v="Slitting/Trimming at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1"/>
    <s v="9519104694-1"/>
    <s v="No Priority"/>
    <s v="Released"/>
    <x v="1"/>
    <x v="3"/>
    <x v="7"/>
    <m/>
    <n v="2000"/>
    <s v="EAST"/>
    <s v="Jharkhand"/>
    <m/>
    <m/>
    <s v="R. S. BOKARO METAL (P) LTD."/>
    <n v="1851065"/>
    <s v="GP COIL SOFT-TATXGP-GK09-0.25X900"/>
    <s v="C02"/>
    <s v="TATXGP"/>
    <s v="GK09"/>
    <n v="0.25"/>
    <n v="900"/>
    <n v="0"/>
    <m/>
    <m/>
    <m/>
    <n v="4"/>
    <n v="12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Slitting/Trimming at"/>
    <x v="8"/>
    <s v="C02-GK09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6"/>
    <s v="9519109787-16"/>
    <s v="Oct'25"/>
    <s v="Failed"/>
    <x v="1"/>
    <x v="0"/>
    <x v="6"/>
    <m/>
    <n v="2000"/>
    <s v="EAST"/>
    <s v="Bihar"/>
    <m/>
    <m/>
    <s v="BMW VENTURES LIMITED"/>
    <n v="3240786"/>
    <s v="CRCA SHEET TSBCRC SR15 0.700X1250X2500"/>
    <s v="C06"/>
    <s v="TSBCRC"/>
    <s v="SR15"/>
    <n v="0.7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0.7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5"/>
    <s v="9519109787-15"/>
    <s v="No Priority"/>
    <s v="Failed"/>
    <x v="0"/>
    <x v="0"/>
    <x v="6"/>
    <m/>
    <n v="2000"/>
    <s v="EAST"/>
    <s v="Bihar"/>
    <m/>
    <m/>
    <s v="BMW VENTURES LIMITED"/>
    <n v="3240760"/>
    <s v="CRCA SHEET TSBCRC SR15 0.500X1000X2500"/>
    <s v="C06"/>
    <s v="TSBCRC"/>
    <s v="SR15"/>
    <n v="0.5"/>
    <n v="1000"/>
    <n v="2500"/>
    <m/>
    <m/>
    <m/>
    <n v="2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4"/>
    <s v="9519109787-14"/>
    <s v="No Priority"/>
    <s v="Failed"/>
    <x v="0"/>
    <x v="0"/>
    <x v="6"/>
    <m/>
    <n v="2000"/>
    <s v="EAST"/>
    <s v="Bihar"/>
    <m/>
    <m/>
    <s v="BMW VENTURES LIMITED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6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3"/>
    <s v="9519109787-13"/>
    <s v="No Priority"/>
    <s v="Failed"/>
    <x v="0"/>
    <x v="0"/>
    <x v="6"/>
    <m/>
    <n v="2000"/>
    <s v="EAST"/>
    <s v="Bihar"/>
    <m/>
    <m/>
    <s v="BMW VENTURES LIMITED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2"/>
    <s v="9519109787-12"/>
    <s v="Oct'25"/>
    <s v="Released"/>
    <x v="1"/>
    <x v="0"/>
    <x v="6"/>
    <m/>
    <n v="2000"/>
    <s v="EAST"/>
    <s v="Bihar"/>
    <m/>
    <m/>
    <s v="BMW VENTURES LIMITED"/>
    <n v="3240849"/>
    <s v="CRCA SHEET TSBCRC SR15 1.200X1250X2500"/>
    <s v="C06"/>
    <s v="TSBCRC"/>
    <s v="SR15"/>
    <n v="1.2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1.2-1250"/>
    <s v="367-SH69-3.2-1260"/>
    <x v="0"/>
    <x v="7"/>
    <x v="7"/>
    <x v="7"/>
    <x v="3"/>
    <x v="10"/>
    <x v="50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1"/>
    <s v="9519109787-11"/>
    <s v="Oct'25"/>
    <s v="Failed"/>
    <x v="1"/>
    <x v="0"/>
    <x v="6"/>
    <m/>
    <n v="2000"/>
    <s v="EAST"/>
    <s v="Bihar"/>
    <m/>
    <m/>
    <s v="BMW VENTURES LIMITED"/>
    <n v="3240842"/>
    <s v="CRCA SHEET TSBCRC SR15 1X1250X2500"/>
    <s v="C06"/>
    <s v="TSBCRC"/>
    <s v="SR15"/>
    <n v="1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1-1250"/>
    <s v="367-SH69-3.2-1260"/>
    <x v="0"/>
    <x v="7"/>
    <x v="7"/>
    <x v="7"/>
    <x v="3"/>
    <x v="10"/>
    <x v="50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0"/>
    <s v="9519109787-10"/>
    <s v="No Priority"/>
    <s v="Failed"/>
    <x v="0"/>
    <x v="0"/>
    <x v="6"/>
    <m/>
    <n v="2000"/>
    <s v="EAST"/>
    <s v="Bihar"/>
    <m/>
    <m/>
    <s v="BMW VENTURES LIMITED"/>
    <n v="3240785"/>
    <s v="CRCA SHEET TSBCRC SR15 0.600X1250X2500"/>
    <s v="C06"/>
    <s v="TSBCRC"/>
    <s v="SR15"/>
    <n v="0.6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0.6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9"/>
    <s v="9519109787-9"/>
    <s v="No Priority"/>
    <s v="Failed"/>
    <x v="0"/>
    <x v="0"/>
    <x v="6"/>
    <m/>
    <n v="2000"/>
    <s v="EAST"/>
    <s v="Bihar"/>
    <m/>
    <m/>
    <s v="BMW VENTURES LIMITED"/>
    <n v="3240778"/>
    <s v="CRCA SHEET TSBCRC SR15 0.600X1000X2500"/>
    <s v="C06"/>
    <s v="TSBCRC"/>
    <s v="SR15"/>
    <n v="0.6"/>
    <n v="1000"/>
    <n v="2500"/>
    <m/>
    <m/>
    <m/>
    <n v="2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8"/>
    <s v="9519109787-8"/>
    <s v="No Priority"/>
    <s v="Failed"/>
    <x v="0"/>
    <x v="0"/>
    <x v="6"/>
    <m/>
    <n v="2000"/>
    <s v="EAST"/>
    <s v="Bihar"/>
    <m/>
    <m/>
    <s v="BMW VENTURES LIMITED"/>
    <n v="3240765"/>
    <s v="CRCA SHEET TSBCRC SR15 0.500X1250X2500"/>
    <s v="C06"/>
    <s v="TSBCRC"/>
    <s v="SR15"/>
    <n v="0.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7"/>
    <s v="9519109787-7"/>
    <s v="No Priority"/>
    <s v="Released"/>
    <x v="0"/>
    <x v="0"/>
    <x v="6"/>
    <m/>
    <n v="2000"/>
    <s v="EAST"/>
    <s v="Bihar"/>
    <m/>
    <m/>
    <s v="BMW VENTURES LIMITED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6"/>
    <s v="9519109787-6"/>
    <s v="No Priority"/>
    <s v="Failed"/>
    <x v="0"/>
    <x v="0"/>
    <x v="6"/>
    <m/>
    <n v="2000"/>
    <s v="EAST"/>
    <s v="Bihar"/>
    <m/>
    <m/>
    <s v="BMW VENTURES LIMITED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5"/>
    <s v="9519109787-5"/>
    <s v="No Priority"/>
    <s v="Failed"/>
    <x v="0"/>
    <x v="0"/>
    <x v="6"/>
    <m/>
    <n v="2000"/>
    <s v="EAST"/>
    <s v="Bihar"/>
    <m/>
    <m/>
    <s v="BMW VENTURES LIMITED"/>
    <n v="2441002"/>
    <s v="CRCA SHEET TATCRC SR16 0.380X1250X2500"/>
    <s v="C06"/>
    <s v="TATCRC"/>
    <s v="SR16"/>
    <n v="0.38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6-0.38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3"/>
    <s v="9519109787-3"/>
    <s v="No Priority"/>
    <s v="Failed"/>
    <x v="0"/>
    <x v="0"/>
    <x v="6"/>
    <m/>
    <n v="2000"/>
    <s v="EAST"/>
    <s v="Bihar"/>
    <m/>
    <m/>
    <s v="BMW VENTURES LIMITED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( for CRC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2"/>
    <s v="9519109787-2"/>
    <s v="No Priority"/>
    <s v="Failed"/>
    <x v="0"/>
    <x v="0"/>
    <x v="6"/>
    <m/>
    <n v="2000"/>
    <s v="EAST"/>
    <s v="Bihar"/>
    <m/>
    <m/>
    <s v="BMW VENTURES LIMITED"/>
    <n v="2440959"/>
    <s v="CRCA SHEET TATCRC SR16 0.330X900X2500"/>
    <s v="C06"/>
    <s v="TATCRC"/>
    <s v="SR16"/>
    <n v="0.33"/>
    <n v="900"/>
    <n v="2500"/>
    <m/>
    <m/>
    <m/>
    <n v="2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( for CRC"/>
    <x v="7"/>
    <s v="C06-SR16-0.3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"/>
    <s v="9519109787-1"/>
    <s v="No Priority"/>
    <s v="Failed"/>
    <x v="0"/>
    <x v="0"/>
    <x v="6"/>
    <m/>
    <n v="2000"/>
    <s v="EAST"/>
    <s v="Bihar"/>
    <m/>
    <m/>
    <s v="BMW VENTURES LIMITED"/>
    <n v="3239408"/>
    <s v="CRCA SHEET TATCRC SR16 0.300X900X2500"/>
    <s v="C06"/>
    <s v="TATCRC"/>
    <s v="SR16"/>
    <n v="0.3"/>
    <n v="900"/>
    <n v="2500"/>
    <m/>
    <m/>
    <m/>
    <n v="2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( for CRC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6"/>
    <s v="9519105467-16"/>
    <s v="Oct'25"/>
    <s v="Failed"/>
    <x v="1"/>
    <x v="0"/>
    <x v="6"/>
    <m/>
    <n v="2000"/>
    <s v="EAST"/>
    <s v="Bihar"/>
    <m/>
    <m/>
    <s v="BMW VENTURES LIMITED"/>
    <n v="3240786"/>
    <s v="CRCA SHEET TSBCRC SR15 0.700X1250X2500"/>
    <s v="C06"/>
    <s v="TSBCRC"/>
    <s v="SR15"/>
    <n v="0.7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0.7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5"/>
    <s v="9519105467-15"/>
    <s v="No Priority"/>
    <s v="Failed"/>
    <x v="0"/>
    <x v="0"/>
    <x v="6"/>
    <m/>
    <n v="2000"/>
    <s v="EAST"/>
    <s v="Bihar"/>
    <m/>
    <m/>
    <s v="BMW VENTURES LIMITED"/>
    <n v="3240760"/>
    <s v="CRCA SHEET TSBCRC SR15 0.500X1000X2500"/>
    <s v="C06"/>
    <s v="TSBCRC"/>
    <s v="SR15"/>
    <n v="0.5"/>
    <n v="1000"/>
    <n v="2500"/>
    <m/>
    <m/>
    <m/>
    <n v="2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4"/>
    <s v="9519105467-14"/>
    <s v="No Priority"/>
    <s v="Released"/>
    <x v="0"/>
    <x v="0"/>
    <x v="6"/>
    <m/>
    <n v="2000"/>
    <s v="EAST"/>
    <s v="Bihar"/>
    <m/>
    <m/>
    <s v="BMW VENTURES LIMITED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6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3"/>
    <s v="9519105467-13"/>
    <s v="No Priority"/>
    <s v="Failed"/>
    <x v="0"/>
    <x v="0"/>
    <x v="6"/>
    <m/>
    <n v="2000"/>
    <s v="EAST"/>
    <s v="Bihar"/>
    <m/>
    <m/>
    <s v="BMW VENTURES LIMITED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6-0.35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2"/>
    <s v="9519105467-12"/>
    <s v="No Priority"/>
    <s v="Released"/>
    <x v="0"/>
    <x v="0"/>
    <x v="6"/>
    <m/>
    <n v="2000"/>
    <s v="EAST"/>
    <s v="Bihar"/>
    <m/>
    <m/>
    <s v="BMW VENTURES LIMITED"/>
    <n v="3240849"/>
    <s v="CRCA SHEET TSBCRC SR15 1.200X1250X2500"/>
    <s v="C06"/>
    <s v="TSBCRC"/>
    <s v="SR15"/>
    <n v="1.2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1.2-1250"/>
    <s v="367-SH69-3.2-1260"/>
    <x v="0"/>
    <x v="7"/>
    <x v="7"/>
    <x v="7"/>
    <x v="3"/>
    <x v="10"/>
    <x v="50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1"/>
    <s v="9519105467-11"/>
    <s v="Oct'25"/>
    <s v="Failed"/>
    <x v="1"/>
    <x v="0"/>
    <x v="6"/>
    <m/>
    <n v="2000"/>
    <s v="EAST"/>
    <s v="Bihar"/>
    <m/>
    <m/>
    <s v="BMW VENTURES LIMITED"/>
    <n v="3240842"/>
    <s v="CRCA SHEET TSBCRC SR15 1X1250X2500"/>
    <s v="C06"/>
    <s v="TSBCRC"/>
    <s v="SR15"/>
    <n v="1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1-1250"/>
    <s v="367-SH69-3.2-1260"/>
    <x v="0"/>
    <x v="7"/>
    <x v="7"/>
    <x v="7"/>
    <x v="3"/>
    <x v="10"/>
    <x v="50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0"/>
    <s v="9519105467-10"/>
    <s v="Oct'25"/>
    <s v="Released"/>
    <x v="1"/>
    <x v="0"/>
    <x v="6"/>
    <m/>
    <n v="2000"/>
    <s v="EAST"/>
    <s v="Bihar"/>
    <m/>
    <m/>
    <s v="BMW VENTURES LIMITED"/>
    <n v="3240785"/>
    <s v="CRCA SHEET TSBCRC SR15 0.600X1250X2500"/>
    <s v="C06"/>
    <s v="TSBCRC"/>
    <s v="SR15"/>
    <n v="0.6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0.6-1250"/>
    <s v="367-SH69-2.5-1260"/>
    <x v="0"/>
    <x v="7"/>
    <x v="7"/>
    <x v="7"/>
    <x v="7"/>
    <x v="10"/>
    <x v="45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9"/>
    <s v="9519105467-9"/>
    <s v="No Priority"/>
    <s v="Released"/>
    <x v="0"/>
    <x v="0"/>
    <x v="6"/>
    <m/>
    <n v="2000"/>
    <s v="EAST"/>
    <s v="Bihar"/>
    <m/>
    <m/>
    <s v="BMW VENTURES LIMITED"/>
    <n v="3240778"/>
    <s v="CRCA SHEET TSBCRC SR15 0.600X1000X2500"/>
    <s v="C06"/>
    <s v="TSBCRC"/>
    <s v="SR15"/>
    <n v="0.6"/>
    <n v="1000"/>
    <n v="2500"/>
    <m/>
    <m/>
    <m/>
    <n v="2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8"/>
    <s v="9519105467-8"/>
    <s v="No Priority"/>
    <s v="Failed"/>
    <x v="0"/>
    <x v="0"/>
    <x v="6"/>
    <m/>
    <n v="2000"/>
    <s v="EAST"/>
    <s v="Bihar"/>
    <m/>
    <m/>
    <s v="BMW VENTURES LIMITED"/>
    <n v="3240765"/>
    <s v="CRCA SHEET TSBCRC SR15 0.500X1250X2500"/>
    <s v="C06"/>
    <s v="TSBCRC"/>
    <s v="SR15"/>
    <n v="0.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7"/>
    <s v="9519105467-7"/>
    <s v="Oct'25"/>
    <s v="Released"/>
    <x v="1"/>
    <x v="0"/>
    <x v="6"/>
    <m/>
    <n v="2000"/>
    <s v="EAST"/>
    <s v="Bihar"/>
    <m/>
    <m/>
    <s v="BMW VENTURES LIMITED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6"/>
    <s v="9519105467-6"/>
    <s v="No Priority"/>
    <s v="Released"/>
    <x v="0"/>
    <x v="0"/>
    <x v="6"/>
    <m/>
    <n v="2000"/>
    <s v="EAST"/>
    <s v="Bihar"/>
    <m/>
    <m/>
    <s v="BMW VENTURES LIMITED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5"/>
    <s v="9519105467-5"/>
    <s v="No Priority"/>
    <s v="Failed"/>
    <x v="0"/>
    <x v="0"/>
    <x v="6"/>
    <m/>
    <n v="2000"/>
    <s v="EAST"/>
    <s v="Bihar"/>
    <m/>
    <m/>
    <s v="BMW VENTURES LIMITED"/>
    <n v="2441002"/>
    <s v="CRCA SHEET TATCRC SR16 0.380X1250X2500"/>
    <s v="C06"/>
    <s v="TATCRC"/>
    <s v="SR16"/>
    <n v="0.38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6-0.38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3"/>
    <s v="9519105467-3"/>
    <s v="No Priority"/>
    <s v="Failed"/>
    <x v="0"/>
    <x v="0"/>
    <x v="6"/>
    <m/>
    <n v="2000"/>
    <s v="EAST"/>
    <s v="Bihar"/>
    <m/>
    <m/>
    <s v="BMW VENTURES LIMITED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( for CRC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2"/>
    <s v="9519105467-2"/>
    <s v="No Priority"/>
    <s v="Failed"/>
    <x v="0"/>
    <x v="0"/>
    <x v="6"/>
    <m/>
    <n v="2000"/>
    <s v="EAST"/>
    <s v="Bihar"/>
    <m/>
    <m/>
    <s v="BMW VENTURES LIMITED"/>
    <n v="2440959"/>
    <s v="CRCA SHEET TATCRC SR16 0.330X900X2500"/>
    <s v="C06"/>
    <s v="TATCRC"/>
    <s v="SR16"/>
    <n v="0.33"/>
    <n v="900"/>
    <n v="2500"/>
    <m/>
    <m/>
    <m/>
    <n v="2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( for CRC"/>
    <x v="7"/>
    <s v="C06-SR16-0.3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"/>
    <s v="9519105467-1"/>
    <s v="No Priority"/>
    <s v="Failed"/>
    <x v="0"/>
    <x v="0"/>
    <x v="6"/>
    <m/>
    <n v="2000"/>
    <s v="EAST"/>
    <s v="Bihar"/>
    <m/>
    <m/>
    <s v="BMW VENTURES LIMITED"/>
    <n v="3239408"/>
    <s v="CRCA SHEET TATCRC SR16 0.300X900X2500"/>
    <s v="C06"/>
    <s v="TATCRC"/>
    <s v="SR16"/>
    <n v="0.3"/>
    <n v="900"/>
    <n v="2500"/>
    <m/>
    <m/>
    <m/>
    <n v="2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( for CRC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5"/>
    <s v="9519088655-15"/>
    <s v="Oct'25"/>
    <s v="Failed"/>
    <x v="1"/>
    <x v="0"/>
    <x v="6"/>
    <m/>
    <n v="2000"/>
    <s v="EAST"/>
    <s v="Orissa"/>
    <m/>
    <m/>
    <s v="BHARTIA  DISTRIBUTORS PVT. LTD."/>
    <n v="3240857"/>
    <s v="CRCA SHEET TSBCRC SR15 2X1250X2500"/>
    <s v="C06"/>
    <s v="TSBCRC"/>
    <s v="SR15"/>
    <n v="2"/>
    <n v="1250"/>
    <n v="2500"/>
    <m/>
    <m/>
    <m/>
    <n v="2.5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2-1250"/>
    <s v="367-SH69-4.5-1260"/>
    <x v="0"/>
    <x v="7"/>
    <x v="7"/>
    <x v="7"/>
    <x v="9"/>
    <x v="10"/>
    <x v="48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4"/>
    <s v="9519088655-14"/>
    <s v="Oct'25"/>
    <s v="Failed"/>
    <x v="1"/>
    <x v="0"/>
    <x v="6"/>
    <m/>
    <n v="2000"/>
    <s v="EAST"/>
    <s v="Orissa"/>
    <m/>
    <m/>
    <s v="BHARTIA  DISTRIBUTORS PVT. LTD."/>
    <n v="3240863"/>
    <s v="CRCA SHEET TSBCRC SR15 1.500X1250X2500"/>
    <s v="C06"/>
    <s v="TSBCRC"/>
    <s v="SR15"/>
    <n v="1.5"/>
    <n v="1250"/>
    <n v="2500"/>
    <m/>
    <m/>
    <m/>
    <n v="2.5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( for CRC"/>
    <x v="3"/>
    <s v="C06-SR15-1.5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2"/>
    <s v="9519088655-12"/>
    <s v="Oct'25"/>
    <s v="Failed"/>
    <x v="1"/>
    <x v="0"/>
    <x v="6"/>
    <m/>
    <n v="2000"/>
    <s v="EAST"/>
    <s v="Orissa"/>
    <m/>
    <m/>
    <s v="BHARTIA  DISTRIBUTORS PVT. LTD."/>
    <n v="3240842"/>
    <s v="CRCA SHEET TSBCRC SR15 1X1250X2500"/>
    <s v="C06"/>
    <s v="TSBCRC"/>
    <s v="SR15"/>
    <n v="1"/>
    <n v="1250"/>
    <n v="2500"/>
    <m/>
    <m/>
    <m/>
    <n v="2.5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( for CRC"/>
    <x v="7"/>
    <s v="C06-SR15-1-1250"/>
    <s v="367-SH69-3.2-1260"/>
    <x v="0"/>
    <x v="7"/>
    <x v="7"/>
    <x v="7"/>
    <x v="3"/>
    <x v="10"/>
    <x v="50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1"/>
    <s v="9519088655-11"/>
    <s v="Oct'25"/>
    <s v="Failed"/>
    <x v="1"/>
    <x v="0"/>
    <x v="6"/>
    <m/>
    <n v="2000"/>
    <s v="EAST"/>
    <s v="Orissa"/>
    <m/>
    <m/>
    <s v="BHARTIA  DISTRIBUTORS PVT. LTD."/>
    <n v="3240820"/>
    <s v="CRCA SHEET TSBCRC SR15 0.900X1250X2500"/>
    <s v="C06"/>
    <s v="TSBCRC"/>
    <s v="SR15"/>
    <n v="0.9"/>
    <n v="1250"/>
    <n v="2500"/>
    <m/>
    <m/>
    <m/>
    <n v="2.5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3"/>
    <s v="C06-SR15-0.9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0"/>
    <s v="9519088655-10"/>
    <s v="Oct'25"/>
    <s v="Failed"/>
    <x v="1"/>
    <x v="0"/>
    <x v="6"/>
    <m/>
    <n v="2000"/>
    <s v="EAST"/>
    <s v="Orissa"/>
    <m/>
    <m/>
    <s v="BHARTIA  DISTRIBUTORS PVT. LTD."/>
    <n v="3240808"/>
    <s v="CRCA SHEET TSBCRC SR15 0.800X1250X2500"/>
    <s v="C06"/>
    <s v="TSBCRC"/>
    <s v="SR15"/>
    <n v="0.8"/>
    <n v="1250"/>
    <n v="2500"/>
    <m/>
    <m/>
    <m/>
    <n v="2.5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5-0.8-1250"/>
    <s v="367-SH69-2.8-1260"/>
    <x v="0"/>
    <x v="7"/>
    <x v="7"/>
    <x v="7"/>
    <x v="0"/>
    <x v="10"/>
    <x v="59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8"/>
    <s v="9519088655-8"/>
    <s v="Oct'25"/>
    <s v="Failed"/>
    <x v="1"/>
    <x v="0"/>
    <x v="6"/>
    <m/>
    <n v="2000"/>
    <s v="EAST"/>
    <s v="Orissa"/>
    <m/>
    <m/>
    <s v="BHARTIA  DISTRIBUTORS PVT. LTD."/>
    <n v="3240790"/>
    <s v="CRCA SHEET TSBCRC SR15 0.700X1000X2500"/>
    <s v="C06"/>
    <s v="TSBCRC"/>
    <s v="SR15"/>
    <n v="0.7"/>
    <n v="1000"/>
    <n v="2500"/>
    <m/>
    <m/>
    <m/>
    <n v="2.5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only at RCL"/>
    <x v="7"/>
    <s v="C06-SR15-0.7-1000"/>
    <s v="B69-SH69-2.8-1025"/>
    <x v="2"/>
    <x v="7"/>
    <x v="7"/>
    <x v="7"/>
    <x v="0"/>
    <x v="7"/>
    <x v="51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7"/>
    <s v="9519088655-7"/>
    <s v="Oct'25"/>
    <s v="Failed"/>
    <x v="1"/>
    <x v="0"/>
    <x v="6"/>
    <m/>
    <n v="2000"/>
    <s v="EAST"/>
    <s v="Orissa"/>
    <m/>
    <m/>
    <s v="BHARTIA  DISTRIBUTORS PVT. LTD."/>
    <n v="3240778"/>
    <s v="CRCA SHEET TSBCRC SR15 0.600X1000X2500"/>
    <s v="C06"/>
    <s v="TSBCRC"/>
    <s v="SR15"/>
    <n v="0.6"/>
    <n v="1000"/>
    <n v="2500"/>
    <m/>
    <m/>
    <m/>
    <n v="2.5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5-0.6-1000"/>
    <s v="B69-SH69-2.5-1025"/>
    <x v="2"/>
    <x v="7"/>
    <x v="7"/>
    <x v="7"/>
    <x v="7"/>
    <x v="7"/>
    <x v="28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6"/>
    <s v="9519088655-6"/>
    <s v="Oct'25"/>
    <s v="Failed"/>
    <x v="1"/>
    <x v="0"/>
    <x v="6"/>
    <m/>
    <n v="2000"/>
    <s v="EAST"/>
    <s v="Orissa"/>
    <m/>
    <m/>
    <s v="BHARTIA  DISTRIBUTORS PVT. LTD."/>
    <n v="3240760"/>
    <s v="CRCA SHEET TSBCRC SR15 0.500X1000X2500"/>
    <s v="C06"/>
    <s v="TSBCRC"/>
    <s v="SR15"/>
    <n v="0.5"/>
    <n v="1000"/>
    <n v="2500"/>
    <m/>
    <m/>
    <m/>
    <n v="2.5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5"/>
    <s v="9519088655-5"/>
    <s v="Oct'25"/>
    <s v="Failed"/>
    <x v="1"/>
    <x v="0"/>
    <x v="6"/>
    <m/>
    <n v="2000"/>
    <s v="EAST"/>
    <s v="Orissa"/>
    <m/>
    <m/>
    <s v="BHARTIA  DISTRIBUTORS PVT. LTD."/>
    <n v="3239568"/>
    <s v="CRCA SHEET TATCRC SR16 0.450X1250X2500"/>
    <s v="C06"/>
    <s v="TATCRC"/>
    <s v="SR16"/>
    <n v="0.45"/>
    <n v="1250"/>
    <n v="2500"/>
    <m/>
    <m/>
    <m/>
    <n v="2.5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"/>
    <s v="9519088655-1"/>
    <s v="Oct'25"/>
    <s v="Failed"/>
    <x v="1"/>
    <x v="0"/>
    <x v="6"/>
    <m/>
    <n v="2000"/>
    <s v="EAST"/>
    <s v="Orissa"/>
    <m/>
    <m/>
    <s v="BHARTIA  DISTRIBUTORS PVT. LTD."/>
    <n v="3239536"/>
    <s v="CRCA SHEET TATCRC SR16 0.350X900X2500"/>
    <s v="C06"/>
    <s v="TATCRC"/>
    <s v="SR16"/>
    <n v="0.35"/>
    <n v="900"/>
    <n v="2500"/>
    <m/>
    <m/>
    <m/>
    <n v="2.5"/>
    <n v="3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( for CRC"/>
    <x v="7"/>
    <s v="C06-SR16-0.35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8913"/>
    <n v="3"/>
    <s v="9519098913-3"/>
    <s v="Oct'25"/>
    <s v="Released"/>
    <x v="1"/>
    <x v="0"/>
    <x v="15"/>
    <n v="500"/>
    <n v="2000"/>
    <s v="NORTH"/>
    <s v="Haryana"/>
    <m/>
    <m/>
    <s v="FERRO STEEL SOLUTIONS"/>
    <n v="2420508"/>
    <s v="CRCA COIL TATXXD AH03 0.500X1250"/>
    <s v="C01"/>
    <s v="TATXXD"/>
    <s v="AH03"/>
    <n v="0.5"/>
    <n v="1250"/>
    <n v="0"/>
    <m/>
    <m/>
    <m/>
    <n v="9"/>
    <n v="27"/>
    <n v="174"/>
    <n v="0"/>
    <n v="174"/>
    <n v="174"/>
    <n v="0"/>
    <m/>
    <m/>
    <m/>
    <m/>
    <m/>
    <m/>
    <m/>
    <m/>
    <m/>
    <m/>
    <m/>
    <m/>
    <m/>
    <m/>
    <m/>
    <m/>
    <m/>
    <m/>
    <n v="0"/>
    <n v="0"/>
    <n v="0"/>
    <n v="174"/>
    <m/>
    <m/>
    <m/>
    <m/>
    <m/>
    <m/>
    <m/>
    <x v="0"/>
    <s v="Untrimmed edge"/>
    <x v="23"/>
    <s v="C01-AH03-0.5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8913"/>
    <n v="2"/>
    <s v="9519098913-2"/>
    <s v="Oct'25"/>
    <s v="Released"/>
    <x v="1"/>
    <x v="0"/>
    <x v="15"/>
    <m/>
    <n v="2000"/>
    <s v="NORTH"/>
    <s v="Haryana"/>
    <m/>
    <m/>
    <s v="FERRO STEEL SOLUTIONS"/>
    <n v="2420508"/>
    <s v="CRCA COIL TATXXD AH03 0.500X1250"/>
    <s v="C01"/>
    <s v="TATXXD"/>
    <s v="AH03"/>
    <n v="0.5"/>
    <n v="1250"/>
    <n v="0"/>
    <m/>
    <m/>
    <m/>
    <n v="9"/>
    <n v="27"/>
    <n v="174"/>
    <n v="0"/>
    <n v="174"/>
    <n v="174"/>
    <n v="0"/>
    <m/>
    <m/>
    <m/>
    <m/>
    <m/>
    <m/>
    <m/>
    <m/>
    <m/>
    <m/>
    <m/>
    <m/>
    <m/>
    <m/>
    <m/>
    <m/>
    <m/>
    <m/>
    <n v="0"/>
    <n v="0"/>
    <n v="0"/>
    <n v="174"/>
    <m/>
    <m/>
    <m/>
    <m/>
    <m/>
    <m/>
    <m/>
    <x v="0"/>
    <s v="Untrimmed edge"/>
    <x v="23"/>
    <s v="C01-AH03-0.5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m/>
  </r>
  <r>
    <n v="742"/>
    <d v="2025-08-02T00:00:00"/>
    <s v="ZBTO"/>
    <n v="9518988277"/>
    <n v="2"/>
    <s v="9518988277-2"/>
    <s v="No Priority"/>
    <s v="Failed"/>
    <x v="0"/>
    <x v="0"/>
    <x v="0"/>
    <m/>
    <n v="2000"/>
    <s v="NORTH"/>
    <s v="Delhi"/>
    <m/>
    <m/>
    <s v="SWASTIK STEEL PROCESSOR LLP"/>
    <n v="1804772"/>
    <s v="CRCA COIL TATXXD AU03 0.4X1250"/>
    <s v="C01"/>
    <s v="TATXXD"/>
    <s v="AU03"/>
    <n v="0.4"/>
    <n v="1250"/>
    <n v="0"/>
    <m/>
    <m/>
    <m/>
    <n v="15"/>
    <n v="29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Untrimmed edge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m/>
  </r>
  <r>
    <n v="742"/>
    <d v="2025-09-10T00:00:00"/>
    <s v="ZBTO"/>
    <n v="9519093099"/>
    <n v="2"/>
    <s v="9519093099-2"/>
    <s v="No Priority"/>
    <s v="Failed"/>
    <x v="0"/>
    <x v="0"/>
    <x v="0"/>
    <m/>
    <n v="2000"/>
    <s v="NORTH"/>
    <s v="Delhi"/>
    <m/>
    <m/>
    <s v="SWASTIK STEEL PROCESSOR LLP"/>
    <n v="1804772"/>
    <s v="CRCA COIL TATXXD AU03 0.4X1250"/>
    <s v="C01"/>
    <s v="TATXXD"/>
    <s v="AU03"/>
    <n v="0.4"/>
    <n v="1250"/>
    <n v="0"/>
    <m/>
    <m/>
    <m/>
    <n v="15"/>
    <n v="29"/>
    <n v="116"/>
    <n v="0"/>
    <n v="116"/>
    <n v="116"/>
    <n v="0"/>
    <m/>
    <m/>
    <m/>
    <m/>
    <m/>
    <m/>
    <m/>
    <m/>
    <m/>
    <m/>
    <m/>
    <m/>
    <m/>
    <m/>
    <m/>
    <m/>
    <m/>
    <m/>
    <n v="0"/>
    <n v="0"/>
    <n v="0"/>
    <n v="116"/>
    <m/>
    <m/>
    <m/>
    <m/>
    <m/>
    <m/>
    <m/>
    <x v="0"/>
    <s v="Untrimmed edge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m/>
  </r>
  <r>
    <n v="742"/>
    <d v="2025-09-10T00:00:00"/>
    <s v="ZBTO"/>
    <n v="9519093099"/>
    <n v="1"/>
    <s v="9519093099-1"/>
    <s v="No Priority"/>
    <s v="Failed"/>
    <x v="0"/>
    <x v="0"/>
    <x v="0"/>
    <m/>
    <n v="2000"/>
    <s v="NORTH"/>
    <s v="Delhi"/>
    <m/>
    <m/>
    <s v="SWASTIK STEEL PROCESSOR LLP"/>
    <n v="1800890"/>
    <s v="CRCA COIL-TATXXD-AU03-0.35X1250"/>
    <s v="C01"/>
    <s v="TATXXD"/>
    <s v="AU03"/>
    <n v="0.35"/>
    <n v="1250"/>
    <n v="0"/>
    <m/>
    <m/>
    <m/>
    <n v="15"/>
    <n v="29"/>
    <n v="116"/>
    <n v="0"/>
    <n v="116"/>
    <n v="116"/>
    <n v="0"/>
    <m/>
    <m/>
    <m/>
    <m/>
    <m/>
    <m/>
    <m/>
    <m/>
    <m/>
    <m/>
    <m/>
    <m/>
    <m/>
    <m/>
    <m/>
    <m/>
    <m/>
    <m/>
    <n v="0"/>
    <n v="0"/>
    <n v="0"/>
    <n v="116"/>
    <m/>
    <m/>
    <m/>
    <m/>
    <m/>
    <m/>
    <m/>
    <x v="0"/>
    <s v="Untrimmed edge"/>
    <x v="0"/>
    <s v="C01-AU03-0.35-1250"/>
    <s v="367-SH08-2-1275"/>
    <x v="0"/>
    <x v="0"/>
    <x v="0"/>
    <x v="0"/>
    <x v="2"/>
    <x v="11"/>
    <x v="19"/>
    <m/>
    <m/>
    <m/>
    <m/>
    <m/>
    <m/>
    <m/>
    <m/>
    <m/>
    <m/>
    <m/>
    <m/>
    <m/>
    <m/>
    <m/>
    <m/>
    <m/>
    <m/>
    <m/>
    <m/>
  </r>
  <r>
    <n v="742"/>
    <d v="2025-09-02T00:00:00"/>
    <s v="ZBTO"/>
    <n v="9519073326"/>
    <n v="2"/>
    <s v="9519073326-2"/>
    <s v="No Priority"/>
    <s v="Failed"/>
    <x v="0"/>
    <x v="0"/>
    <x v="0"/>
    <m/>
    <n v="2000"/>
    <s v="NORTH"/>
    <s v="Delhi"/>
    <m/>
    <m/>
    <s v="SWASTIK STEEL PROCESSOR LLP"/>
    <n v="185664"/>
    <s v="CR COIL-ICF  DQ TATXXD AU03 0.40 X 1250"/>
    <s v="C01"/>
    <s v="TATXXD"/>
    <s v="AU03"/>
    <n v="0.4"/>
    <n v="1250"/>
    <n v="0"/>
    <m/>
    <m/>
    <m/>
    <n v="15"/>
    <n v="29"/>
    <n v="116"/>
    <n v="0"/>
    <n v="116"/>
    <n v="116"/>
    <n v="0"/>
    <m/>
    <m/>
    <m/>
    <m/>
    <m/>
    <m/>
    <m/>
    <m/>
    <m/>
    <m/>
    <m/>
    <m/>
    <m/>
    <m/>
    <m/>
    <m/>
    <m/>
    <m/>
    <n v="0"/>
    <n v="0"/>
    <n v="0"/>
    <n v="116"/>
    <m/>
    <m/>
    <m/>
    <m/>
    <m/>
    <m/>
    <m/>
    <x v="0"/>
    <s v="Untrimmed edge"/>
    <x v="0"/>
    <s v="C01-AU03-0.4-1250"/>
    <s v="367-SH08-2-1250"/>
    <x v="0"/>
    <x v="0"/>
    <x v="0"/>
    <x v="0"/>
    <x v="2"/>
    <x v="0"/>
    <x v="20"/>
    <m/>
    <m/>
    <m/>
    <m/>
    <m/>
    <m/>
    <m/>
    <m/>
    <m/>
    <m/>
    <m/>
    <m/>
    <m/>
    <m/>
    <m/>
    <m/>
    <m/>
    <m/>
    <m/>
    <m/>
  </r>
  <r>
    <n v="742"/>
    <d v="2025-09-17T00:00:00"/>
    <s v="ZBTO"/>
    <n v="9519112644"/>
    <n v="1"/>
    <s v="9519112644-1"/>
    <s v="Oct'25"/>
    <s v="Failed"/>
    <x v="1"/>
    <x v="0"/>
    <x v="6"/>
    <m/>
    <n v="2000"/>
    <s v="EAST"/>
    <s v="Chhattisgarh"/>
    <m/>
    <m/>
    <s v="PASA ASSOCIATES PRIVATE LIMITED"/>
    <n v="3239548"/>
    <s v="CRCA SHEET TATCRC SR16 0.400X900X2500"/>
    <s v="C06"/>
    <s v="TATCRC"/>
    <s v="SR16"/>
    <n v="0.4"/>
    <n v="900"/>
    <n v="2500"/>
    <m/>
    <m/>
    <m/>
    <n v="2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only at RCL"/>
    <x v="7"/>
    <s v="C06-SR16-0.4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856"/>
    <n v="3"/>
    <s v="9519109856-3"/>
    <s v="Oct'25"/>
    <s v="Failed"/>
    <x v="1"/>
    <x v="0"/>
    <x v="6"/>
    <m/>
    <n v="2000"/>
    <s v="EAST"/>
    <s v="West Bengal"/>
    <m/>
    <m/>
    <s v="SAGAR STEELS"/>
    <n v="3839276"/>
    <s v="CRCA SHEET TATCRC SR16 0.300X1250X2500"/>
    <s v="C06"/>
    <s v="TATCRC"/>
    <s v="SR16"/>
    <n v="0.3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( for CRC"/>
    <x v="3"/>
    <s v="C06-SR16-0.3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856"/>
    <n v="2"/>
    <s v="9519109856-2"/>
    <s v="Oct'25"/>
    <s v="Failed"/>
    <x v="1"/>
    <x v="0"/>
    <x v="6"/>
    <m/>
    <n v="2000"/>
    <s v="EAST"/>
    <s v="West Bengal"/>
    <m/>
    <m/>
    <s v="SAGAR STEELS"/>
    <n v="3239533"/>
    <s v="CRCA SHEET TATCRC SR16 0.300X1000X2500"/>
    <s v="C06"/>
    <s v="TATCRC"/>
    <s v="SR16"/>
    <n v="0.3"/>
    <n v="1000"/>
    <n v="2500"/>
    <m/>
    <m/>
    <m/>
    <n v="2"/>
    <n v="3"/>
    <n v="23"/>
    <n v="0"/>
    <n v="23"/>
    <n v="23"/>
    <n v="0"/>
    <m/>
    <m/>
    <m/>
    <m/>
    <m/>
    <m/>
    <m/>
    <m/>
    <m/>
    <m/>
    <m/>
    <m/>
    <m/>
    <m/>
    <m/>
    <m/>
    <m/>
    <m/>
    <n v="0"/>
    <n v="0"/>
    <n v="0"/>
    <n v="23"/>
    <m/>
    <m/>
    <m/>
    <m/>
    <m/>
    <m/>
    <m/>
    <x v="0"/>
    <s v="Trimming ( for CRC"/>
    <x v="7"/>
    <s v="C06-SR16-0.3-1000"/>
    <s v="B69-SH67-2-1025"/>
    <x v="2"/>
    <x v="6"/>
    <x v="6"/>
    <x v="6"/>
    <x v="2"/>
    <x v="7"/>
    <x v="33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856"/>
    <n v="1"/>
    <s v="9519109856-1"/>
    <s v="Oct'25"/>
    <s v="Failed"/>
    <x v="1"/>
    <x v="0"/>
    <x v="6"/>
    <n v="5000"/>
    <n v="2000"/>
    <s v="EAST"/>
    <s v="West Bengal"/>
    <m/>
    <m/>
    <s v="SAGAR STEELS"/>
    <n v="3903882"/>
    <s v="CRCA SHEET TATCRC SR16 0.250X1250X2500"/>
    <s v="C06"/>
    <s v="TATCRC"/>
    <s v="SR16"/>
    <n v="0.2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3"/>
    <s v="C06-SR16-0.25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3"/>
    <d v="2025-09-13T00:00:00"/>
    <s v="ZBTO"/>
    <n v="9519101481"/>
    <n v="3"/>
    <s v="9519101481-3"/>
    <s v="No Priority"/>
    <s v="Released"/>
    <x v="1"/>
    <x v="1"/>
    <x v="4"/>
    <m/>
    <n v="1000"/>
    <s v="EAST"/>
    <s v="Jharkhand"/>
    <m/>
    <m/>
    <s v="TATA BLUESCOPE STEEL PRIVATE LIMITE"/>
    <n v="1881988"/>
    <s v="GL C YS550 H6GL 0.50BMT(0.55TCT)X1220"/>
    <s v="B04"/>
    <s v="Y550GL"/>
    <s v="H6GL"/>
    <n v="0.5"/>
    <n v="1220"/>
    <n v="0"/>
    <m/>
    <m/>
    <m/>
    <n v="3"/>
    <n v="5"/>
    <n v="28"/>
    <n v="0"/>
    <n v="28"/>
    <n v="28"/>
    <n v="0"/>
    <m/>
    <m/>
    <m/>
    <m/>
    <m/>
    <m/>
    <m/>
    <m/>
    <m/>
    <m/>
    <m/>
    <m/>
    <m/>
    <m/>
    <m/>
    <m/>
    <m/>
    <m/>
    <n v="0"/>
    <n v="0"/>
    <n v="0"/>
    <n v="28"/>
    <m/>
    <m/>
    <m/>
    <m/>
    <m/>
    <m/>
    <m/>
    <x v="0"/>
    <s v="Trimming only at RCL"/>
    <x v="16"/>
    <s v="B04-H6GL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3"/>
    <d v="2025-09-13T00:00:00"/>
    <s v="ZBTO"/>
    <n v="9519101481"/>
    <n v="2"/>
    <s v="9519101481-2"/>
    <s v="No Priority"/>
    <s v="Released"/>
    <x v="1"/>
    <x v="1"/>
    <x v="4"/>
    <m/>
    <n v="1000"/>
    <s v="EAST"/>
    <s v="Jharkhand"/>
    <m/>
    <m/>
    <s v="TATA BLUESCOPE STEEL PRIVATE LIMITE"/>
    <n v="1882004"/>
    <s v="GL C YS550 H6GL 0.55BMT(0.60TCT)X1220"/>
    <s v="B04"/>
    <s v="Y550GL"/>
    <s v="H6GL"/>
    <n v="0.55000000000000004"/>
    <n v="1220"/>
    <n v="0"/>
    <m/>
    <m/>
    <m/>
    <n v="3"/>
    <n v="5"/>
    <n v="56"/>
    <n v="0"/>
    <n v="56"/>
    <n v="56"/>
    <n v="0"/>
    <m/>
    <m/>
    <m/>
    <m/>
    <m/>
    <m/>
    <m/>
    <m/>
    <m/>
    <m/>
    <m/>
    <m/>
    <m/>
    <m/>
    <m/>
    <m/>
    <m/>
    <m/>
    <n v="0"/>
    <n v="0"/>
    <n v="0"/>
    <n v="56"/>
    <m/>
    <m/>
    <m/>
    <m/>
    <m/>
    <m/>
    <m/>
    <x v="0"/>
    <s v="Trimming only at RCL"/>
    <x v="16"/>
    <s v="B04-H6GL-0.5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3"/>
    <d v="2025-09-13T00:00:00"/>
    <s v="ZBTO"/>
    <n v="9519101481"/>
    <n v="1"/>
    <s v="9519101481-1"/>
    <s v="No Priority"/>
    <s v="Released"/>
    <x v="1"/>
    <x v="1"/>
    <x v="4"/>
    <m/>
    <n v="1000"/>
    <s v="EAST"/>
    <s v="Jharkhand"/>
    <m/>
    <m/>
    <s v="TATA BLUESCOPE STEEL PRIVATE LIMITE"/>
    <n v="1881969"/>
    <s v="GL C YS550 H6GL 0.45BMT(0.50TCT)X1220"/>
    <s v="B04"/>
    <s v="Y550GL"/>
    <s v="H6GL"/>
    <n v="0.45"/>
    <n v="1220"/>
    <n v="0"/>
    <m/>
    <m/>
    <m/>
    <n v="3"/>
    <n v="5"/>
    <n v="196"/>
    <n v="0"/>
    <n v="196"/>
    <n v="196"/>
    <n v="0"/>
    <m/>
    <m/>
    <m/>
    <m/>
    <m/>
    <m/>
    <m/>
    <m/>
    <m/>
    <m/>
    <m/>
    <m/>
    <m/>
    <m/>
    <m/>
    <m/>
    <m/>
    <m/>
    <n v="0"/>
    <n v="0"/>
    <n v="0"/>
    <n v="196"/>
    <m/>
    <m/>
    <m/>
    <m/>
    <m/>
    <m/>
    <m/>
    <x v="0"/>
    <s v="Trimming only at RCL"/>
    <x v="3"/>
    <s v="B04-H6GL-0.4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m/>
  </r>
  <r>
    <n v="742"/>
    <d v="2025-09-11T00:00:00"/>
    <s v="ZBTO"/>
    <n v="9519094552"/>
    <n v="5"/>
    <s v="9519094552-5"/>
    <s v="Oct'25"/>
    <s v="Failed"/>
    <x v="1"/>
    <x v="0"/>
    <x v="6"/>
    <m/>
    <n v="2000"/>
    <s v="EAST"/>
    <s v="West Bengal"/>
    <m/>
    <m/>
    <s v="SAGAR STEELS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11T00:00:00"/>
    <s v="ZBTO"/>
    <n v="9519094552"/>
    <n v="1"/>
    <s v="9519094552-1"/>
    <s v="Oct'25"/>
    <s v="Failed"/>
    <x v="1"/>
    <x v="0"/>
    <x v="6"/>
    <m/>
    <n v="2000"/>
    <s v="EAST"/>
    <s v="West Bengal"/>
    <m/>
    <m/>
    <s v="SAGAR STEELS"/>
    <n v="2427612"/>
    <s v="CRCA SHEET TATCRC SR16 0.300X900X2500"/>
    <s v="C06"/>
    <s v="TATCRC"/>
    <s v="SR16"/>
    <n v="0.3"/>
    <n v="900"/>
    <n v="2500"/>
    <m/>
    <m/>
    <m/>
    <n v="2"/>
    <n v="3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( for CRC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9-10T00:00:00"/>
    <s v="ZBTO"/>
    <n v="9519091498"/>
    <n v="1"/>
    <s v="9519091498-1"/>
    <s v="No Priority"/>
    <s v="Failed"/>
    <x v="0"/>
    <x v="2"/>
    <x v="3"/>
    <m/>
    <n v="2000"/>
    <s v="SOUTH"/>
    <s v="Karnataka"/>
    <m/>
    <m/>
    <s v="DURGA STEEL INDUSTRIES"/>
    <n v="1252834"/>
    <s v="HR COILS-PO IS 1079 HR2 3.0X1250"/>
    <n v="768"/>
    <s v="THR099"/>
    <s v="HR99"/>
    <n v="3"/>
    <n v="1250"/>
    <n v="0"/>
    <m/>
    <m/>
    <m/>
    <n v="15"/>
    <n v="29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Untrimmed edge"/>
    <x v="12"/>
    <s v="768-HR99-3-1250"/>
    <s v="367-HR99-3-1250"/>
    <x v="0"/>
    <x v="9"/>
    <x v="9"/>
    <x v="9"/>
    <x v="1"/>
    <x v="0"/>
    <x v="40"/>
    <m/>
    <m/>
    <m/>
    <m/>
    <m/>
    <m/>
    <m/>
    <m/>
    <m/>
    <m/>
    <m/>
    <m/>
    <m/>
    <m/>
    <m/>
    <m/>
    <m/>
    <m/>
    <m/>
    <m/>
  </r>
  <r>
    <n v="743"/>
    <d v="2025-09-09T00:00:00"/>
    <s v="ZBTO"/>
    <n v="9519090038"/>
    <n v="4"/>
    <s v="9519090038-4"/>
    <s v="No Priority"/>
    <s v="Failed"/>
    <x v="1"/>
    <x v="3"/>
    <x v="7"/>
    <m/>
    <n v="2000"/>
    <s v="EAST"/>
    <s v="Orissa"/>
    <m/>
    <m/>
    <s v="BHARTIA  DISTRIBUTORS PVT. LTD."/>
    <n v="3484329"/>
    <s v="GP SH SOFT TATXGP GK09 0.600X900X2500"/>
    <s v="B11"/>
    <s v="TATXGP"/>
    <s v="GK09"/>
    <n v="0.6"/>
    <n v="900"/>
    <n v="2500"/>
    <m/>
    <m/>
    <m/>
    <n v="2.8"/>
    <n v="3"/>
    <n v="30"/>
    <n v="0"/>
    <n v="30"/>
    <n v="30"/>
    <n v="0"/>
    <m/>
    <m/>
    <m/>
    <m/>
    <m/>
    <m/>
    <m/>
    <m/>
    <m/>
    <m/>
    <m/>
    <m/>
    <m/>
    <m/>
    <m/>
    <m/>
    <m/>
    <m/>
    <n v="0"/>
    <n v="0"/>
    <n v="0"/>
    <n v="30"/>
    <m/>
    <m/>
    <m/>
    <m/>
    <m/>
    <m/>
    <m/>
    <x v="0"/>
    <s v="Trimming only at RCL"/>
    <x v="3"/>
    <s v="B11-GK09-0.6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3"/>
    <d v="2025-09-09T00:00:00"/>
    <s v="ZBTO"/>
    <n v="9519090038"/>
    <n v="3"/>
    <s v="9519090038-3"/>
    <s v="No Priority"/>
    <s v="Failed"/>
    <x v="1"/>
    <x v="3"/>
    <x v="7"/>
    <m/>
    <n v="2000"/>
    <s v="EAST"/>
    <s v="Orissa"/>
    <m/>
    <m/>
    <s v="BHARTIA  DISTRIBUTORS PVT. LTD."/>
    <n v="3484328"/>
    <s v="GP SH SOFT TATXGP GK09 0.500X900X2500"/>
    <s v="B11"/>
    <s v="TATXGP"/>
    <s v="GK09"/>
    <n v="0.5"/>
    <n v="900"/>
    <n v="2500"/>
    <m/>
    <m/>
    <m/>
    <n v="2.8"/>
    <n v="3"/>
    <n v="30"/>
    <n v="0"/>
    <n v="30"/>
    <n v="30"/>
    <n v="0"/>
    <m/>
    <m/>
    <m/>
    <m/>
    <m/>
    <m/>
    <m/>
    <m/>
    <m/>
    <m/>
    <m/>
    <m/>
    <m/>
    <m/>
    <m/>
    <m/>
    <m/>
    <m/>
    <n v="0"/>
    <n v="0"/>
    <n v="0"/>
    <n v="30"/>
    <m/>
    <m/>
    <m/>
    <m/>
    <m/>
    <m/>
    <m/>
    <x v="0"/>
    <s v="Trimming only at RCL"/>
    <x v="8"/>
    <s v="B11-GK09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m/>
  </r>
  <r>
    <n v="743"/>
    <d v="2025-09-09T00:00:00"/>
    <s v="ZBTO"/>
    <n v="9519090038"/>
    <n v="2"/>
    <s v="9519090038-2"/>
    <s v="No Priority"/>
    <s v="Failed"/>
    <x v="1"/>
    <x v="3"/>
    <x v="7"/>
    <m/>
    <n v="2000"/>
    <s v="EAST"/>
    <s v="Orissa"/>
    <m/>
    <m/>
    <s v="BHARTIA  DISTRIBUTORS PVT. LTD."/>
    <n v="3484326"/>
    <s v="GP SH SOFT TATXGP GK09 0.400X900X2500"/>
    <s v="B11"/>
    <s v="TATXGP"/>
    <s v="GK09"/>
    <n v="0.4"/>
    <n v="900"/>
    <n v="2500"/>
    <m/>
    <m/>
    <m/>
    <n v="2.8"/>
    <n v="3"/>
    <n v="90"/>
    <n v="0"/>
    <n v="90"/>
    <n v="90"/>
    <n v="0"/>
    <m/>
    <m/>
    <m/>
    <m/>
    <m/>
    <m/>
    <m/>
    <m/>
    <m/>
    <m/>
    <m/>
    <m/>
    <m/>
    <m/>
    <m/>
    <m/>
    <m/>
    <m/>
    <n v="0"/>
    <n v="0"/>
    <n v="0"/>
    <n v="90"/>
    <m/>
    <m/>
    <m/>
    <m/>
    <m/>
    <m/>
    <m/>
    <x v="0"/>
    <s v="Trimming only at RCL"/>
    <x v="8"/>
    <s v="B11-GK09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967"/>
    <n v="2"/>
    <s v="9519088967-2"/>
    <s v="No Priority"/>
    <s v="Failed"/>
    <x v="0"/>
    <x v="0"/>
    <x v="6"/>
    <m/>
    <n v="2000"/>
    <s v="WEST"/>
    <s v="Maharashtra"/>
    <m/>
    <m/>
    <s v="TEJRAM RAMNIWAS AGARWAL"/>
    <n v="3239568"/>
    <s v="CRCA SHEET TATCRC SR16 0.450X1250X2500"/>
    <s v="C06"/>
    <s v="TATCRC"/>
    <s v="SR16"/>
    <n v="0.45"/>
    <n v="1250"/>
    <n v="2500"/>
    <m/>
    <m/>
    <m/>
    <n v="2.5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at PLTCM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967"/>
    <n v="1"/>
    <s v="9519088967-1"/>
    <s v="No Priority"/>
    <s v="Failed"/>
    <x v="0"/>
    <x v="0"/>
    <x v="6"/>
    <m/>
    <n v="2000"/>
    <s v="WEST"/>
    <s v="Maharashtra"/>
    <m/>
    <m/>
    <s v="TEJRAM RAMNIWAS AGARWAL"/>
    <n v="3239557"/>
    <s v="CRCA SHEET TATCRC SR16 0.400X1250X2500"/>
    <s v="C06"/>
    <s v="TATCRC"/>
    <s v="SR16"/>
    <n v="0.4"/>
    <n v="1250"/>
    <n v="2500"/>
    <m/>
    <m/>
    <m/>
    <n v="2.5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at PLTC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3"/>
    <d v="2025-09-08T00:00:00"/>
    <s v="ZBTO"/>
    <n v="9519086148"/>
    <n v="4"/>
    <s v="9519086148-4"/>
    <s v="No Priority"/>
    <s v="Failed"/>
    <x v="1"/>
    <x v="3"/>
    <x v="7"/>
    <m/>
    <n v="2000"/>
    <s v="EAST"/>
    <s v="West Bengal"/>
    <m/>
    <m/>
    <s v="BUBNA COMMERCIAL COMPANY"/>
    <n v="1853143"/>
    <s v="GP COIL SOFT-TATXGP-GLK1-0.4X900"/>
    <s v="C02"/>
    <s v="TATXGP"/>
    <s v="GLK1"/>
    <n v="0.4"/>
    <n v="900"/>
    <n v="0"/>
    <m/>
    <m/>
    <m/>
    <n v="5"/>
    <n v="15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n v="0"/>
    <n v="105"/>
    <m/>
    <m/>
    <m/>
    <m/>
    <m/>
    <m/>
    <m/>
    <x v="0"/>
    <s v="Trimming only at RCL"/>
    <x v="8"/>
    <s v="C02-GLK1-0.4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m/>
  </r>
  <r>
    <n v="743"/>
    <d v="2025-09-08T00:00:00"/>
    <s v="ZBTO"/>
    <n v="9519086148"/>
    <n v="2"/>
    <s v="9519086148-2"/>
    <s v="No Priority"/>
    <s v="Released"/>
    <x v="1"/>
    <x v="3"/>
    <x v="7"/>
    <m/>
    <n v="2000"/>
    <s v="EAST"/>
    <s v="West Bengal"/>
    <m/>
    <m/>
    <s v="BUBNA COMMERCIAL COMPANY"/>
    <n v="1142895"/>
    <s v="GP COIL SOFT-TATXGP-GLK1-0.5X900"/>
    <s v="C02"/>
    <s v="TATXGP"/>
    <s v="GLK1"/>
    <n v="0.5"/>
    <n v="900"/>
    <n v="0"/>
    <m/>
    <m/>
    <m/>
    <n v="5"/>
    <n v="15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only at RCL"/>
    <x v="8"/>
    <s v="C02-GLK1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m/>
  </r>
  <r>
    <n v="743"/>
    <d v="2025-09-08T00:00:00"/>
    <s v="ZBTO"/>
    <n v="9519086148"/>
    <n v="1"/>
    <s v="9519086148-1"/>
    <s v="No Priority"/>
    <s v="Released"/>
    <x v="1"/>
    <x v="3"/>
    <x v="7"/>
    <m/>
    <n v="2000"/>
    <s v="EAST"/>
    <s v="West Bengal"/>
    <m/>
    <m/>
    <s v="BUBNA COMMERCIAL COMPANY"/>
    <n v="1142897"/>
    <s v="GP COIL SOFT-TATXGP-GLK1-0.6X900"/>
    <s v="C02"/>
    <s v="TATXGP"/>
    <s v="GLK1"/>
    <n v="0.6"/>
    <n v="900"/>
    <n v="0"/>
    <m/>
    <m/>
    <m/>
    <n v="5"/>
    <n v="15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only at RCL"/>
    <x v="8"/>
    <s v="C02-GLK1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m/>
  </r>
  <r>
    <n v="742"/>
    <d v="2025-09-03T00:00:00"/>
    <s v="ZBTO"/>
    <n v="9519076414"/>
    <n v="3"/>
    <s v="9519076414-3"/>
    <s v="No Priority"/>
    <s v="Failed"/>
    <x v="0"/>
    <x v="0"/>
    <x v="6"/>
    <m/>
    <n v="2000"/>
    <s v="NORTH"/>
    <s v="Uttar Pradesh"/>
    <m/>
    <m/>
    <s v="INDIA STEEL INDUSTRIES"/>
    <n v="3444592"/>
    <s v="CRCA SHEET TATCRC SR16 0.450X1250X2030"/>
    <s v="C06"/>
    <s v="TATCRC"/>
    <s v="SR16"/>
    <n v="0.45"/>
    <n v="1250"/>
    <n v="2030"/>
    <m/>
    <m/>
    <m/>
    <n v="2.5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at PLTCM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03T00:00:00"/>
    <s v="ZBTO"/>
    <n v="9519076414"/>
    <n v="2"/>
    <s v="9519076414-2"/>
    <s v="No Priority"/>
    <s v="Failed"/>
    <x v="0"/>
    <x v="0"/>
    <x v="6"/>
    <m/>
    <n v="2000"/>
    <s v="NORTH"/>
    <s v="Uttar Pradesh"/>
    <m/>
    <m/>
    <s v="INDIA STEEL INDUSTRIES"/>
    <n v="3437524"/>
    <s v="CRCA SHEET TATCRC SR16 0.400X1250X2030"/>
    <s v="C06"/>
    <s v="TATCRC"/>
    <s v="SR16"/>
    <n v="0.4"/>
    <n v="1250"/>
    <n v="2030"/>
    <m/>
    <m/>
    <m/>
    <n v="2.5"/>
    <n v="3"/>
    <n v="87"/>
    <n v="0"/>
    <n v="87"/>
    <n v="87"/>
    <n v="0"/>
    <m/>
    <m/>
    <m/>
    <m/>
    <m/>
    <m/>
    <m/>
    <m/>
    <m/>
    <m/>
    <m/>
    <m/>
    <m/>
    <m/>
    <m/>
    <m/>
    <m/>
    <m/>
    <n v="0"/>
    <n v="0"/>
    <n v="0"/>
    <n v="87"/>
    <m/>
    <m/>
    <m/>
    <m/>
    <m/>
    <m/>
    <m/>
    <x v="0"/>
    <s v="Trimming at PLTC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03T00:00:00"/>
    <s v="ZBTO"/>
    <n v="9519075949"/>
    <n v="1"/>
    <s v="9519075949-1"/>
    <s v="No Priority"/>
    <s v="Failed"/>
    <x v="0"/>
    <x v="0"/>
    <x v="6"/>
    <m/>
    <n v="2000"/>
    <s v="WEST"/>
    <s v="Gujarat"/>
    <m/>
    <m/>
    <s v="ANM ISPAT PVT LTD"/>
    <n v="3239557"/>
    <s v="CRCA SHEET TATCRC SR16 0.400X1250X2500"/>
    <s v="C06"/>
    <s v="TATCRC"/>
    <s v="SR16"/>
    <n v="0.4"/>
    <n v="1250"/>
    <n v="2500"/>
    <m/>
    <m/>
    <m/>
    <n v="2.5"/>
    <n v="3.5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only at RCL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03T00:00:00"/>
    <s v="ZBTO"/>
    <n v="9519075806"/>
    <n v="1"/>
    <s v="9519075806-1"/>
    <s v="Oct'25"/>
    <s v="Failed"/>
    <x v="1"/>
    <x v="0"/>
    <x v="6"/>
    <m/>
    <n v="2000"/>
    <s v="EAST"/>
    <s v="West Bengal"/>
    <m/>
    <m/>
    <s v="SAGAR STEELS"/>
    <n v="3533340"/>
    <s v="CRCA SHEET TATCRC SR16 0.450X1120X2000"/>
    <s v="C06"/>
    <s v="TATCRC"/>
    <s v="SR16"/>
    <n v="0.45"/>
    <n v="1120"/>
    <n v="2000"/>
    <m/>
    <m/>
    <m/>
    <n v="2"/>
    <n v="3"/>
    <n v="26"/>
    <n v="0"/>
    <n v="26"/>
    <n v="26"/>
    <n v="0"/>
    <m/>
    <m/>
    <m/>
    <m/>
    <m/>
    <m/>
    <m/>
    <m/>
    <m/>
    <m/>
    <m/>
    <m/>
    <m/>
    <m/>
    <m/>
    <m/>
    <m/>
    <m/>
    <n v="0"/>
    <n v="0"/>
    <n v="0"/>
    <n v="26"/>
    <m/>
    <m/>
    <m/>
    <m/>
    <m/>
    <m/>
    <m/>
    <x v="0"/>
    <s v="Trimming ( for CRC"/>
    <x v="7"/>
    <s v="C06-SR16-0.45-1120"/>
    <s v="367-SH67-2.25-1135"/>
    <x v="0"/>
    <x v="6"/>
    <x v="6"/>
    <x v="6"/>
    <x v="4"/>
    <x v="14"/>
    <x v="2"/>
    <m/>
    <m/>
    <m/>
    <m/>
    <m/>
    <m/>
    <m/>
    <m/>
    <m/>
    <m/>
    <m/>
    <m/>
    <m/>
    <m/>
    <m/>
    <m/>
    <m/>
    <m/>
    <m/>
    <m/>
  </r>
  <r>
    <n v="742"/>
    <d v="2025-09-01T00:00:00"/>
    <s v="ZBTO"/>
    <n v="9519070991"/>
    <n v="1"/>
    <s v="9519070991-1"/>
    <s v="No Priority"/>
    <s v="Failed"/>
    <x v="0"/>
    <x v="0"/>
    <x v="6"/>
    <m/>
    <n v="2000"/>
    <s v="WEST"/>
    <s v="Gujarat"/>
    <m/>
    <m/>
    <s v="ANM ISPAT PVT LTD"/>
    <n v="3239568"/>
    <s v="CRCA SHEET TATCRC SR16 0.450X1250X2500"/>
    <s v="C06"/>
    <s v="TATCRC"/>
    <s v="SR16"/>
    <n v="0.45"/>
    <n v="1250"/>
    <n v="2500"/>
    <m/>
    <m/>
    <m/>
    <n v="2.5"/>
    <n v="3.5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only at RCL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3"/>
    <d v="2025-08-29T00:00:00"/>
    <s v="ZBTO"/>
    <n v="9519061549"/>
    <n v="5"/>
    <s v="9519061549-5"/>
    <s v="No Priority"/>
    <s v="Failed"/>
    <x v="1"/>
    <x v="3"/>
    <x v="7"/>
    <m/>
    <n v="2000"/>
    <s v="NORTH"/>
    <s v="Uttar Pradesh"/>
    <m/>
    <m/>
    <s v="JAI LAXMI STEELS"/>
    <n v="1142901"/>
    <s v="GP COIL SOFT-TATXGP-GLK1-0.3X1000"/>
    <s v="C02"/>
    <s v="TATXGP"/>
    <s v="GLK1"/>
    <n v="0.3"/>
    <n v="1000"/>
    <n v="0"/>
    <m/>
    <m/>
    <m/>
    <n v="4"/>
    <n v="6"/>
    <n v="69"/>
    <n v="0"/>
    <n v="69"/>
    <n v="69"/>
    <n v="0"/>
    <m/>
    <m/>
    <m/>
    <m/>
    <m/>
    <m/>
    <m/>
    <m/>
    <m/>
    <m/>
    <m/>
    <m/>
    <m/>
    <m/>
    <m/>
    <m/>
    <m/>
    <m/>
    <n v="0"/>
    <n v="0"/>
    <n v="0"/>
    <n v="69"/>
    <m/>
    <m/>
    <m/>
    <m/>
    <m/>
    <m/>
    <m/>
    <x v="0"/>
    <s v="Trimming only at RCL"/>
    <x v="8"/>
    <s v="C02-GLK1-0.3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m/>
  </r>
  <r>
    <n v="743"/>
    <d v="2025-08-29T00:00:00"/>
    <s v="ZBTO"/>
    <n v="9519061549"/>
    <n v="4"/>
    <s v="9519061549-4"/>
    <s v="No Priority"/>
    <s v="Failed"/>
    <x v="1"/>
    <x v="3"/>
    <x v="7"/>
    <m/>
    <n v="2000"/>
    <s v="NORTH"/>
    <s v="Uttar Pradesh"/>
    <m/>
    <m/>
    <s v="JAI LAXMI STEELS"/>
    <n v="1142901"/>
    <s v="GP COIL SOFT-TATXGP-GLK1-0.3X1000"/>
    <s v="C02"/>
    <s v="TATXGP"/>
    <s v="GLK1"/>
    <n v="0.3"/>
    <n v="1000"/>
    <n v="0"/>
    <m/>
    <m/>
    <m/>
    <n v="4"/>
    <n v="6"/>
    <n v="69"/>
    <n v="0"/>
    <n v="69"/>
    <n v="69"/>
    <n v="0"/>
    <m/>
    <m/>
    <m/>
    <m/>
    <m/>
    <m/>
    <m/>
    <m/>
    <m/>
    <m/>
    <m/>
    <m/>
    <m/>
    <m/>
    <m/>
    <m/>
    <m/>
    <m/>
    <n v="0"/>
    <n v="0"/>
    <n v="0"/>
    <n v="69"/>
    <m/>
    <m/>
    <m/>
    <m/>
    <m/>
    <m/>
    <m/>
    <x v="0"/>
    <s v="Trimming only at RCL"/>
    <x v="8"/>
    <s v="C02-GLK1-0.3-1000"/>
    <s v="B69-HG02-2-1025"/>
    <x v="2"/>
    <x v="1"/>
    <x v="1"/>
    <x v="1"/>
    <x v="2"/>
    <x v="7"/>
    <x v="10"/>
    <m/>
    <m/>
    <m/>
    <m/>
    <m/>
    <m/>
    <m/>
    <m/>
    <m/>
    <m/>
    <m/>
    <m/>
    <m/>
    <m/>
    <m/>
    <m/>
    <m/>
    <m/>
    <m/>
    <m/>
  </r>
  <r>
    <n v="743"/>
    <d v="2025-08-29T00:00:00"/>
    <s v="ZBTO"/>
    <n v="9519061549"/>
    <n v="3"/>
    <s v="9519061549-3"/>
    <s v="No Priority"/>
    <s v="Failed"/>
    <x v="1"/>
    <x v="3"/>
    <x v="7"/>
    <m/>
    <n v="2000"/>
    <s v="NORTH"/>
    <s v="Uttar Pradesh"/>
    <m/>
    <m/>
    <s v="JAI LAXMI STEELS"/>
    <n v="1851066"/>
    <s v="GP COIL SOFT-TATXGP-GLK1-0.25X900"/>
    <s v="C02"/>
    <s v="TATXGP"/>
    <s v="GLK1"/>
    <n v="0.25"/>
    <n v="900"/>
    <n v="0"/>
    <m/>
    <m/>
    <m/>
    <n v="4"/>
    <n v="6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only at RCL"/>
    <x v="8"/>
    <s v="C02-GLK1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m/>
  </r>
  <r>
    <n v="743"/>
    <d v="2025-08-29T00:00:00"/>
    <s v="ZBTO"/>
    <n v="9519061549"/>
    <n v="2"/>
    <s v="9519061549-2"/>
    <s v="No Priority"/>
    <s v="Failed"/>
    <x v="1"/>
    <x v="3"/>
    <x v="7"/>
    <m/>
    <n v="2000"/>
    <s v="NORTH"/>
    <s v="Uttar Pradesh"/>
    <m/>
    <m/>
    <s v="JAI LAXMI STEELS"/>
    <n v="1851066"/>
    <s v="GP COIL SOFT-TATXGP-GLK1-0.25X900"/>
    <s v="C02"/>
    <s v="TATXGP"/>
    <s v="GLK1"/>
    <n v="0.25"/>
    <n v="900"/>
    <n v="0"/>
    <m/>
    <m/>
    <m/>
    <n v="4"/>
    <n v="6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only at RCL"/>
    <x v="8"/>
    <s v="C02-GLK1-0.25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m/>
  </r>
  <r>
    <n v="743"/>
    <d v="2025-08-29T00:00:00"/>
    <s v="ZBTO"/>
    <n v="9519061549"/>
    <n v="1"/>
    <s v="9519061549-1"/>
    <s v="No Priority"/>
    <s v="Failed"/>
    <x v="1"/>
    <x v="3"/>
    <x v="7"/>
    <m/>
    <n v="2000"/>
    <s v="NORTH"/>
    <s v="Uttar Pradesh"/>
    <m/>
    <m/>
    <s v="JAI LAXMI STEELS"/>
    <n v="1854363"/>
    <s v="GP COIL SOFT-TATXGP-GLK1-0.22X900"/>
    <s v="C02"/>
    <s v="TATXGP"/>
    <s v="GLK1"/>
    <n v="0.22"/>
    <n v="900"/>
    <n v="0"/>
    <m/>
    <m/>
    <m/>
    <n v="4"/>
    <n v="6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only at RCL"/>
    <x v="8"/>
    <s v="C02-GLK1-0.22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m/>
  </r>
  <r>
    <n v="742"/>
    <d v="2025-08-29T00:00:00"/>
    <s v="ZBTO"/>
    <n v="9519060675"/>
    <n v="2"/>
    <s v="9519060675-2"/>
    <s v="No Priority"/>
    <s v="Failed"/>
    <x v="0"/>
    <x v="2"/>
    <x v="3"/>
    <m/>
    <n v="2000"/>
    <s v="SOUTH"/>
    <s v="Karnataka"/>
    <m/>
    <m/>
    <s v="DURGA STEEL INDUSTRIES"/>
    <n v="1210083"/>
    <s v="HR COILS-PO IS 1079 HR2 2X1250"/>
    <n v="768"/>
    <s v="THR099"/>
    <s v="HR99"/>
    <n v="2"/>
    <n v="1250"/>
    <n v="0"/>
    <m/>
    <m/>
    <m/>
    <n v="15"/>
    <n v="29"/>
    <n v="87"/>
    <n v="0"/>
    <n v="87"/>
    <n v="87"/>
    <n v="0"/>
    <m/>
    <m/>
    <m/>
    <m/>
    <m/>
    <m/>
    <m/>
    <m/>
    <m/>
    <m/>
    <m/>
    <m/>
    <m/>
    <m/>
    <m/>
    <m/>
    <m/>
    <m/>
    <n v="0"/>
    <n v="0"/>
    <n v="0"/>
    <n v="87"/>
    <m/>
    <m/>
    <m/>
    <m/>
    <m/>
    <m/>
    <m/>
    <x v="0"/>
    <s v="Untrimmed edge"/>
    <x v="12"/>
    <s v="768-HR99-2-1250"/>
    <s v="367-HR99-2-1250"/>
    <x v="0"/>
    <x v="9"/>
    <x v="9"/>
    <x v="9"/>
    <x v="2"/>
    <x v="0"/>
    <x v="65"/>
    <m/>
    <m/>
    <m/>
    <m/>
    <m/>
    <m/>
    <m/>
    <m/>
    <m/>
    <m/>
    <m/>
    <m/>
    <m/>
    <m/>
    <m/>
    <m/>
    <m/>
    <m/>
    <m/>
    <m/>
  </r>
  <r>
    <n v="742"/>
    <d v="2025-08-28T00:00:00"/>
    <s v="ZBTO"/>
    <n v="9519057594"/>
    <n v="1"/>
    <s v="9519057594-1"/>
    <s v="Oct'25"/>
    <s v="Failed"/>
    <x v="1"/>
    <x v="0"/>
    <x v="6"/>
    <m/>
    <n v="2000"/>
    <s v="EAST"/>
    <s v="Assam"/>
    <m/>
    <m/>
    <s v="SAGAR STEELS"/>
    <n v="3239408"/>
    <s v="CRCA SHEET TATCRC SR16 0.300X900X2500"/>
    <s v="C06"/>
    <s v="TATCRC"/>
    <s v="SR16"/>
    <n v="0.3"/>
    <n v="900"/>
    <n v="2500"/>
    <m/>
    <m/>
    <m/>
    <n v="2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( for CRC"/>
    <x v="7"/>
    <s v="C06-SR16-0.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3"/>
    <d v="2025-08-27T00:00:00"/>
    <s v="ZBTO"/>
    <n v="9519054666"/>
    <n v="4"/>
    <s v="9519054666-4"/>
    <s v="No Priority"/>
    <s v="Failed"/>
    <x v="1"/>
    <x v="3"/>
    <x v="7"/>
    <m/>
    <n v="2000"/>
    <s v="EAST"/>
    <s v="Assam"/>
    <m/>
    <m/>
    <s v="SAGAR STEELS PROCESSING &amp; MANUFACTU"/>
    <n v="4035700"/>
    <s v="GP COIL TATXGP GLK1 0.330X900"/>
    <s v="C02"/>
    <s v="TATXGP"/>
    <s v="GLK1"/>
    <n v="0.33"/>
    <n v="900"/>
    <n v="0"/>
    <m/>
    <m/>
    <m/>
    <n v="6"/>
    <n v="24"/>
    <n v="42"/>
    <n v="0"/>
    <n v="42"/>
    <n v="42"/>
    <n v="0"/>
    <m/>
    <m/>
    <m/>
    <m/>
    <m/>
    <m/>
    <m/>
    <m/>
    <m/>
    <m/>
    <m/>
    <m/>
    <m/>
    <m/>
    <m/>
    <m/>
    <m/>
    <m/>
    <n v="0"/>
    <n v="0"/>
    <n v="0"/>
    <n v="42"/>
    <m/>
    <m/>
    <m/>
    <m/>
    <m/>
    <m/>
    <m/>
    <x v="0"/>
    <s v="Trimming only at RCL"/>
    <x v="3"/>
    <s v="C02-GLK1-0.33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8-26T00:00:00"/>
    <s v="ZBTO"/>
    <n v="9519051350"/>
    <n v="2"/>
    <s v="9519051350-2"/>
    <s v="No Priority"/>
    <s v="Failed"/>
    <x v="0"/>
    <x v="0"/>
    <x v="0"/>
    <m/>
    <n v="2000"/>
    <s v="NORTH"/>
    <s v="Uttar Pradesh"/>
    <m/>
    <m/>
    <s v="O.V.S. ISPAT UDYOG"/>
    <n v="322575"/>
    <s v="CRCA SHEET TATCRC TR15 .7X1250X2500"/>
    <s v="C06"/>
    <s v="TATCRC"/>
    <s v="TR15"/>
    <n v="0.7"/>
    <n v="1250"/>
    <n v="2500"/>
    <m/>
    <m/>
    <m/>
    <n v="2.5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19"/>
    <s v="C06-TR15-0.7-1250"/>
    <s v="367-SF98-2.8-1260"/>
    <x v="0"/>
    <x v="11"/>
    <x v="11"/>
    <x v="11"/>
    <x v="0"/>
    <x v="10"/>
    <x v="114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902"/>
    <n v="1"/>
    <s v="9519028902-1"/>
    <s v="Oct'25"/>
    <s v="Failed"/>
    <x v="1"/>
    <x v="0"/>
    <x v="0"/>
    <m/>
    <n v="2000"/>
    <s v="EAST"/>
    <s v="West Bengal"/>
    <m/>
    <m/>
    <s v="TATA STEEL DOWNSTREAM PRODUCTS LIMI"/>
    <n v="2197847"/>
    <s v="CRCA COIL TATXXD AU03 1.950X1250"/>
    <s v="C01"/>
    <s v="TATXXD"/>
    <s v="AU03"/>
    <n v="1.95"/>
    <n v="1250"/>
    <n v="0"/>
    <m/>
    <m/>
    <m/>
    <n v="13"/>
    <n v="29"/>
    <n v="86"/>
    <n v="0"/>
    <n v="86"/>
    <n v="86"/>
    <n v="0"/>
    <m/>
    <m/>
    <m/>
    <m/>
    <m/>
    <m/>
    <m/>
    <m/>
    <m/>
    <m/>
    <m/>
    <m/>
    <m/>
    <m/>
    <m/>
    <m/>
    <m/>
    <m/>
    <n v="0"/>
    <n v="0"/>
    <n v="0"/>
    <n v="86"/>
    <m/>
    <m/>
    <m/>
    <m/>
    <m/>
    <m/>
    <m/>
    <x v="1"/>
    <s v="Untrimmed edge"/>
    <x v="24"/>
    <s v="C01-AU03-1.95-1250"/>
    <s v="367-SH08-4-1250"/>
    <x v="0"/>
    <x v="0"/>
    <x v="0"/>
    <x v="0"/>
    <x v="10"/>
    <x v="0"/>
    <x v="74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27"/>
    <s v="9519028231-27"/>
    <s v="No Priority"/>
    <s v="Failed"/>
    <x v="0"/>
    <x v="0"/>
    <x v="0"/>
    <m/>
    <n v="2000"/>
    <s v="SOUTH"/>
    <s v="Tamil Nadu"/>
    <m/>
    <m/>
    <s v="BASEER AND CO"/>
    <n v="322578"/>
    <s v="CRCA SHEET TATCRC TR15 .5X1250X2500"/>
    <s v="C06"/>
    <s v="TATCRC"/>
    <s v="TR15"/>
    <n v="0.5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at PLTCM"/>
    <x v="0"/>
    <s v="C06-TR15-0.5-1250"/>
    <s v="367-SF98-2.5-1260"/>
    <x v="0"/>
    <x v="11"/>
    <x v="11"/>
    <x v="11"/>
    <x v="7"/>
    <x v="10"/>
    <x v="113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19"/>
    <s v="9519028231-19"/>
    <s v="No Priority"/>
    <s v="Failed"/>
    <x v="0"/>
    <x v="0"/>
    <x v="0"/>
    <m/>
    <n v="2000"/>
    <s v="SOUTH"/>
    <s v="Tamil Nadu"/>
    <m/>
    <m/>
    <s v="BASEER AND CO"/>
    <n v="274376"/>
    <s v="CRSHEET C06TATXXD AU03 2.0X1250X2500"/>
    <s v="C06"/>
    <s v="TATXXD"/>
    <s v="AU03"/>
    <n v="2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at PLTCM"/>
    <x v="0"/>
    <s v="C06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16"/>
    <s v="9519028231-16"/>
    <s v="No Priority"/>
    <s v="Failed"/>
    <x v="0"/>
    <x v="0"/>
    <x v="0"/>
    <m/>
    <n v="2000"/>
    <s v="SOUTH"/>
    <s v="Tamil Nadu"/>
    <m/>
    <m/>
    <s v="BASEER AND CO"/>
    <n v="189865"/>
    <s v="CRSHEET TATXXD AU03 1.0X1250X2500"/>
    <s v="C06"/>
    <s v="TATXXD"/>
    <s v="AU03"/>
    <n v="1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AU03-1-1250"/>
    <s v="367-SH08-2.8-1260"/>
    <x v="0"/>
    <x v="0"/>
    <x v="0"/>
    <x v="0"/>
    <x v="0"/>
    <x v="10"/>
    <x v="124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7787"/>
    <n v="7"/>
    <s v="9519027787-7"/>
    <s v="No Priority"/>
    <s v="Failed"/>
    <x v="0"/>
    <x v="0"/>
    <x v="0"/>
    <m/>
    <n v="2000"/>
    <s v="SOUTH"/>
    <s v="Andhra Pradesh"/>
    <m/>
    <m/>
    <s v="SITARAM IRON AND STEEL PVT LTD"/>
    <n v="279229"/>
    <s v="CRSHEET TATXXD AU03 0.50X1250X2500"/>
    <s v="C06"/>
    <s v="TATXXD"/>
    <s v="AU03"/>
    <n v="0.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AU03-0.5-1250"/>
    <s v="367-SH08-2.5-1260"/>
    <x v="0"/>
    <x v="0"/>
    <x v="0"/>
    <x v="0"/>
    <x v="7"/>
    <x v="10"/>
    <x v="17"/>
    <m/>
    <m/>
    <m/>
    <m/>
    <m/>
    <m/>
    <m/>
    <m/>
    <m/>
    <m/>
    <m/>
    <m/>
    <m/>
    <m/>
    <m/>
    <m/>
    <m/>
    <m/>
    <m/>
    <m/>
  </r>
  <r>
    <n v="742"/>
    <d v="2025-07-25T00:00:00"/>
    <s v="ZBTO"/>
    <n v="9518957902"/>
    <n v="2"/>
    <s v="9518957902-2"/>
    <s v="Oct'25"/>
    <s v="Failed"/>
    <x v="1"/>
    <x v="0"/>
    <x v="0"/>
    <m/>
    <n v="2000"/>
    <s v="NORTH"/>
    <e v="#N/A"/>
    <m/>
    <m/>
    <s v="FERRO STEEL SOLUTIONS"/>
    <n v="1804908"/>
    <s v="CRCA COIL TATCRC TR15 0.5X1250"/>
    <s v="C01"/>
    <s v="TATCRC"/>
    <s v="TR15"/>
    <n v="0.5"/>
    <n v="1250"/>
    <n v="0"/>
    <m/>
    <m/>
    <m/>
    <n v="10"/>
    <n v="27"/>
    <n v="261"/>
    <n v="0"/>
    <n v="261"/>
    <n v="261"/>
    <n v="0"/>
    <m/>
    <m/>
    <m/>
    <m/>
    <m/>
    <m/>
    <m/>
    <m/>
    <m/>
    <m/>
    <m/>
    <m/>
    <m/>
    <m/>
    <m/>
    <m/>
    <m/>
    <m/>
    <n v="0"/>
    <n v="0"/>
    <n v="0"/>
    <n v="261"/>
    <m/>
    <m/>
    <m/>
    <m/>
    <m/>
    <m/>
    <m/>
    <x v="0"/>
    <s v="Untrimmed edge"/>
    <x v="0"/>
    <s v="C01-TR15-0.5-1250"/>
    <s v="367-SF98-2.25-1250"/>
    <x v="0"/>
    <x v="11"/>
    <x v="11"/>
    <x v="11"/>
    <x v="4"/>
    <x v="0"/>
    <x v="2"/>
    <m/>
    <m/>
    <m/>
    <m/>
    <m/>
    <m/>
    <m/>
    <m/>
    <m/>
    <m/>
    <m/>
    <m/>
    <m/>
    <m/>
    <m/>
    <m/>
    <m/>
    <m/>
    <m/>
    <m/>
  </r>
  <r>
    <n v="742"/>
    <d v="2025-07-22T00:00:00"/>
    <s v="ZBTO"/>
    <n v="9518949617"/>
    <n v="6"/>
    <s v="9518949617-6"/>
    <s v="No Priority"/>
    <s v="Failed"/>
    <x v="0"/>
    <x v="0"/>
    <x v="0"/>
    <m/>
    <n v="2000"/>
    <s v="EAST"/>
    <e v="#N/A"/>
    <m/>
    <m/>
    <s v="PRESTIGE METALLICS PRIVATE LIMITED"/>
    <n v="322580"/>
    <s v="CRCA SHEET TATCRC TR15 1.2X1250X2500"/>
    <s v="C06"/>
    <s v="TATCRC"/>
    <s v="TR15"/>
    <n v="1.2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0"/>
    <s v="C06-TR15-1.2-1250"/>
    <s v="367-SF98-3.2-1260"/>
    <x v="0"/>
    <x v="11"/>
    <x v="11"/>
    <x v="11"/>
    <x v="3"/>
    <x v="10"/>
    <x v="125"/>
    <m/>
    <m/>
    <m/>
    <m/>
    <m/>
    <m/>
    <m/>
    <m/>
    <m/>
    <m/>
    <m/>
    <m/>
    <m/>
    <m/>
    <m/>
    <m/>
    <m/>
    <m/>
    <m/>
    <m/>
  </r>
  <r>
    <n v="742"/>
    <d v="2025-07-22T00:00:00"/>
    <s v="ZBTO"/>
    <n v="9518949617"/>
    <n v="5"/>
    <s v="9518949617-5"/>
    <s v="No Priority"/>
    <s v="Failed"/>
    <x v="0"/>
    <x v="0"/>
    <x v="0"/>
    <m/>
    <n v="2000"/>
    <s v="EAST"/>
    <e v="#N/A"/>
    <m/>
    <m/>
    <s v="PRESTIGE METALLICS PRIVATE LIMITED"/>
    <n v="463611"/>
    <s v="CRCA SHEET TATCRC TR15 .95X1250X2500"/>
    <s v="C06"/>
    <s v="TATCRC"/>
    <s v="TR15"/>
    <n v="0.9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0"/>
    <s v="C06-TR15-0.95-1250"/>
    <s v="367-SF98-2.8-1260"/>
    <x v="0"/>
    <x v="11"/>
    <x v="11"/>
    <x v="11"/>
    <x v="0"/>
    <x v="10"/>
    <x v="114"/>
    <m/>
    <m/>
    <m/>
    <m/>
    <m/>
    <m/>
    <m/>
    <m/>
    <m/>
    <m/>
    <m/>
    <m/>
    <m/>
    <m/>
    <m/>
    <m/>
    <m/>
    <m/>
    <m/>
    <m/>
  </r>
  <r>
    <n v="742"/>
    <d v="2025-07-20T00:00:00"/>
    <s v="ZBTO"/>
    <n v="9518944236"/>
    <n v="10"/>
    <s v="9518944236-10"/>
    <s v="No Priority"/>
    <s v="Failed"/>
    <x v="0"/>
    <x v="0"/>
    <x v="0"/>
    <m/>
    <n v="2000"/>
    <s v="SOUTH"/>
    <e v="#N/A"/>
    <m/>
    <m/>
    <s v="SITARAM IRON AND STEEL PVT LTD"/>
    <n v="274376"/>
    <s v="CRSHEET C06TATXXD AU03 2.0X1250X2500"/>
    <s v="C06"/>
    <s v="TATXXD"/>
    <s v="AU03"/>
    <n v="2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at PLTCM"/>
    <x v="0"/>
    <s v="C06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m/>
  </r>
  <r>
    <n v="742"/>
    <d v="2025-07-20T00:00:00"/>
    <s v="ZBTO"/>
    <n v="9518944236"/>
    <n v="7"/>
    <s v="9518944236-7"/>
    <s v="No Priority"/>
    <s v="Failed"/>
    <x v="0"/>
    <x v="0"/>
    <x v="0"/>
    <m/>
    <n v="2000"/>
    <s v="SOUTH"/>
    <e v="#N/A"/>
    <m/>
    <m/>
    <s v="SITARAM IRON AND STEEL PVT LTD"/>
    <n v="353957"/>
    <s v="CRCA SHEET TATXXD AU03 0.80X1250X2500"/>
    <s v="C06"/>
    <s v="TATXXD"/>
    <s v="AU03"/>
    <n v="0.8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AU03-0.8-1250"/>
    <s v="367-SH08-2.8-1260"/>
    <x v="0"/>
    <x v="0"/>
    <x v="0"/>
    <x v="0"/>
    <x v="0"/>
    <x v="10"/>
    <x v="124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16"/>
    <s v="9518939680-16"/>
    <s v="No Priority"/>
    <s v="Failed"/>
    <x v="0"/>
    <x v="0"/>
    <x v="0"/>
    <m/>
    <n v="2000"/>
    <s v="SOUTH"/>
    <e v="#N/A"/>
    <m/>
    <m/>
    <s v="BASEER AND CO"/>
    <n v="322578"/>
    <s v="CRCA SHEET TATCRC TR15 .5X1250X2500"/>
    <s v="C06"/>
    <s v="TATCRC"/>
    <s v="TR15"/>
    <n v="0.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TR15-0.5-1250"/>
    <s v="367-SF98-2.5-1260"/>
    <x v="0"/>
    <x v="11"/>
    <x v="11"/>
    <x v="11"/>
    <x v="7"/>
    <x v="10"/>
    <x v="113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6"/>
    <s v="9518939680-6"/>
    <s v="No Priority"/>
    <s v="Failed"/>
    <x v="0"/>
    <x v="0"/>
    <x v="0"/>
    <m/>
    <n v="2000"/>
    <s v="SOUTH"/>
    <e v="#N/A"/>
    <m/>
    <m/>
    <s v="BASEER AND CO"/>
    <n v="274376"/>
    <s v="CRSHEET C06TATXXD AU03 2.0X1250X2500"/>
    <s v="C06"/>
    <s v="TATXXD"/>
    <s v="AU03"/>
    <n v="2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at PLTCM"/>
    <x v="0"/>
    <s v="C06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2"/>
    <s v="9518939680-2"/>
    <s v="No Priority"/>
    <s v="Failed"/>
    <x v="0"/>
    <x v="0"/>
    <x v="0"/>
    <m/>
    <n v="2000"/>
    <s v="SOUTH"/>
    <e v="#N/A"/>
    <m/>
    <m/>
    <s v="BASEER AND CO"/>
    <n v="189865"/>
    <s v="CRSHEET TATXXD AU03 1.0X1250X2500"/>
    <s v="C06"/>
    <s v="TATXXD"/>
    <s v="AU03"/>
    <n v="1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AU03-1-1250"/>
    <s v="367-SH08-2.8-1260"/>
    <x v="0"/>
    <x v="0"/>
    <x v="0"/>
    <x v="0"/>
    <x v="0"/>
    <x v="10"/>
    <x v="124"/>
    <m/>
    <m/>
    <m/>
    <m/>
    <m/>
    <m/>
    <m/>
    <m/>
    <m/>
    <m/>
    <m/>
    <m/>
    <m/>
    <m/>
    <m/>
    <m/>
    <m/>
    <m/>
    <m/>
    <m/>
  </r>
  <r>
    <n v="742"/>
    <d v="2025-07-14T00:00:00"/>
    <s v="ZBTO"/>
    <n v="9518927444"/>
    <n v="3"/>
    <s v="9518927444-3"/>
    <s v="No Priority"/>
    <s v="Failed"/>
    <x v="0"/>
    <x v="0"/>
    <x v="0"/>
    <m/>
    <n v="2000"/>
    <s v="EAST"/>
    <e v="#N/A"/>
    <m/>
    <m/>
    <s v="PRESTIGE METALLICS PRIVATE LIMITED"/>
    <n v="322577"/>
    <s v="CRCA SHEET TATCRC TR15 1.6X1250X2500"/>
    <s v="C06"/>
    <s v="TATCRC"/>
    <s v="TR15"/>
    <n v="1.6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only at RCL"/>
    <x v="0"/>
    <s v="C06-TR15-1.6-1250"/>
    <s v="367-SF98-4-1260"/>
    <x v="0"/>
    <x v="11"/>
    <x v="11"/>
    <x v="11"/>
    <x v="10"/>
    <x v="10"/>
    <x v="126"/>
    <m/>
    <m/>
    <m/>
    <m/>
    <m/>
    <m/>
    <m/>
    <m/>
    <m/>
    <m/>
    <m/>
    <m/>
    <m/>
    <m/>
    <m/>
    <m/>
    <m/>
    <m/>
    <m/>
    <m/>
  </r>
  <r>
    <n v="742"/>
    <d v="2025-07-01T00:00:00"/>
    <s v="ZBTO"/>
    <n v="9518899739"/>
    <n v="1"/>
    <s v="9518899739-1"/>
    <s v="No Priority"/>
    <s v="Failed"/>
    <x v="0"/>
    <x v="0"/>
    <x v="6"/>
    <m/>
    <n v="2000"/>
    <s v="WEST"/>
    <e v="#N/A"/>
    <m/>
    <m/>
    <s v="ANM ISPAT PVT LTD"/>
    <n v="3239543"/>
    <s v="CRCA SHEET TATCRC SR16 0.350X1250X2500"/>
    <s v="C06"/>
    <s v="TATCRC"/>
    <s v="SR16"/>
    <n v="0.35"/>
    <n v="1250"/>
    <n v="2500"/>
    <m/>
    <m/>
    <m/>
    <n v="2.5"/>
    <n v="3.5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only at RCL"/>
    <x v="7"/>
    <s v="C06-SR16-0.35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m/>
  </r>
  <r>
    <n v="742"/>
    <d v="2025-06-11T00:00:00"/>
    <s v="ZBTO"/>
    <n v="9518842263"/>
    <n v="20"/>
    <s v="9518842263-20"/>
    <s v="No Priority"/>
    <s v="Failed"/>
    <x v="0"/>
    <x v="0"/>
    <x v="0"/>
    <m/>
    <n v="2000"/>
    <s v="SOUTH"/>
    <e v="#N/A"/>
    <m/>
    <m/>
    <s v="SITARAM IRON AND STEEL PVT LTD"/>
    <n v="274376"/>
    <s v="CRSHEET C06TATXXD AU03 2.0X1250X2500"/>
    <s v="C06"/>
    <s v="TATXXD"/>
    <s v="AU03"/>
    <n v="2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n v="0"/>
    <n v="0"/>
    <n v="0"/>
    <n v="58"/>
    <m/>
    <m/>
    <m/>
    <m/>
    <m/>
    <m/>
    <m/>
    <x v="0"/>
    <s v="Trimming at PLTCM"/>
    <x v="0"/>
    <s v="C06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m/>
  </r>
  <r>
    <n v="742"/>
    <d v="2025-06-11T00:00:00"/>
    <s v="ZBTO"/>
    <n v="9518842263"/>
    <n v="18"/>
    <s v="9518842263-18"/>
    <s v="No Priority"/>
    <s v="Failed"/>
    <x v="0"/>
    <x v="0"/>
    <x v="0"/>
    <m/>
    <n v="2000"/>
    <s v="SOUTH"/>
    <e v="#N/A"/>
    <m/>
    <m/>
    <s v="SITARAM IRON AND STEEL PVT LTD"/>
    <n v="194544"/>
    <s v="CRSHEET TATXXD AU03 1.50X1250X2500"/>
    <s v="C06"/>
    <s v="TATXXD"/>
    <s v="AU03"/>
    <n v="1.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0"/>
    <s v="C06-AU03-1.5-1250"/>
    <s v="367-SH08-4-1260"/>
    <x v="0"/>
    <x v="0"/>
    <x v="0"/>
    <x v="0"/>
    <x v="10"/>
    <x v="10"/>
    <x v="93"/>
    <m/>
    <m/>
    <m/>
    <m/>
    <m/>
    <m/>
    <m/>
    <m/>
    <m/>
    <m/>
    <m/>
    <m/>
    <m/>
    <m/>
    <m/>
    <m/>
    <m/>
    <m/>
    <m/>
    <m/>
  </r>
  <r>
    <n v="742"/>
    <d v="2025-06-11T00:00:00"/>
    <s v="ZBTO"/>
    <n v="9518842263"/>
    <n v="15"/>
    <s v="9518842263-15"/>
    <s v="No Priority"/>
    <s v="Failed"/>
    <x v="0"/>
    <x v="0"/>
    <x v="0"/>
    <m/>
    <n v="2000"/>
    <s v="SOUTH"/>
    <e v="#N/A"/>
    <m/>
    <m/>
    <s v="SITARAM IRON AND STEEL PVT LTD"/>
    <n v="1406015"/>
    <s v="CRCA SHEET TATXXD AU03 0.950X1250X2500"/>
    <s v="C06"/>
    <s v="TATXXD"/>
    <s v="AU03"/>
    <n v="0.9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3"/>
    <s v="C06-AU03-0.95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6-11T00:00:00"/>
    <s v="ZBTO"/>
    <n v="9518842263"/>
    <n v="11"/>
    <s v="9518842263-11"/>
    <s v="No Priority"/>
    <s v="Failed"/>
    <x v="0"/>
    <x v="0"/>
    <x v="0"/>
    <m/>
    <n v="2000"/>
    <s v="SOUTH"/>
    <e v="#N/A"/>
    <m/>
    <m/>
    <s v="SITARAM IRON AND STEEL PVT LTD"/>
    <n v="1206324"/>
    <s v="CRCA SHEET TATXXD AU03 0.750X1250X2500"/>
    <s v="C06"/>
    <s v="TATXXD"/>
    <s v="AU03"/>
    <n v="0.75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at PLTCM"/>
    <x v="3"/>
    <s v="C06-AU03-0.75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e v="#N/A"/>
    <s v="ZBTO"/>
    <n v="9518772490"/>
    <n v="6"/>
    <s v="9518772490-6"/>
    <s v="No Priority"/>
    <s v="Failed"/>
    <x v="0"/>
    <x v="0"/>
    <x v="0"/>
    <m/>
    <n v="2000"/>
    <s v="EAST"/>
    <e v="#N/A"/>
    <m/>
    <m/>
    <s v="PRESTIGE METALLICS PRIVATE LIMITED"/>
    <n v="322577"/>
    <s v="CRCA SHEET TATCRC TR15 1.6X1250X2500"/>
    <s v="C06"/>
    <s v="TATCRC"/>
    <s v="TR15"/>
    <n v="1.6"/>
    <n v="1250"/>
    <n v="2500"/>
    <m/>
    <m/>
    <m/>
    <e v="#N/A"/>
    <e v="#N/A"/>
    <n v="30"/>
    <n v="0"/>
    <n v="30"/>
    <n v="30"/>
    <n v="0"/>
    <m/>
    <m/>
    <m/>
    <m/>
    <m/>
    <m/>
    <m/>
    <m/>
    <m/>
    <m/>
    <m/>
    <m/>
    <m/>
    <m/>
    <m/>
    <m/>
    <m/>
    <m/>
    <n v="0"/>
    <n v="0"/>
    <n v="0"/>
    <n v="30"/>
    <m/>
    <m/>
    <m/>
    <m/>
    <m/>
    <m/>
    <m/>
    <x v="0"/>
    <e v="#N/A"/>
    <x v="0"/>
    <s v="C06-TR15-1.6-1250"/>
    <s v="367-SF98-4-1260"/>
    <x v="0"/>
    <x v="11"/>
    <x v="11"/>
    <x v="11"/>
    <x v="10"/>
    <x v="10"/>
    <x v="126"/>
    <m/>
    <m/>
    <m/>
    <m/>
    <m/>
    <m/>
    <m/>
    <m/>
    <m/>
    <m/>
    <m/>
    <m/>
    <m/>
    <m/>
    <m/>
    <m/>
    <m/>
    <m/>
    <m/>
    <m/>
  </r>
  <r>
    <n v="742"/>
    <e v="#N/A"/>
    <s v="ZBTO"/>
    <n v="9518772490"/>
    <n v="4"/>
    <s v="9518772490-4"/>
    <s v="No Priority"/>
    <s v="Failed"/>
    <x v="0"/>
    <x v="0"/>
    <x v="0"/>
    <m/>
    <n v="2000"/>
    <s v="EAST"/>
    <e v="#N/A"/>
    <m/>
    <m/>
    <s v="PRESTIGE METALLICS PRIVATE LIMITED"/>
    <n v="400982"/>
    <s v="CRCA SHEET TATCRC TR15 .75X1000X2500"/>
    <s v="C06"/>
    <s v="TATCRC"/>
    <s v="TR15"/>
    <n v="0.75"/>
    <n v="1000"/>
    <n v="2500"/>
    <m/>
    <m/>
    <m/>
    <e v="#N/A"/>
    <e v="#N/A"/>
    <n v="24"/>
    <n v="0"/>
    <n v="24"/>
    <n v="24"/>
    <n v="0"/>
    <m/>
    <m/>
    <m/>
    <m/>
    <m/>
    <m/>
    <m/>
    <m/>
    <m/>
    <m/>
    <m/>
    <m/>
    <m/>
    <m/>
    <m/>
    <m/>
    <m/>
    <m/>
    <n v="0"/>
    <n v="0"/>
    <n v="0"/>
    <n v="24"/>
    <m/>
    <m/>
    <m/>
    <m/>
    <m/>
    <m/>
    <m/>
    <x v="0"/>
    <e v="#N/A"/>
    <x v="3"/>
    <s v="C06-TR15-0.75-10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07"/>
    <n v="5"/>
    <s v="9519038607-5"/>
    <s v="No Priority"/>
    <s v="Released"/>
    <x v="1"/>
    <x v="3"/>
    <x v="13"/>
    <m/>
    <n v="2000"/>
    <s v="EAST"/>
    <s v="West Bengal"/>
    <m/>
    <m/>
    <s v="BUBNA COMMERCIAL COMPANY"/>
    <n v="1300227"/>
    <s v="GP COIL SOFT-TATXGP-GLK1-0.6X1220"/>
    <s v="C02"/>
    <s v="TATXGP"/>
    <s v="GLK1"/>
    <n v="0.6"/>
    <n v="1220"/>
    <n v="0"/>
    <m/>
    <m/>
    <m/>
    <n v="5"/>
    <n v="15"/>
    <n v="56"/>
    <n v="0"/>
    <n v="56"/>
    <n v="56"/>
    <n v="0"/>
    <m/>
    <m/>
    <m/>
    <m/>
    <m/>
    <m/>
    <m/>
    <m/>
    <m/>
    <m/>
    <m/>
    <m/>
    <m/>
    <m/>
    <m/>
    <m/>
    <m/>
    <m/>
    <n v="0"/>
    <n v="0"/>
    <n v="0"/>
    <n v="56"/>
    <m/>
    <m/>
    <m/>
    <m/>
    <m/>
    <m/>
    <m/>
    <x v="0"/>
    <s v="Trimming only at RCL"/>
    <x v="8"/>
    <s v="C02-GLK1-0.6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07"/>
    <n v="4"/>
    <s v="9519038607-4"/>
    <s v="No Priority"/>
    <s v="Released"/>
    <x v="1"/>
    <x v="3"/>
    <x v="7"/>
    <m/>
    <n v="2000"/>
    <s v="EAST"/>
    <s v="West Bengal"/>
    <m/>
    <m/>
    <s v="BUBNA COMMERCIAL COMPANY"/>
    <n v="1142897"/>
    <s v="GP COIL SOFT-TATXGP-GLK1-0.6X900"/>
    <s v="C02"/>
    <s v="TATXGP"/>
    <s v="GLK1"/>
    <n v="0.6"/>
    <n v="900"/>
    <n v="0"/>
    <m/>
    <m/>
    <m/>
    <n v="5"/>
    <n v="15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only at RCL"/>
    <x v="8"/>
    <s v="C02-GLK1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07"/>
    <n v="3"/>
    <s v="9519038607-3"/>
    <s v="No Priority"/>
    <s v="Released"/>
    <x v="1"/>
    <x v="3"/>
    <x v="7"/>
    <m/>
    <n v="2000"/>
    <s v="EAST"/>
    <s v="West Bengal"/>
    <m/>
    <m/>
    <s v="BUBNA COMMERCIAL COMPANY"/>
    <n v="1142895"/>
    <s v="GP COIL SOFT-TATXGP-GLK1-0.5X900"/>
    <s v="C02"/>
    <s v="TATXGP"/>
    <s v="GLK1"/>
    <n v="0.5"/>
    <n v="900"/>
    <n v="0"/>
    <m/>
    <m/>
    <m/>
    <n v="5"/>
    <n v="15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n v="0"/>
    <n v="105"/>
    <m/>
    <m/>
    <m/>
    <m/>
    <m/>
    <m/>
    <m/>
    <x v="0"/>
    <s v="Trimming only at RCL"/>
    <x v="8"/>
    <s v="C02-GLK1-0.5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07"/>
    <n v="2"/>
    <s v="9519038607-2"/>
    <s v="No Priority"/>
    <s v="Failed"/>
    <x v="1"/>
    <x v="3"/>
    <x v="7"/>
    <m/>
    <n v="2000"/>
    <s v="EAST"/>
    <s v="West Bengal"/>
    <m/>
    <m/>
    <s v="BUBNA COMMERCIAL COMPANY"/>
    <n v="1142893"/>
    <s v="GP COIL SOFT-TATXGP-GLK1-0.35X900"/>
    <s v="C02"/>
    <s v="TATXGP"/>
    <s v="GLK1"/>
    <n v="0.35"/>
    <n v="900"/>
    <n v="0"/>
    <m/>
    <m/>
    <m/>
    <n v="5"/>
    <n v="15"/>
    <n v="105"/>
    <n v="0"/>
    <n v="105"/>
    <n v="105"/>
    <n v="0"/>
    <m/>
    <m/>
    <m/>
    <m/>
    <m/>
    <m/>
    <m/>
    <m/>
    <m/>
    <m/>
    <m/>
    <m/>
    <m/>
    <m/>
    <m/>
    <m/>
    <m/>
    <m/>
    <n v="0"/>
    <n v="0"/>
    <n v="0"/>
    <n v="105"/>
    <m/>
    <m/>
    <m/>
    <m/>
    <m/>
    <m/>
    <m/>
    <x v="0"/>
    <s v="Trimming only at RCL"/>
    <x v="8"/>
    <s v="C02-GLK1-0.35-900"/>
    <s v="B69-HG02-2.25-925"/>
    <x v="2"/>
    <x v="1"/>
    <x v="1"/>
    <x v="1"/>
    <x v="4"/>
    <x v="3"/>
    <x v="26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07"/>
    <n v="1"/>
    <s v="9519038607-1"/>
    <s v="No Priority"/>
    <s v="Released"/>
    <x v="1"/>
    <x v="3"/>
    <x v="7"/>
    <m/>
    <n v="2000"/>
    <s v="EAST"/>
    <s v="West Bengal"/>
    <m/>
    <m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only at RCL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43"/>
    <n v="1"/>
    <s v="9519038643-1"/>
    <s v="No Priority"/>
    <s v="Released"/>
    <x v="1"/>
    <x v="3"/>
    <x v="7"/>
    <m/>
    <n v="2000"/>
    <s v="EAST"/>
    <s v="West Bengal"/>
    <m/>
    <m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63"/>
    <n v="0"/>
    <m/>
    <m/>
    <m/>
    <m/>
    <m/>
    <m/>
    <m/>
    <m/>
    <m/>
    <m/>
    <m/>
    <m/>
    <m/>
    <m/>
    <m/>
    <m/>
    <m/>
    <m/>
    <n v="0"/>
    <n v="0"/>
    <n v="0"/>
    <n v="63"/>
    <m/>
    <m/>
    <m/>
    <m/>
    <m/>
    <m/>
    <m/>
    <x v="0"/>
    <s v="Trimming only at RCL"/>
    <x v="8"/>
    <s v="C02-GK09-0.3-900"/>
    <s v="B69-HG02-2-925"/>
    <x v="2"/>
    <x v="1"/>
    <x v="1"/>
    <x v="1"/>
    <x v="2"/>
    <x v="3"/>
    <x v="6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51"/>
    <n v="1"/>
    <s v="9519109751-1"/>
    <s v="No Priority"/>
    <s v="Failed"/>
    <x v="0"/>
    <x v="2"/>
    <x v="3"/>
    <m/>
    <n v="2000"/>
    <s v="SOUTH"/>
    <s v="Karnataka"/>
    <m/>
    <m/>
    <s v="G K ISPAT PRIVATE LIMITED"/>
    <n v="1434858"/>
    <s v="HR COILS-PO IS 1079 HR2 2.01X1500"/>
    <n v="768"/>
    <s v="THR099"/>
    <s v="HR99"/>
    <n v="2.0099999999999998"/>
    <n v="1500"/>
    <n v="0"/>
    <m/>
    <m/>
    <m/>
    <n v="17"/>
    <n v="27.5"/>
    <n v="60"/>
    <n v="0"/>
    <n v="60"/>
    <n v="60"/>
    <n v="0"/>
    <m/>
    <m/>
    <m/>
    <m/>
    <m/>
    <m/>
    <m/>
    <m/>
    <m/>
    <m/>
    <m/>
    <m/>
    <m/>
    <m/>
    <m/>
    <m/>
    <m/>
    <m/>
    <n v="0"/>
    <n v="0"/>
    <n v="0"/>
    <n v="60"/>
    <m/>
    <m/>
    <m/>
    <m/>
    <m/>
    <m/>
    <m/>
    <x v="0"/>
    <s v=""/>
    <x v="3"/>
    <s v="768-HR99-2.01-15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11T00:00:00"/>
    <s v="ZBTO"/>
    <n v="9519094552"/>
    <n v="4"/>
    <s v="9519094552-4"/>
    <s v="Oct'25"/>
    <s v="Failed"/>
    <x v="1"/>
    <x v="0"/>
    <x v="6"/>
    <m/>
    <n v="2000"/>
    <s v="EAST"/>
    <s v="West Bengal"/>
    <m/>
    <m/>
    <s v="SAGAR STEELS"/>
    <n v="3239554"/>
    <s v="CRCA SHEET TATCRC SR16 0.400X1000X2500"/>
    <s v="C06"/>
    <s v="TATCRC"/>
    <s v="SR16"/>
    <n v="0.4"/>
    <n v="1000"/>
    <n v="2500"/>
    <m/>
    <m/>
    <m/>
    <n v="2"/>
    <n v="3"/>
    <n v="46"/>
    <n v="0"/>
    <n v="46"/>
    <n v="46"/>
    <n v="0"/>
    <m/>
    <m/>
    <m/>
    <m/>
    <m/>
    <m/>
    <m/>
    <m/>
    <m/>
    <m/>
    <m/>
    <m/>
    <m/>
    <m/>
    <m/>
    <m/>
    <m/>
    <m/>
    <n v="0"/>
    <n v="0"/>
    <n v="0"/>
    <n v="46"/>
    <m/>
    <m/>
    <m/>
    <m/>
    <m/>
    <m/>
    <m/>
    <x v="0"/>
    <s v="Trimming ( for CRC"/>
    <x v="7"/>
    <s v="C06-SR16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m/>
  </r>
  <r>
    <n v="742"/>
    <d v="2025-09-11T00:00:00"/>
    <s v="ZBTO"/>
    <n v="9519094552"/>
    <n v="2"/>
    <s v="9519094552-2"/>
    <s v="Oct'25"/>
    <s v="Failed"/>
    <x v="1"/>
    <x v="0"/>
    <x v="6"/>
    <m/>
    <n v="2000"/>
    <s v="EAST"/>
    <s v="West Bengal"/>
    <m/>
    <m/>
    <s v="SAGAR STEELS"/>
    <n v="2440959"/>
    <s v="CRCA SHEET TATCRC SR16 0.330X900X2500"/>
    <s v="C06"/>
    <s v="TATCRC"/>
    <s v="SR16"/>
    <n v="0.33"/>
    <n v="900"/>
    <n v="2500"/>
    <m/>
    <m/>
    <m/>
    <n v="2"/>
    <n v="3"/>
    <n v="21"/>
    <n v="0"/>
    <n v="21"/>
    <n v="21"/>
    <n v="0"/>
    <m/>
    <m/>
    <m/>
    <m/>
    <m/>
    <m/>
    <m/>
    <m/>
    <m/>
    <m/>
    <m/>
    <m/>
    <m/>
    <m/>
    <m/>
    <m/>
    <m/>
    <m/>
    <n v="0"/>
    <n v="0"/>
    <n v="0"/>
    <n v="21"/>
    <m/>
    <m/>
    <m/>
    <m/>
    <m/>
    <m/>
    <m/>
    <x v="0"/>
    <s v="Trimming ( for CRC"/>
    <x v="7"/>
    <s v="C06-SR16-0.33-900"/>
    <s v="B69-SH67-2-925"/>
    <x v="2"/>
    <x v="6"/>
    <x v="6"/>
    <x v="6"/>
    <x v="2"/>
    <x v="3"/>
    <x v="31"/>
    <m/>
    <m/>
    <m/>
    <m/>
    <m/>
    <m/>
    <m/>
    <m/>
    <m/>
    <m/>
    <m/>
    <m/>
    <m/>
    <m/>
    <m/>
    <m/>
    <m/>
    <m/>
    <m/>
    <m/>
  </r>
  <r>
    <n v="742"/>
    <d v="2025-08-18T00:00:00"/>
    <s v="ZBTO"/>
    <n v="9519024305"/>
    <n v="1"/>
    <s v="9519024305-1"/>
    <s v="No Priority"/>
    <s v="Failed"/>
    <x v="0"/>
    <x v="0"/>
    <x v="6"/>
    <m/>
    <n v="2000"/>
    <s v="EAST"/>
    <e v="#N/A"/>
    <m/>
    <m/>
    <s v="PSPL STEEL PROCESSORS PRIVATE LIMIT"/>
    <n v="2441000"/>
    <s v="CRCA SHEET TATCRC SR16 0.330X1250X2500"/>
    <s v="C06"/>
    <s v="TATCRC"/>
    <s v="SR16"/>
    <n v="0.33"/>
    <n v="1250"/>
    <n v="2500"/>
    <m/>
    <m/>
    <m/>
    <n v="2"/>
    <n v="3"/>
    <n v="29"/>
    <n v="0"/>
    <n v="29"/>
    <n v="29"/>
    <n v="0"/>
    <m/>
    <m/>
    <m/>
    <m/>
    <m/>
    <m/>
    <m/>
    <m/>
    <m/>
    <m/>
    <m/>
    <m/>
    <m/>
    <m/>
    <m/>
    <m/>
    <m/>
    <m/>
    <n v="0"/>
    <n v="0"/>
    <n v="0"/>
    <n v="29"/>
    <m/>
    <m/>
    <m/>
    <m/>
    <m/>
    <m/>
    <m/>
    <x v="0"/>
    <s v="Trimming ( for CRC"/>
    <x v="7"/>
    <s v="C06-SR16-0.33-1250"/>
    <s v="367-SH67-2-1260"/>
    <x v="0"/>
    <x v="6"/>
    <x v="6"/>
    <x v="6"/>
    <x v="2"/>
    <x v="10"/>
    <x v="80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00"/>
    <n v="2"/>
    <s v="9519123100-2"/>
    <s v="No Priority"/>
    <s v="Failed"/>
    <x v="1"/>
    <x v="0"/>
    <x v="5"/>
    <m/>
    <n v="1000"/>
    <m/>
    <s v="Andhra Pradesh"/>
    <m/>
    <n v="188238"/>
    <s v="Balmer Lawrie &amp; Co. Limited"/>
    <n v="2170009"/>
    <s v="CRCA COIL TATXXD BT02 1.200X914"/>
    <s v="C01"/>
    <s v="TATXXD"/>
    <s v="BT02"/>
    <n v="1.2"/>
    <n v="914"/>
    <n v="0"/>
    <m/>
    <m/>
    <m/>
    <n v="7"/>
    <n v="10"/>
    <n v="42"/>
    <n v="0"/>
    <n v="42"/>
    <n v="42"/>
    <m/>
    <m/>
    <m/>
    <m/>
    <m/>
    <m/>
    <m/>
    <m/>
    <m/>
    <m/>
    <m/>
    <m/>
    <m/>
    <m/>
    <m/>
    <m/>
    <m/>
    <m/>
    <m/>
    <m/>
    <m/>
    <m/>
    <n v="42"/>
    <m/>
    <m/>
    <m/>
    <m/>
    <m/>
    <m/>
    <m/>
    <x v="0"/>
    <s v="Trimming ( for CRC"/>
    <x v="6"/>
    <s v="C01-BT02-1.2-914"/>
    <s v="B69-SH67-3.2-935"/>
    <x v="2"/>
    <x v="6"/>
    <x v="6"/>
    <x v="6"/>
    <x v="3"/>
    <x v="16"/>
    <x v="38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18"/>
    <n v="1"/>
    <s v="9519123118-1"/>
    <s v="No Priority"/>
    <s v="Failed"/>
    <x v="1"/>
    <x v="0"/>
    <x v="5"/>
    <m/>
    <n v="1000"/>
    <m/>
    <s v="Tamil Nadu"/>
    <m/>
    <n v="187214"/>
    <s v="BALMER LAWRIE &amp; CO. LIMITED.."/>
    <n v="2164792"/>
    <s v="CRCA COIL TATXXD BT02 0.900X913"/>
    <s v="C01"/>
    <s v="TATXXD"/>
    <s v="BT02"/>
    <n v="0.9"/>
    <n v="913"/>
    <n v="0"/>
    <m/>
    <m/>
    <m/>
    <n v="7"/>
    <n v="10.615"/>
    <n v="21"/>
    <n v="0"/>
    <n v="21"/>
    <n v="21"/>
    <m/>
    <m/>
    <m/>
    <m/>
    <m/>
    <m/>
    <m/>
    <m/>
    <m/>
    <m/>
    <m/>
    <m/>
    <m/>
    <m/>
    <m/>
    <m/>
    <m/>
    <m/>
    <m/>
    <m/>
    <m/>
    <m/>
    <n v="21"/>
    <m/>
    <m/>
    <m/>
    <m/>
    <m/>
    <m/>
    <m/>
    <x v="0"/>
    <s v="Trimming at PLTCM"/>
    <x v="6"/>
    <s v="C01-BT02-0.9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18"/>
    <n v="2"/>
    <s v="9519123118-2"/>
    <s v="No Priority"/>
    <s v="Failed"/>
    <x v="1"/>
    <x v="0"/>
    <x v="5"/>
    <m/>
    <n v="1000"/>
    <m/>
    <s v="Tamil Nadu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n v="6"/>
    <n v="12"/>
    <n v="210"/>
    <n v="0"/>
    <n v="210"/>
    <n v="210"/>
    <m/>
    <m/>
    <m/>
    <m/>
    <m/>
    <m/>
    <m/>
    <m/>
    <m/>
    <m/>
    <m/>
    <m/>
    <m/>
    <m/>
    <m/>
    <m/>
    <m/>
    <m/>
    <m/>
    <m/>
    <m/>
    <m/>
    <n v="210"/>
    <m/>
    <m/>
    <m/>
    <m/>
    <m/>
    <m/>
    <m/>
    <x v="0"/>
    <s v="Trimming ( for CRC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18"/>
    <n v="3"/>
    <s v="9519123118-3"/>
    <s v="No Priority"/>
    <s v="Failed"/>
    <x v="1"/>
    <x v="0"/>
    <x v="5"/>
    <m/>
    <n v="1000"/>
    <m/>
    <s v="Tamil Nadu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n v="8"/>
    <n v="12"/>
    <n v="63"/>
    <n v="0"/>
    <n v="63"/>
    <n v="63"/>
    <m/>
    <m/>
    <m/>
    <m/>
    <m/>
    <m/>
    <m/>
    <m/>
    <m/>
    <m/>
    <m/>
    <m/>
    <m/>
    <m/>
    <m/>
    <m/>
    <m/>
    <m/>
    <m/>
    <m/>
    <m/>
    <m/>
    <n v="63"/>
    <m/>
    <m/>
    <m/>
    <m/>
    <m/>
    <m/>
    <m/>
    <x v="0"/>
    <s v="Trimming ( for CRC"/>
    <x v="6"/>
    <s v="C01-BT02-1.2-910"/>
    <s v="B69-SH67-3.2-935"/>
    <x v="2"/>
    <x v="6"/>
    <x v="6"/>
    <x v="6"/>
    <x v="3"/>
    <x v="16"/>
    <x v="38"/>
    <m/>
    <m/>
    <m/>
    <m/>
    <m/>
    <m/>
    <m/>
    <m/>
    <m/>
    <m/>
    <m/>
    <m/>
    <m/>
    <m/>
    <m/>
    <m/>
    <m/>
    <m/>
    <m/>
    <m/>
  </r>
  <r>
    <n v="742"/>
    <d v="2025-09-21T00:00:00"/>
    <s v="ZBTO"/>
    <n v="9519123183"/>
    <n v="1"/>
    <s v="9519123183-1"/>
    <s v="No Priority"/>
    <s v="Failed"/>
    <x v="1"/>
    <x v="0"/>
    <x v="5"/>
    <m/>
    <n v="1000"/>
    <m/>
    <s v="Haryana"/>
    <m/>
    <n v="189430"/>
    <s v="Balmer Lawrie &amp; Co. Ltd.,"/>
    <n v="2164792"/>
    <s v="CRCA COIL TATXXD BT02 0.900X913"/>
    <s v="C01"/>
    <s v="TATXXD"/>
    <s v="BT02"/>
    <n v="0.9"/>
    <n v="913"/>
    <n v="0"/>
    <m/>
    <m/>
    <m/>
    <n v="7"/>
    <n v="10.62"/>
    <n v="21"/>
    <n v="0"/>
    <n v="21"/>
    <n v="21"/>
    <m/>
    <m/>
    <m/>
    <m/>
    <m/>
    <m/>
    <m/>
    <m/>
    <m/>
    <m/>
    <m/>
    <m/>
    <m/>
    <m/>
    <m/>
    <m/>
    <m/>
    <m/>
    <m/>
    <m/>
    <m/>
    <m/>
    <n v="21"/>
    <m/>
    <m/>
    <m/>
    <m/>
    <m/>
    <m/>
    <m/>
    <x v="0"/>
    <s v="Trimming at PLTCM"/>
    <x v="6"/>
    <s v="C01-BT02-0.9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m/>
  </r>
  <r>
    <n v="742"/>
    <d v="2025-09-21T00:00:00"/>
    <s v="ZBTO"/>
    <n v="9519123183"/>
    <n v="2"/>
    <s v="9519123183-2"/>
    <s v="No Priority"/>
    <s v="Failed"/>
    <x v="1"/>
    <x v="0"/>
    <x v="5"/>
    <m/>
    <n v="1000"/>
    <m/>
    <s v="Haryana"/>
    <m/>
    <n v="189430"/>
    <s v="Balmer Lawrie &amp; Co. Ltd.,"/>
    <n v="2164800"/>
    <s v="CRCA COIL TATXXD BT02 0.970X913"/>
    <s v="C01"/>
    <s v="TATXXD"/>
    <s v="BT02"/>
    <n v="0.97"/>
    <n v="913"/>
    <n v="0"/>
    <m/>
    <m/>
    <m/>
    <n v="6"/>
    <n v="12"/>
    <n v="210"/>
    <n v="0"/>
    <n v="210"/>
    <n v="210"/>
    <m/>
    <m/>
    <m/>
    <m/>
    <m/>
    <m/>
    <m/>
    <m/>
    <m/>
    <m/>
    <m/>
    <m/>
    <m/>
    <m/>
    <m/>
    <m/>
    <m/>
    <m/>
    <m/>
    <m/>
    <m/>
    <m/>
    <n v="210"/>
    <m/>
    <m/>
    <m/>
    <m/>
    <m/>
    <m/>
    <m/>
    <x v="0"/>
    <s v="Trimming ( for CRC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m/>
  </r>
  <r>
    <n v="742"/>
    <d v="2025-09-21T00:00:00"/>
    <s v="ZBTO"/>
    <n v="9519123183"/>
    <n v="3"/>
    <s v="9519123183-3"/>
    <s v="No Priority"/>
    <s v="Failed"/>
    <x v="1"/>
    <x v="0"/>
    <x v="5"/>
    <m/>
    <n v="1000"/>
    <m/>
    <s v="Haryana"/>
    <m/>
    <n v="189430"/>
    <s v="Balmer Lawrie &amp; Co. Ltd.,"/>
    <n v="2164803"/>
    <s v="CRCA COIL TATXXD BT02 1.200X910"/>
    <s v="C01"/>
    <s v="TATXXD"/>
    <s v="BT02"/>
    <n v="1.2"/>
    <n v="910"/>
    <n v="0"/>
    <m/>
    <m/>
    <m/>
    <n v="8"/>
    <n v="12"/>
    <n v="21"/>
    <n v="0"/>
    <n v="21"/>
    <n v="21"/>
    <m/>
    <m/>
    <m/>
    <m/>
    <m/>
    <m/>
    <m/>
    <m/>
    <m/>
    <m/>
    <m/>
    <m/>
    <m/>
    <m/>
    <m/>
    <m/>
    <m/>
    <m/>
    <m/>
    <m/>
    <m/>
    <m/>
    <n v="21"/>
    <m/>
    <m/>
    <m/>
    <m/>
    <m/>
    <m/>
    <m/>
    <x v="0"/>
    <s v="Trimming ( for CRC"/>
    <x v="6"/>
    <s v="C01-BT02-1.2-910"/>
    <s v="B69-SH67-3.2-935"/>
    <x v="2"/>
    <x v="6"/>
    <x v="6"/>
    <x v="6"/>
    <x v="3"/>
    <x v="16"/>
    <x v="38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1"/>
    <s v="9519123053-1"/>
    <s v="No Priority"/>
    <s v="Failed"/>
    <x v="1"/>
    <x v="0"/>
    <x v="5"/>
    <m/>
    <n v="1000"/>
    <m/>
    <s v="Dadra, Nagarhaveli"/>
    <m/>
    <n v="189405"/>
    <s v="Balmer Lawrie And Co. Ltd."/>
    <n v="2164792"/>
    <s v="CRCA COIL TATXXD BT02 0.900X913"/>
    <s v="C01"/>
    <s v="TATXXD"/>
    <s v="BT02"/>
    <n v="0.9"/>
    <n v="913"/>
    <n v="0"/>
    <m/>
    <m/>
    <m/>
    <n v="6"/>
    <n v="10.4"/>
    <n v="231"/>
    <n v="0"/>
    <n v="231"/>
    <n v="231"/>
    <m/>
    <m/>
    <m/>
    <m/>
    <m/>
    <m/>
    <m/>
    <m/>
    <m/>
    <m/>
    <m/>
    <m/>
    <m/>
    <m/>
    <m/>
    <m/>
    <m/>
    <m/>
    <m/>
    <m/>
    <m/>
    <m/>
    <n v="231"/>
    <m/>
    <m/>
    <m/>
    <m/>
    <m/>
    <m/>
    <m/>
    <x v="0"/>
    <s v="Trimming ( for CRC"/>
    <x v="6"/>
    <s v="C01-BT02-0.9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2"/>
    <s v="9519123053-2"/>
    <s v="No Priority"/>
    <s v="Failed"/>
    <x v="1"/>
    <x v="0"/>
    <x v="5"/>
    <m/>
    <n v="1000"/>
    <m/>
    <s v="Dadra, Nagarhaveli"/>
    <m/>
    <n v="189405"/>
    <s v="Balmer Lawrie And Co. Ltd."/>
    <n v="2164803"/>
    <s v="CRCA COIL TATXXD BT02 1.200X910"/>
    <s v="C01"/>
    <s v="TATXXD"/>
    <s v="BT02"/>
    <n v="1.2"/>
    <n v="910"/>
    <n v="0"/>
    <m/>
    <m/>
    <m/>
    <n v="6"/>
    <n v="12"/>
    <n v="189"/>
    <n v="0"/>
    <n v="189"/>
    <n v="189"/>
    <m/>
    <m/>
    <m/>
    <m/>
    <m/>
    <m/>
    <m/>
    <m/>
    <m/>
    <m/>
    <m/>
    <m/>
    <m/>
    <m/>
    <m/>
    <m/>
    <m/>
    <m/>
    <m/>
    <m/>
    <m/>
    <m/>
    <n v="189"/>
    <m/>
    <m/>
    <m/>
    <m/>
    <m/>
    <m/>
    <m/>
    <x v="0"/>
    <s v="Trimming ( for CRC"/>
    <x v="6"/>
    <s v="C01-BT02-1.2-910"/>
    <s v="B69-SH67-3.2-935"/>
    <x v="2"/>
    <x v="6"/>
    <x v="6"/>
    <x v="6"/>
    <x v="3"/>
    <x v="16"/>
    <x v="38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3"/>
    <s v="9519123053-3"/>
    <s v="No Priority"/>
    <s v="Failed"/>
    <x v="1"/>
    <x v="0"/>
    <x v="5"/>
    <m/>
    <n v="1000"/>
    <m/>
    <s v="Dadra, Nagarhaveli"/>
    <m/>
    <n v="189405"/>
    <s v="Balmer Lawrie And Co. Ltd."/>
    <n v="2170009"/>
    <s v="CRCA COIL TATXXD BT02 1.200X914"/>
    <s v="C01"/>
    <s v="TATXXD"/>
    <s v="BT02"/>
    <n v="1.2"/>
    <n v="914"/>
    <n v="0"/>
    <m/>
    <m/>
    <m/>
    <n v="6"/>
    <n v="10"/>
    <n v="21"/>
    <n v="0"/>
    <n v="21"/>
    <n v="21"/>
    <m/>
    <m/>
    <m/>
    <m/>
    <m/>
    <m/>
    <m/>
    <m/>
    <m/>
    <m/>
    <m/>
    <m/>
    <m/>
    <m/>
    <m/>
    <m/>
    <m/>
    <m/>
    <m/>
    <m/>
    <m/>
    <m/>
    <n v="21"/>
    <m/>
    <m/>
    <m/>
    <m/>
    <m/>
    <m/>
    <m/>
    <x v="0"/>
    <s v="Trimming ( for CRC"/>
    <x v="6"/>
    <s v="C01-BT02-1.2-914"/>
    <s v="B69-SH67-3.2-935"/>
    <x v="2"/>
    <x v="6"/>
    <x v="6"/>
    <x v="6"/>
    <x v="3"/>
    <x v="16"/>
    <x v="38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4"/>
    <s v="9519123053-4"/>
    <s v="No Priority"/>
    <s v="Failed"/>
    <x v="1"/>
    <x v="0"/>
    <x v="5"/>
    <m/>
    <n v="1000"/>
    <m/>
    <s v="Dadra, Nagarhaveli"/>
    <m/>
    <n v="189405"/>
    <s v="Balmer Lawrie And Co. Ltd."/>
    <n v="2164800"/>
    <s v="CRCA COIL TATXXD BT02 0.970X913"/>
    <s v="C01"/>
    <s v="TATXXD"/>
    <s v="BT02"/>
    <n v="0.97"/>
    <n v="913"/>
    <n v="0"/>
    <m/>
    <m/>
    <m/>
    <n v="6"/>
    <n v="10.130000000000001"/>
    <n v="294"/>
    <n v="0"/>
    <n v="294"/>
    <n v="294"/>
    <m/>
    <m/>
    <m/>
    <m/>
    <m/>
    <m/>
    <m/>
    <m/>
    <m/>
    <m/>
    <m/>
    <m/>
    <m/>
    <m/>
    <m/>
    <m/>
    <m/>
    <m/>
    <m/>
    <m/>
    <m/>
    <m/>
    <n v="294"/>
    <m/>
    <m/>
    <m/>
    <m/>
    <m/>
    <m/>
    <m/>
    <x v="0"/>
    <s v="Trimming ( for CRC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5"/>
    <s v="9519123053-5"/>
    <s v="No Priority"/>
    <s v="Failed"/>
    <x v="1"/>
    <x v="0"/>
    <x v="5"/>
    <m/>
    <n v="1000"/>
    <m/>
    <s v="Dadra, Nagarhaveli"/>
    <m/>
    <n v="189405"/>
    <s v="Balmer Lawrie And Co. Ltd."/>
    <n v="2164800"/>
    <s v="CRCA COIL TATXXD BT02 0.970X913"/>
    <s v="C01"/>
    <s v="TATXXD"/>
    <s v="BT02"/>
    <n v="0.97"/>
    <n v="913"/>
    <n v="0"/>
    <m/>
    <m/>
    <m/>
    <n v="6"/>
    <n v="10.130000000000001"/>
    <n v="252"/>
    <n v="0"/>
    <n v="252"/>
    <n v="252"/>
    <m/>
    <m/>
    <m/>
    <m/>
    <m/>
    <m/>
    <m/>
    <m/>
    <m/>
    <m/>
    <m/>
    <m/>
    <m/>
    <m/>
    <m/>
    <m/>
    <m/>
    <m/>
    <m/>
    <m/>
    <m/>
    <m/>
    <n v="252"/>
    <m/>
    <m/>
    <m/>
    <m/>
    <m/>
    <m/>
    <m/>
    <x v="0"/>
    <s v="Trimming ( for CRC"/>
    <x v="6"/>
    <s v="C01-BT02-0.97-913"/>
    <s v="B69-SH67-2.8-935"/>
    <x v="2"/>
    <x v="6"/>
    <x v="6"/>
    <x v="6"/>
    <x v="0"/>
    <x v="16"/>
    <x v="37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6"/>
    <s v="9519123053-6"/>
    <s v="No Priority"/>
    <s v="Failed"/>
    <x v="1"/>
    <x v="0"/>
    <x v="5"/>
    <n v="3800"/>
    <n v="1000"/>
    <m/>
    <s v="Dadra, Nagarhaveli"/>
    <m/>
    <n v="189405"/>
    <s v="Balmer Lawrie And Co. Ltd."/>
    <n v="2403240"/>
    <s v="CRCA COIL TATXXD BT02 0.800X925"/>
    <s v="C01"/>
    <s v="TATXXD"/>
    <s v="BT02"/>
    <n v="0.8"/>
    <n v="925"/>
    <n v="0"/>
    <m/>
    <m/>
    <m/>
    <n v="6"/>
    <n v="10"/>
    <n v="42"/>
    <n v="0"/>
    <n v="42"/>
    <n v="42"/>
    <m/>
    <m/>
    <m/>
    <m/>
    <m/>
    <m/>
    <m/>
    <m/>
    <m/>
    <m/>
    <m/>
    <m/>
    <m/>
    <m/>
    <m/>
    <m/>
    <m/>
    <m/>
    <m/>
    <m/>
    <m/>
    <m/>
    <n v="42"/>
    <m/>
    <m/>
    <m/>
    <m/>
    <m/>
    <m/>
    <m/>
    <x v="0"/>
    <s v="Trimming ( for CRC"/>
    <x v="3"/>
    <s v="C01-BT02-0.8-925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75"/>
    <n v="1"/>
    <s v="9519123075-1"/>
    <s v="No Priority"/>
    <s v="Released"/>
    <x v="1"/>
    <x v="0"/>
    <x v="5"/>
    <m/>
    <n v="1000"/>
    <m/>
    <s v="Dadra, Nagarhaveli"/>
    <m/>
    <n v="189405"/>
    <s v="Balmer Lawrie And Co. Ltd."/>
    <n v="3655054"/>
    <s v="CR COIL TATXXD BT01 1.200X1215"/>
    <s v="C01"/>
    <s v="TATXXD"/>
    <s v="BT01"/>
    <n v="1.2"/>
    <n v="1215"/>
    <n v="0"/>
    <m/>
    <m/>
    <m/>
    <n v="6"/>
    <n v="10"/>
    <n v="56"/>
    <n v="0"/>
    <n v="56"/>
    <n v="56"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x v="0"/>
    <s v="Trimming at PLTCM"/>
    <x v="6"/>
    <s v="C01-BT01-1.2-1215"/>
    <s v="367-SH67-3.2-1235"/>
    <x v="0"/>
    <x v="6"/>
    <x v="6"/>
    <x v="6"/>
    <x v="3"/>
    <x v="4"/>
    <x v="115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8895"/>
    <n v="2"/>
    <s v="9519118895-2"/>
    <s v="No Priority"/>
    <s v="Failed"/>
    <x v="0"/>
    <x v="0"/>
    <x v="6"/>
    <m/>
    <n v="2000"/>
    <m/>
    <s v="Uttar Prades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n v="2.5"/>
    <n v="3"/>
    <n v="87"/>
    <n v="0"/>
    <n v="87"/>
    <n v="87"/>
    <m/>
    <m/>
    <m/>
    <m/>
    <m/>
    <m/>
    <m/>
    <m/>
    <m/>
    <m/>
    <m/>
    <m/>
    <m/>
    <m/>
    <m/>
    <m/>
    <m/>
    <m/>
    <m/>
    <m/>
    <m/>
    <m/>
    <n v="87"/>
    <m/>
    <m/>
    <m/>
    <m/>
    <m/>
    <m/>
    <m/>
    <x v="0"/>
    <s v="Trimming at PLTC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8895"/>
    <n v="3"/>
    <s v="9519118895-3"/>
    <s v="No Priority"/>
    <s v="Failed"/>
    <x v="0"/>
    <x v="0"/>
    <x v="6"/>
    <m/>
    <n v="2000"/>
    <m/>
    <s v="Uttar Pradesh"/>
    <m/>
    <n v="931525"/>
    <s v="INDIA STEEL INDUSTRIES"/>
    <n v="3240761"/>
    <s v="CRCA SHEET TSBCRC SR15 0.500X1250X2030"/>
    <s v="C06"/>
    <s v="TSBCRC"/>
    <s v="SR15"/>
    <n v="0.5"/>
    <n v="1250"/>
    <n v="2030"/>
    <m/>
    <m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x v="0"/>
    <s v="Trimming at PLTCM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m/>
  </r>
  <r>
    <n v="743"/>
    <d v="2025-09-19T00:00:00"/>
    <s v="ZBTO"/>
    <n v="9519119802"/>
    <n v="1"/>
    <s v="9519119802-1"/>
    <s v="No Priority"/>
    <s v="Released"/>
    <x v="1"/>
    <x v="3"/>
    <x v="13"/>
    <m/>
    <n v="2000"/>
    <m/>
    <s v="Maharashtra"/>
    <m/>
    <n v="930519"/>
    <s v="JAUSHNA STEELS (INDIA) PVT. LT"/>
    <n v="1334725"/>
    <s v="GP COIL SOFT-TATXGP-GK09-0.6X1220"/>
    <s v="C02"/>
    <s v="TATXGP"/>
    <s v="GK09"/>
    <n v="0.6"/>
    <n v="1220"/>
    <n v="0"/>
    <m/>
    <m/>
    <m/>
    <n v="3"/>
    <n v="5"/>
    <n v="168"/>
    <n v="0"/>
    <n v="168"/>
    <n v="168"/>
    <m/>
    <m/>
    <m/>
    <m/>
    <m/>
    <m/>
    <m/>
    <m/>
    <m/>
    <m/>
    <m/>
    <m/>
    <m/>
    <m/>
    <m/>
    <m/>
    <m/>
    <m/>
    <m/>
    <m/>
    <m/>
    <m/>
    <n v="168"/>
    <m/>
    <m/>
    <m/>
    <m/>
    <m/>
    <m/>
    <m/>
    <x v="0"/>
    <s v="Trimming only at RCL"/>
    <x v="8"/>
    <s v="C02-GK09-0.6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m/>
  </r>
  <r>
    <n v="743"/>
    <d v="2025-09-19T00:00:00"/>
    <s v="ZBTO"/>
    <n v="9519119802"/>
    <n v="2"/>
    <s v="9519119802-2"/>
    <s v="No Priority"/>
    <s v="Released"/>
    <x v="1"/>
    <x v="3"/>
    <x v="13"/>
    <m/>
    <n v="2000"/>
    <m/>
    <s v="Maharashtra"/>
    <m/>
    <n v="930519"/>
    <s v="JAUSHNA STEELS (INDIA) PVT. LT"/>
    <n v="1854410"/>
    <s v="GP COIL SOFT-TATXGP-GK09-0.4X1220"/>
    <s v="C02"/>
    <s v="TATXGP"/>
    <s v="GK09"/>
    <n v="0.4"/>
    <n v="1220"/>
    <n v="0"/>
    <m/>
    <m/>
    <m/>
    <n v="3"/>
    <n v="5"/>
    <n v="28"/>
    <n v="0"/>
    <n v="28"/>
    <n v="28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x v="0"/>
    <s v="Trimming only at RCL"/>
    <x v="8"/>
    <s v="C02-GK09-0.4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m/>
  </r>
  <r>
    <n v="743"/>
    <d v="2025-09-19T00:00:00"/>
    <s v="ZBTO"/>
    <n v="9519119853"/>
    <n v="1"/>
    <s v="9519119853-1"/>
    <s v="No Priority"/>
    <s v="Released"/>
    <x v="1"/>
    <x v="3"/>
    <x v="13"/>
    <m/>
    <n v="2000"/>
    <m/>
    <s v="Maharashtra"/>
    <m/>
    <n v="930519"/>
    <s v="JAUSHNA STEELS (INDIA) PVT. LT"/>
    <n v="1356245"/>
    <s v="GP COIL TATXGP GK09 0.550X1220"/>
    <s v="C02"/>
    <s v="TATXGP"/>
    <s v="GK09"/>
    <n v="0.55000000000000004"/>
    <n v="1220"/>
    <n v="0"/>
    <m/>
    <m/>
    <m/>
    <n v="3"/>
    <n v="5"/>
    <n v="28"/>
    <n v="0"/>
    <n v="28"/>
    <n v="28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x v="0"/>
    <s v="Trimming only at RCL"/>
    <x v="3"/>
    <s v="C02-GK09-0.55-12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1"/>
    <s v="9519117547-1"/>
    <s v="No Priority"/>
    <s v="Failed"/>
    <x v="0"/>
    <x v="0"/>
    <x v="6"/>
    <m/>
    <n v="2000"/>
    <m/>
    <s v="Chhattisgarh"/>
    <m/>
    <n v="139336"/>
    <s v="PASA ASSOCIATES PRIVATE LIMITE"/>
    <n v="3239548"/>
    <s v="CRCA SHEET TATCRC SR16 0.400X900X2500"/>
    <s v="C06"/>
    <s v="TATCRC"/>
    <s v="SR16"/>
    <n v="0.4"/>
    <n v="900"/>
    <n v="2500"/>
    <m/>
    <m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n v="21"/>
    <m/>
    <m/>
    <m/>
    <m/>
    <m/>
    <m/>
    <m/>
    <x v="0"/>
    <s v="Trimming only at RCL"/>
    <x v="7"/>
    <s v="C06-SR16-0.4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2"/>
    <s v="9519117547-2"/>
    <s v="No Priority"/>
    <s v="Failed"/>
    <x v="0"/>
    <x v="0"/>
    <x v="6"/>
    <m/>
    <n v="2000"/>
    <m/>
    <s v="Chhattisgarh"/>
    <m/>
    <n v="139336"/>
    <s v="PASA ASSOCIATES PRIVATE LIMITE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n v="23"/>
    <m/>
    <m/>
    <m/>
    <m/>
    <m/>
    <m/>
    <m/>
    <x v="0"/>
    <s v="Trimming only at RCL"/>
    <x v="7"/>
    <s v="C06-SR16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3"/>
    <s v="9519117547-3"/>
    <s v="No Priority"/>
    <s v="Failed"/>
    <x v="0"/>
    <x v="0"/>
    <x v="6"/>
    <m/>
    <n v="2000"/>
    <m/>
    <s v="Chhattisgarh"/>
    <m/>
    <n v="139336"/>
    <s v="PASA ASSOCIATES PRIVATE LIMITE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n v="23"/>
    <m/>
    <m/>
    <m/>
    <m/>
    <m/>
    <m/>
    <m/>
    <x v="0"/>
    <s v="Trimming only at RCL"/>
    <x v="7"/>
    <s v="C06-SR16-0.45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4"/>
    <s v="9519117547-4"/>
    <s v="No Priority"/>
    <s v="Released"/>
    <x v="0"/>
    <x v="0"/>
    <x v="6"/>
    <m/>
    <n v="2000"/>
    <m/>
    <s v="Chhattisgarh"/>
    <m/>
    <n v="139336"/>
    <s v="PASA ASSOCIATES PRIVATE LIMITE"/>
    <n v="3240760"/>
    <s v="CRCA SHEET TSBCRC SR15 0.500X1000X2500"/>
    <s v="C06"/>
    <s v="TSBCRC"/>
    <s v="SR15"/>
    <n v="0.5"/>
    <n v="1000"/>
    <n v="2500"/>
    <m/>
    <m/>
    <m/>
    <n v="2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n v="23"/>
    <m/>
    <m/>
    <m/>
    <m/>
    <m/>
    <m/>
    <m/>
    <x v="0"/>
    <s v="Trimming only at RCL"/>
    <x v="7"/>
    <s v="C06-SR15-0.5-1000"/>
    <s v="B69-SH69-2.25-1025"/>
    <x v="2"/>
    <x v="7"/>
    <x v="7"/>
    <x v="7"/>
    <x v="4"/>
    <x v="7"/>
    <x v="9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5"/>
    <s v="9519117547-5"/>
    <s v="No Priority"/>
    <s v="Released"/>
    <x v="0"/>
    <x v="0"/>
    <x v="6"/>
    <m/>
    <n v="2000"/>
    <m/>
    <s v="Chhattisgarh"/>
    <m/>
    <n v="139336"/>
    <s v="PASA ASSOCIATES PRIVATE LIMITE"/>
    <n v="3410101"/>
    <s v="CRCA SHEET TSBCRC SR15 0.750X1000X2500"/>
    <s v="C06"/>
    <s v="TSBCRC"/>
    <s v="SR15"/>
    <n v="0.75"/>
    <n v="1000"/>
    <n v="2500"/>
    <m/>
    <m/>
    <m/>
    <n v="2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n v="23"/>
    <m/>
    <m/>
    <m/>
    <m/>
    <m/>
    <m/>
    <m/>
    <x v="0"/>
    <s v="Trimming only at RCL"/>
    <x v="19"/>
    <s v="C06-SR15-0.75-1000"/>
    <s v="B69-SH69-2.8-1025"/>
    <x v="2"/>
    <x v="7"/>
    <x v="7"/>
    <x v="7"/>
    <x v="0"/>
    <x v="7"/>
    <x v="51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6"/>
    <s v="9519117547-6"/>
    <s v="No Priority"/>
    <s v="Failed"/>
    <x v="0"/>
    <x v="0"/>
    <x v="6"/>
    <m/>
    <n v="2000"/>
    <m/>
    <s v="Chhattisgarh"/>
    <m/>
    <n v="139336"/>
    <s v="PASA ASSOCIATES PRIVATE LIMITE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x v="0"/>
    <s v="Trimming only at RCL"/>
    <x v="7"/>
    <s v="C06-SR16-0.45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7"/>
    <s v="9519117547-7"/>
    <s v="No Priority"/>
    <s v="Released"/>
    <x v="0"/>
    <x v="0"/>
    <x v="6"/>
    <m/>
    <n v="2000"/>
    <m/>
    <s v="Chhattisgarh"/>
    <m/>
    <n v="139336"/>
    <s v="PASA ASSOCIATES PRIVATE LIMITE"/>
    <n v="3240765"/>
    <s v="CRCA SHEET TSBCRC SR15 0.500X1250X2500"/>
    <s v="C06"/>
    <s v="TSBCRC"/>
    <s v="SR15"/>
    <n v="0.5"/>
    <n v="1250"/>
    <n v="0"/>
    <m/>
    <m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x v="0"/>
    <s v="Trimming only at RCL"/>
    <x v="7"/>
    <s v="C06-SR15-0.5-1250"/>
    <s v="367-SH69-2.25-1260"/>
    <x v="0"/>
    <x v="7"/>
    <x v="7"/>
    <x v="7"/>
    <x v="4"/>
    <x v="10"/>
    <x v="2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8"/>
    <s v="9519117547-8"/>
    <s v="No Priority"/>
    <s v="Released"/>
    <x v="0"/>
    <x v="0"/>
    <x v="6"/>
    <m/>
    <n v="2000"/>
    <m/>
    <s v="Chhattisgarh"/>
    <m/>
    <n v="139336"/>
    <s v="PASA ASSOCIATES PRIVATE LIMITE"/>
    <n v="3240826"/>
    <s v="CRCA SHEET TSBCRC SR15 0.950X1250X2500"/>
    <s v="C06"/>
    <s v="TSBCRC"/>
    <s v="SR15"/>
    <n v="0.95"/>
    <n v="1250"/>
    <n v="2500"/>
    <m/>
    <m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x v="0"/>
    <s v="Trimming only at RCL"/>
    <x v="3"/>
    <s v="C06-SR15-0.95-125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8160"/>
    <n v="2"/>
    <s v="9519118160-2"/>
    <s v="No Priority"/>
    <s v="Failed"/>
    <x v="0"/>
    <x v="0"/>
    <x v="0"/>
    <m/>
    <n v="2000"/>
    <m/>
    <s v="Chhattisgarh"/>
    <m/>
    <n v="139336"/>
    <s v="PASA ASSOCIATES PRIVATE LIMITE"/>
    <n v="322577"/>
    <s v="CRCA SHEET TATCRC TR15 1.6X1250X2500"/>
    <s v="C06"/>
    <s v="TATCRC"/>
    <s v="TR15"/>
    <n v="1.6"/>
    <n v="1250"/>
    <n v="2500"/>
    <m/>
    <m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x v="0"/>
    <s v="Trimming only at RCL"/>
    <x v="0"/>
    <s v="C06-TR15-1.6-1250"/>
    <s v="367-SF98-4-1260"/>
    <x v="0"/>
    <x v="11"/>
    <x v="11"/>
    <x v="11"/>
    <x v="10"/>
    <x v="10"/>
    <x v="126"/>
    <m/>
    <m/>
    <m/>
    <m/>
    <m/>
    <m/>
    <m/>
    <m/>
    <m/>
    <m/>
    <m/>
    <m/>
    <m/>
    <m/>
    <m/>
    <m/>
    <m/>
    <m/>
    <m/>
    <m/>
  </r>
  <r>
    <n v="743"/>
    <d v="2025-09-17T00:00:00"/>
    <s v="ZBTO"/>
    <n v="9519113387"/>
    <n v="1"/>
    <s v="9519113387-1"/>
    <s v="No Priority"/>
    <s v="Failed"/>
    <x v="1"/>
    <x v="3"/>
    <x v="3"/>
    <m/>
    <n v="2000"/>
    <m/>
    <s v="Jammu &amp; Kashmir"/>
    <m/>
    <n v="115190"/>
    <s v="SHEYRUB AGENCIES"/>
    <n v="3897428"/>
    <s v="GP COIL XXXGPH GPH3 0.300X900"/>
    <s v="C05"/>
    <s v="XXXGPH"/>
    <s v="GPH3"/>
    <n v="0.3"/>
    <n v="900"/>
    <n v="0"/>
    <m/>
    <m/>
    <m/>
    <n v="3"/>
    <n v="5"/>
    <n v="21"/>
    <n v="0"/>
    <n v="21"/>
    <n v="21"/>
    <m/>
    <m/>
    <m/>
    <m/>
    <m/>
    <m/>
    <m/>
    <m/>
    <m/>
    <m/>
    <m/>
    <m/>
    <m/>
    <m/>
    <m/>
    <m/>
    <m/>
    <m/>
    <m/>
    <m/>
    <m/>
    <m/>
    <n v="21"/>
    <m/>
    <m/>
    <m/>
    <m/>
    <m/>
    <m/>
    <m/>
    <x v="0"/>
    <s v="Untrimmed edge"/>
    <x v="3"/>
    <s v="C05-GPH3-0.3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8214"/>
    <d v="2025-09-19T00:00:00"/>
    <s v="ZBTF"/>
    <n v="9519120008"/>
    <n v="3"/>
    <s v="9519120008-3"/>
    <s v="No Priority"/>
    <s v="Released"/>
    <x v="1"/>
    <x v="0"/>
    <x v="9"/>
    <m/>
    <n v="1000"/>
    <m/>
    <s v="West Bengal"/>
    <m/>
    <n v="600250"/>
    <s v="TATA CENTRE"/>
    <n v="2439203"/>
    <s v="CRCA COIL TSBSTA EL06 0.500X1160"/>
    <s v="C01"/>
    <s v="TSBSTA"/>
    <s v="EL06"/>
    <n v="0.5"/>
    <n v="1160"/>
    <n v="0"/>
    <m/>
    <m/>
    <m/>
    <n v="11"/>
    <n v="14"/>
    <n v="297"/>
    <n v="0"/>
    <n v="297"/>
    <n v="297"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x v="0"/>
    <s v="Trimming ( for CRC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m/>
  </r>
  <r>
    <n v="8214"/>
    <d v="2025-09-19T00:00:00"/>
    <s v="ZBTF"/>
    <n v="9519120008"/>
    <n v="4"/>
    <s v="9519120008-4"/>
    <s v="No Priority"/>
    <s v="Released"/>
    <x v="1"/>
    <x v="0"/>
    <x v="9"/>
    <n v="4500"/>
    <n v="1000"/>
    <m/>
    <s v="West Bengal"/>
    <m/>
    <n v="600250"/>
    <s v="TATA CENTRE"/>
    <n v="3587949"/>
    <s v="CR COIL TSBSTA EL06 0.500X1250"/>
    <s v="C01"/>
    <s v="TSBSTA"/>
    <s v="EL06"/>
    <n v="0.5"/>
    <n v="1250"/>
    <n v="0"/>
    <m/>
    <m/>
    <m/>
    <n v="11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m/>
    <n v="290"/>
    <m/>
    <m/>
    <m/>
    <m/>
    <m/>
    <m/>
    <m/>
    <x v="0"/>
    <s v="Trimming ( for CRC"/>
    <x v="11"/>
    <s v="C01-EL06-0.5-1250"/>
    <s v="367-BS74-2.25-1250"/>
    <x v="0"/>
    <x v="10"/>
    <x v="10"/>
    <x v="10"/>
    <x v="4"/>
    <x v="0"/>
    <x v="110"/>
    <m/>
    <m/>
    <m/>
    <m/>
    <m/>
    <m/>
    <m/>
    <m/>
    <m/>
    <m/>
    <m/>
    <m/>
    <m/>
    <m/>
    <m/>
    <m/>
    <m/>
    <m/>
    <m/>
    <m/>
  </r>
  <r>
    <n v="8214"/>
    <d v="2025-09-19T00:00:00"/>
    <s v="ZBTF"/>
    <n v="9519120008"/>
    <n v="5"/>
    <s v="9519120008-5"/>
    <s v="No Priority"/>
    <s v="Released"/>
    <x v="1"/>
    <x v="0"/>
    <x v="9"/>
    <m/>
    <n v="1000"/>
    <m/>
    <s v="West Bengal"/>
    <m/>
    <n v="600250"/>
    <s v="TATA CENTRE"/>
    <n v="3587949"/>
    <s v="CR COIL TSBSTA EL06 0.500X1250"/>
    <s v="C01"/>
    <s v="TSBSTA"/>
    <s v="EL06"/>
    <n v="0.5"/>
    <n v="1250"/>
    <n v="0"/>
    <m/>
    <m/>
    <m/>
    <n v="11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m/>
    <n v="290"/>
    <m/>
    <m/>
    <m/>
    <m/>
    <m/>
    <m/>
    <m/>
    <x v="0"/>
    <s v="Trimming ( for CRC"/>
    <x v="11"/>
    <s v="C01-EL06-0.5-1250"/>
    <s v="367-BS74-2.25-1250"/>
    <x v="0"/>
    <x v="10"/>
    <x v="10"/>
    <x v="10"/>
    <x v="4"/>
    <x v="0"/>
    <x v="110"/>
    <m/>
    <m/>
    <m/>
    <m/>
    <m/>
    <m/>
    <m/>
    <m/>
    <m/>
    <m/>
    <m/>
    <m/>
    <m/>
    <m/>
    <m/>
    <m/>
    <m/>
    <m/>
    <m/>
    <m/>
  </r>
  <r>
    <n v="742"/>
    <d v="2025-09-02T00:00:00"/>
    <s v="ZBTO"/>
    <n v="9519072720"/>
    <n v="1"/>
    <s v="9519072720-1"/>
    <s v="No Priority"/>
    <s v="Failed"/>
    <x v="0"/>
    <x v="2"/>
    <x v="2"/>
    <m/>
    <n v="3000"/>
    <m/>
    <s v="Karnataka"/>
    <m/>
    <n v="157491"/>
    <s v="TATA STEEL DOWNSTREAM PRODUCTS"/>
    <n v="1309699"/>
    <s v="HR COILS-PO IS 1079-HR2 2X1250"/>
    <n v="768"/>
    <s v="THA058"/>
    <s v="HA58"/>
    <n v="2"/>
    <n v="1250"/>
    <n v="0"/>
    <m/>
    <m/>
    <m/>
    <n v="20"/>
    <n v="31"/>
    <n v="290"/>
    <n v="0"/>
    <n v="290"/>
    <n v="290"/>
    <m/>
    <m/>
    <m/>
    <m/>
    <m/>
    <m/>
    <m/>
    <m/>
    <m/>
    <m/>
    <m/>
    <m/>
    <m/>
    <m/>
    <m/>
    <m/>
    <m/>
    <m/>
    <m/>
    <m/>
    <m/>
    <m/>
    <n v="290"/>
    <m/>
    <m/>
    <m/>
    <m/>
    <m/>
    <m/>
    <m/>
    <x v="0"/>
    <s v="Untrimmed edge"/>
    <x v="2"/>
    <s v="768-HA58-2-1250"/>
    <s v="367-HA58-2-1250"/>
    <x v="0"/>
    <x v="2"/>
    <x v="2"/>
    <x v="2"/>
    <x v="2"/>
    <x v="0"/>
    <x v="4"/>
    <m/>
    <m/>
    <m/>
    <m/>
    <m/>
    <m/>
    <m/>
    <m/>
    <m/>
    <m/>
    <m/>
    <m/>
    <m/>
    <m/>
    <m/>
    <m/>
    <m/>
    <m/>
    <m/>
    <m/>
  </r>
  <r>
    <n v="742"/>
    <d v="2025-09-02T00:00:00"/>
    <s v="ZBTO"/>
    <n v="9519072720"/>
    <n v="2"/>
    <s v="9519072720-2"/>
    <s v="No Priority"/>
    <s v="Failed"/>
    <x v="0"/>
    <x v="2"/>
    <x v="2"/>
    <m/>
    <n v="3000"/>
    <m/>
    <s v="Karnataka"/>
    <m/>
    <n v="157491"/>
    <s v="TATA STEEL DOWNSTREAM PRODUCTS"/>
    <n v="1309699"/>
    <s v="HR COILS-PO IS 1079-HR2 2X1250"/>
    <n v="768"/>
    <s v="THA058"/>
    <s v="HA58"/>
    <n v="2"/>
    <n v="1250"/>
    <n v="0"/>
    <m/>
    <m/>
    <m/>
    <n v="20"/>
    <n v="31"/>
    <n v="145"/>
    <n v="0"/>
    <n v="145"/>
    <n v="145"/>
    <m/>
    <m/>
    <m/>
    <m/>
    <m/>
    <m/>
    <m/>
    <m/>
    <m/>
    <m/>
    <m/>
    <m/>
    <m/>
    <m/>
    <m/>
    <m/>
    <m/>
    <m/>
    <m/>
    <m/>
    <m/>
    <m/>
    <n v="145"/>
    <m/>
    <m/>
    <m/>
    <m/>
    <m/>
    <m/>
    <m/>
    <x v="0"/>
    <s v="Untrimmed edge"/>
    <x v="2"/>
    <s v="768-HA58-2-1250"/>
    <s v="367-HA58-2-1250"/>
    <x v="0"/>
    <x v="2"/>
    <x v="2"/>
    <x v="2"/>
    <x v="2"/>
    <x v="0"/>
    <x v="4"/>
    <m/>
    <m/>
    <m/>
    <m/>
    <m/>
    <m/>
    <m/>
    <m/>
    <m/>
    <m/>
    <m/>
    <m/>
    <m/>
    <m/>
    <m/>
    <m/>
    <m/>
    <m/>
    <m/>
    <m/>
  </r>
  <r>
    <n v="742"/>
    <d v="2025-09-03T00:00:00"/>
    <s v="ZBTO"/>
    <n v="9519076941"/>
    <n v="2"/>
    <s v="9519076941-2"/>
    <s v="No Priority"/>
    <s v="Failed"/>
    <x v="0"/>
    <x v="0"/>
    <x v="0"/>
    <m/>
    <n v="2000"/>
    <m/>
    <s v="Karnataka"/>
    <m/>
    <n v="939268"/>
    <s v="TATA STEEL DOWNSTREAM PRODUCTS"/>
    <n v="185675"/>
    <s v="CRCA COIL-TATXXD-AU03-0.5X1250"/>
    <s v="C01"/>
    <s v="TATXXD"/>
    <s v="AU03"/>
    <n v="0.5"/>
    <n v="1250"/>
    <n v="0"/>
    <m/>
    <m/>
    <m/>
    <n v="7"/>
    <n v="29"/>
    <n v="145"/>
    <n v="0"/>
    <n v="145"/>
    <n v="145"/>
    <m/>
    <m/>
    <m/>
    <m/>
    <m/>
    <m/>
    <m/>
    <m/>
    <m/>
    <m/>
    <m/>
    <m/>
    <m/>
    <m/>
    <m/>
    <m/>
    <m/>
    <m/>
    <m/>
    <m/>
    <m/>
    <m/>
    <n v="145"/>
    <m/>
    <m/>
    <m/>
    <m/>
    <m/>
    <m/>
    <m/>
    <x v="0"/>
    <s v="Untrimmed edge"/>
    <x v="0"/>
    <s v="C01-AU03-0.5-1250"/>
    <s v="367-SH08-2.5-1250"/>
    <x v="0"/>
    <x v="0"/>
    <x v="0"/>
    <x v="0"/>
    <x v="7"/>
    <x v="0"/>
    <x v="16"/>
    <m/>
    <m/>
    <m/>
    <m/>
    <m/>
    <m/>
    <m/>
    <m/>
    <m/>
    <m/>
    <m/>
    <m/>
    <m/>
    <m/>
    <m/>
    <m/>
    <m/>
    <m/>
    <m/>
    <m/>
  </r>
  <r>
    <n v="744"/>
    <d v="2025-09-20T00:00:00"/>
    <s v="ZBTO"/>
    <n v="9519121602"/>
    <n v="1"/>
    <s v="9519121602-1"/>
    <s v="No Priority"/>
    <s v="Released"/>
    <x v="1"/>
    <x v="4"/>
    <x v="4"/>
    <n v="7000"/>
    <s v="1000-IPPE"/>
    <m/>
    <s v=" "/>
    <m/>
    <n v="941597"/>
    <s v="TATA BLUESCOPE STEEL PRIVATE LIMITE"/>
    <n v="3902332"/>
    <s v="PPGL C HARD Y550PL D0C9 0.50(TPT)X1220"/>
    <s v="B18"/>
    <s v="Y550PL"/>
    <s v="D0C9"/>
    <n v="0.5"/>
    <n v="1220"/>
    <n v="0"/>
    <s v="null"/>
    <s v="AZ150"/>
    <s v="BRICK RED TSL 1803"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x v="0"/>
    <s v="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8"/>
    <s v="9519123053-8"/>
    <s v="No Priority"/>
    <s v="Released"/>
    <x v="1"/>
    <x v="0"/>
    <x v="5"/>
    <m/>
    <s v="1000-IPPE"/>
    <m/>
    <s v="VILLAGE DADRA"/>
    <m/>
    <n v="189405"/>
    <s v="Balmer Lawrie And Co. Ltd."/>
    <n v="3655054"/>
    <s v="CR COIL TATXXD BT01 1.200X1215"/>
    <s v="C01"/>
    <s v="TATXXD"/>
    <s v="BT01"/>
    <n v="1.2"/>
    <n v="1215"/>
    <n v="0"/>
    <s v="null"/>
    <s v=" "/>
    <s v="null"/>
    <n v="6"/>
    <n v="10"/>
    <n v="56"/>
    <n v="0"/>
    <n v="56"/>
    <n v="56"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x v="0"/>
    <s v="M"/>
    <x v="6"/>
    <s v="C01-BT01-1.2-1215"/>
    <s v="367-SH67-3.2-1235"/>
    <x v="0"/>
    <x v="6"/>
    <x v="6"/>
    <x v="6"/>
    <x v="3"/>
    <x v="4"/>
    <x v="115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9"/>
    <s v="9519123053-9"/>
    <s v="No Priority"/>
    <s v="Released"/>
    <x v="1"/>
    <x v="0"/>
    <x v="5"/>
    <m/>
    <s v="1000-IPPE"/>
    <m/>
    <s v="VILLAGE DADRA"/>
    <m/>
    <n v="189405"/>
    <s v="Balmer Lawrie And Co. Ltd."/>
    <n v="3655053"/>
    <s v="CR COIL TATXXD BT01 0.900X1215"/>
    <s v="C01"/>
    <s v="TATXXD"/>
    <s v="BT01"/>
    <n v="0.9"/>
    <n v="1215"/>
    <n v="0"/>
    <s v="null"/>
    <s v=" "/>
    <s v="null"/>
    <n v="6"/>
    <n v="10"/>
    <n v="56"/>
    <n v="0"/>
    <n v="56"/>
    <n v="56"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x v="0"/>
    <s v="T"/>
    <x v="3"/>
    <s v="C01-BT01-0.9-1215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18"/>
    <n v="5"/>
    <s v="9519123118-5"/>
    <s v="No Priority"/>
    <s v="Released"/>
    <x v="1"/>
    <x v="0"/>
    <x v="5"/>
    <m/>
    <s v="1000-IPPE"/>
    <m/>
    <s v="CHENNAI"/>
    <m/>
    <n v="187214"/>
    <s v="BALMER LAWRIE &amp; CO. LIMITED.."/>
    <n v="2164807"/>
    <s v="CRCA COIL TATXXD BT01 1.200X1315"/>
    <s v="C01"/>
    <s v="TATXXD"/>
    <s v="BT01"/>
    <n v="1.2"/>
    <n v="1315"/>
    <n v="0"/>
    <s v="T2 DONE"/>
    <s v=" "/>
    <s v="null"/>
    <n v="6"/>
    <n v="12"/>
    <n v="60"/>
    <n v="0"/>
    <n v="60"/>
    <n v="60"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x v="0"/>
    <s v="T"/>
    <x v="3"/>
    <s v="C01-BT01-1.2-1315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67"/>
    <n v="1"/>
    <s v="9519123167-1"/>
    <s v="No Priority"/>
    <s v="Released"/>
    <x v="1"/>
    <x v="0"/>
    <x v="5"/>
    <m/>
    <s v="1000-IPPE"/>
    <m/>
    <s v="FARIDABAD"/>
    <m/>
    <n v="189430"/>
    <s v="Balmer Lawrie &amp; Co. Ltd.,"/>
    <n v="2279492"/>
    <s v="CRCA COIL TATXXD BT01 0.900X1220"/>
    <s v="C01"/>
    <s v="TATXXD"/>
    <s v="BT01"/>
    <n v="0.9"/>
    <n v="1220"/>
    <n v="0"/>
    <s v="null"/>
    <s v=" "/>
    <s v="null"/>
    <n v="8"/>
    <n v="12"/>
    <n v="28"/>
    <n v="0"/>
    <n v="28"/>
    <n v="28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x v="0"/>
    <s v="T"/>
    <x v="3"/>
    <s v="C01-BT01-0.9-12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67"/>
    <n v="2"/>
    <s v="9519123167-2"/>
    <s v="No Priority"/>
    <s v="Released"/>
    <x v="1"/>
    <x v="0"/>
    <x v="5"/>
    <m/>
    <s v="1000-IPPE"/>
    <m/>
    <s v="FARIDABAD"/>
    <m/>
    <n v="189430"/>
    <s v="Balmer Lawrie &amp; Co. Ltd.,"/>
    <n v="2170008"/>
    <s v="CRCA COIL TATXXD BT01 0.970X1220"/>
    <s v="C01"/>
    <s v="TATXXD"/>
    <s v="BT01"/>
    <n v="0.97"/>
    <n v="1220"/>
    <n v="0"/>
    <s v="null"/>
    <s v=" "/>
    <s v="null"/>
    <n v="7"/>
    <n v="12"/>
    <n v="84"/>
    <n v="0"/>
    <n v="84"/>
    <n v="84"/>
    <m/>
    <m/>
    <m/>
    <m/>
    <m/>
    <m/>
    <m/>
    <m/>
    <m/>
    <m/>
    <m/>
    <m/>
    <m/>
    <m/>
    <m/>
    <m/>
    <m/>
    <m/>
    <m/>
    <m/>
    <m/>
    <m/>
    <n v="84"/>
    <m/>
    <m/>
    <m/>
    <m/>
    <m/>
    <m/>
    <m/>
    <x v="0"/>
    <s v="T"/>
    <x v="3"/>
    <s v="C01-BT01-0.97-12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67"/>
    <n v="3"/>
    <s v="9519123167-3"/>
    <s v="No Priority"/>
    <s v="Released"/>
    <x v="1"/>
    <x v="0"/>
    <x v="5"/>
    <m/>
    <s v="1000-IPPE"/>
    <m/>
    <s v="FARIDABAD"/>
    <m/>
    <n v="189430"/>
    <s v="Balmer Lawrie &amp; Co. Ltd.,"/>
    <n v="2170030"/>
    <s v="CRCA COIL TATXXD BT01 1.200X1220"/>
    <s v="C01"/>
    <s v="TATXXD"/>
    <s v="BT01"/>
    <n v="1.2"/>
    <n v="1220"/>
    <n v="0"/>
    <s v="null"/>
    <s v=" "/>
    <s v="null"/>
    <n v="8"/>
    <n v="12"/>
    <n v="28"/>
    <n v="0"/>
    <n v="28"/>
    <n v="28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x v="0"/>
    <s v="T"/>
    <x v="6"/>
    <s v="C01-BT01-1.2-1220"/>
    <s v="367-SH67-3.2-1235"/>
    <x v="0"/>
    <x v="6"/>
    <x v="6"/>
    <x v="6"/>
    <x v="3"/>
    <x v="4"/>
    <x v="115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7"/>
    <s v="9519123053-7"/>
    <s v="No Priority"/>
    <s v="Released"/>
    <x v="1"/>
    <x v="0"/>
    <x v="5"/>
    <m/>
    <s v="1000-IPPE"/>
    <m/>
    <s v="VILLAGE DADRA"/>
    <m/>
    <n v="189405"/>
    <s v="Balmer Lawrie And Co. Ltd."/>
    <n v="3683012"/>
    <s v="CR COIL TATXXD BT01 0.970X1215"/>
    <s v="C01"/>
    <s v="TATXXD"/>
    <s v="BT01"/>
    <n v="0.97"/>
    <n v="1215"/>
    <n v="0"/>
    <s v="null"/>
    <s v=" "/>
    <s v="null"/>
    <n v="6"/>
    <n v="10"/>
    <n v="252"/>
    <n v="0"/>
    <n v="252"/>
    <n v="252"/>
    <m/>
    <m/>
    <m/>
    <m/>
    <m/>
    <m/>
    <m/>
    <m/>
    <m/>
    <m/>
    <m/>
    <m/>
    <m/>
    <m/>
    <m/>
    <m/>
    <m/>
    <m/>
    <m/>
    <m/>
    <m/>
    <m/>
    <n v="252"/>
    <m/>
    <m/>
    <m/>
    <m/>
    <m/>
    <m/>
    <m/>
    <x v="0"/>
    <s v="M"/>
    <x v="6"/>
    <s v="C01-BT01-0.97-1215"/>
    <s v="367-SH67-2.8-1235"/>
    <x v="0"/>
    <x v="6"/>
    <x v="6"/>
    <x v="6"/>
    <x v="0"/>
    <x v="4"/>
    <x v="92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25"/>
    <n v="1"/>
    <s v="9519123125-1"/>
    <s v="No Priority"/>
    <s v="Released"/>
    <x v="1"/>
    <x v="0"/>
    <x v="5"/>
    <m/>
    <s v="1000-IPPE"/>
    <m/>
    <s v="CHENNAI"/>
    <m/>
    <n v="187214"/>
    <s v="BALMER LAWRIE &amp; CO. LIMITED.."/>
    <n v="2421724"/>
    <s v="CRCA COIL TATXXD BT01 0.970X1310"/>
    <s v="C01"/>
    <s v="TATXXD"/>
    <s v="BT01"/>
    <n v="0.97"/>
    <n v="1310"/>
    <n v="0"/>
    <s v="null"/>
    <s v=" "/>
    <s v="null"/>
    <n v="6"/>
    <n v="12"/>
    <n v="60"/>
    <n v="0"/>
    <n v="60"/>
    <n v="60"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x v="0"/>
    <s v="T"/>
    <x v="6"/>
    <s v="C01-BT01-0.97-1310"/>
    <s v="367-SH67-2.8-1330"/>
    <x v="0"/>
    <x v="6"/>
    <x v="6"/>
    <x v="6"/>
    <x v="0"/>
    <x v="17"/>
    <x v="55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18"/>
    <n v="4"/>
    <s v="9519123118-4"/>
    <s v="No Priority"/>
    <s v="Released"/>
    <x v="1"/>
    <x v="0"/>
    <x v="5"/>
    <m/>
    <s v="1000-IPPE"/>
    <m/>
    <s v="CHENNAI"/>
    <m/>
    <n v="187214"/>
    <s v="BALMER LAWRIE &amp; CO. LIMITED.."/>
    <n v="2421724"/>
    <s v="CRCA COIL TATXXD BT01 0.970X1310"/>
    <s v="C01"/>
    <s v="TATXXD"/>
    <s v="BT01"/>
    <n v="0.97"/>
    <n v="1310"/>
    <n v="0"/>
    <s v="T2 DONE"/>
    <s v=" "/>
    <s v="null"/>
    <n v="6"/>
    <n v="12"/>
    <n v="60"/>
    <n v="0"/>
    <n v="60"/>
    <n v="60"/>
    <m/>
    <m/>
    <m/>
    <m/>
    <m/>
    <m/>
    <m/>
    <m/>
    <m/>
    <m/>
    <m/>
    <m/>
    <m/>
    <m/>
    <m/>
    <m/>
    <m/>
    <m/>
    <m/>
    <m/>
    <m/>
    <m/>
    <n v="60"/>
    <m/>
    <m/>
    <m/>
    <m/>
    <m/>
    <m/>
    <m/>
    <x v="0"/>
    <s v="T"/>
    <x v="6"/>
    <s v="C01-BT01-0.97-1310"/>
    <s v="367-SH67-2.8-1330"/>
    <x v="0"/>
    <x v="6"/>
    <x v="6"/>
    <x v="6"/>
    <x v="0"/>
    <x v="17"/>
    <x v="55"/>
    <m/>
    <m/>
    <m/>
    <m/>
    <m/>
    <m/>
    <m/>
    <m/>
    <m/>
    <m/>
    <m/>
    <m/>
    <m/>
    <m/>
    <m/>
    <m/>
    <m/>
    <m/>
    <m/>
    <m/>
  </r>
  <r>
    <n v="744"/>
    <d v="2025-09-20T00:00:00"/>
    <s v="ZBTO"/>
    <n v="9519121345"/>
    <n v="1"/>
    <s v="9519121345-1"/>
    <s v="No Priority"/>
    <s v="Released"/>
    <x v="1"/>
    <x v="4"/>
    <x v="4"/>
    <m/>
    <s v="1000-IPPE"/>
    <m/>
    <s v="GAMHARIA"/>
    <m/>
    <n v="940016"/>
    <s v="TATA BLUESCOPE STEEL PVT LTD.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0"/>
    <n v="196"/>
    <n v="196"/>
    <m/>
    <m/>
    <m/>
    <m/>
    <m/>
    <m/>
    <m/>
    <m/>
    <m/>
    <m/>
    <m/>
    <m/>
    <m/>
    <m/>
    <m/>
    <m/>
    <m/>
    <m/>
    <m/>
    <m/>
    <m/>
    <m/>
    <n v="196"/>
    <m/>
    <m/>
    <m/>
    <m/>
    <m/>
    <m/>
    <m/>
    <x v="0"/>
    <s v="M"/>
    <x v="3"/>
    <s v="B18-D0C7-0.31-12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3"/>
    <d v="2025-09-13T00:00:00"/>
    <s v="ZBTO"/>
    <n v="9519101481"/>
    <n v="1"/>
    <s v="Order to log"/>
    <s v="No Priority"/>
    <s v="Failed"/>
    <x v="1"/>
    <x v="1"/>
    <x v="1"/>
    <n v="4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x v="0"/>
    <m/>
    <x v="19"/>
    <s v="---"/>
    <s v="367-HG02-0-0"/>
    <x v="0"/>
    <x v="1"/>
    <x v="1"/>
    <x v="1"/>
    <x v="16"/>
    <x v="23"/>
    <x v="2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9960"/>
    <n v="1"/>
    <s v="9519119960-1"/>
    <m/>
    <s v="Released"/>
    <x v="0"/>
    <x v="0"/>
    <x v="0"/>
    <m/>
    <s v="2000-BPRS"/>
    <m/>
    <s v="JAIPUR"/>
    <s v="JPUR"/>
    <n v="116137"/>
    <s v="PELIKAN DOSSIER (P) LTD "/>
    <n v="4097019"/>
    <s v="CR COIL TATXXD AU03 0.350X900"/>
    <s v="C01"/>
    <s v="TATXXD"/>
    <s v="AU03"/>
    <n v="0.35"/>
    <n v="900"/>
    <n v="0"/>
    <s v=""/>
    <s v=" "/>
    <s v=""/>
    <n v="10"/>
    <n v="25"/>
    <n v="20.99"/>
    <n v="0"/>
    <n v="20.99"/>
    <n v="20.99"/>
    <m/>
    <m/>
    <m/>
    <m/>
    <m/>
    <m/>
    <m/>
    <m/>
    <m/>
    <m/>
    <m/>
    <m/>
    <m/>
    <m/>
    <m/>
    <m/>
    <m/>
    <m/>
    <m/>
    <n v="0"/>
    <m/>
    <n v="0"/>
    <n v="20.99"/>
    <m/>
    <m/>
    <m/>
    <m/>
    <m/>
    <m/>
    <m/>
    <x v="0"/>
    <s v="C"/>
    <x v="3"/>
    <s v="C01-AU03-0.35-900"/>
    <s v="B69-SH08-2-925"/>
    <x v="2"/>
    <x v="0"/>
    <x v="0"/>
    <x v="0"/>
    <x v="2"/>
    <x v="3"/>
    <x v="72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9960"/>
    <n v="2"/>
    <s v="9519119960-2"/>
    <m/>
    <s v="Released"/>
    <x v="0"/>
    <x v="0"/>
    <x v="0"/>
    <m/>
    <s v="2000-BPRS"/>
    <m/>
    <s v="JAIPUR"/>
    <s v="JPUR"/>
    <n v="116137"/>
    <s v="PELIKAN DOSSIER (P) LTD "/>
    <n v="1804770"/>
    <s v="CRCA COIL-TATXXD-AU03-0.4X900"/>
    <s v="C01"/>
    <s v="TATXXD"/>
    <s v="AU03"/>
    <n v="0.4"/>
    <n v="900"/>
    <n v="0"/>
    <s v=""/>
    <s v=" "/>
    <s v=""/>
    <n v="10"/>
    <n v="25"/>
    <n v="20.99"/>
    <n v="0"/>
    <n v="20.99"/>
    <n v="20.99"/>
    <m/>
    <m/>
    <m/>
    <m/>
    <m/>
    <m/>
    <m/>
    <m/>
    <m/>
    <m/>
    <m/>
    <m/>
    <m/>
    <m/>
    <m/>
    <m/>
    <m/>
    <m/>
    <m/>
    <n v="0"/>
    <m/>
    <n v="0"/>
    <n v="20.99"/>
    <m/>
    <m/>
    <m/>
    <m/>
    <m/>
    <m/>
    <m/>
    <x v="0"/>
    <s v="C"/>
    <x v="0"/>
    <s v="C01-AU03-0.4-900"/>
    <s v="B69-SH08-2-925"/>
    <x v="2"/>
    <x v="0"/>
    <x v="0"/>
    <x v="0"/>
    <x v="2"/>
    <x v="3"/>
    <x v="72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9960"/>
    <n v="3"/>
    <s v="9519119960-3"/>
    <m/>
    <s v="Released"/>
    <x v="0"/>
    <x v="0"/>
    <x v="0"/>
    <m/>
    <s v="2000-BPRS"/>
    <m/>
    <s v="JAIPUR"/>
    <s v="JPUR"/>
    <n v="116137"/>
    <s v="PELIKAN DOSSIER (P) LTD "/>
    <n v="1804789"/>
    <s v="CRCA COIL-TATXXD-AU03-0.5X900"/>
    <s v="C01"/>
    <s v="TATXXD"/>
    <s v="AU03"/>
    <n v="0.5"/>
    <n v="900"/>
    <n v="0"/>
    <s v=""/>
    <s v=" "/>
    <s v=""/>
    <n v="10"/>
    <n v="25"/>
    <n v="20.99"/>
    <n v="0"/>
    <n v="20.99"/>
    <n v="20.99"/>
    <m/>
    <m/>
    <m/>
    <m/>
    <m/>
    <m/>
    <m/>
    <m/>
    <m/>
    <m/>
    <m/>
    <m/>
    <m/>
    <m/>
    <m/>
    <m/>
    <m/>
    <m/>
    <m/>
    <n v="0"/>
    <m/>
    <n v="0"/>
    <n v="20.99"/>
    <m/>
    <m/>
    <m/>
    <m/>
    <m/>
    <m/>
    <m/>
    <x v="0"/>
    <s v="C"/>
    <x v="3"/>
    <s v="C01-AU03-0.5-90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5662"/>
    <n v="10"/>
    <s v="9519105662-10"/>
    <m/>
    <s v="Released"/>
    <x v="1"/>
    <x v="3"/>
    <x v="13"/>
    <m/>
    <s v="2000-BPRS"/>
    <m/>
    <s v="PATNA"/>
    <s v="PATN"/>
    <n v="103227"/>
    <s v="BMW VENTURES LIMITED"/>
    <n v="1851101"/>
    <s v="GP COIL SOFT-TATXGP-GK09-0.5X1220"/>
    <s v="C02"/>
    <s v="TATXGP"/>
    <s v="GK09"/>
    <n v="0.5"/>
    <n v="1220"/>
    <n v="0"/>
    <s v="T2 DONE"/>
    <s v="Z80"/>
    <s v=""/>
    <n v="2"/>
    <n v="6"/>
    <n v="56"/>
    <n v="0"/>
    <n v="56"/>
    <n v="56"/>
    <m/>
    <m/>
    <m/>
    <m/>
    <m/>
    <m/>
    <m/>
    <m/>
    <m/>
    <m/>
    <m/>
    <m/>
    <m/>
    <m/>
    <m/>
    <m/>
    <m/>
    <m/>
    <m/>
    <n v="0"/>
    <m/>
    <n v="0"/>
    <n v="56"/>
    <m/>
    <m/>
    <m/>
    <m/>
    <m/>
    <m/>
    <m/>
    <x v="0"/>
    <s v="S"/>
    <x v="8"/>
    <s v="C02-GK09-0.5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m/>
  </r>
  <r>
    <n v="742"/>
    <d v="2025-08-20T00:00:00"/>
    <s v="ZBTO"/>
    <n v="9519032508"/>
    <n v="4"/>
    <s v="9519032508-4"/>
    <m/>
    <s v="Released"/>
    <x v="0"/>
    <x v="0"/>
    <x v="5"/>
    <m/>
    <s v="2000-BPRS"/>
    <m/>
    <s v="VISHAKHAPATNAM"/>
    <s v="SBAD"/>
    <n v="946077"/>
    <s v="SITARAM IRON AND STEEL PVT LTD"/>
    <n v="3867646"/>
    <s v="CR COIL TATXXD BT04 0.600X900"/>
    <s v="C01"/>
    <s v="TATXXD"/>
    <s v="BT04"/>
    <n v="0.6"/>
    <n v="900"/>
    <n v="0"/>
    <s v="T2 DONE"/>
    <s v=" "/>
    <s v=""/>
    <n v="8"/>
    <n v="12"/>
    <n v="21"/>
    <n v="0"/>
    <n v="21"/>
    <n v="21"/>
    <m/>
    <m/>
    <m/>
    <m/>
    <m/>
    <m/>
    <m/>
    <m/>
    <m/>
    <m/>
    <m/>
    <m/>
    <m/>
    <m/>
    <m/>
    <m/>
    <m/>
    <m/>
    <m/>
    <n v="0"/>
    <m/>
    <n v="0"/>
    <n v="21"/>
    <m/>
    <m/>
    <m/>
    <m/>
    <m/>
    <m/>
    <m/>
    <x v="0"/>
    <s v="C"/>
    <x v="6"/>
    <s v="C01-BT04-0.6-900"/>
    <s v="B69-SH67-2.5-925"/>
    <x v="2"/>
    <x v="6"/>
    <x v="6"/>
    <x v="6"/>
    <x v="7"/>
    <x v="3"/>
    <x v="98"/>
    <m/>
    <m/>
    <m/>
    <m/>
    <m/>
    <m/>
    <m/>
    <m/>
    <m/>
    <m/>
    <m/>
    <m/>
    <m/>
    <m/>
    <m/>
    <m/>
    <m/>
    <m/>
    <m/>
    <m/>
  </r>
  <r>
    <n v="742"/>
    <d v="2025-09-17T00:00:00"/>
    <s v="ZBTO"/>
    <n v="9519113281"/>
    <n v="1"/>
    <s v="9519113281-1"/>
    <m/>
    <s v="Released"/>
    <x v="0"/>
    <x v="0"/>
    <x v="15"/>
    <m/>
    <s v="2000-BPRS"/>
    <m/>
    <s v="YESHWANTHPURA"/>
    <s v="BANG"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58"/>
    <m/>
    <m/>
    <m/>
    <m/>
    <m/>
    <m/>
    <m/>
    <m/>
    <m/>
    <m/>
    <m/>
    <m/>
    <m/>
    <m/>
    <m/>
    <m/>
    <m/>
    <m/>
    <m/>
    <n v="0"/>
    <m/>
    <n v="0"/>
    <n v="58"/>
    <m/>
    <m/>
    <m/>
    <m/>
    <m/>
    <m/>
    <m/>
    <x v="0"/>
    <s v="U"/>
    <x v="23"/>
    <s v="C01-AH03-0.5-1250"/>
    <s v="367-SH67-2.5-1250"/>
    <x v="0"/>
    <x v="6"/>
    <x v="6"/>
    <x v="6"/>
    <x v="7"/>
    <x v="0"/>
    <x v="68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5231"/>
    <n v="6"/>
    <s v="9519105231-6"/>
    <m/>
    <s v="Released"/>
    <x v="0"/>
    <x v="3"/>
    <x v="7"/>
    <m/>
    <s v="2000-BPRS"/>
    <m/>
    <s v="VARANASI"/>
    <s v="KANP"/>
    <n v="931525"/>
    <s v="INDIA STEEL INDUSTRIES"/>
    <n v="1142897"/>
    <s v="GP COIL SOFT-TATXGP-GLK1-0.6X900"/>
    <s v="C02"/>
    <s v="TATXGP"/>
    <s v="GLK1"/>
    <n v="0.6"/>
    <n v="900"/>
    <n v="0"/>
    <s v="T2 DONE"/>
    <s v="Z80"/>
    <s v=""/>
    <n v="3.2"/>
    <n v="5"/>
    <n v="21"/>
    <n v="0"/>
    <n v="21"/>
    <n v="21"/>
    <m/>
    <m/>
    <m/>
    <m/>
    <m/>
    <m/>
    <m/>
    <m/>
    <m/>
    <m/>
    <m/>
    <m/>
    <m/>
    <m/>
    <m/>
    <m/>
    <m/>
    <m/>
    <m/>
    <n v="0"/>
    <m/>
    <n v="0"/>
    <n v="21"/>
    <m/>
    <m/>
    <m/>
    <m/>
    <m/>
    <m/>
    <m/>
    <x v="0"/>
    <s v="S"/>
    <x v="8"/>
    <s v="C02-GLK1-0.6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5231"/>
    <n v="7"/>
    <s v="9519105231-7"/>
    <m/>
    <s v="Released"/>
    <x v="0"/>
    <x v="3"/>
    <x v="7"/>
    <m/>
    <s v="2000-BPRS"/>
    <m/>
    <s v="VARANASI"/>
    <s v="KANP"/>
    <n v="931525"/>
    <s v="INDIA STEEL INDUSTRIES"/>
    <n v="1155657"/>
    <s v="GP COIL TATXGP GLK1 0.630X900"/>
    <s v="C02"/>
    <s v="TATXGP"/>
    <s v="GLK1"/>
    <n v="0.63"/>
    <n v="900"/>
    <n v="0"/>
    <s v="T2 DONE"/>
    <s v="Z80"/>
    <s v=""/>
    <n v="3.2"/>
    <n v="5"/>
    <n v="42"/>
    <n v="0"/>
    <n v="42"/>
    <n v="42"/>
    <m/>
    <m/>
    <m/>
    <m/>
    <m/>
    <m/>
    <m/>
    <m/>
    <m/>
    <m/>
    <m/>
    <m/>
    <m/>
    <m/>
    <m/>
    <m/>
    <m/>
    <m/>
    <m/>
    <n v="0"/>
    <m/>
    <n v="0"/>
    <n v="42"/>
    <m/>
    <m/>
    <m/>
    <m/>
    <m/>
    <m/>
    <m/>
    <x v="0"/>
    <s v="S"/>
    <x v="8"/>
    <s v="C02-GLK1-0.63-900"/>
    <s v="B69-HG02-2.5-925"/>
    <x v="2"/>
    <x v="1"/>
    <x v="1"/>
    <x v="1"/>
    <x v="7"/>
    <x v="3"/>
    <x v="25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7"/>
    <s v="9519097437-7"/>
    <m/>
    <s v="Released"/>
    <x v="0"/>
    <x v="0"/>
    <x v="6"/>
    <m/>
    <s v="2000-BPRS"/>
    <m/>
    <s v="WEST BOKARO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5"/>
    <n v="3.2"/>
    <n v="115"/>
    <n v="0"/>
    <n v="115"/>
    <n v="115"/>
    <m/>
    <m/>
    <m/>
    <m/>
    <m/>
    <m/>
    <m/>
    <m/>
    <m/>
    <m/>
    <m/>
    <m/>
    <m/>
    <m/>
    <m/>
    <m/>
    <m/>
    <m/>
    <m/>
    <n v="0"/>
    <m/>
    <n v="0"/>
    <n v="115"/>
    <m/>
    <m/>
    <m/>
    <m/>
    <m/>
    <m/>
    <m/>
    <x v="0"/>
    <s v="R"/>
    <x v="7"/>
    <s v="C06-SR16-0.4-1000"/>
    <s v="B69-SH67-2.25-1025"/>
    <x v="2"/>
    <x v="6"/>
    <x v="6"/>
    <x v="6"/>
    <x v="4"/>
    <x v="7"/>
    <x v="29"/>
    <m/>
    <m/>
    <m/>
    <m/>
    <m/>
    <m/>
    <m/>
    <m/>
    <m/>
    <m/>
    <m/>
    <m/>
    <m/>
    <m/>
    <m/>
    <m/>
    <m/>
    <m/>
    <m/>
    <m/>
  </r>
  <r>
    <n v="743"/>
    <d v="2025-09-16T00:00:00"/>
    <s v="ZBTO"/>
    <n v="9519107794"/>
    <n v="1"/>
    <s v="9519107794-1"/>
    <m/>
    <s v="Released"/>
    <x v="1"/>
    <x v="1"/>
    <x v="4"/>
    <m/>
    <s v="1000-IPPE"/>
    <m/>
    <s v="TATANAGAR"/>
    <s v="BOMB"/>
    <n v="942284"/>
    <s v="TATA BLUESCOPE STEEL PRIVATE LIMITE"/>
    <n v="4108810"/>
    <s v="GL COIL HARD  Y550GL M310 0.350X1220"/>
    <s v="B04"/>
    <s v="Y550GL"/>
    <s v="M310"/>
    <n v="0.35"/>
    <n v="1220"/>
    <n v="0"/>
    <s v=""/>
    <s v="AZ150"/>
    <s v="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R"/>
    <x v="22"/>
    <s v="B04-M310-0.3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m/>
  </r>
  <r>
    <n v="742"/>
    <d v="2025-09-19T00:00:00"/>
    <s v="ZBTF"/>
    <n v="9519120008"/>
    <n v="1"/>
    <s v="9519120008-1"/>
    <m/>
    <s v="Released"/>
    <x v="1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m/>
    <m/>
    <m/>
    <m/>
    <m/>
    <m/>
    <m/>
    <m/>
    <m/>
    <m/>
    <m/>
    <m/>
    <m/>
    <m/>
    <m/>
    <m/>
    <m/>
    <m/>
    <m/>
    <n v="0"/>
    <m/>
    <n v="0"/>
    <n v="297"/>
    <m/>
    <m/>
    <m/>
    <m/>
    <m/>
    <m/>
    <m/>
    <x v="0"/>
    <s v="T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m/>
  </r>
  <r>
    <n v="742"/>
    <d v="2025-09-19T00:00:00"/>
    <s v="ZBTF"/>
    <n v="9519120008"/>
    <n v="2"/>
    <s v="9519120008-2"/>
    <m/>
    <s v="Released"/>
    <x v="1"/>
    <x v="0"/>
    <x v="9"/>
    <m/>
    <s v="1000-IPPE"/>
    <m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m/>
    <m/>
    <m/>
    <m/>
    <m/>
    <m/>
    <m/>
    <m/>
    <m/>
    <m/>
    <m/>
    <m/>
    <m/>
    <m/>
    <m/>
    <m/>
    <m/>
    <m/>
    <m/>
    <n v="0"/>
    <m/>
    <n v="0"/>
    <n v="297"/>
    <m/>
    <m/>
    <m/>
    <m/>
    <m/>
    <m/>
    <m/>
    <x v="0"/>
    <s v="T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2309"/>
    <n v="1"/>
    <s v="9519132309-1"/>
    <m/>
    <s v="Released"/>
    <x v="1"/>
    <x v="3"/>
    <x v="13"/>
    <m/>
    <s v="2000-BPRS"/>
    <m/>
    <s v="AHMEDABAD"/>
    <s v="BOMB"/>
    <n v="931911"/>
    <s v="Hitkar Enterprises"/>
    <n v="1854399"/>
    <s v="GP COIL SOFT-TATXGP-GK09-0.35X1220"/>
    <s v="C02"/>
    <s v="TATXGP"/>
    <s v="GK09"/>
    <n v="0.35"/>
    <n v="1220"/>
    <n v="0"/>
    <s v=""/>
    <s v="Z80"/>
    <s v="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R"/>
    <x v="8"/>
    <s v="C02-GK09-0.35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2309"/>
    <n v="2"/>
    <s v="9519132309-2"/>
    <m/>
    <s v="Released"/>
    <x v="1"/>
    <x v="3"/>
    <x v="13"/>
    <m/>
    <s v="2000-BPRS"/>
    <m/>
    <s v="AHMEDABAD"/>
    <s v="BOMB"/>
    <n v="931911"/>
    <s v="Hitkar Enterprises"/>
    <n v="1854410"/>
    <s v="GP COIL SOFT-TATXGP-GK09-0.4X1220"/>
    <s v="C02"/>
    <s v="TATXGP"/>
    <s v="GK09"/>
    <n v="0.4"/>
    <n v="1220"/>
    <n v="0"/>
    <s v=""/>
    <s v="Z80"/>
    <s v="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R"/>
    <x v="8"/>
    <s v="C02-GK09-0.4-1220"/>
    <s v="367-HG02-2.25-1235"/>
    <x v="0"/>
    <x v="1"/>
    <x v="1"/>
    <x v="1"/>
    <x v="4"/>
    <x v="4"/>
    <x v="12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2309"/>
    <n v="3"/>
    <s v="9519132309-3"/>
    <m/>
    <s v="Released"/>
    <x v="1"/>
    <x v="3"/>
    <x v="13"/>
    <m/>
    <s v="2000-BPRS"/>
    <m/>
    <s v="AHMEDABAD"/>
    <s v="BOMB"/>
    <n v="931911"/>
    <s v="Hitkar Enterprises"/>
    <n v="1851097"/>
    <s v="GP COIL SOFT-TATXGP-GK09-0.45X1220"/>
    <s v="C02"/>
    <s v="TATXGP"/>
    <s v="GK09"/>
    <n v="0.45"/>
    <n v="1220"/>
    <n v="0"/>
    <s v=""/>
    <s v="Z80"/>
    <s v="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R"/>
    <x v="8"/>
    <s v="C02-GK09-0.45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2309"/>
    <n v="4"/>
    <s v="9519132309-4"/>
    <m/>
    <s v="Released"/>
    <x v="1"/>
    <x v="3"/>
    <x v="13"/>
    <m/>
    <s v="2000-BPRS"/>
    <m/>
    <s v="AHMEDABAD"/>
    <s v="BOMB"/>
    <n v="931911"/>
    <s v="Hitkar Enterprises"/>
    <n v="1851101"/>
    <s v="GP COIL SOFT-TATXGP-GK09-0.5X1220"/>
    <s v="C02"/>
    <s v="TATXGP"/>
    <s v="GK09"/>
    <n v="0.5"/>
    <n v="1220"/>
    <n v="0"/>
    <s v=""/>
    <s v="Z80"/>
    <s v="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R"/>
    <x v="8"/>
    <s v="C02-GK09-0.5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2309"/>
    <n v="5"/>
    <s v="9519132309-5"/>
    <m/>
    <s v="Released"/>
    <x v="1"/>
    <x v="3"/>
    <x v="13"/>
    <m/>
    <s v="2000-BPRS"/>
    <m/>
    <s v="AHMEDABAD"/>
    <s v="BOMB"/>
    <n v="931911"/>
    <s v="Hitkar Enterprises"/>
    <n v="1334725"/>
    <s v="GP COIL SOFT-TATXGP-GK09-0.6X1220"/>
    <s v="C02"/>
    <s v="TATXGP"/>
    <s v="GK09"/>
    <n v="0.6"/>
    <n v="1220"/>
    <n v="0"/>
    <s v=""/>
    <s v="Z80"/>
    <s v="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R"/>
    <x v="8"/>
    <s v="C02-GK09-0.6-1220"/>
    <s v="367-HG02-2.5-1235"/>
    <x v="0"/>
    <x v="1"/>
    <x v="1"/>
    <x v="1"/>
    <x v="7"/>
    <x v="4"/>
    <x v="22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0976"/>
    <n v="1"/>
    <s v="9519130976-1"/>
    <m/>
    <s v="Released"/>
    <x v="1"/>
    <x v="3"/>
    <x v="13"/>
    <m/>
    <s v="2000-BPRS"/>
    <m/>
    <s v="SIYAGANJ"/>
    <s v="INDR"/>
    <n v="944695"/>
    <s v="ANM ISPAT PRIVATE LIMITED"/>
    <n v="1851102"/>
    <s v="GP COIL SOFT-TATXGP-GK09-0.5X1250"/>
    <s v="C02"/>
    <s v="TATXGP"/>
    <s v="GK09"/>
    <n v="0.5"/>
    <n v="1250"/>
    <n v="0"/>
    <s v=""/>
    <s v="Z80"/>
    <s v=""/>
    <n v="3"/>
    <n v="5"/>
    <n v="29"/>
    <n v="0"/>
    <n v="29"/>
    <n v="29"/>
    <m/>
    <m/>
    <m/>
    <m/>
    <m/>
    <m/>
    <m/>
    <m/>
    <m/>
    <m/>
    <m/>
    <m/>
    <m/>
    <m/>
    <m/>
    <m/>
    <m/>
    <m/>
    <m/>
    <n v="0"/>
    <m/>
    <n v="0"/>
    <n v="29"/>
    <m/>
    <m/>
    <m/>
    <m/>
    <m/>
    <m/>
    <m/>
    <x v="0"/>
    <s v="M"/>
    <x v="8"/>
    <s v="C02-GK09-0.5-1250"/>
    <s v="367-HG02-2.5-1265"/>
    <x v="0"/>
    <x v="1"/>
    <x v="1"/>
    <x v="1"/>
    <x v="7"/>
    <x v="1"/>
    <x v="89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0976"/>
    <n v="2"/>
    <s v="9519130976-2"/>
    <m/>
    <s v="Released"/>
    <x v="1"/>
    <x v="3"/>
    <x v="13"/>
    <m/>
    <s v="2000-BPRS"/>
    <m/>
    <s v="SIYAGANJ"/>
    <s v="INDR"/>
    <n v="944695"/>
    <s v="ANM ISPAT PRIVATE LIMITED"/>
    <n v="1851106"/>
    <s v="GP COIL SOFT-TATXGP-GK09-0.6X1250"/>
    <s v="C02"/>
    <s v="TATXGP"/>
    <s v="GK09"/>
    <n v="0.6"/>
    <n v="1250"/>
    <n v="0"/>
    <s v=""/>
    <s v="Z80"/>
    <s v=""/>
    <n v="3"/>
    <n v="5"/>
    <n v="29"/>
    <n v="0"/>
    <n v="29"/>
    <n v="29"/>
    <m/>
    <m/>
    <m/>
    <m/>
    <m/>
    <m/>
    <m/>
    <m/>
    <m/>
    <m/>
    <m/>
    <m/>
    <m/>
    <m/>
    <m/>
    <m/>
    <m/>
    <m/>
    <m/>
    <n v="0"/>
    <m/>
    <n v="0"/>
    <n v="29"/>
    <m/>
    <m/>
    <m/>
    <m/>
    <m/>
    <m/>
    <m/>
    <x v="0"/>
    <s v="M"/>
    <x v="8"/>
    <s v="C02-GK09-0.6-1250"/>
    <s v="367-HG02-2.5-1265"/>
    <x v="0"/>
    <x v="1"/>
    <x v="1"/>
    <x v="1"/>
    <x v="7"/>
    <x v="1"/>
    <x v="89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7868"/>
    <n v="7"/>
    <s v="9519107868-7"/>
    <m/>
    <s v="Released"/>
    <x v="0"/>
    <x v="0"/>
    <x v="0"/>
    <m/>
    <s v="2000-BPRS"/>
    <m/>
    <s v="PATTANCHERY"/>
    <s v="SBAD"/>
    <n v="939422"/>
    <s v="VIJAY VENKAT STEELS PRIVATE LIMITED"/>
    <n v="2396818"/>
    <s v="CRCA COIL TATCRC TR15 0.700X1120"/>
    <s v="C01"/>
    <s v="TATCRC"/>
    <s v="TR15"/>
    <n v="0.7"/>
    <n v="1120"/>
    <n v="0"/>
    <s v=""/>
    <s v=" "/>
    <s v=""/>
    <n v="10"/>
    <n v="30"/>
    <n v="26"/>
    <n v="0"/>
    <n v="26"/>
    <n v="26"/>
    <m/>
    <m/>
    <m/>
    <m/>
    <m/>
    <m/>
    <m/>
    <m/>
    <m/>
    <m/>
    <m/>
    <m/>
    <m/>
    <m/>
    <m/>
    <m/>
    <m/>
    <m/>
    <m/>
    <n v="0"/>
    <m/>
    <n v="0"/>
    <n v="26"/>
    <m/>
    <m/>
    <m/>
    <m/>
    <m/>
    <m/>
    <m/>
    <x v="0"/>
    <s v="C"/>
    <x v="3"/>
    <s v="C01-TR15-0.7-1120"/>
    <s v="367-SF98-2.8-1130"/>
    <x v="0"/>
    <x v="11"/>
    <x v="11"/>
    <x v="11"/>
    <x v="0"/>
    <x v="21"/>
    <x v="2"/>
    <m/>
    <m/>
    <m/>
    <m/>
    <m/>
    <m/>
    <m/>
    <m/>
    <m/>
    <m/>
    <m/>
    <m/>
    <m/>
    <m/>
    <m/>
    <m/>
    <m/>
    <m/>
    <m/>
    <m/>
  </r>
  <r>
    <n v="742"/>
    <d v="2025-09-11T00:00:00"/>
    <s v="ZBTO"/>
    <n v="9519096071"/>
    <n v="4"/>
    <s v="9519096071-4"/>
    <m/>
    <s v="Released"/>
    <x v="0"/>
    <x v="0"/>
    <x v="6"/>
    <m/>
    <s v="2000-BPRS"/>
    <m/>
    <s v=" "/>
    <s v="JAMS"/>
    <n v="121328"/>
    <s v="R. S. BOKARO METAL (P) LTD."/>
    <n v="3239560"/>
    <s v="CRCA SHEET TATCRC SR16 0.450X900X2500"/>
    <s v="C06"/>
    <s v="TATCRC"/>
    <s v="SR16"/>
    <n v="0.45"/>
    <n v="900"/>
    <n v="2500"/>
    <s v="T2 DONE"/>
    <s v=" "/>
    <s v=""/>
    <n v="2.5"/>
    <n v="3.2"/>
    <n v="21"/>
    <n v="0"/>
    <n v="21"/>
    <n v="21"/>
    <m/>
    <m/>
    <m/>
    <m/>
    <m/>
    <m/>
    <m/>
    <m/>
    <m/>
    <m/>
    <m/>
    <m/>
    <m/>
    <m/>
    <m/>
    <m/>
    <m/>
    <m/>
    <m/>
    <n v="0"/>
    <m/>
    <n v="0"/>
    <n v="21"/>
    <m/>
    <m/>
    <m/>
    <m/>
    <m/>
    <m/>
    <m/>
    <x v="0"/>
    <s v="R"/>
    <x v="19"/>
    <s v="C06-SR16-0.45-900"/>
    <s v="B69-SH67-2.25-925"/>
    <x v="2"/>
    <x v="6"/>
    <x v="6"/>
    <x v="6"/>
    <x v="4"/>
    <x v="3"/>
    <x v="56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8457"/>
    <n v="2"/>
    <s v="9519128457-2"/>
    <m/>
    <s v="Failed"/>
    <x v="0"/>
    <x v="0"/>
    <x v="0"/>
    <m/>
    <n v="2000"/>
    <s v="NORTH"/>
    <m/>
    <m/>
    <n v="931525"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m/>
    <m/>
    <m/>
    <m/>
    <m/>
    <m/>
    <m/>
    <m/>
    <m/>
    <m/>
    <m/>
    <m/>
    <m/>
    <m/>
    <m/>
    <m/>
    <m/>
    <m/>
    <m/>
    <n v="0"/>
    <m/>
    <n v="0"/>
    <n v="23"/>
    <m/>
    <m/>
    <m/>
    <m/>
    <m/>
    <m/>
    <m/>
    <x v="0"/>
    <s v="Trimming at PLTCM"/>
    <x v="0"/>
    <s v="C01-TR15-0.6-1000"/>
    <s v="B69-SF98-2.5-1025"/>
    <x v="2"/>
    <x v="11"/>
    <x v="11"/>
    <x v="11"/>
    <x v="7"/>
    <x v="7"/>
    <x v="123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9002"/>
    <n v="1"/>
    <s v="9519129002-1"/>
    <m/>
    <s v="Failed"/>
    <x v="0"/>
    <x v="0"/>
    <x v="0"/>
    <m/>
    <n v="2000"/>
    <s v="SOUTH"/>
    <m/>
    <m/>
    <n v="947126"/>
    <s v="RAVINDRA IRON WORKS"/>
    <n v="1804914"/>
    <s v="CRCA COIL TATCRC TR15 0.6X1000"/>
    <s v="C01"/>
    <s v="TATCRC"/>
    <s v="TR15"/>
    <n v="0.6"/>
    <n v="1000"/>
    <n v="0"/>
    <m/>
    <m/>
    <m/>
    <n v="10"/>
    <n v="30"/>
    <n v="23"/>
    <n v="0"/>
    <n v="23"/>
    <n v="23"/>
    <m/>
    <m/>
    <m/>
    <m/>
    <m/>
    <m/>
    <m/>
    <m/>
    <m/>
    <m/>
    <m/>
    <m/>
    <m/>
    <m/>
    <m/>
    <m/>
    <m/>
    <m/>
    <m/>
    <n v="0"/>
    <m/>
    <n v="0"/>
    <n v="23"/>
    <m/>
    <m/>
    <m/>
    <m/>
    <m/>
    <m/>
    <m/>
    <x v="0"/>
    <s v="C"/>
    <x v="0"/>
    <s v="C01-TR15-0.6-1000"/>
    <s v="B69-SF98-2.5-1025"/>
    <x v="2"/>
    <x v="11"/>
    <x v="11"/>
    <x v="11"/>
    <x v="7"/>
    <x v="7"/>
    <x v="123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00"/>
    <n v="1"/>
    <s v="9519123100-1"/>
    <m/>
    <s v="Failed"/>
    <x v="0"/>
    <x v="0"/>
    <x v="5"/>
    <m/>
    <n v="1000"/>
    <s v="SOUTH"/>
    <m/>
    <m/>
    <n v="188238"/>
    <s v="BALMER LAWRIE &amp; CO. LIMITED"/>
    <n v="3767518"/>
    <s v="CR COIL TATXXD BT02 0.630X920"/>
    <s v="C01"/>
    <s v="TATXXD"/>
    <s v="BT02"/>
    <n v="0.63"/>
    <n v="920"/>
    <n v="0"/>
    <m/>
    <m/>
    <m/>
    <n v="7"/>
    <n v="10"/>
    <n v="42"/>
    <n v="0"/>
    <n v="42"/>
    <n v="42"/>
    <m/>
    <m/>
    <m/>
    <m/>
    <m/>
    <m/>
    <m/>
    <m/>
    <m/>
    <m/>
    <m/>
    <m/>
    <m/>
    <m/>
    <m/>
    <m/>
    <m/>
    <m/>
    <m/>
    <n v="0"/>
    <m/>
    <n v="0"/>
    <n v="42"/>
    <m/>
    <m/>
    <m/>
    <m/>
    <m/>
    <m/>
    <m/>
    <x v="0"/>
    <s v="Trimming ( for CRC"/>
    <x v="3"/>
    <s v="C01-BT02-0.63-920"/>
    <s v="na---"/>
    <x v="3"/>
    <x v="5"/>
    <x v="5"/>
    <x v="5"/>
    <x v="5"/>
    <x v="5"/>
    <x v="2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8457"/>
    <n v="1"/>
    <s v="9519128457-1"/>
    <m/>
    <s v="Failed"/>
    <x v="0"/>
    <x v="0"/>
    <x v="0"/>
    <m/>
    <n v="2000"/>
    <s v="NORTH"/>
    <m/>
    <m/>
    <n v="931525"/>
    <s v="INDIA STEEL INDUSTRIES"/>
    <n v="1804927"/>
    <s v="CRCA COIL-TATCRC-TR15-0.8X1000"/>
    <s v="C01"/>
    <s v="TATCRC"/>
    <s v="TR15"/>
    <n v="0.8"/>
    <n v="1000"/>
    <n v="0"/>
    <m/>
    <m/>
    <m/>
    <n v="10"/>
    <n v="25"/>
    <n v="23"/>
    <n v="0"/>
    <n v="23"/>
    <n v="23"/>
    <m/>
    <m/>
    <m/>
    <m/>
    <m/>
    <m/>
    <m/>
    <m/>
    <m/>
    <m/>
    <m/>
    <m/>
    <m/>
    <m/>
    <m/>
    <m/>
    <m/>
    <m/>
    <m/>
    <n v="0"/>
    <m/>
    <n v="0"/>
    <n v="23"/>
    <m/>
    <m/>
    <m/>
    <m/>
    <m/>
    <m/>
    <m/>
    <x v="0"/>
    <s v="Trimming at PLTCM"/>
    <x v="0"/>
    <s v="C01-TR15-0.8-1000"/>
    <s v="B69-SF98-2.8-1025"/>
    <x v="2"/>
    <x v="11"/>
    <x v="11"/>
    <x v="11"/>
    <x v="0"/>
    <x v="7"/>
    <x v="127"/>
    <m/>
    <m/>
    <m/>
    <m/>
    <m/>
    <m/>
    <m/>
    <m/>
    <m/>
    <m/>
    <m/>
    <m/>
    <m/>
    <m/>
    <m/>
    <m/>
    <m/>
    <m/>
    <m/>
    <m/>
  </r>
  <r>
    <n v="742"/>
    <d v="2025-08-22T00:00:00"/>
    <s v="ZBTO"/>
    <n v="9519038135"/>
    <n v="12"/>
    <s v="9519038135-12"/>
    <m/>
    <s v="Failed"/>
    <x v="0"/>
    <x v="0"/>
    <x v="0"/>
    <m/>
    <n v="2000"/>
    <s v="SOUTH"/>
    <m/>
    <m/>
    <n v="116465"/>
    <s v="SRI BALAJI STEEL TRADERS"/>
    <n v="3533096"/>
    <s v="CRSHEET C06 TATXXD AU03 1.6X1250X2500"/>
    <s v="C06"/>
    <s v="TATXXD"/>
    <s v="AU03"/>
    <n v="1.6"/>
    <n v="1250"/>
    <n v="2500"/>
    <m/>
    <m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n v="0"/>
    <m/>
    <n v="0"/>
    <n v="58"/>
    <m/>
    <m/>
    <m/>
    <m/>
    <m/>
    <m/>
    <m/>
    <x v="0"/>
    <s v="Trimming only at RCL"/>
    <x v="0"/>
    <s v="C06-AU03-1.6-1250"/>
    <s v="367-SH08-4-1260"/>
    <x v="0"/>
    <x v="0"/>
    <x v="0"/>
    <x v="0"/>
    <x v="10"/>
    <x v="10"/>
    <x v="93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9174"/>
    <n v="8"/>
    <s v="9519129174-8"/>
    <m/>
    <s v="Failed"/>
    <x v="0"/>
    <x v="0"/>
    <x v="0"/>
    <m/>
    <n v="2000"/>
    <s v="SOUTH"/>
    <m/>
    <m/>
    <n v="947126"/>
    <s v="RAVINDRA IRON WORKS"/>
    <n v="2155233"/>
    <s v="CRCA COIL TATXXD AU03 2.5X1250"/>
    <s v="C01"/>
    <s v="TATXXD"/>
    <s v="AU03"/>
    <n v="2.5"/>
    <n v="1250"/>
    <n v="0"/>
    <m/>
    <m/>
    <m/>
    <n v="6"/>
    <n v="18"/>
    <n v="29"/>
    <n v="0"/>
    <n v="29"/>
    <n v="29"/>
    <m/>
    <m/>
    <m/>
    <m/>
    <m/>
    <m/>
    <m/>
    <m/>
    <m/>
    <m/>
    <m/>
    <m/>
    <m/>
    <m/>
    <m/>
    <m/>
    <m/>
    <m/>
    <m/>
    <n v="0"/>
    <m/>
    <n v="0"/>
    <n v="29"/>
    <m/>
    <m/>
    <m/>
    <m/>
    <m/>
    <m/>
    <m/>
    <x v="0"/>
    <s v="Untrimmed edge"/>
    <x v="0"/>
    <s v="C01-AU03-2.5-1250"/>
    <s v="367-SH08-5-1250"/>
    <x v="0"/>
    <x v="0"/>
    <x v="0"/>
    <x v="0"/>
    <x v="12"/>
    <x v="0"/>
    <x v="112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9174"/>
    <n v="7"/>
    <s v="9519129174-7"/>
    <m/>
    <s v="Failed"/>
    <x v="0"/>
    <x v="0"/>
    <x v="0"/>
    <m/>
    <n v="2000"/>
    <s v="SOUTH"/>
    <m/>
    <m/>
    <n v="947126"/>
    <s v="RAVINDRA IRON WORKS"/>
    <n v="1884117"/>
    <s v="CRCA COIL-TATXXD-AU03-2X1250"/>
    <s v="C01"/>
    <s v="TATXXD"/>
    <s v="AU03"/>
    <n v="2"/>
    <n v="1250"/>
    <n v="0"/>
    <m/>
    <m/>
    <m/>
    <n v="6"/>
    <n v="18"/>
    <n v="29"/>
    <n v="0"/>
    <n v="29"/>
    <n v="29"/>
    <m/>
    <m/>
    <m/>
    <m/>
    <m/>
    <m/>
    <m/>
    <m/>
    <m/>
    <m/>
    <m/>
    <m/>
    <m/>
    <m/>
    <m/>
    <m/>
    <m/>
    <m/>
    <m/>
    <n v="0"/>
    <m/>
    <n v="0"/>
    <n v="29"/>
    <m/>
    <m/>
    <m/>
    <m/>
    <m/>
    <m/>
    <m/>
    <x v="0"/>
    <s v="Untrimmed edge"/>
    <x v="0"/>
    <s v="C01-AU03-2-1250"/>
    <s v="367-SH08-4.5-1260"/>
    <x v="0"/>
    <x v="0"/>
    <x v="0"/>
    <x v="0"/>
    <x v="9"/>
    <x v="10"/>
    <x v="42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9174"/>
    <n v="6"/>
    <s v="9519129174-6"/>
    <m/>
    <s v="Failed"/>
    <x v="0"/>
    <x v="0"/>
    <x v="0"/>
    <m/>
    <n v="2000"/>
    <s v="SOUTH"/>
    <m/>
    <m/>
    <n v="947126"/>
    <s v="RAVINDRA IRON WORKS"/>
    <n v="1804854"/>
    <s v="CRCA COIL-TATXXD-AU03-1.2X1250"/>
    <s v="C01"/>
    <s v="TATXXD"/>
    <s v="AU03"/>
    <n v="1.2"/>
    <n v="1250"/>
    <n v="0"/>
    <m/>
    <m/>
    <m/>
    <n v="6"/>
    <n v="18"/>
    <n v="29"/>
    <n v="0"/>
    <n v="29"/>
    <n v="29"/>
    <m/>
    <m/>
    <m/>
    <m/>
    <m/>
    <m/>
    <m/>
    <m/>
    <m/>
    <m/>
    <m/>
    <m/>
    <m/>
    <m/>
    <m/>
    <m/>
    <m/>
    <m/>
    <m/>
    <n v="0"/>
    <m/>
    <n v="0"/>
    <n v="29"/>
    <m/>
    <m/>
    <m/>
    <m/>
    <m/>
    <m/>
    <m/>
    <x v="0"/>
    <s v="Untrimmed edge"/>
    <x v="0"/>
    <s v="C01-AU03-1.2-1250"/>
    <s v="367-SH08-3.2-1250"/>
    <x v="0"/>
    <x v="0"/>
    <x v="0"/>
    <x v="0"/>
    <x v="3"/>
    <x v="0"/>
    <x v="58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9174"/>
    <n v="5"/>
    <s v="9519129174-5"/>
    <m/>
    <s v="Failed"/>
    <x v="0"/>
    <x v="0"/>
    <x v="0"/>
    <m/>
    <n v="2000"/>
    <s v="SOUTH"/>
    <m/>
    <m/>
    <n v="947126"/>
    <s v="RAVINDRA IRON WORKS"/>
    <n v="1804852"/>
    <s v="CRCA COIL-TATXXD-AU03-1.2X1000"/>
    <s v="C01"/>
    <s v="TATXXD"/>
    <s v="AU03"/>
    <n v="1.2"/>
    <n v="1000"/>
    <n v="0"/>
    <m/>
    <m/>
    <m/>
    <n v="7"/>
    <n v="30"/>
    <n v="23"/>
    <n v="0"/>
    <n v="23"/>
    <n v="23"/>
    <m/>
    <m/>
    <m/>
    <m/>
    <m/>
    <m/>
    <m/>
    <m/>
    <m/>
    <m/>
    <m/>
    <m/>
    <m/>
    <m/>
    <m/>
    <m/>
    <m/>
    <m/>
    <m/>
    <n v="0"/>
    <m/>
    <n v="0"/>
    <n v="23"/>
    <m/>
    <m/>
    <m/>
    <m/>
    <m/>
    <m/>
    <m/>
    <x v="0"/>
    <s v="C"/>
    <x v="0"/>
    <s v="C01-AU03-1.2-1000"/>
    <s v="B69-SH08-3.2-1025"/>
    <x v="2"/>
    <x v="0"/>
    <x v="0"/>
    <x v="0"/>
    <x v="3"/>
    <x v="7"/>
    <x v="62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9174"/>
    <n v="3"/>
    <s v="9519129174-3"/>
    <m/>
    <s v="Failed"/>
    <x v="0"/>
    <x v="0"/>
    <x v="0"/>
    <m/>
    <n v="2000"/>
    <s v="SOUTH"/>
    <m/>
    <m/>
    <n v="947126"/>
    <s v="RAVINDRA IRON WORKS"/>
    <n v="1804842"/>
    <s v="CRCA COIL-TATXXD-AU03-1X1000"/>
    <s v="C01"/>
    <s v="TATXXD"/>
    <s v="AU03"/>
    <n v="1"/>
    <n v="1000"/>
    <n v="0"/>
    <m/>
    <m/>
    <m/>
    <n v="6"/>
    <n v="18"/>
    <n v="23"/>
    <n v="0"/>
    <n v="23"/>
    <n v="23"/>
    <m/>
    <m/>
    <m/>
    <m/>
    <m/>
    <m/>
    <m/>
    <m/>
    <m/>
    <m/>
    <m/>
    <m/>
    <m/>
    <m/>
    <m/>
    <m/>
    <m/>
    <m/>
    <m/>
    <n v="0"/>
    <m/>
    <n v="0"/>
    <n v="23"/>
    <m/>
    <m/>
    <m/>
    <m/>
    <m/>
    <m/>
    <m/>
    <x v="0"/>
    <s v="Trimming only at RCL"/>
    <x v="0"/>
    <s v="C01-AU03-1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9174"/>
    <n v="2"/>
    <s v="9519129174-2"/>
    <m/>
    <s v="Failed"/>
    <x v="0"/>
    <x v="0"/>
    <x v="0"/>
    <m/>
    <n v="2000"/>
    <s v="SOUTH"/>
    <m/>
    <m/>
    <n v="947126"/>
    <s v="RAVINDRA IRON WORKS"/>
    <n v="1804814"/>
    <s v="CRCA COIL TATXXD AU03 0.8X1250"/>
    <s v="C01"/>
    <s v="TATXXD"/>
    <s v="AU03"/>
    <n v="0.8"/>
    <n v="1250"/>
    <n v="0"/>
    <m/>
    <m/>
    <m/>
    <n v="6"/>
    <n v="18"/>
    <n v="58"/>
    <n v="0"/>
    <n v="58"/>
    <n v="58"/>
    <m/>
    <m/>
    <m/>
    <m/>
    <m/>
    <m/>
    <m/>
    <m/>
    <m/>
    <m/>
    <m/>
    <m/>
    <m/>
    <m/>
    <m/>
    <m/>
    <m/>
    <m/>
    <m/>
    <n v="0"/>
    <m/>
    <n v="0"/>
    <n v="58"/>
    <m/>
    <m/>
    <m/>
    <m/>
    <m/>
    <m/>
    <m/>
    <x v="0"/>
    <s v="Trimming only at RCL"/>
    <x v="0"/>
    <s v="C01-AU03-0.8-1250"/>
    <s v="367-SH08-2.8-1250"/>
    <x v="0"/>
    <x v="0"/>
    <x v="0"/>
    <x v="0"/>
    <x v="0"/>
    <x v="0"/>
    <x v="0"/>
    <m/>
    <m/>
    <m/>
    <m/>
    <m/>
    <m/>
    <m/>
    <m/>
    <m/>
    <m/>
    <m/>
    <m/>
    <m/>
    <m/>
    <m/>
    <m/>
    <m/>
    <m/>
    <m/>
    <m/>
  </r>
  <r>
    <n v="742"/>
    <e v="#N/A"/>
    <s v="ZBTO"/>
    <n v="9518957902"/>
    <n v="1"/>
    <s v="9518957902-1"/>
    <m/>
    <s v="Failed"/>
    <x v="0"/>
    <x v="0"/>
    <x v="0"/>
    <m/>
    <n v="2000"/>
    <s v="NORTH"/>
    <m/>
    <m/>
    <n v="831432"/>
    <s v="FERRO STEEL SOLUTIONS"/>
    <n v="1804908"/>
    <e v="#N/A"/>
    <s v="C01"/>
    <e v="#N/A"/>
    <s v="TR15"/>
    <n v="0.5"/>
    <n v="1250"/>
    <n v="0"/>
    <m/>
    <m/>
    <m/>
    <n v="10"/>
    <n v="27"/>
    <n v="232"/>
    <n v="0"/>
    <n v="232"/>
    <n v="232"/>
    <m/>
    <m/>
    <m/>
    <m/>
    <m/>
    <m/>
    <m/>
    <m/>
    <m/>
    <m/>
    <m/>
    <m/>
    <m/>
    <m/>
    <m/>
    <m/>
    <m/>
    <m/>
    <m/>
    <n v="0"/>
    <m/>
    <n v="0"/>
    <n v="232"/>
    <m/>
    <m/>
    <m/>
    <m/>
    <m/>
    <m/>
    <m/>
    <x v="0"/>
    <s v="U"/>
    <x v="0"/>
    <s v="C01-TR15-0.5-1250"/>
    <s v="367-SF98-2.25-1250"/>
    <x v="0"/>
    <x v="11"/>
    <x v="11"/>
    <x v="11"/>
    <x v="4"/>
    <x v="0"/>
    <x v="2"/>
    <m/>
    <m/>
    <m/>
    <m/>
    <m/>
    <m/>
    <m/>
    <m/>
    <m/>
    <m/>
    <m/>
    <m/>
    <m/>
    <m/>
    <m/>
    <m/>
    <m/>
    <m/>
    <m/>
    <m/>
  </r>
  <r>
    <n v="742"/>
    <e v="#N/A"/>
    <s v="ZBTO"/>
    <n v="9518648553"/>
    <n v="1"/>
    <s v="9518648553-1"/>
    <m/>
    <s v="Failed"/>
    <x v="0"/>
    <x v="0"/>
    <x v="0"/>
    <m/>
    <n v="2000"/>
    <s v="NORTH"/>
    <m/>
    <m/>
    <n v="101446"/>
    <s v="BANSAL BROTHERS"/>
    <n v="187513"/>
    <e v="#N/A"/>
    <s v="C01"/>
    <e v="#N/A"/>
    <s v="AU03"/>
    <n v="0.8"/>
    <n v="1000"/>
    <n v="0"/>
    <m/>
    <m/>
    <m/>
    <n v="10"/>
    <n v="30"/>
    <n v="46"/>
    <n v="0"/>
    <n v="46"/>
    <n v="46"/>
    <m/>
    <m/>
    <m/>
    <m/>
    <m/>
    <m/>
    <m/>
    <m/>
    <m/>
    <m/>
    <m/>
    <m/>
    <m/>
    <m/>
    <m/>
    <m/>
    <m/>
    <m/>
    <m/>
    <n v="0"/>
    <m/>
    <n v="0"/>
    <n v="46"/>
    <m/>
    <m/>
    <m/>
    <m/>
    <m/>
    <m/>
    <m/>
    <x v="0"/>
    <s v="U"/>
    <x v="0"/>
    <s v="C01-AU03-0.8-1000"/>
    <s v="B69-SH08-2.8-1025"/>
    <x v="2"/>
    <x v="0"/>
    <x v="0"/>
    <x v="0"/>
    <x v="0"/>
    <x v="7"/>
    <x v="21"/>
    <m/>
    <m/>
    <m/>
    <m/>
    <m/>
    <m/>
    <m/>
    <m/>
    <m/>
    <m/>
    <m/>
    <m/>
    <m/>
    <m/>
    <m/>
    <m/>
    <m/>
    <m/>
    <m/>
    <m/>
  </r>
  <r>
    <n v="742"/>
    <e v="#N/A"/>
    <s v="ZBTF"/>
    <n v="4000518371"/>
    <n v="1"/>
    <s v="4000518371-1"/>
    <m/>
    <s v="Failed"/>
    <x v="0"/>
    <x v="2"/>
    <x v="5"/>
    <m/>
    <n v="1000"/>
    <s v="SOUTH"/>
    <m/>
    <m/>
    <n v="940869"/>
    <s v="REXAN STEEL TUBES"/>
    <n v="1210083"/>
    <e v="#N/A"/>
    <n v="768"/>
    <e v="#N/A"/>
    <s v="HR99"/>
    <n v="2"/>
    <n v="1250"/>
    <n v="0"/>
    <m/>
    <m/>
    <m/>
    <e v="#N/A"/>
    <e v="#N/A"/>
    <n v="290"/>
    <n v="0"/>
    <n v="290"/>
    <n v="290"/>
    <m/>
    <m/>
    <m/>
    <m/>
    <m/>
    <m/>
    <m/>
    <m/>
    <m/>
    <m/>
    <m/>
    <m/>
    <m/>
    <m/>
    <m/>
    <m/>
    <m/>
    <m/>
    <m/>
    <n v="0"/>
    <m/>
    <n v="0"/>
    <n v="290"/>
    <m/>
    <m/>
    <m/>
    <m/>
    <m/>
    <m/>
    <m/>
    <x v="0"/>
    <s v="U"/>
    <x v="12"/>
    <s v="768-HR99-2-1250"/>
    <s v="367-HR99-2-1250"/>
    <x v="0"/>
    <x v="9"/>
    <x v="9"/>
    <x v="9"/>
    <x v="2"/>
    <x v="0"/>
    <x v="65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8456"/>
    <n v="7"/>
    <s v="9519128456-7"/>
    <m/>
    <s v="Failed"/>
    <x v="0"/>
    <x v="0"/>
    <x v="6"/>
    <m/>
    <n v="2000"/>
    <s v="NORTH"/>
    <m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n v="2.5"/>
    <n v="3"/>
    <n v="87"/>
    <n v="0"/>
    <n v="87"/>
    <n v="87"/>
    <m/>
    <m/>
    <m/>
    <m/>
    <m/>
    <m/>
    <m/>
    <m/>
    <m/>
    <m/>
    <m/>
    <m/>
    <m/>
    <m/>
    <m/>
    <m/>
    <m/>
    <m/>
    <m/>
    <n v="0"/>
    <m/>
    <n v="0"/>
    <n v="87"/>
    <m/>
    <m/>
    <m/>
    <m/>
    <m/>
    <m/>
    <m/>
    <x v="0"/>
    <s v="Trimming at PLTCM"/>
    <x v="7"/>
    <s v="C06-SR16-0.4-1250"/>
    <s v="367-SH67-2.25-1260"/>
    <x v="0"/>
    <x v="6"/>
    <x v="6"/>
    <x v="6"/>
    <x v="4"/>
    <x v="10"/>
    <x v="47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8979"/>
    <n v="1"/>
    <s v="9519128979-1"/>
    <m/>
    <s v="Released"/>
    <x v="0"/>
    <x v="0"/>
    <x v="9"/>
    <m/>
    <n v="2000"/>
    <s v="SOUTH"/>
    <m/>
    <m/>
    <n v="947126"/>
    <s v="RAVINDRA IRON WORKS"/>
    <n v="3587949"/>
    <s v="CR COIL TSBSTA EL06 0.500X1250"/>
    <s v="C01"/>
    <s v="TSBSTA"/>
    <s v="EL06"/>
    <n v="0.5"/>
    <n v="1250"/>
    <n v="0"/>
    <m/>
    <m/>
    <m/>
    <n v="8"/>
    <n v="14"/>
    <n v="203"/>
    <n v="0"/>
    <n v="203"/>
    <n v="203"/>
    <m/>
    <m/>
    <m/>
    <m/>
    <m/>
    <m/>
    <m/>
    <m/>
    <m/>
    <m/>
    <m/>
    <m/>
    <m/>
    <m/>
    <m/>
    <m/>
    <m/>
    <m/>
    <m/>
    <n v="0"/>
    <m/>
    <n v="0"/>
    <n v="203"/>
    <m/>
    <m/>
    <m/>
    <m/>
    <m/>
    <m/>
    <m/>
    <x v="0"/>
    <s v="Untrimmed edge"/>
    <x v="11"/>
    <s v="C01-EL06-0.5-1250"/>
    <s v="367-BS74-2.25-1250"/>
    <x v="0"/>
    <x v="10"/>
    <x v="10"/>
    <x v="10"/>
    <x v="4"/>
    <x v="0"/>
    <x v="110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8035"/>
    <n v="2"/>
    <s v="9519128035-2"/>
    <m/>
    <s v="Failed"/>
    <x v="0"/>
    <x v="2"/>
    <x v="3"/>
    <m/>
    <n v="2000"/>
    <s v="EAST"/>
    <m/>
    <m/>
    <n v="154464"/>
    <s v="TATA STEEL DOWNSTREAM PRODUCTS LIMI"/>
    <n v="1179967"/>
    <s v="HR COILS-PO IS 10748 GR 1 2.50X1250"/>
    <n v="768"/>
    <s v="I09497"/>
    <s v="HG01"/>
    <n v="2.5"/>
    <n v="1250"/>
    <n v="0"/>
    <m/>
    <m/>
    <m/>
    <n v="13"/>
    <n v="30"/>
    <n v="87"/>
    <n v="0"/>
    <n v="87"/>
    <n v="87"/>
    <m/>
    <m/>
    <m/>
    <m/>
    <m/>
    <m/>
    <m/>
    <m/>
    <m/>
    <m/>
    <m/>
    <m/>
    <m/>
    <m/>
    <m/>
    <m/>
    <m/>
    <m/>
    <m/>
    <n v="0"/>
    <m/>
    <n v="0"/>
    <n v="87"/>
    <m/>
    <m/>
    <m/>
    <m/>
    <m/>
    <m/>
    <m/>
    <x v="0"/>
    <s v=""/>
    <x v="12"/>
    <s v="768-HG01-2.5-1250"/>
    <s v="367-HG01-2.5-1250"/>
    <x v="0"/>
    <x v="12"/>
    <x v="12"/>
    <x v="12"/>
    <x v="7"/>
    <x v="0"/>
    <x v="100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8035"/>
    <n v="1"/>
    <s v="9519128035-1"/>
    <m/>
    <s v="Failed"/>
    <x v="0"/>
    <x v="2"/>
    <x v="3"/>
    <m/>
    <n v="2000"/>
    <s v="EAST"/>
    <m/>
    <m/>
    <n v="154464"/>
    <s v="TATA STEEL DOWNSTREAM PRODUCTS LIMI"/>
    <n v="1252834"/>
    <s v="HR COILS-PO IS 1079 HR2 3.0X1250"/>
    <n v="768"/>
    <s v="THR099"/>
    <s v="HR99"/>
    <n v="3"/>
    <n v="1250"/>
    <n v="0"/>
    <m/>
    <m/>
    <m/>
    <n v="13"/>
    <n v="30"/>
    <n v="116"/>
    <n v="0"/>
    <n v="116"/>
    <n v="116"/>
    <m/>
    <m/>
    <m/>
    <m/>
    <m/>
    <m/>
    <m/>
    <m/>
    <m/>
    <m/>
    <m/>
    <m/>
    <m/>
    <m/>
    <m/>
    <m/>
    <m/>
    <m/>
    <m/>
    <n v="0"/>
    <m/>
    <n v="0"/>
    <n v="116"/>
    <m/>
    <m/>
    <m/>
    <m/>
    <m/>
    <m/>
    <m/>
    <x v="0"/>
    <s v=""/>
    <x v="12"/>
    <s v="768-HR99-3-1250"/>
    <s v="367-HR99-3-1250"/>
    <x v="0"/>
    <x v="9"/>
    <x v="9"/>
    <x v="9"/>
    <x v="1"/>
    <x v="0"/>
    <x v="40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286"/>
    <n v="1"/>
    <s v="9519134286-1"/>
    <m/>
    <s v="Failed"/>
    <x v="1"/>
    <x v="1"/>
    <x v="4"/>
    <m/>
    <n v="1000"/>
    <m/>
    <m/>
    <m/>
    <m/>
    <s v="TATA BLUESCOPE STEEL PRIVATE L"/>
    <n v="4108810"/>
    <s v="GL COIL HARD  Y550GL M310 0.350X1220"/>
    <s v="B04"/>
    <s v="Y550GL"/>
    <s v="M310"/>
    <n v="0.35"/>
    <n v="1220"/>
    <n v="0"/>
    <m/>
    <n v="150"/>
    <s v="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Trimming only at RCL"/>
    <x v="22"/>
    <s v="B04-M310-0.3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26"/>
    <n v="1"/>
    <s v="9519134326-1"/>
    <m/>
    <s v="Released"/>
    <x v="1"/>
    <x v="1"/>
    <x v="4"/>
    <m/>
    <n v="1000"/>
    <m/>
    <m/>
    <m/>
    <m/>
    <s v="TATA BLUESCOPE STEEL PRIVATE L"/>
    <n v="3946362"/>
    <s v="GL COIL HARD Y550GL M308 0.47 (TCT)X1220"/>
    <s v="B04"/>
    <s v="Y550GL"/>
    <s v="M308"/>
    <n v="0.47"/>
    <n v="1220"/>
    <n v="0"/>
    <m/>
    <n v="150"/>
    <s v=""/>
    <n v="3"/>
    <n v="5"/>
    <n v="168"/>
    <n v="0"/>
    <n v="168"/>
    <n v="168"/>
    <m/>
    <m/>
    <m/>
    <m/>
    <m/>
    <m/>
    <m/>
    <m/>
    <m/>
    <m/>
    <m/>
    <m/>
    <m/>
    <m/>
    <m/>
    <m/>
    <m/>
    <m/>
    <m/>
    <n v="0"/>
    <m/>
    <n v="0"/>
    <n v="168"/>
    <m/>
    <m/>
    <m/>
    <m/>
    <m/>
    <m/>
    <m/>
    <x v="0"/>
    <s v="Trimming only at RCL"/>
    <x v="16"/>
    <s v="B04-M308-0.47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26"/>
    <n v="2"/>
    <s v="9519134326-2"/>
    <m/>
    <s v="Released"/>
    <x v="1"/>
    <x v="1"/>
    <x v="4"/>
    <m/>
    <n v="1000"/>
    <m/>
    <m/>
    <m/>
    <m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56"/>
    <n v="0"/>
    <n v="56"/>
    <n v="56"/>
    <m/>
    <m/>
    <m/>
    <m/>
    <m/>
    <m/>
    <m/>
    <m/>
    <m/>
    <m/>
    <m/>
    <m/>
    <m/>
    <m/>
    <m/>
    <m/>
    <m/>
    <m/>
    <m/>
    <n v="0"/>
    <m/>
    <n v="0"/>
    <n v="56"/>
    <m/>
    <m/>
    <m/>
    <m/>
    <m/>
    <m/>
    <m/>
    <x v="0"/>
    <s v="Trimming only at RCL"/>
    <x v="16"/>
    <s v="B04-M308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58"/>
    <n v="1"/>
    <s v="9519134358-1"/>
    <m/>
    <s v="Released"/>
    <x v="1"/>
    <x v="1"/>
    <x v="4"/>
    <m/>
    <n v="1000"/>
    <m/>
    <m/>
    <m/>
    <m/>
    <s v="TATA BLUESCOPE STEEL PRIVATE L"/>
    <n v="3946362"/>
    <s v="GL COIL HARD Y550GL M308 0.47 (TCT)X1220"/>
    <s v="B04"/>
    <s v="Y550GL"/>
    <s v="M308"/>
    <n v="0.47"/>
    <n v="1220"/>
    <n v="0"/>
    <m/>
    <n v="150"/>
    <s v=""/>
    <n v="3"/>
    <n v="5"/>
    <n v="252"/>
    <n v="0"/>
    <n v="252"/>
    <n v="252"/>
    <m/>
    <m/>
    <m/>
    <m/>
    <m/>
    <m/>
    <m/>
    <m/>
    <m/>
    <m/>
    <m/>
    <m/>
    <m/>
    <m/>
    <m/>
    <m/>
    <m/>
    <m/>
    <m/>
    <n v="0"/>
    <m/>
    <n v="0"/>
    <n v="252"/>
    <m/>
    <m/>
    <m/>
    <m/>
    <m/>
    <m/>
    <m/>
    <x v="0"/>
    <s v="Trimming only at RCL"/>
    <x v="16"/>
    <s v="B04-M308-0.47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58"/>
    <n v="2"/>
    <s v="9519134358-2"/>
    <m/>
    <s v="Released"/>
    <x v="1"/>
    <x v="1"/>
    <x v="4"/>
    <m/>
    <n v="1000"/>
    <m/>
    <m/>
    <m/>
    <m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Trimming only at RCL"/>
    <x v="16"/>
    <s v="B04-M308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78"/>
    <n v="1"/>
    <s v="9519134378-1"/>
    <m/>
    <s v="Released"/>
    <x v="1"/>
    <x v="1"/>
    <x v="4"/>
    <m/>
    <n v="1000"/>
    <m/>
    <m/>
    <m/>
    <m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280"/>
    <n v="0"/>
    <n v="280"/>
    <n v="280"/>
    <m/>
    <m/>
    <m/>
    <m/>
    <m/>
    <m/>
    <m/>
    <m/>
    <m/>
    <m/>
    <m/>
    <m/>
    <m/>
    <m/>
    <m/>
    <m/>
    <m/>
    <m/>
    <m/>
    <n v="0"/>
    <m/>
    <n v="0"/>
    <n v="280"/>
    <m/>
    <m/>
    <m/>
    <m/>
    <m/>
    <m/>
    <m/>
    <x v="0"/>
    <s v="Trimming only at RCL"/>
    <x v="16"/>
    <s v="B04-M308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78"/>
    <n v="2"/>
    <s v="9519134378-2"/>
    <m/>
    <s v="Released"/>
    <x v="1"/>
    <x v="1"/>
    <x v="4"/>
    <m/>
    <n v="1000"/>
    <m/>
    <m/>
    <m/>
    <m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168"/>
    <n v="0"/>
    <n v="168"/>
    <n v="168"/>
    <m/>
    <m/>
    <m/>
    <m/>
    <m/>
    <m/>
    <m/>
    <m/>
    <m/>
    <m/>
    <m/>
    <m/>
    <m/>
    <m/>
    <m/>
    <m/>
    <m/>
    <m/>
    <m/>
    <n v="0"/>
    <m/>
    <n v="0"/>
    <n v="168"/>
    <m/>
    <m/>
    <m/>
    <m/>
    <m/>
    <m/>
    <m/>
    <x v="0"/>
    <s v="Trimming only at RCL"/>
    <x v="16"/>
    <s v="B04-M308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436"/>
    <n v="1"/>
    <s v="9519134436-1"/>
    <m/>
    <s v="Released"/>
    <x v="1"/>
    <x v="1"/>
    <x v="4"/>
    <m/>
    <n v="1000"/>
    <m/>
    <m/>
    <m/>
    <m/>
    <s v="TATA BLUESCOPE STEEL PRIVATE L"/>
    <n v="3931932"/>
    <s v="GL C YS550 M306 0.35BMT(0.37TCT)X900"/>
    <s v="B04"/>
    <s v="Y550GL"/>
    <s v="M306"/>
    <n v="0.35"/>
    <n v="900"/>
    <n v="0"/>
    <m/>
    <n v="70"/>
    <s v=""/>
    <n v="3"/>
    <n v="5"/>
    <n v="84"/>
    <n v="0"/>
    <n v="84"/>
    <n v="84"/>
    <m/>
    <m/>
    <m/>
    <m/>
    <m/>
    <m/>
    <m/>
    <m/>
    <m/>
    <m/>
    <m/>
    <m/>
    <m/>
    <m/>
    <m/>
    <m/>
    <m/>
    <m/>
    <m/>
    <n v="0"/>
    <m/>
    <n v="0"/>
    <n v="84"/>
    <m/>
    <m/>
    <m/>
    <m/>
    <m/>
    <m/>
    <m/>
    <x v="0"/>
    <s v="Trimming only at RCL"/>
    <x v="16"/>
    <s v="B04-M306-0.35-900"/>
    <s v="727-SF93-2-903"/>
    <x v="1"/>
    <x v="4"/>
    <x v="4"/>
    <x v="4"/>
    <x v="2"/>
    <x v="15"/>
    <x v="32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"/>
    <s v="9519134753-1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168"/>
    <n v="0"/>
    <n v="168"/>
    <n v="168"/>
    <m/>
    <m/>
    <m/>
    <m/>
    <m/>
    <m/>
    <m/>
    <m/>
    <m/>
    <m/>
    <m/>
    <m/>
    <m/>
    <m/>
    <m/>
    <m/>
    <m/>
    <m/>
    <m/>
    <n v="0"/>
    <m/>
    <n v="0"/>
    <n v="168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2"/>
    <s v="9519134753-2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0"/>
    <n v="56"/>
    <n v="56"/>
    <m/>
    <m/>
    <m/>
    <m/>
    <m/>
    <m/>
    <m/>
    <m/>
    <m/>
    <m/>
    <m/>
    <m/>
    <m/>
    <m/>
    <m/>
    <m/>
    <m/>
    <m/>
    <m/>
    <n v="0"/>
    <m/>
    <n v="0"/>
    <n v="56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3"/>
    <s v="9519134753-3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4"/>
    <s v="9519134753-4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40"/>
    <n v="0"/>
    <n v="140"/>
    <n v="140"/>
    <m/>
    <m/>
    <m/>
    <m/>
    <m/>
    <m/>
    <m/>
    <m/>
    <m/>
    <m/>
    <m/>
    <m/>
    <m/>
    <m/>
    <m/>
    <m/>
    <m/>
    <m/>
    <m/>
    <n v="0"/>
    <m/>
    <n v="0"/>
    <n v="140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5"/>
    <s v="9519134753-5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0"/>
    <n v="0"/>
    <n v="280"/>
    <n v="280"/>
    <m/>
    <m/>
    <m/>
    <m/>
    <m/>
    <m/>
    <m/>
    <m/>
    <m/>
    <m/>
    <m/>
    <m/>
    <m/>
    <m/>
    <m/>
    <m/>
    <m/>
    <m/>
    <m/>
    <n v="0"/>
    <m/>
    <n v="0"/>
    <n v="280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6"/>
    <s v="9519134753-6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7"/>
    <s v="9519134753-7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8"/>
    <s v="9519134753-8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9"/>
    <s v="9519134753-9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252"/>
    <n v="0"/>
    <n v="252"/>
    <n v="252"/>
    <m/>
    <m/>
    <m/>
    <m/>
    <m/>
    <m/>
    <m/>
    <m/>
    <m/>
    <m/>
    <m/>
    <m/>
    <m/>
    <m/>
    <m/>
    <m/>
    <m/>
    <m/>
    <m/>
    <n v="0"/>
    <m/>
    <n v="0"/>
    <n v="252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0"/>
    <s v="9519134753-10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80"/>
    <n v="0"/>
    <n v="280"/>
    <n v="280"/>
    <m/>
    <m/>
    <m/>
    <m/>
    <m/>
    <m/>
    <m/>
    <m/>
    <m/>
    <m/>
    <m/>
    <m/>
    <m/>
    <m/>
    <m/>
    <m/>
    <m/>
    <m/>
    <m/>
    <n v="0"/>
    <m/>
    <n v="0"/>
    <n v="280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1"/>
    <s v="9519134753-11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140"/>
    <n v="0"/>
    <n v="140"/>
    <n v="140"/>
    <m/>
    <m/>
    <m/>
    <m/>
    <m/>
    <m/>
    <m/>
    <m/>
    <m/>
    <m/>
    <m/>
    <m/>
    <m/>
    <m/>
    <m/>
    <m/>
    <m/>
    <m/>
    <m/>
    <n v="0"/>
    <m/>
    <n v="0"/>
    <n v="140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2"/>
    <s v="9519134753-12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n v="3"/>
    <n v="5"/>
    <n v="112"/>
    <n v="0"/>
    <n v="112"/>
    <n v="112"/>
    <m/>
    <m/>
    <m/>
    <m/>
    <m/>
    <m/>
    <m/>
    <m/>
    <m/>
    <m/>
    <m/>
    <m/>
    <m/>
    <m/>
    <m/>
    <m/>
    <m/>
    <m/>
    <m/>
    <n v="0"/>
    <m/>
    <n v="0"/>
    <n v="112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3"/>
    <s v="9519134753-13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140"/>
    <n v="0"/>
    <n v="140"/>
    <n v="140"/>
    <m/>
    <m/>
    <m/>
    <m/>
    <m/>
    <m/>
    <m/>
    <m/>
    <m/>
    <m/>
    <m/>
    <m/>
    <m/>
    <m/>
    <m/>
    <m/>
    <m/>
    <m/>
    <m/>
    <n v="0"/>
    <m/>
    <n v="0"/>
    <n v="140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4"/>
    <s v="9519134753-14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96"/>
    <n v="0"/>
    <n v="196"/>
    <n v="196"/>
    <m/>
    <m/>
    <m/>
    <m/>
    <m/>
    <m/>
    <m/>
    <m/>
    <m/>
    <m/>
    <m/>
    <m/>
    <m/>
    <m/>
    <m/>
    <m/>
    <m/>
    <m/>
    <m/>
    <n v="0"/>
    <m/>
    <n v="0"/>
    <n v="196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5"/>
    <s v="9519134753-15"/>
    <m/>
    <s v="Released"/>
    <x v="1"/>
    <x v="4"/>
    <x v="4"/>
    <m/>
    <n v="1000"/>
    <m/>
    <m/>
    <m/>
    <m/>
    <s v="TATA BLUESCOPE STEEL PRIVATE L"/>
    <n v="3940122"/>
    <s v="PPGL C HARD Y550PL D0C9 0.470(TPT)X1220"/>
    <s v="B18"/>
    <s v="Y550PL"/>
    <s v="D0C9"/>
    <n v="0.47"/>
    <n v="1220"/>
    <n v="0"/>
    <m/>
    <n v="150"/>
    <s v="RAL 5012 TSL 1802"/>
    <n v="3"/>
    <n v="5"/>
    <n v="56"/>
    <n v="0"/>
    <n v="56"/>
    <n v="56"/>
    <m/>
    <m/>
    <m/>
    <m/>
    <m/>
    <m/>
    <m/>
    <m/>
    <m/>
    <m/>
    <m/>
    <m/>
    <m/>
    <m/>
    <m/>
    <m/>
    <m/>
    <m/>
    <m/>
    <n v="0"/>
    <m/>
    <n v="0"/>
    <n v="56"/>
    <m/>
    <m/>
    <m/>
    <m/>
    <m/>
    <m/>
    <m/>
    <x v="0"/>
    <s v="Trimming at PLTCM"/>
    <x v="5"/>
    <s v="B18-D0C9-0.47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6"/>
    <s v="9519134753-16"/>
    <m/>
    <s v="Released"/>
    <x v="1"/>
    <x v="4"/>
    <x v="4"/>
    <m/>
    <n v="1000"/>
    <m/>
    <m/>
    <m/>
    <m/>
    <s v="TATA BLUESCOPE STEEL PRIVATE L"/>
    <n v="3940122"/>
    <s v="PPGL C HARD Y550PL D0C9 0.470(TPT)X1220"/>
    <s v="B18"/>
    <s v="Y550PL"/>
    <s v="D0C9"/>
    <n v="0.47"/>
    <n v="1220"/>
    <n v="0"/>
    <m/>
    <n v="150"/>
    <s v="RAL 9002 TSL 1801"/>
    <n v="3"/>
    <n v="5"/>
    <n v="56"/>
    <n v="0"/>
    <n v="56"/>
    <n v="56"/>
    <m/>
    <m/>
    <m/>
    <m/>
    <m/>
    <m/>
    <m/>
    <m/>
    <m/>
    <m/>
    <m/>
    <m/>
    <m/>
    <m/>
    <m/>
    <m/>
    <m/>
    <m/>
    <m/>
    <n v="0"/>
    <m/>
    <n v="0"/>
    <n v="56"/>
    <m/>
    <m/>
    <m/>
    <m/>
    <m/>
    <m/>
    <m/>
    <x v="0"/>
    <s v="Trimming at PLTCM"/>
    <x v="5"/>
    <s v="B18-D0C9-0.47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7"/>
    <s v="9519134753-17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56"/>
    <n v="0"/>
    <n v="56"/>
    <n v="56"/>
    <m/>
    <m/>
    <m/>
    <m/>
    <m/>
    <m/>
    <m/>
    <m/>
    <m/>
    <m/>
    <m/>
    <m/>
    <m/>
    <m/>
    <m/>
    <m/>
    <m/>
    <m/>
    <m/>
    <n v="0"/>
    <m/>
    <n v="0"/>
    <n v="56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8"/>
    <s v="9519134753-18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0"/>
    <n v="56"/>
    <n v="56"/>
    <m/>
    <m/>
    <m/>
    <m/>
    <m/>
    <m/>
    <m/>
    <m/>
    <m/>
    <m/>
    <m/>
    <m/>
    <m/>
    <m/>
    <m/>
    <m/>
    <m/>
    <m/>
    <m/>
    <n v="0"/>
    <m/>
    <n v="0"/>
    <n v="56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9"/>
    <s v="9519134753-19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20"/>
    <s v="9519134753-20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84"/>
    <n v="0"/>
    <n v="84"/>
    <n v="84"/>
    <m/>
    <m/>
    <m/>
    <m/>
    <m/>
    <m/>
    <m/>
    <m/>
    <m/>
    <m/>
    <m/>
    <m/>
    <m/>
    <m/>
    <m/>
    <m/>
    <m/>
    <m/>
    <m/>
    <n v="0"/>
    <m/>
    <n v="0"/>
    <n v="84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21"/>
    <s v="9519134753-21"/>
    <m/>
    <s v="Released"/>
    <x v="1"/>
    <x v="4"/>
    <x v="4"/>
    <m/>
    <n v="1000"/>
    <m/>
    <m/>
    <m/>
    <m/>
    <s v="TATA BLUESCOPE STEEL PRIVATE L"/>
    <n v="3902332"/>
    <s v="PPGL C HARD Y550PL D0C9 0.50(TPT)X1220"/>
    <s v="B18"/>
    <s v="Y550PL"/>
    <s v="D0C9"/>
    <n v="0.5"/>
    <n v="1220"/>
    <n v="0"/>
    <m/>
    <n v="150"/>
    <s v="RAL 6011 TSL 1810"/>
    <n v="3"/>
    <n v="5"/>
    <n v="28"/>
    <n v="0"/>
    <n v="28"/>
    <n v="28"/>
    <m/>
    <m/>
    <m/>
    <m/>
    <m/>
    <m/>
    <m/>
    <m/>
    <m/>
    <m/>
    <m/>
    <m/>
    <m/>
    <m/>
    <m/>
    <m/>
    <m/>
    <m/>
    <m/>
    <n v="0"/>
    <m/>
    <n v="0"/>
    <n v="28"/>
    <m/>
    <m/>
    <m/>
    <m/>
    <m/>
    <m/>
    <m/>
    <x v="0"/>
    <s v="Trimming at PLTCM"/>
    <x v="5"/>
    <s v="B18-D0C9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5056"/>
    <n v="1"/>
    <s v="9519135056-1"/>
    <m/>
    <s v="Failed"/>
    <x v="1"/>
    <x v="1"/>
    <x v="4"/>
    <m/>
    <n v="1000"/>
    <m/>
    <m/>
    <m/>
    <m/>
    <s v="TATA BLUESCOPE STEEL PRIVATE L"/>
    <n v="1881988"/>
    <s v="GL C YS550 H6GL 0.50BMT(0.55TCT)X1220"/>
    <s v="B04"/>
    <s v="Y550GL"/>
    <s v="H6GL"/>
    <n v="0.5"/>
    <n v="1220"/>
    <n v="0"/>
    <m/>
    <n v="150"/>
    <s v=""/>
    <n v="3"/>
    <n v="5"/>
    <n v="84"/>
    <n v="0"/>
    <n v="84"/>
    <n v="84"/>
    <m/>
    <m/>
    <m/>
    <m/>
    <m/>
    <m/>
    <m/>
    <m/>
    <m/>
    <m/>
    <m/>
    <m/>
    <m/>
    <m/>
    <m/>
    <m/>
    <m/>
    <m/>
    <m/>
    <n v="0"/>
    <m/>
    <n v="0"/>
    <n v="84"/>
    <m/>
    <m/>
    <m/>
    <m/>
    <m/>
    <m/>
    <m/>
    <x v="0"/>
    <s v="Trimming only at RCL"/>
    <x v="16"/>
    <s v="B04-H6GL-0.5-1220"/>
    <s v="367-SF93-2.5-1235"/>
    <x v="0"/>
    <x v="4"/>
    <x v="4"/>
    <x v="4"/>
    <x v="7"/>
    <x v="4"/>
    <x v="41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5056"/>
    <n v="2"/>
    <s v="9519135056-2"/>
    <m/>
    <s v="Failed"/>
    <x v="1"/>
    <x v="1"/>
    <x v="4"/>
    <m/>
    <n v="1000"/>
    <m/>
    <m/>
    <m/>
    <m/>
    <s v="TATA BLUESCOPE STEEL PRIVATE L"/>
    <n v="1881969"/>
    <s v="GL C YS550 H6GL 0.45BMT(0.50TCT)X1220"/>
    <s v="B04"/>
    <s v="Y550GL"/>
    <s v="H6GL"/>
    <n v="0.45"/>
    <n v="1220"/>
    <n v="0"/>
    <m/>
    <n v="150"/>
    <s v=""/>
    <n v="3"/>
    <n v="5"/>
    <n v="112"/>
    <n v="0"/>
    <n v="112"/>
    <n v="112"/>
    <m/>
    <m/>
    <m/>
    <m/>
    <m/>
    <m/>
    <m/>
    <m/>
    <m/>
    <m/>
    <m/>
    <m/>
    <m/>
    <m/>
    <m/>
    <m/>
    <m/>
    <m/>
    <m/>
    <n v="0"/>
    <m/>
    <n v="0"/>
    <n v="112"/>
    <m/>
    <m/>
    <m/>
    <m/>
    <m/>
    <m/>
    <m/>
    <x v="0"/>
    <s v="Trimming only at RCL"/>
    <x v="3"/>
    <s v="B04-H6GL-0.4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5056"/>
    <n v="3"/>
    <s v="9519135056-3"/>
    <m/>
    <s v="Failed"/>
    <x v="1"/>
    <x v="1"/>
    <x v="4"/>
    <m/>
    <n v="1000"/>
    <m/>
    <m/>
    <m/>
    <m/>
    <s v="TATA BLUESCOPE STEEL PRIVATE L"/>
    <n v="1881969"/>
    <s v="GL C YS550 H6GL 0.45BMT(0.50TCT)X1220"/>
    <s v="B04"/>
    <s v="Y550GL"/>
    <s v="H6GL"/>
    <n v="0.45"/>
    <n v="1220"/>
    <n v="0"/>
    <m/>
    <n v="150"/>
    <s v=""/>
    <n v="3"/>
    <n v="5"/>
    <n v="224"/>
    <n v="0"/>
    <n v="224"/>
    <n v="224"/>
    <m/>
    <m/>
    <m/>
    <m/>
    <m/>
    <m/>
    <m/>
    <m/>
    <m/>
    <m/>
    <m/>
    <m/>
    <m/>
    <m/>
    <m/>
    <m/>
    <m/>
    <m/>
    <m/>
    <n v="0"/>
    <m/>
    <n v="0"/>
    <n v="224"/>
    <m/>
    <m/>
    <m/>
    <m/>
    <m/>
    <m/>
    <m/>
    <x v="0"/>
    <s v="Trimming only at RCL"/>
    <x v="3"/>
    <s v="B04-H6GL-0.45-1220"/>
    <s v="367-SF93-2.25-1235"/>
    <x v="0"/>
    <x v="4"/>
    <x v="4"/>
    <x v="4"/>
    <x v="4"/>
    <x v="4"/>
    <x v="7"/>
    <m/>
    <m/>
    <m/>
    <m/>
    <m/>
    <m/>
    <m/>
    <m/>
    <m/>
    <m/>
    <m/>
    <m/>
    <m/>
    <m/>
    <m/>
    <m/>
    <m/>
    <m/>
    <m/>
    <m/>
  </r>
  <r>
    <n v="742"/>
    <d v="2025-09-19T00:00:00"/>
    <s v="ZBTF"/>
    <n v="9519118540"/>
    <n v="1"/>
    <s v="9519118540-1"/>
    <m/>
    <s v="Failed"/>
    <x v="1"/>
    <x v="0"/>
    <x v="9"/>
    <m/>
    <n v="1000"/>
    <m/>
    <m/>
    <m/>
    <m/>
    <s v="TATA CENTRE"/>
    <n v="2439203"/>
    <s v="CRCA COIL TSBSTA EL06 0.500X1160"/>
    <s v="C01"/>
    <s v="TSBSTA"/>
    <s v="EL06"/>
    <n v="0.5"/>
    <n v="1160"/>
    <n v="0"/>
    <m/>
    <m/>
    <m/>
    <n v="11"/>
    <n v="14"/>
    <n v="297"/>
    <n v="0"/>
    <n v="297"/>
    <n v="297"/>
    <m/>
    <m/>
    <m/>
    <m/>
    <m/>
    <m/>
    <m/>
    <m/>
    <m/>
    <m/>
    <m/>
    <m/>
    <m/>
    <m/>
    <m/>
    <m/>
    <m/>
    <m/>
    <m/>
    <n v="0"/>
    <m/>
    <n v="0"/>
    <n v="297"/>
    <m/>
    <m/>
    <m/>
    <m/>
    <m/>
    <m/>
    <m/>
    <x v="0"/>
    <s v="Trimming ( for CRC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m/>
  </r>
  <r>
    <n v="742"/>
    <d v="2025-09-19T00:00:00"/>
    <s v="ZBTF"/>
    <n v="9519118540"/>
    <n v="2"/>
    <s v="9519118540-2"/>
    <m/>
    <s v="Failed"/>
    <x v="1"/>
    <x v="0"/>
    <x v="9"/>
    <m/>
    <n v="1000"/>
    <m/>
    <m/>
    <m/>
    <m/>
    <s v="TATA CENTRE"/>
    <n v="2439203"/>
    <s v="CRCA COIL TSBSTA EL06 0.500X1160"/>
    <s v="C01"/>
    <s v="TSBSTA"/>
    <s v="EL06"/>
    <n v="0.5"/>
    <n v="1160"/>
    <n v="0"/>
    <m/>
    <m/>
    <m/>
    <n v="11"/>
    <n v="14"/>
    <n v="297"/>
    <n v="0"/>
    <n v="297"/>
    <n v="297"/>
    <m/>
    <m/>
    <m/>
    <m/>
    <m/>
    <m/>
    <m/>
    <m/>
    <m/>
    <m/>
    <m/>
    <m/>
    <m/>
    <m/>
    <m/>
    <m/>
    <m/>
    <m/>
    <m/>
    <n v="0"/>
    <m/>
    <n v="0"/>
    <n v="297"/>
    <m/>
    <m/>
    <m/>
    <m/>
    <m/>
    <m/>
    <m/>
    <x v="0"/>
    <s v="Trimming ( for CRC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m/>
  </r>
  <r>
    <n v="742"/>
    <d v="2025-09-19T00:00:00"/>
    <s v="ZBTF"/>
    <n v="9519118540"/>
    <n v="3"/>
    <s v="9519118540-3"/>
    <m/>
    <s v="Failed"/>
    <x v="1"/>
    <x v="0"/>
    <x v="9"/>
    <m/>
    <n v="1000"/>
    <m/>
    <m/>
    <m/>
    <m/>
    <s v="TATA CENTRE"/>
    <n v="2439203"/>
    <s v="CRCA COIL TSBSTA EL06 0.500X1160"/>
    <s v="C01"/>
    <s v="TSBSTA"/>
    <s v="EL06"/>
    <n v="0.5"/>
    <n v="1160"/>
    <n v="0"/>
    <m/>
    <m/>
    <m/>
    <n v="11"/>
    <n v="14"/>
    <n v="297"/>
    <n v="0"/>
    <n v="297"/>
    <n v="297"/>
    <m/>
    <m/>
    <m/>
    <m/>
    <m/>
    <m/>
    <m/>
    <m/>
    <m/>
    <m/>
    <m/>
    <m/>
    <m/>
    <m/>
    <m/>
    <m/>
    <m/>
    <m/>
    <m/>
    <n v="0"/>
    <m/>
    <n v="0"/>
    <n v="297"/>
    <m/>
    <m/>
    <m/>
    <m/>
    <m/>
    <m/>
    <m/>
    <x v="0"/>
    <s v="Trimming ( for CRC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m/>
  </r>
  <r>
    <n v="742"/>
    <d v="2025-09-19T00:00:00"/>
    <s v="ZBTF"/>
    <n v="9519118540"/>
    <n v="4"/>
    <s v="9519118540-4"/>
    <m/>
    <s v="Failed"/>
    <x v="1"/>
    <x v="0"/>
    <x v="9"/>
    <m/>
    <n v="1000"/>
    <m/>
    <m/>
    <m/>
    <m/>
    <s v="TATA CENTRE"/>
    <n v="2439203"/>
    <s v="CRCA COIL TSBSTA EL06 0.500X1160"/>
    <s v="C01"/>
    <s v="TSBSTA"/>
    <s v="EL06"/>
    <n v="0.5"/>
    <n v="1160"/>
    <n v="0"/>
    <m/>
    <m/>
    <m/>
    <n v="11"/>
    <n v="14"/>
    <n v="297"/>
    <n v="0"/>
    <n v="297"/>
    <n v="297"/>
    <m/>
    <m/>
    <m/>
    <m/>
    <m/>
    <m/>
    <m/>
    <m/>
    <m/>
    <m/>
    <m/>
    <m/>
    <m/>
    <m/>
    <m/>
    <m/>
    <m/>
    <m/>
    <m/>
    <n v="0"/>
    <m/>
    <n v="0"/>
    <n v="297"/>
    <m/>
    <m/>
    <m/>
    <m/>
    <m/>
    <m/>
    <m/>
    <x v="0"/>
    <s v="Trimming ( for CRC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m/>
  </r>
  <r>
    <n v="742"/>
    <d v="2025-09-19T00:00:00"/>
    <s v="ZBTF"/>
    <n v="9519118540"/>
    <n v="5"/>
    <s v="9519118540-5"/>
    <m/>
    <s v="Failed"/>
    <x v="1"/>
    <x v="0"/>
    <x v="9"/>
    <m/>
    <n v="1000"/>
    <m/>
    <m/>
    <m/>
    <m/>
    <s v="TATA CENTRE"/>
    <n v="2439203"/>
    <s v="CRCA COIL TSBSTA EL06 0.500X1160"/>
    <s v="C01"/>
    <s v="TSBSTA"/>
    <s v="EL06"/>
    <n v="0.5"/>
    <n v="1160"/>
    <n v="0"/>
    <m/>
    <m/>
    <m/>
    <n v="11"/>
    <n v="14"/>
    <n v="297"/>
    <n v="0"/>
    <n v="297"/>
    <n v="297"/>
    <m/>
    <m/>
    <m/>
    <m/>
    <m/>
    <m/>
    <m/>
    <m/>
    <m/>
    <m/>
    <m/>
    <m/>
    <m/>
    <m/>
    <m/>
    <m/>
    <m/>
    <m/>
    <m/>
    <n v="0"/>
    <m/>
    <n v="0"/>
    <n v="297"/>
    <m/>
    <m/>
    <m/>
    <m/>
    <m/>
    <m/>
    <m/>
    <x v="0"/>
    <s v="Trimming ( for CRC"/>
    <x v="11"/>
    <s v="C01-EL06-0.5-1160"/>
    <s v="367-BS74-2.25-1170"/>
    <x v="0"/>
    <x v="10"/>
    <x v="10"/>
    <x v="10"/>
    <x v="4"/>
    <x v="9"/>
    <x v="14"/>
    <m/>
    <m/>
    <m/>
    <m/>
    <m/>
    <m/>
    <m/>
    <m/>
    <m/>
    <m/>
    <m/>
    <m/>
    <m/>
    <m/>
    <m/>
    <m/>
    <m/>
    <m/>
    <m/>
    <m/>
  </r>
  <r>
    <n v="742"/>
    <d v="2025-09-19T00:00:00"/>
    <s v="ZBTF"/>
    <n v="9519118540"/>
    <n v="6"/>
    <s v="9519118540-6"/>
    <m/>
    <s v="Failed"/>
    <x v="1"/>
    <x v="0"/>
    <x v="9"/>
    <m/>
    <n v="1000"/>
    <m/>
    <m/>
    <m/>
    <m/>
    <s v="TATA CENTRE"/>
    <n v="3587949"/>
    <s v="CR COIL TSBSTA EL06 0.500X1250"/>
    <s v="C01"/>
    <s v="TSBSTA"/>
    <s v="EL06"/>
    <n v="0.5"/>
    <n v="1250"/>
    <n v="0"/>
    <m/>
    <m/>
    <m/>
    <n v="11"/>
    <n v="14"/>
    <n v="290"/>
    <n v="0"/>
    <n v="290"/>
    <n v="290"/>
    <m/>
    <m/>
    <m/>
    <m/>
    <m/>
    <m/>
    <m/>
    <m/>
    <m/>
    <m/>
    <m/>
    <m/>
    <m/>
    <m/>
    <m/>
    <m/>
    <m/>
    <m/>
    <m/>
    <n v="0"/>
    <m/>
    <n v="0"/>
    <n v="290"/>
    <m/>
    <m/>
    <m/>
    <m/>
    <m/>
    <m/>
    <m/>
    <x v="0"/>
    <s v="Trimming ( for CRC"/>
    <x v="11"/>
    <s v="C01-EL06-0.5-1250"/>
    <s v="367-BS74-2.25-1250"/>
    <x v="0"/>
    <x v="10"/>
    <x v="10"/>
    <x v="10"/>
    <x v="4"/>
    <x v="0"/>
    <x v="110"/>
    <m/>
    <m/>
    <m/>
    <m/>
    <m/>
    <m/>
    <m/>
    <m/>
    <m/>
    <m/>
    <m/>
    <m/>
    <m/>
    <m/>
    <m/>
    <m/>
    <m/>
    <m/>
    <m/>
    <m/>
  </r>
  <r>
    <n v="2341"/>
    <s v="16.09.2025"/>
    <s v="ZBTF"/>
    <n v="9519110380"/>
    <n v="1"/>
    <s v="9519110380-1"/>
    <m/>
    <s v="Released"/>
    <x v="1"/>
    <x v="0"/>
    <x v="5"/>
    <m/>
    <n v="1000"/>
    <m/>
    <m/>
    <m/>
    <m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32"/>
    <n v="0"/>
    <n v="232"/>
    <n v="232"/>
    <m/>
    <m/>
    <m/>
    <m/>
    <m/>
    <m/>
    <m/>
    <m/>
    <m/>
    <m/>
    <m/>
    <m/>
    <m/>
    <m/>
    <m/>
    <m/>
    <m/>
    <m/>
    <m/>
    <n v="0"/>
    <m/>
    <n v="0"/>
    <n v="232"/>
    <m/>
    <m/>
    <m/>
    <m/>
    <m/>
    <m/>
    <m/>
    <x v="1"/>
    <s v="Untrimmed edge"/>
    <x v="24"/>
    <s v="C01-TU97-1.15-1250"/>
    <s v="367-SH70-3.2-1250"/>
    <x v="0"/>
    <x v="14"/>
    <x v="14"/>
    <x v="14"/>
    <x v="3"/>
    <x v="0"/>
    <x v="128"/>
    <m/>
    <m/>
    <m/>
    <m/>
    <m/>
    <m/>
    <m/>
    <m/>
    <m/>
    <m/>
    <m/>
    <m/>
    <m/>
    <m/>
    <m/>
    <m/>
    <m/>
    <m/>
    <m/>
    <m/>
  </r>
  <r>
    <n v="2341"/>
    <s v="16.09.2025"/>
    <s v="ZBTF"/>
    <n v="9519110380"/>
    <n v="2"/>
    <s v="9519110380-2"/>
    <m/>
    <s v="Released"/>
    <x v="1"/>
    <x v="0"/>
    <x v="5"/>
    <m/>
    <n v="1000"/>
    <m/>
    <m/>
    <m/>
    <m/>
    <s v="TUBE INVESTMENTS OF INDIA LIMI"/>
    <n v="3741589"/>
    <s v="CR COIL SA1010 TU97 1.500X1250"/>
    <s v="C01"/>
    <s v="SA1010"/>
    <s v="TU97"/>
    <n v="1.5"/>
    <n v="1250"/>
    <n v="0"/>
    <m/>
    <m/>
    <m/>
    <n v="14"/>
    <n v="27"/>
    <n v="290"/>
    <n v="0"/>
    <n v="290"/>
    <n v="290"/>
    <m/>
    <m/>
    <m/>
    <m/>
    <m/>
    <m/>
    <m/>
    <m/>
    <m/>
    <m/>
    <m/>
    <m/>
    <m/>
    <m/>
    <m/>
    <m/>
    <m/>
    <m/>
    <m/>
    <n v="0"/>
    <m/>
    <n v="0"/>
    <n v="290"/>
    <m/>
    <m/>
    <m/>
    <m/>
    <m/>
    <m/>
    <m/>
    <x v="1"/>
    <s v="Untrimmed edge"/>
    <x v="24"/>
    <s v="C01-TU97-1.5-1250"/>
    <s v="367-SH70-4-1250"/>
    <x v="0"/>
    <x v="14"/>
    <x v="14"/>
    <x v="14"/>
    <x v="10"/>
    <x v="0"/>
    <x v="91"/>
    <m/>
    <m/>
    <m/>
    <m/>
    <m/>
    <m/>
    <m/>
    <m/>
    <m/>
    <m/>
    <m/>
    <m/>
    <m/>
    <m/>
    <m/>
    <m/>
    <m/>
    <m/>
    <m/>
    <m/>
  </r>
  <r>
    <n v="2341"/>
    <s v="16.09.2025"/>
    <s v="ZBTF"/>
    <n v="9519110380"/>
    <n v="3"/>
    <s v="9519110380-3"/>
    <m/>
    <s v="Released"/>
    <x v="1"/>
    <x v="0"/>
    <x v="5"/>
    <m/>
    <n v="1000"/>
    <m/>
    <m/>
    <m/>
    <m/>
    <s v="TUBE INVESTMENTS OF INDIA LIMI"/>
    <n v="2413191"/>
    <s v="CRCA COIL SA1010 TU97 1.380X1250"/>
    <s v="C01"/>
    <s v="SA1010"/>
    <s v="TU97"/>
    <n v="1.38"/>
    <n v="1250"/>
    <n v="0"/>
    <m/>
    <m/>
    <m/>
    <n v="14"/>
    <n v="27"/>
    <n v="58"/>
    <n v="0"/>
    <n v="58"/>
    <n v="58"/>
    <m/>
    <m/>
    <m/>
    <m/>
    <m/>
    <m/>
    <m/>
    <m/>
    <m/>
    <m/>
    <m/>
    <m/>
    <m/>
    <m/>
    <m/>
    <m/>
    <m/>
    <m/>
    <m/>
    <n v="0"/>
    <m/>
    <n v="0"/>
    <n v="58"/>
    <m/>
    <m/>
    <m/>
    <m/>
    <m/>
    <m/>
    <m/>
    <x v="1"/>
    <s v="Untrimmed edge"/>
    <x v="24"/>
    <s v="C01-TU97-1.38-1250"/>
    <s v="367-SH70-4-1250"/>
    <x v="0"/>
    <x v="14"/>
    <x v="14"/>
    <x v="14"/>
    <x v="10"/>
    <x v="0"/>
    <x v="91"/>
    <m/>
    <m/>
    <m/>
    <m/>
    <m/>
    <m/>
    <m/>
    <m/>
    <m/>
    <m/>
    <m/>
    <m/>
    <m/>
    <m/>
    <m/>
    <m/>
    <m/>
    <m/>
    <m/>
    <m/>
  </r>
  <r>
    <n v="2341"/>
    <s v="16.09.2025"/>
    <s v="ZBTF"/>
    <n v="9519110380"/>
    <n v="4"/>
    <s v="9519110380-4"/>
    <m/>
    <s v="Released"/>
    <x v="1"/>
    <x v="0"/>
    <x v="5"/>
    <m/>
    <n v="1000"/>
    <m/>
    <m/>
    <m/>
    <m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61"/>
    <n v="0"/>
    <n v="261"/>
    <n v="261"/>
    <m/>
    <m/>
    <m/>
    <m/>
    <m/>
    <m/>
    <m/>
    <m/>
    <m/>
    <m/>
    <m/>
    <m/>
    <m/>
    <m/>
    <m/>
    <m/>
    <m/>
    <m/>
    <m/>
    <n v="0"/>
    <m/>
    <n v="0"/>
    <n v="261"/>
    <m/>
    <m/>
    <m/>
    <m/>
    <m/>
    <m/>
    <m/>
    <x v="1"/>
    <s v="Untrimmed edge"/>
    <x v="24"/>
    <s v="C01-TU97-1.15-1250"/>
    <s v="367-SH70-3.2-1250"/>
    <x v="0"/>
    <x v="14"/>
    <x v="14"/>
    <x v="14"/>
    <x v="3"/>
    <x v="0"/>
    <x v="128"/>
    <m/>
    <m/>
    <m/>
    <m/>
    <m/>
    <m/>
    <m/>
    <m/>
    <m/>
    <m/>
    <m/>
    <m/>
    <m/>
    <m/>
    <m/>
    <m/>
    <m/>
    <m/>
    <m/>
    <m/>
  </r>
  <r>
    <n v="2341"/>
    <s v="16.09.2025"/>
    <s v="ZBTF"/>
    <n v="9519110380"/>
    <n v="5"/>
    <s v="9519110380-5"/>
    <m/>
    <s v="Released"/>
    <x v="1"/>
    <x v="0"/>
    <x v="5"/>
    <m/>
    <n v="1000"/>
    <m/>
    <m/>
    <m/>
    <m/>
    <s v="TUBE INVESTMENTS OF INDIA LIMI"/>
    <n v="3741589"/>
    <s v="CR COIL SA1010 TU97 1.500X1250"/>
    <s v="C01"/>
    <s v="SA1010"/>
    <s v="TU97"/>
    <n v="1.5"/>
    <n v="1250"/>
    <n v="0"/>
    <m/>
    <m/>
    <m/>
    <n v="14"/>
    <n v="27"/>
    <n v="290"/>
    <n v="0"/>
    <n v="290"/>
    <n v="290"/>
    <m/>
    <m/>
    <m/>
    <m/>
    <m/>
    <m/>
    <m/>
    <m/>
    <m/>
    <m/>
    <m/>
    <m/>
    <m/>
    <m/>
    <m/>
    <m/>
    <m/>
    <m/>
    <m/>
    <n v="0"/>
    <m/>
    <n v="0"/>
    <n v="290"/>
    <m/>
    <m/>
    <m/>
    <m/>
    <m/>
    <m/>
    <m/>
    <x v="1"/>
    <s v="Untrimmed edge"/>
    <x v="24"/>
    <s v="C01-TU97-1.5-1250"/>
    <s v="367-SH70-4-1250"/>
    <x v="0"/>
    <x v="14"/>
    <x v="14"/>
    <x v="14"/>
    <x v="10"/>
    <x v="0"/>
    <x v="91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8">
  <r>
    <n v="742"/>
    <d v="2025-08-02T00:00:00"/>
    <s v="ZBTF"/>
    <n v="9518988388"/>
    <n v="8"/>
    <s v="9518988388-8"/>
    <s v="No Priority"/>
    <s v="Released"/>
    <x v="0"/>
    <e v="#N/A"/>
    <e v="#N/A"/>
    <m/>
    <x v="0"/>
    <x v="0"/>
    <m/>
    <n v="2000"/>
    <s v="South"/>
    <s v="THIRUVALLUR"/>
    <s v="TATA"/>
    <n v="600250"/>
    <s v="TATA CENTER"/>
    <n v="187515"/>
    <s v="CR COIL-ICF  DQ TATXXD AU03 0.80 X 1250"/>
    <s v="C01"/>
    <s v="TATXXD"/>
    <s v="AU03"/>
    <n v="0.8"/>
    <n v="1250"/>
    <n v="0"/>
    <s v="T2 DONE"/>
    <s v=" "/>
    <s v=""/>
    <n v="10"/>
    <n v="28"/>
    <n v="255.036"/>
    <n v="238.7"/>
    <n v="16.335999999999999"/>
    <n v="16.33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335999999999999"/>
    <s v="0.77-0.83"/>
    <s v="1250-126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m/>
    <m/>
    <m/>
    <m/>
    <m/>
    <m/>
    <m/>
    <m/>
    <m/>
    <m/>
    <m/>
    <m/>
    <m/>
    <m/>
    <s v="TATA CENTER"/>
  </r>
  <r>
    <n v="742"/>
    <d v="2025-06-04T00:00:00"/>
    <s v="ZBTO"/>
    <n v="9518824597"/>
    <n v="1"/>
    <s v="9518824597-1"/>
    <s v="No Priority"/>
    <s v="Released"/>
    <x v="0"/>
    <e v="#N/A"/>
    <e v="#N/A"/>
    <m/>
    <x v="1"/>
    <x v="1"/>
    <m/>
    <n v="3000"/>
    <s v="South"/>
    <s v="YESHWANTHPURA"/>
    <s v="BANG"/>
    <n v="157491"/>
    <s v="TATA STEEL DOWNSTREAM PRODUCTS LIMI"/>
    <n v="1309819"/>
    <s v="HR COILS-PO IS 1079-HR2 3X1250"/>
    <n v="768"/>
    <s v="THA058"/>
    <s v="HA58"/>
    <n v="3"/>
    <n v="1250"/>
    <n v="0"/>
    <s v="T2 DONE"/>
    <s v=" "/>
    <s v=""/>
    <n v="20"/>
    <n v="31"/>
    <n v="550"/>
    <n v="538.91700000000003"/>
    <n v="11.083"/>
    <n v="11.0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083"/>
    <s v=""/>
    <s v=""/>
    <m/>
    <m/>
    <m/>
    <m/>
    <m/>
    <m/>
    <s v="U"/>
    <s v="HRO_AUTO"/>
    <s v="768-HA58-3-1250"/>
    <s v="367-HA58-3-1250"/>
    <n v="367"/>
    <s v="THA058"/>
    <s v="HA58"/>
    <s v="A13A"/>
    <n v="3"/>
    <n v="1250"/>
    <n v="1304733"/>
    <m/>
    <m/>
    <m/>
    <m/>
    <m/>
    <m/>
    <m/>
    <m/>
    <m/>
    <m/>
    <m/>
    <m/>
    <m/>
    <m/>
    <m/>
    <m/>
    <m/>
    <m/>
    <m/>
    <s v="TATA STEEL DOWNSTREAM PRODUCTS LIMI"/>
  </r>
  <r>
    <n v="742"/>
    <d v="2025-06-04T00:00:00"/>
    <s v="ZBTO"/>
    <n v="9518825269"/>
    <n v="1"/>
    <s v="9518825269-1"/>
    <s v="No Priority"/>
    <s v="Released"/>
    <x v="0"/>
    <e v="#N/A"/>
    <e v="#N/A"/>
    <m/>
    <x v="1"/>
    <x v="1"/>
    <m/>
    <n v="3000"/>
    <s v="South"/>
    <s v="YESHWANTHPURA"/>
    <s v="BANG"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400"/>
    <n v="236.82"/>
    <n v="163.18"/>
    <n v="163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.18"/>
    <s v=""/>
    <s v=""/>
    <m/>
    <m/>
    <m/>
    <m/>
    <m/>
    <m/>
    <s v="U"/>
    <s v="HRO_AUTO"/>
    <s v="768-HA58-2-1250"/>
    <s v="367-HA58-2-1250"/>
    <n v="367"/>
    <s v="THA058"/>
    <s v="HA58"/>
    <s v="A13A"/>
    <n v="2"/>
    <n v="1250"/>
    <n v="1304660"/>
    <m/>
    <m/>
    <m/>
    <m/>
    <m/>
    <m/>
    <m/>
    <m/>
    <m/>
    <m/>
    <m/>
    <m/>
    <m/>
    <m/>
    <m/>
    <m/>
    <m/>
    <m/>
    <m/>
    <s v="TATA STEEL DOWNSTREAM PRODUCTS LIMI"/>
  </r>
  <r>
    <n v="742"/>
    <d v="2025-06-03T00:00:00"/>
    <s v="ZBTO"/>
    <n v="9518823199"/>
    <n v="2"/>
    <s v="9518823199-2"/>
    <s v="No Priority"/>
    <s v="Released"/>
    <x v="0"/>
    <s v="CR02"/>
    <s v="ACRM CRCA CRS"/>
    <m/>
    <x v="0"/>
    <x v="2"/>
    <m/>
    <n v="2000"/>
    <s v="East"/>
    <s v="TATANAGAR"/>
    <s v="JAMS"/>
    <n v="165053"/>
    <s v="SUDISA ENTERPRISES (P) LTD."/>
    <n v="3755738"/>
    <s v="CR COIL TSBHSQ CH03 1.200X1250"/>
    <s v="C01"/>
    <s v="TSBHSQ"/>
    <s v="CH03"/>
    <n v="1.2"/>
    <n v="1250"/>
    <n v="0"/>
    <s v="T2 DONE"/>
    <s v=" "/>
    <s v=""/>
    <n v="12"/>
    <n v="28"/>
    <n v="81.411000000000001"/>
    <n v="25.58"/>
    <n v="55.831000000000003"/>
    <n v="55.831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831000000000003"/>
    <s v="1.17-1.21"/>
    <s v="1250-1252"/>
    <m/>
    <m/>
    <m/>
    <m/>
    <m/>
    <m/>
    <s v="T"/>
    <s v="NA"/>
    <s v="C01-CH03-1.2-1250"/>
    <s v="367-JC43-3.2-1250"/>
    <n v="367"/>
    <s v="JC0043"/>
    <s v="JC43"/>
    <s v="C39A"/>
    <n v="3.2"/>
    <n v="1250"/>
    <n v="3774101"/>
    <m/>
    <m/>
    <m/>
    <m/>
    <m/>
    <m/>
    <m/>
    <m/>
    <m/>
    <m/>
    <m/>
    <m/>
    <m/>
    <m/>
    <m/>
    <m/>
    <m/>
    <m/>
    <m/>
    <s v="SUDISA ENTERPRISES (P) LTD."/>
  </r>
  <r>
    <n v="743"/>
    <d v="2025-07-23T00:00:00"/>
    <s v="ZBTO"/>
    <n v="9518952183"/>
    <n v="1"/>
    <s v="9518952183-1"/>
    <s v="No Priority"/>
    <s v="Released"/>
    <x v="0"/>
    <s v="GP03"/>
    <s v="ACRM GP#3 NARROW"/>
    <m/>
    <x v="2"/>
    <x v="2"/>
    <m/>
    <n v="2000"/>
    <s v="East"/>
    <s v="TATANAGAR"/>
    <s v="JAMS"/>
    <n v="165053"/>
    <s v="SUDISA ENTERPRISES (P) LTD."/>
    <n v="1851815"/>
    <s v="GP COIL SOFT-TSBXGP-N1GP-0.28X900"/>
    <s v="C02"/>
    <s v="TSBXGP"/>
    <s v="N1GP"/>
    <n v="0.28000000000000003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6-0.3"/>
    <s v="900-904"/>
    <m/>
    <m/>
    <m/>
    <m/>
    <m/>
    <m/>
    <s v="R"/>
    <s v="GP03_BPRS"/>
    <s v="C02-N1GP-0.28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SUDISA ENTERPRISES (P) LTD."/>
  </r>
  <r>
    <n v="743"/>
    <d v="2025-07-23T00:00:00"/>
    <s v="ZBTO"/>
    <n v="9518952183"/>
    <n v="3"/>
    <s v="9518952183-3"/>
    <s v="No Priority"/>
    <s v="Released"/>
    <x v="0"/>
    <s v="GP03"/>
    <s v="ACRM GP#3 NARROW"/>
    <m/>
    <x v="2"/>
    <x v="2"/>
    <m/>
    <n v="2000"/>
    <s v="East"/>
    <s v="TATANAGAR"/>
    <s v="JAMS"/>
    <n v="165053"/>
    <s v="SUDISA ENTERPRISES (P) LTD."/>
    <n v="1851836"/>
    <s v="GP COIL SOFT-TSBXGP-N1GP-0.3X900"/>
    <s v="C02"/>
    <s v="TSBXGP"/>
    <s v="N1GP"/>
    <n v="0.3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R"/>
    <s v="GP03_BPRS"/>
    <s v="C02-N1GP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SUDISA ENTERPRISES (P) LTD."/>
  </r>
  <r>
    <n v="744"/>
    <d v="2025-07-01T00:00:00"/>
    <s v="ZBTO"/>
    <n v="9518900402"/>
    <n v="1"/>
    <s v="9518900402-1"/>
    <s v="Sep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879501"/>
    <s v="PPGL C Y550 ISC6 0.45BMT(0.50TPT)X1220"/>
    <s v="B18"/>
    <s v="Y550PL"/>
    <s v="ISC6"/>
    <n v="0.45"/>
    <n v="1220"/>
    <n v="0"/>
    <s v="T2 DONE"/>
    <s v="aZ70"/>
    <s v="PRO PEARL TSL 1918"/>
    <n v="2"/>
    <n v="5"/>
    <n v="28"/>
    <n v="0"/>
    <n v="28"/>
    <n v="28"/>
    <n v="0"/>
    <n v="0"/>
    <n v="0"/>
    <n v="0"/>
    <n v="0"/>
    <n v="24.86"/>
    <n v="0"/>
    <n v="0"/>
    <n v="0"/>
    <n v="0"/>
    <n v="0"/>
    <n v="0"/>
    <n v="0"/>
    <n v="0"/>
    <n v="0"/>
    <n v="0"/>
    <n v="0"/>
    <n v="0"/>
    <n v="0"/>
    <n v="24.86"/>
    <n v="0"/>
    <n v="24.86"/>
    <n v="0"/>
    <n v="28"/>
    <s v="0.43-0.47"/>
    <s v="1220-1222"/>
    <m/>
    <m/>
    <m/>
    <m/>
    <m/>
    <m/>
    <s v="M"/>
    <s v="GP02_PPGL"/>
    <s v="B18-ISC6-0.4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4"/>
    <d v="2025-05-29T00:00:00"/>
    <s v="ZBTO"/>
    <n v="9518809011"/>
    <n v="1"/>
    <s v="9518809011-1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890482"/>
    <s v="PPGL C Y550 HPL6 0.30BMT(0.37TPT)X1220"/>
    <s v="B18"/>
    <s v="Y550PL"/>
    <s v="HPL6"/>
    <n v="0.3"/>
    <n v="1220"/>
    <n v="0"/>
    <s v="T2 DONE"/>
    <s v="aZ150"/>
    <s v="ASIAN WHITE TSL 1901"/>
    <n v="2"/>
    <n v="5.2"/>
    <n v="251.99799999999999"/>
    <n v="212.66499999999999"/>
    <n v="39.332999999999998"/>
    <n v="2.1480000000000001"/>
    <n v="0"/>
    <n v="0"/>
    <n v="0"/>
    <n v="0"/>
    <n v="0"/>
    <n v="0"/>
    <n v="0"/>
    <n v="19.885000000000002"/>
    <n v="10.17"/>
    <n v="0"/>
    <n v="0"/>
    <n v="0"/>
    <n v="0"/>
    <n v="0"/>
    <n v="0"/>
    <n v="0"/>
    <n v="0"/>
    <n v="7.13"/>
    <n v="0"/>
    <n v="37.185000000000002"/>
    <n v="7.13"/>
    <n v="30.055000000000003"/>
    <n v="0"/>
    <n v="32.202999999999996"/>
    <s v="0.28-0.32"/>
    <s v="1220-1222"/>
    <m/>
    <m/>
    <m/>
    <m/>
    <m/>
    <m/>
    <s v="M"/>
    <s v="NA"/>
    <s v="B18-HPL6-0.3-12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TATA BLUESCOPE STEEL PVT LTD."/>
  </r>
  <r>
    <n v="742"/>
    <d v="2025-07-03T00:00:00"/>
    <s v="ZBTT"/>
    <n v="9518904620"/>
    <n v="1"/>
    <s v="9518904620-1"/>
    <s v="No Priority"/>
    <s v="Released"/>
    <x v="0"/>
    <e v="#N/A"/>
    <e v="#N/A"/>
    <m/>
    <x v="0"/>
    <x v="2"/>
    <m/>
    <n v="2000"/>
    <s v="South"/>
    <s v="THIRUVALLUR"/>
    <s v="MADS"/>
    <n v="600250"/>
    <s v="TATA CENTER"/>
    <n v="4070476"/>
    <s v="CR COIL TATXDD TR92 0.600X1250"/>
    <s v="C01"/>
    <s v="TATXDD"/>
    <s v="TR92"/>
    <n v="0.6"/>
    <n v="1250"/>
    <n v="0"/>
    <s v="T2 DONE"/>
    <s v=" "/>
    <s v=""/>
    <n v="3.9"/>
    <n v="14"/>
    <n v="57.999000000000002"/>
    <n v="19.190000000000001"/>
    <n v="38.808999999999997"/>
    <n v="38.808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808999999999997"/>
    <s v="0.58-0.62"/>
    <s v="1250-1270"/>
    <m/>
    <m/>
    <m/>
    <m/>
    <m/>
    <m/>
    <s v="U"/>
    <s v="NA"/>
    <s v="C01-TR92-0.6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TATA CENTER"/>
  </r>
  <r>
    <n v="742"/>
    <d v="2025-07-03T00:00:00"/>
    <s v="ZBTT"/>
    <n v="9518904620"/>
    <n v="2"/>
    <s v="9518904620-2"/>
    <s v="No Priority"/>
    <s v="Released"/>
    <x v="0"/>
    <e v="#N/A"/>
    <e v="#N/A"/>
    <m/>
    <x v="0"/>
    <x v="2"/>
    <m/>
    <n v="2000"/>
    <s v="South"/>
    <s v="THIRUVALLUR"/>
    <s v="MADS"/>
    <n v="600250"/>
    <s v="TATA CENTER"/>
    <n v="4070477"/>
    <s v="CR COIL TATXDD TR92 0.800X1250"/>
    <s v="C01"/>
    <s v="TATXDD"/>
    <s v="TR92"/>
    <n v="0.8"/>
    <n v="1250"/>
    <n v="0"/>
    <s v="T2 DONE"/>
    <s v=" "/>
    <s v=""/>
    <n v="7.3"/>
    <n v="14"/>
    <n v="57.999000000000002"/>
    <n v="27.08"/>
    <n v="30.919"/>
    <n v="30.9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919"/>
    <s v="0.78-0.82"/>
    <s v="1250-1270"/>
    <m/>
    <m/>
    <m/>
    <m/>
    <m/>
    <m/>
    <s v="U"/>
    <s v="NA"/>
    <s v="C01-TR92-0.8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TATA CENTER"/>
  </r>
  <r>
    <n v="742"/>
    <d v="2025-07-08T00:00:00"/>
    <s v="ZBTO"/>
    <n v="9518914458"/>
    <n v="1"/>
    <s v="9518914458-1"/>
    <s v="No Priority"/>
    <s v="Released"/>
    <x v="0"/>
    <s v="CR02"/>
    <s v="ACRM CRCA CRS"/>
    <m/>
    <x v="0"/>
    <x v="4"/>
    <m/>
    <n v="1000"/>
    <s v="South"/>
    <s v="PATTANCHERY"/>
    <s v="SBAD"/>
    <n v="947865"/>
    <s v="CHANDRA CONTAINER MANUFACTURERS"/>
    <n v="4005007"/>
    <s v="CR COIL TATXXD BT04 0.450X1020"/>
    <s v="C01"/>
    <s v="TATXXD"/>
    <s v="BT04"/>
    <n v="0.45"/>
    <n v="1020"/>
    <n v="0"/>
    <s v="T2 DONE"/>
    <s v=" "/>
    <s v=""/>
    <n v="4"/>
    <n v="7"/>
    <n v="67"/>
    <n v="40.18"/>
    <n v="26.82"/>
    <n v="-16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2"/>
    <s v="0.43-0.45"/>
    <s v="1020-1021"/>
    <m/>
    <m/>
    <m/>
    <m/>
    <m/>
    <m/>
    <s v="M"/>
    <s v="CRCA_D&amp;B"/>
    <s v="C01-BT04-0.45-1020"/>
    <s v="B69-SH67-2.25-1035"/>
    <s v="B69"/>
    <s v="TSH067"/>
    <s v="SH67"/>
    <s v="C14A"/>
    <n v="2.25"/>
    <n v="1035"/>
    <n v="4082336"/>
    <m/>
    <m/>
    <m/>
    <m/>
    <m/>
    <m/>
    <m/>
    <m/>
    <m/>
    <m/>
    <m/>
    <m/>
    <m/>
    <m/>
    <m/>
    <m/>
    <m/>
    <m/>
    <m/>
    <s v="CHANDRA CONTAINER MANUFACTURERS"/>
  </r>
  <r>
    <n v="742"/>
    <d v="2025-06-30T00:00:00"/>
    <s v="ZBTO"/>
    <n v="9518898382"/>
    <n v="6"/>
    <s v="9518898382-6"/>
    <s v="No Priority"/>
    <s v="Released"/>
    <x v="0"/>
    <e v="#N/A"/>
    <e v="#N/A"/>
    <m/>
    <x v="0"/>
    <x v="5"/>
    <m/>
    <n v="2000"/>
    <s v="East"/>
    <s v="GUWAHATI"/>
    <s v="GWAH"/>
    <n v="116649"/>
    <s v="SAGAR STEELS"/>
    <n v="3515914"/>
    <s v="CR COIL TSBCRC SR25 0.500X1000"/>
    <s v="C01"/>
    <s v="TSBCRC"/>
    <s v="SR25"/>
    <n v="0.5"/>
    <n v="1000"/>
    <n v="0"/>
    <s v="T2 DONE"/>
    <s v=" "/>
    <s v=""/>
    <n v="4"/>
    <n v="28"/>
    <n v="46"/>
    <n v="38.79"/>
    <n v="7.21"/>
    <n v="7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1"/>
    <s v="0.47-0.5"/>
    <s v="1000-1020"/>
    <m/>
    <m/>
    <m/>
    <m/>
    <m/>
    <m/>
    <s v="U"/>
    <s v="CRCA_SUPR"/>
    <s v="C01-SR25-0.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s v="SAGAR STEELS"/>
  </r>
  <r>
    <n v="743"/>
    <d v="2025-07-08T00:00:00"/>
    <s v="ZBTO"/>
    <n v="9518914760"/>
    <n v="2"/>
    <s v="9518914760-2"/>
    <s v="No Priority"/>
    <s v="Released"/>
    <x v="0"/>
    <s v="GP03"/>
    <s v="ACRM GP#3 NARROW"/>
    <m/>
    <x v="2"/>
    <x v="6"/>
    <m/>
    <n v="2000"/>
    <s v="West"/>
    <s v="LONI"/>
    <s v="GBAD"/>
    <n v="931235"/>
    <s v="K D J P STEELS PVT LTD"/>
    <n v="2270690"/>
    <s v="GP COIL SOFT TATXGP GLK1 0.25X1000"/>
    <s v="C02"/>
    <s v="TATXGP"/>
    <s v="GLK1"/>
    <n v="0.25"/>
    <n v="1000"/>
    <n v="0"/>
    <s v="T2 DONE"/>
    <s v="Z80"/>
    <s v=""/>
    <n v="4"/>
    <n v="6"/>
    <n v="46"/>
    <n v="21.625"/>
    <n v="24.375"/>
    <n v="24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75"/>
    <s v="0.22-0.25"/>
    <s v="1000-1003"/>
    <m/>
    <m/>
    <m/>
    <m/>
    <m/>
    <m/>
    <s v="R"/>
    <s v="GP03_KOSH"/>
    <s v="C02-GLK1-0.25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K D J P STEELS PVT LTD"/>
  </r>
  <r>
    <n v="742"/>
    <d v="2025-08-05T00:00:00"/>
    <s v="ZBTF"/>
    <n v="4000514358"/>
    <n v="1"/>
    <s v="4000514358-1"/>
    <s v="Stocks"/>
    <s v="Released"/>
    <x v="0"/>
    <e v="#N/A"/>
    <e v="#N/A"/>
    <m/>
    <x v="1"/>
    <x v="7"/>
    <m/>
    <n v="2000"/>
    <s v="South"/>
    <s v="YESHWANTHPURA"/>
    <s v=""/>
    <n v="600103"/>
    <s v="TATA STEEL LIMITED"/>
    <n v="2271033"/>
    <s v="HRPO COIL T01579 TU02 1.60X1250"/>
    <n v="768"/>
    <s v="T01579"/>
    <s v="TU02"/>
    <n v="1.6"/>
    <n v="1250"/>
    <n v="0"/>
    <s v="T2 DONE"/>
    <s v=" "/>
    <s v=""/>
    <n v="20"/>
    <n v="28"/>
    <n v="174"/>
    <n v="125.345"/>
    <n v="48.655000000000001"/>
    <n v="48.655000000000001"/>
    <n v="19.86"/>
    <n v="0"/>
    <n v="19.97"/>
    <n v="0"/>
    <n v="0"/>
    <n v="0"/>
    <n v="0"/>
    <n v="0"/>
    <n v="0"/>
    <n v="0"/>
    <n v="0"/>
    <n v="0"/>
    <n v="0"/>
    <n v="0"/>
    <n v="0"/>
    <n v="0"/>
    <n v="0"/>
    <n v="0"/>
    <n v="0"/>
    <n v="19.97"/>
    <n v="19.97"/>
    <n v="0"/>
    <n v="0"/>
    <n v="28.685000000000002"/>
    <s v=""/>
    <s v=""/>
    <m/>
    <m/>
    <m/>
    <m/>
    <m/>
    <m/>
    <s v="U"/>
    <s v="HRPO_HOSUR"/>
    <s v="768-TU02-1.6-1250"/>
    <s v="367-TU02-1.6-1250"/>
    <n v="367"/>
    <s v="T01579"/>
    <s v="TU02"/>
    <s v="T12G"/>
    <n v="1.6"/>
    <n v="1250"/>
    <n v="3202739"/>
    <m/>
    <m/>
    <m/>
    <m/>
    <m/>
    <m/>
    <m/>
    <m/>
    <m/>
    <m/>
    <m/>
    <m/>
    <m/>
    <m/>
    <m/>
    <m/>
    <m/>
    <m/>
    <m/>
    <s v="TATA STEEL LIMITED"/>
  </r>
  <r>
    <n v="743"/>
    <d v="2025-07-25T00:00:00"/>
    <s v="ZBTO"/>
    <n v="9518957720"/>
    <n v="5"/>
    <s v="9518957720-5"/>
    <s v="Aug'25"/>
    <s v="Released"/>
    <x v="1"/>
    <s v="GL03"/>
    <s v="ACRM GP#2 NON TBSPL"/>
    <m/>
    <x v="4"/>
    <x v="4"/>
    <m/>
    <n v="1000"/>
    <s v="South"/>
    <s v="VINJAMURU"/>
    <s v="BANG"/>
    <n v="188750"/>
    <s v="Colorshine Coated Pvt.Ltd."/>
    <n v="4096237"/>
    <s v="GL COIL SKINPASS Y300GL SGL2 0.320X1235"/>
    <s v="B06"/>
    <s v="Y300GL"/>
    <s v="SGL2"/>
    <n v="0.32"/>
    <n v="1235"/>
    <n v="0"/>
    <s v="T2 DONE"/>
    <s v="aZ70"/>
    <s v=""/>
    <n v="7"/>
    <n v="20"/>
    <n v="168"/>
    <n v="149.815"/>
    <n v="18.184999999999999"/>
    <n v="18.1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84999999999999"/>
    <s v="0.29-0.33"/>
    <s v="1235-1255"/>
    <m/>
    <m/>
    <m/>
    <m/>
    <m/>
    <m/>
    <s v="U"/>
    <s v="GP02_IPP"/>
    <s v="B06-SGL2-0.32-1235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Colorshine Coated Pvt.Ltd."/>
  </r>
  <r>
    <n v="742"/>
    <d v="2025-08-07T00:00:00"/>
    <s v="ZBTF"/>
    <n v="4000514713"/>
    <n v="1"/>
    <s v="4000514713-1"/>
    <s v="No Priority"/>
    <s v="Released"/>
    <x v="0"/>
    <e v="#N/A"/>
    <e v="#N/A"/>
    <m/>
    <x v="1"/>
    <x v="7"/>
    <m/>
    <n v="2000"/>
    <s v="South"/>
    <s v="YESHWANTHPURA"/>
    <s v=""/>
    <n v="600103"/>
    <s v="TATA STEEL LIMITED"/>
    <n v="4098505"/>
    <s v="HR COILS-PO THR099 2X1270"/>
    <n v="768"/>
    <s v="THR099"/>
    <s v="HR99"/>
    <n v="2"/>
    <n v="1270"/>
    <n v="0"/>
    <s v="T2 DONE"/>
    <s v=" "/>
    <s v=""/>
    <n v="17"/>
    <n v="27.5"/>
    <n v="203"/>
    <n v="168.92500000000001"/>
    <n v="34.075000000000003"/>
    <n v="34.07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075000000000003"/>
    <s v=""/>
    <s v=""/>
    <m/>
    <m/>
    <m/>
    <m/>
    <m/>
    <m/>
    <s v="U"/>
    <s v="HRPO_HOSUR"/>
    <s v="768-HR99-2-1270"/>
    <s v="367-HR99-2-1270"/>
    <n v="367"/>
    <s v="THR099"/>
    <s v="HR99"/>
    <s v="D06A"/>
    <n v="2"/>
    <n v="1270"/>
    <n v="1484330"/>
    <m/>
    <m/>
    <m/>
    <m/>
    <m/>
    <m/>
    <m/>
    <m/>
    <m/>
    <m/>
    <m/>
    <m/>
    <m/>
    <m/>
    <m/>
    <m/>
    <m/>
    <m/>
    <m/>
    <s v="TATA STEEL LIMITED"/>
  </r>
  <r>
    <n v="742"/>
    <d v="2025-07-26T00:00:00"/>
    <s v="ZBTO"/>
    <n v="9518961702"/>
    <n v="1"/>
    <s v="9518961702-1"/>
    <s v="No Priority"/>
    <s v="Released"/>
    <x v="0"/>
    <s v="CR04"/>
    <s v="ACRM CRCA TLL"/>
    <m/>
    <x v="0"/>
    <x v="8"/>
    <m/>
    <n v="1000"/>
    <s v="West"/>
    <s v="RAJKOT"/>
    <s v="AMED"/>
    <n v="188891"/>
    <s v="Galaxy Stamping Pvt. Ltd."/>
    <n v="2439203"/>
    <s v="CRCA COIL TSBSTA EL06 0.500X1160"/>
    <s v="C01"/>
    <s v="TSBSTA"/>
    <s v="EL06"/>
    <n v="0.5"/>
    <n v="1160"/>
    <n v="0"/>
    <s v="T2 DONE"/>
    <s v=" "/>
    <s v=""/>
    <n v="5"/>
    <n v="8"/>
    <n v="80"/>
    <n v="42.4"/>
    <n v="37.6"/>
    <n v="1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6"/>
    <s v="0.48-0.52"/>
    <s v="1160-1180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s v="Galaxy Stamping Pvt. Ltd."/>
  </r>
  <r>
    <n v="742"/>
    <d v="2025-07-24T00:00:00"/>
    <s v="ZBTO"/>
    <n v="9518956389"/>
    <n v="3"/>
    <s v="9518956389-3"/>
    <s v="Oct'25"/>
    <s v="Released"/>
    <x v="1"/>
    <s v="CR02"/>
    <s v="ACRM CRCA CRS"/>
    <m/>
    <x v="0"/>
    <x v="0"/>
    <m/>
    <n v="2000"/>
    <s v="South"/>
    <s v="YESHWANTHPURA"/>
    <s v="BANG"/>
    <n v="932244"/>
    <s v="DURGA TRADERS"/>
    <n v="1801022"/>
    <s v="CRCA COIL-TATXXD-AU03-0.45X1250"/>
    <s v="C01"/>
    <s v="TATXXD"/>
    <s v="AU03"/>
    <n v="0.45"/>
    <n v="1250"/>
    <n v="0"/>
    <s v="T2 DONE"/>
    <s v=" "/>
    <s v=""/>
    <n v="10"/>
    <n v="28"/>
    <n v="29"/>
    <n v="0"/>
    <n v="29"/>
    <n v="1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62"/>
    <m/>
    <m/>
    <m/>
    <m/>
    <m/>
    <m/>
    <s v="U"/>
    <s v="CRCA_STLM"/>
    <s v="C01-AU03-0.45-1250"/>
    <s v="367-SH08-2.25-1250"/>
    <n v="367"/>
    <s v="T01320"/>
    <s v="SH08"/>
    <s v="C16D"/>
    <n v="2.25"/>
    <n v="1250"/>
    <n v="1387018"/>
    <m/>
    <m/>
    <m/>
    <m/>
    <m/>
    <m/>
    <m/>
    <m/>
    <m/>
    <m/>
    <m/>
    <m/>
    <m/>
    <m/>
    <m/>
    <m/>
    <m/>
    <m/>
    <m/>
    <s v="DURGA TRADERS"/>
  </r>
  <r>
    <n v="742"/>
    <d v="2025-07-24T00:00:00"/>
    <s v="ZBTO"/>
    <n v="9518956389"/>
    <n v="4"/>
    <s v="9518956389-4"/>
    <s v="No Priority"/>
    <s v="Released"/>
    <x v="0"/>
    <e v="#N/A"/>
    <e v="#N/A"/>
    <m/>
    <x v="0"/>
    <x v="0"/>
    <m/>
    <n v="2000"/>
    <s v="South"/>
    <s v="YESHWANTHPURA"/>
    <s v="BANG"/>
    <n v="932244"/>
    <s v="DURGA TRADERS"/>
    <n v="185675"/>
    <s v="CRCA COIL-TATXXD-AU03-0.5X1250"/>
    <s v="C01"/>
    <s v="TATXXD"/>
    <s v="AU03"/>
    <n v="0.5"/>
    <n v="1250"/>
    <n v="0"/>
    <s v="T2 DONE"/>
    <s v=" "/>
    <s v=""/>
    <n v="10"/>
    <n v="28"/>
    <n v="58"/>
    <n v="37.454999999999998"/>
    <n v="20.545000000000002"/>
    <n v="20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545000000000002"/>
    <s v="0.47-0.5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DURGA TRADERS"/>
  </r>
  <r>
    <n v="742"/>
    <d v="2025-07-24T00:00:00"/>
    <s v="ZBTO"/>
    <n v="9518956389"/>
    <n v="5"/>
    <s v="9518956389-5"/>
    <s v="No Priority"/>
    <s v="Released"/>
    <x v="0"/>
    <e v="#N/A"/>
    <e v="#N/A"/>
    <m/>
    <x v="0"/>
    <x v="0"/>
    <m/>
    <n v="2000"/>
    <s v="South"/>
    <s v="YESHWANTHPURA"/>
    <s v="BANG"/>
    <n v="932244"/>
    <s v="DURGA TRADERS"/>
    <n v="1801290"/>
    <s v="CRCA COIL-TATXXD-AU03-0.6X1250"/>
    <s v="C01"/>
    <s v="TATXXD"/>
    <s v="AU03"/>
    <n v="0.6"/>
    <n v="1250"/>
    <n v="0"/>
    <s v="T2 DONE"/>
    <s v=" "/>
    <s v=""/>
    <n v="10"/>
    <n v="28"/>
    <n v="45.151000000000003"/>
    <n v="12.85"/>
    <n v="32.301000000000002"/>
    <n v="4.621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01000000000002"/>
    <s v="0.57-0.6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m/>
    <m/>
    <m/>
    <m/>
    <m/>
    <m/>
    <m/>
    <m/>
    <m/>
    <m/>
    <m/>
    <m/>
    <m/>
    <m/>
    <s v="DURGA TRADERS"/>
  </r>
  <r>
    <n v="743"/>
    <d v="2025-08-19T00:00:00"/>
    <s v="ZBTO"/>
    <n v="9519028704"/>
    <n v="1"/>
    <s v="9519028704-1"/>
    <s v="Stocks"/>
    <s v="Released"/>
    <x v="1"/>
    <s v="GP03"/>
    <s v="ACRM GP#3 NARROW"/>
    <m/>
    <x v="2"/>
    <x v="6"/>
    <m/>
    <n v="2000"/>
    <s v="North"/>
    <s v="VARANASI"/>
    <s v="KANP"/>
    <n v="931525"/>
    <s v="INDIA STEEL INDUSTRIES"/>
    <n v="1191955"/>
    <s v="GP COIL SOFT-TATXGP-GK09-0.3X900"/>
    <s v="C02"/>
    <s v="TATXGP"/>
    <s v="GK09"/>
    <n v="0.3"/>
    <n v="900"/>
    <n v="0"/>
    <s v="T2 DONE"/>
    <s v="Z80"/>
    <s v=""/>
    <n v="4"/>
    <n v="12"/>
    <n v="84"/>
    <n v="80.06"/>
    <n v="3.94"/>
    <n v="3.94"/>
    <n v="59.9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26.615000000000002"/>
    <n v="26.615000000000002"/>
    <n v="26.615000000000002"/>
    <n v="0"/>
    <n v="0"/>
    <n v="-22.675000000000001"/>
    <s v="0.26-0.34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INDIA STEEL INDUSTRIES"/>
  </r>
  <r>
    <n v="742"/>
    <d v="2025-08-06T00:00:00"/>
    <s v="ZBTF"/>
    <n v="4000514786"/>
    <n v="1"/>
    <s v="4000514786-1"/>
    <s v="No Priority"/>
    <s v="Released"/>
    <x v="0"/>
    <e v="#N/A"/>
    <e v="#N/A"/>
    <m/>
    <x v="1"/>
    <x v="4"/>
    <m/>
    <n v="1000"/>
    <s v="South"/>
    <s v="THIRUVALLUR"/>
    <s v=""/>
    <n v="600108"/>
    <s v="THE TATA IRON &amp; STEEL CO LTD "/>
    <n v="3226987"/>
    <s v="HR COILS-PO THR099 HR99 1.90X1250"/>
    <n v="768"/>
    <s v="THR099"/>
    <s v="HR99"/>
    <n v="1.9"/>
    <n v="1250"/>
    <n v="0"/>
    <s v="T2 DONE"/>
    <s v=" "/>
    <s v=""/>
    <n v="21"/>
    <n v="25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s v=""/>
    <s v=""/>
    <m/>
    <m/>
    <m/>
    <m/>
    <m/>
    <m/>
    <s v="U"/>
    <s v="HRPO_BPRS"/>
    <s v="768-HR99-1.9-1250"/>
    <s v="367-HR99-1.9-1250"/>
    <n v="367"/>
    <s v="THR099"/>
    <s v="HR99"/>
    <s v="D06A"/>
    <n v="1.9"/>
    <n v="1250"/>
    <n v="1326468"/>
    <m/>
    <m/>
    <m/>
    <m/>
    <m/>
    <m/>
    <m/>
    <m/>
    <m/>
    <m/>
    <m/>
    <m/>
    <m/>
    <m/>
    <m/>
    <m/>
    <m/>
    <m/>
    <m/>
    <s v="THE TATA IRON &amp; STEEL CO LTD "/>
  </r>
  <r>
    <n v="742"/>
    <d v="2025-07-03T00:00:00"/>
    <s v="ZBTO"/>
    <n v="9518903517"/>
    <n v="1"/>
    <s v="9518903517-1"/>
    <s v="Stocks"/>
    <s v="Released"/>
    <x v="1"/>
    <e v="#N/A"/>
    <e v="#N/A"/>
    <m/>
    <x v="0"/>
    <x v="0"/>
    <m/>
    <n v="2000"/>
    <s v="South"/>
    <s v="YESHWANTHPURA"/>
    <s v="BANG"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35.945"/>
    <n v="22.055"/>
    <n v="22.055"/>
    <n v="11.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55"/>
    <s v="0.3-0.35"/>
    <s v="1250-1262"/>
    <m/>
    <m/>
    <m/>
    <m/>
    <m/>
    <m/>
    <s v="U"/>
    <s v="CRCA_STLM"/>
    <s v="C01-AU03-0.35-1250"/>
    <s v="367-SH08-2-1275"/>
    <n v="367"/>
    <s v="T01320"/>
    <s v="SH08"/>
    <s v="C16D"/>
    <n v="2"/>
    <n v="1275"/>
    <n v="3636910"/>
    <m/>
    <m/>
    <m/>
    <m/>
    <m/>
    <m/>
    <m/>
    <m/>
    <m/>
    <m/>
    <m/>
    <m/>
    <m/>
    <m/>
    <m/>
    <m/>
    <m/>
    <m/>
    <m/>
    <s v="TATA STEEL DOWNSTREAM PRODUCTS LIMI"/>
  </r>
  <r>
    <n v="742"/>
    <d v="2025-07-03T00:00:00"/>
    <s v="ZBTO"/>
    <n v="9518903517"/>
    <n v="2"/>
    <s v="9518903517-2"/>
    <s v="No Priority"/>
    <s v="Released"/>
    <x v="0"/>
    <e v="#N/A"/>
    <e v="#N/A"/>
    <m/>
    <x v="0"/>
    <x v="0"/>
    <m/>
    <n v="2000"/>
    <s v="South"/>
    <s v="YESHWANTHPURA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69.63"/>
    <n v="46.37"/>
    <n v="19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7"/>
    <s v="0.36-0.4"/>
    <s v="1250-1262"/>
    <m/>
    <m/>
    <m/>
    <m/>
    <m/>
    <m/>
    <s v="U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TATA STEEL DOWNSTREAM PRODUCTS LIMI"/>
  </r>
  <r>
    <n v="742"/>
    <d v="2025-07-23T00:00:00"/>
    <s v="ZBTF"/>
    <n v="4000513138"/>
    <n v="1"/>
    <s v="4000513138-1"/>
    <s v="No Priority"/>
    <s v="Released"/>
    <x v="0"/>
    <e v="#N/A"/>
    <e v="#N/A"/>
    <m/>
    <x v="1"/>
    <x v="7"/>
    <m/>
    <n v="2000"/>
    <s v="South"/>
    <s v="YESHWANTHPURA"/>
    <s v=""/>
    <n v="600103"/>
    <s v="TATA STEEL LIMITED"/>
    <n v="3226987"/>
    <s v="HR COILS-PO THR099 HR99 1.90X1250"/>
    <n v="768"/>
    <s v="THR099"/>
    <s v="HR99"/>
    <n v="1.9"/>
    <n v="1250"/>
    <n v="0"/>
    <s v="T2 DONE"/>
    <s v=" "/>
    <s v=""/>
    <n v="10"/>
    <n v="27"/>
    <n v="260.98500000000001"/>
    <n v="243.01"/>
    <n v="17.975000000000001"/>
    <n v="17.9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75000000000001"/>
    <s v=""/>
    <s v=""/>
    <m/>
    <m/>
    <m/>
    <m/>
    <m/>
    <m/>
    <s v="U"/>
    <s v="HRPO_BPRS"/>
    <s v="768-HR99-1.9-1250"/>
    <s v="367-HR99-1.9-1250"/>
    <n v="367"/>
    <s v="THR099"/>
    <s v="HR99"/>
    <s v="D06A"/>
    <n v="1.9"/>
    <n v="1250"/>
    <n v="1326468"/>
    <m/>
    <m/>
    <m/>
    <m/>
    <m/>
    <m/>
    <m/>
    <m/>
    <m/>
    <m/>
    <m/>
    <m/>
    <m/>
    <m/>
    <m/>
    <m/>
    <m/>
    <m/>
    <m/>
    <s v="TATA STEEL LIMITED"/>
  </r>
  <r>
    <n v="742"/>
    <d v="2025-07-23T00:00:00"/>
    <s v="ZBTF"/>
    <n v="4000513138"/>
    <n v="2"/>
    <s v="4000513138-2"/>
    <s v="Stocks"/>
    <s v="Released"/>
    <x v="0"/>
    <e v="#N/A"/>
    <e v="#N/A"/>
    <m/>
    <x v="1"/>
    <x v="7"/>
    <m/>
    <n v="2000"/>
    <s v="South"/>
    <s v="YESHWANTHPURA"/>
    <s v=""/>
    <n v="600103"/>
    <s v="TATA STEEL LIMITED"/>
    <n v="3226987"/>
    <s v="HR COILS-PO THR099 HR99 1.90X1250"/>
    <n v="768"/>
    <s v="THR099"/>
    <s v="HR99"/>
    <n v="1.9"/>
    <n v="1250"/>
    <n v="0"/>
    <s v="T2 DONE"/>
    <s v=" "/>
    <s v=""/>
    <n v="10"/>
    <n v="27"/>
    <n v="260.98500000000001"/>
    <n v="218.60499999999999"/>
    <n v="42.38"/>
    <n v="42.38"/>
    <n v="42.769999999999996"/>
    <n v="0"/>
    <n v="0"/>
    <n v="0"/>
    <n v="0"/>
    <n v="0"/>
    <n v="0"/>
    <n v="0"/>
    <n v="0"/>
    <n v="0"/>
    <n v="0"/>
    <n v="0"/>
    <n v="0"/>
    <n v="0"/>
    <n v="0"/>
    <n v="42.69"/>
    <n v="0"/>
    <n v="0"/>
    <n v="0"/>
    <n v="42.69"/>
    <n v="42.69"/>
    <n v="0"/>
    <n v="0"/>
    <n v="-0.30999999999999517"/>
    <s v=""/>
    <s v=""/>
    <m/>
    <m/>
    <m/>
    <m/>
    <m/>
    <m/>
    <s v="U"/>
    <s v="HRPO_BPRS"/>
    <s v="768-HR99-1.9-1250"/>
    <s v="367-HR99-1.9-1250"/>
    <n v="367"/>
    <s v="THR099"/>
    <s v="HR99"/>
    <s v="D06A"/>
    <n v="1.9"/>
    <n v="1250"/>
    <n v="1326468"/>
    <m/>
    <m/>
    <m/>
    <m/>
    <m/>
    <m/>
    <m/>
    <m/>
    <m/>
    <m/>
    <m/>
    <m/>
    <m/>
    <m/>
    <m/>
    <m/>
    <m/>
    <m/>
    <m/>
    <s v="TATA STEEL LIMITED"/>
  </r>
  <r>
    <n v="742"/>
    <d v="2025-07-01T00:00:00"/>
    <s v="ZBTO"/>
    <n v="9518900193"/>
    <n v="5"/>
    <s v="9518900193-5"/>
    <s v="Aug'25"/>
    <s v="Released"/>
    <x v="1"/>
    <s v="CR02"/>
    <s v="ACRM CRCA CRS"/>
    <m/>
    <x v="0"/>
    <x v="0"/>
    <m/>
    <n v="2000"/>
    <s v="South"/>
    <s v="COCHIN HARBOUR "/>
    <s v="MADS"/>
    <n v="116650"/>
    <s v="KUMMENCHERY STEELS"/>
    <n v="2390329"/>
    <s v="CRCA COIL TATXXD AU03 0.900X1000"/>
    <s v="C01"/>
    <s v="TATXXD"/>
    <s v="AU03"/>
    <n v="0.9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88-0.92"/>
    <s v="1000-1004"/>
    <m/>
    <m/>
    <m/>
    <m/>
    <m/>
    <m/>
    <s v="R"/>
    <s v="CRCA_STLM"/>
    <s v="C01-AU03-0.9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KUMMENCHERY STEELS"/>
  </r>
  <r>
    <n v="742"/>
    <d v="2025-07-28T00:00:00"/>
    <s v="ZBTF"/>
    <n v="9518965834"/>
    <n v="1"/>
    <s v="9518965834-1"/>
    <s v="No Priority"/>
    <s v="Released"/>
    <x v="0"/>
    <s v="FHCR"/>
    <e v="#N/A"/>
    <m/>
    <x v="5"/>
    <x v="9"/>
    <m/>
    <n v="2000"/>
    <s v="West"/>
    <s v="KHOPOLI"/>
    <s v="TSMK"/>
    <n v="650783"/>
    <s v="Khopoli Wider CRM"/>
    <n v="4094985"/>
    <s v="CR COIL TATFHC TR10 0.473X1352"/>
    <s v="C09"/>
    <s v="TATFHC"/>
    <s v="TR10"/>
    <n v="0.47299999999999998"/>
    <n v="1352"/>
    <n v="0"/>
    <s v="T2 DONE"/>
    <s v=" "/>
    <s v=""/>
    <n v="12"/>
    <n v="25"/>
    <n v="49.999000000000002"/>
    <n v="0"/>
    <n v="49.999000000000002"/>
    <n v="49.9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999000000000002"/>
    <s v="0.468-0.478"/>
    <s v="1350-1353"/>
    <m/>
    <m/>
    <m/>
    <m/>
    <m/>
    <m/>
    <s v="C"/>
    <s v="CRFH_KHOPOLI"/>
    <s v="C09-TR10-0.473-1352"/>
    <s v="367-HG02-2.5-1352"/>
    <n v="367"/>
    <s v="T01576"/>
    <s v="HG02"/>
    <s v="C06A"/>
    <n v="2.5"/>
    <n v="1352"/>
    <e v="#N/A"/>
    <m/>
    <m/>
    <m/>
    <m/>
    <m/>
    <m/>
    <m/>
    <m/>
    <m/>
    <m/>
    <m/>
    <m/>
    <m/>
    <m/>
    <m/>
    <m/>
    <m/>
    <m/>
    <m/>
    <s v="Khopoli Wider CRM"/>
  </r>
  <r>
    <n v="742"/>
    <d v="2025-07-28T00:00:00"/>
    <s v="ZBTF"/>
    <n v="9518965834"/>
    <n v="3"/>
    <s v="9518965834-3"/>
    <s v="No Priority"/>
    <s v="Released"/>
    <x v="0"/>
    <s v="FHCR"/>
    <e v="#N/A"/>
    <m/>
    <x v="5"/>
    <x v="9"/>
    <m/>
    <n v="2000"/>
    <s v="West"/>
    <s v="KHOPOLI"/>
    <s v="TSMK"/>
    <n v="650783"/>
    <s v="Khopoli Wider CRM"/>
    <n v="4094987"/>
    <s v="CR COIL TATFHC TR10 0.373X1352"/>
    <s v="C09"/>
    <s v="TATFHC"/>
    <s v="TR10"/>
    <n v="0.373"/>
    <n v="1352"/>
    <n v="0"/>
    <s v="T2 DONE"/>
    <s v=" "/>
    <s v=""/>
    <n v="12"/>
    <n v="25"/>
    <n v="24.998999999999999"/>
    <n v="0"/>
    <n v="24.998999999999999"/>
    <n v="24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98999999999999"/>
    <s v="0.368-0.378"/>
    <s v="1350-1353"/>
    <m/>
    <m/>
    <m/>
    <m/>
    <m/>
    <m/>
    <s v="C"/>
    <s v="CRFH_KHOPOLI"/>
    <s v="C09-TR10-0.373-1352"/>
    <s v="367-HG02-2.25-1352"/>
    <n v="367"/>
    <s v="T01576"/>
    <s v="HG02"/>
    <s v="C06A"/>
    <n v="2.25"/>
    <n v="1352"/>
    <e v="#N/A"/>
    <m/>
    <m/>
    <m/>
    <m/>
    <m/>
    <m/>
    <m/>
    <m/>
    <m/>
    <m/>
    <m/>
    <m/>
    <m/>
    <m/>
    <m/>
    <m/>
    <m/>
    <m/>
    <m/>
    <s v="Khopoli Wider CRM"/>
  </r>
  <r>
    <n v="743"/>
    <d v="2025-07-08T00:00:00"/>
    <s v="ZBTO"/>
    <n v="9518914836"/>
    <n v="1"/>
    <s v="9518914836-1"/>
    <s v="No Priority"/>
    <s v="Released"/>
    <x v="0"/>
    <s v="GP03"/>
    <s v="ACRM GP#3 NARROW"/>
    <m/>
    <x v="2"/>
    <x v="6"/>
    <m/>
    <n v="2000"/>
    <s v="West"/>
    <s v="LONI"/>
    <s v="GBAD"/>
    <n v="931234"/>
    <s v="JAI LAXMI STEELS"/>
    <n v="1319275"/>
    <s v="GP COIL SOFT-TATXGP-GLK1-0.2X900"/>
    <s v="C02"/>
    <s v="TATXGP"/>
    <s v="GLK1"/>
    <n v="0.2"/>
    <n v="900"/>
    <n v="0"/>
    <s v="T2 DONE"/>
    <s v="Z80"/>
    <s v=""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17-0.2"/>
    <s v="900-903"/>
    <m/>
    <m/>
    <m/>
    <m/>
    <m/>
    <m/>
    <s v="R"/>
    <s v="GP03_KOSH"/>
    <s v="C02-GLK1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JAI LAXMI STEELS"/>
  </r>
  <r>
    <n v="743"/>
    <d v="2025-07-08T00:00:00"/>
    <s v="ZBTO"/>
    <n v="9518914836"/>
    <n v="4"/>
    <s v="9518914836-4"/>
    <s v="No Priority"/>
    <s v="Released"/>
    <x v="0"/>
    <s v="GP03"/>
    <s v="ACRM GP#3 NARROW"/>
    <m/>
    <x v="2"/>
    <x v="6"/>
    <m/>
    <n v="2000"/>
    <s v="West"/>
    <s v="LONI"/>
    <s v="GBAD"/>
    <n v="931234"/>
    <s v="JAI LAXMI STEELS"/>
    <n v="2270690"/>
    <s v="GP COIL SOFT TATXGP GLK1 0.25X1000"/>
    <s v="C02"/>
    <s v="TATXGP"/>
    <s v="GLK1"/>
    <n v="0.25"/>
    <n v="1000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2-0.25"/>
    <s v="1000-1003"/>
    <m/>
    <m/>
    <m/>
    <m/>
    <m/>
    <m/>
    <s v="R"/>
    <s v="GP03_KOSH"/>
    <s v="C02-GLK1-0.25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JAI LAXMI STEELS"/>
  </r>
  <r>
    <n v="743"/>
    <d v="2025-07-08T00:00:00"/>
    <s v="ZBTO"/>
    <n v="9518914836"/>
    <n v="6"/>
    <s v="9518914836-6"/>
    <s v="No Priority"/>
    <s v="Released"/>
    <x v="0"/>
    <s v="GP03"/>
    <s v="ACRM GP#3 NARROW"/>
    <m/>
    <x v="2"/>
    <x v="6"/>
    <m/>
    <n v="2000"/>
    <s v="West"/>
    <s v="LONI"/>
    <s v="GBAD"/>
    <n v="931234"/>
    <s v="JAI LAXMI STEELS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7-0.3"/>
    <s v="1000-1003"/>
    <m/>
    <m/>
    <m/>
    <m/>
    <m/>
    <m/>
    <s v="R"/>
    <s v="GP03_KOSH"/>
    <s v="C02-GLK1-0.3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JAI LAXMI STEELS"/>
  </r>
  <r>
    <n v="742"/>
    <d v="2025-07-04T00:00:00"/>
    <s v="ZBTO"/>
    <n v="9518907328"/>
    <n v="1"/>
    <s v="9518907328-1"/>
    <s v="No Priority"/>
    <s v="Released"/>
    <x v="0"/>
    <s v="CR02"/>
    <s v="ACRM CRCA CRS"/>
    <m/>
    <x v="0"/>
    <x v="0"/>
    <m/>
    <n v="2000"/>
    <s v="East"/>
    <s v="GUWAHATI"/>
    <s v="GWAH"/>
    <n v="116649"/>
    <s v="SAGAR STEELS"/>
    <n v="1801562"/>
    <s v="CRCA COIL-TATXXD-AU03-0.8X1000"/>
    <s v="C01"/>
    <s v="TATXXD"/>
    <s v="AU03"/>
    <n v="0.8"/>
    <n v="1000"/>
    <n v="0"/>
    <s v="T2 DONE"/>
    <s v=" "/>
    <s v=""/>
    <n v="9"/>
    <n v="28"/>
    <n v="114.99"/>
    <n v="33.32"/>
    <n v="81.67"/>
    <n v="81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67"/>
    <s v="0.77-0.8"/>
    <s v="100-1002"/>
    <m/>
    <m/>
    <m/>
    <m/>
    <m/>
    <m/>
    <s v="C"/>
    <s v="CRCA_STLM"/>
    <s v="C01-AU03-0.8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SAGAR STEELS"/>
  </r>
  <r>
    <n v="743"/>
    <d v="2025-06-16T00:00:00"/>
    <s v="ZBTF"/>
    <n v="9518851597"/>
    <n v="1"/>
    <s v="9518851597-1"/>
    <s v="Aug'25"/>
    <s v="Released"/>
    <x v="1"/>
    <s v="GP01"/>
    <s v="ACRM GP#3 WIDER HARD"/>
    <m/>
    <x v="2"/>
    <x v="10"/>
    <m/>
    <n v="2000"/>
    <s v="East"/>
    <s v="GAMHARIA"/>
    <s v="COMD"/>
    <n v="651192"/>
    <s v="SPC AS JOB WORKER"/>
    <n v="3708868"/>
    <s v="GP COIL TATGPH GP02 0.500X1350"/>
    <s v="C05"/>
    <s v="TATGPH"/>
    <s v="GP02"/>
    <n v="0.5"/>
    <n v="1350"/>
    <n v="0"/>
    <s v="T2 DONE"/>
    <s v="Z120"/>
    <s v=""/>
    <n v="11"/>
    <n v="24"/>
    <n v="449.97"/>
    <n v="422.30500000000001"/>
    <n v="27.664999999999999"/>
    <n v="27.664999999999999"/>
    <n v="0"/>
    <n v="0"/>
    <n v="0"/>
    <n v="0"/>
    <n v="0"/>
    <n v="0"/>
    <n v="0"/>
    <n v="0"/>
    <n v="0"/>
    <n v="0"/>
    <n v="0"/>
    <n v="0"/>
    <n v="0"/>
    <n v="0"/>
    <n v="0"/>
    <n v="0"/>
    <n v="19.595000000000002"/>
    <n v="0"/>
    <n v="0"/>
    <n v="19.595000000000002"/>
    <n v="0"/>
    <n v="19.595000000000002"/>
    <n v="0"/>
    <n v="27.664999999999999"/>
    <s v="0.48-0.5"/>
    <s v="1350-1352"/>
    <m/>
    <m/>
    <m/>
    <m/>
    <m/>
    <m/>
    <s v="U"/>
    <s v="GP03_SHKT"/>
    <s v="C05-GP02-0.5-1350"/>
    <s v="367-SF93-2.5-1365"/>
    <n v="367"/>
    <s v="S02149"/>
    <s v="SF93"/>
    <s v="C07A"/>
    <n v="2.5"/>
    <n v="1365"/>
    <n v="1700901"/>
    <m/>
    <m/>
    <m/>
    <m/>
    <m/>
    <m/>
    <m/>
    <m/>
    <m/>
    <m/>
    <m/>
    <m/>
    <m/>
    <m/>
    <m/>
    <m/>
    <m/>
    <m/>
    <m/>
    <s v="SPC AS JOB WORKER"/>
  </r>
  <r>
    <n v="742"/>
    <d v="2025-07-10T00:00:00"/>
    <s v="ZBTO"/>
    <n v="9518918667"/>
    <n v="1"/>
    <s v="9518918667-1"/>
    <s v="No Priority"/>
    <s v="Released"/>
    <x v="0"/>
    <e v="#N/A"/>
    <e v="#N/A"/>
    <m/>
    <x v="0"/>
    <x v="4"/>
    <m/>
    <n v="1000"/>
    <s v="South"/>
    <s v="CHENNAI"/>
    <s v="MADS"/>
    <n v="122082"/>
    <s v="GODREJ AND BOYCE MANUFACTURING CO L"/>
    <n v="3774639"/>
    <s v="CR COIL TATXHS GB03 1.500X1260"/>
    <s v="C01"/>
    <s v="TATXHS"/>
    <s v="GB03"/>
    <n v="1.5"/>
    <n v="1260"/>
    <n v="0"/>
    <s v="T2 DONE"/>
    <s v=" "/>
    <s v=""/>
    <n v="10"/>
    <n v="25"/>
    <n v="290"/>
    <n v="263.2"/>
    <n v="26.8"/>
    <n v="2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"/>
    <s v="1.47-1.53"/>
    <s v="1260-1262"/>
    <m/>
    <m/>
    <m/>
    <m/>
    <m/>
    <m/>
    <s v="U"/>
    <s v="CRCA_G&amp;B"/>
    <s v="C01-GB03-1.5-1260"/>
    <s v="367-JC43-3.2-1260"/>
    <n v="367"/>
    <s v="JC0043"/>
    <s v="JC43"/>
    <s v="C39A"/>
    <n v="3.2"/>
    <n v="1260"/>
    <n v="4066058"/>
    <m/>
    <m/>
    <m/>
    <m/>
    <m/>
    <m/>
    <m/>
    <m/>
    <m/>
    <m/>
    <m/>
    <m/>
    <m/>
    <m/>
    <m/>
    <m/>
    <m/>
    <m/>
    <m/>
    <s v="GODREJ AND BOYCE MANUFACTURING CO L"/>
  </r>
  <r>
    <n v="742"/>
    <d v="2025-07-10T00:00:00"/>
    <s v="ZBTO"/>
    <n v="9518918667"/>
    <n v="2"/>
    <s v="9518918667-2"/>
    <s v="No Priority"/>
    <s v="Released"/>
    <x v="0"/>
    <e v="#N/A"/>
    <e v="#N/A"/>
    <m/>
    <x v="0"/>
    <x v="4"/>
    <m/>
    <n v="1000"/>
    <s v="South"/>
    <s v="CHENNAI"/>
    <s v="MADS"/>
    <n v="122082"/>
    <s v="GODREJ AND BOYCE MANUFACTURING CO L"/>
    <n v="3774639"/>
    <s v="CR COIL TATXHS GB03 1.500X1260"/>
    <s v="C01"/>
    <s v="TATXHS"/>
    <s v="GB03"/>
    <n v="1.5"/>
    <n v="1260"/>
    <n v="0"/>
    <s v="T2 DONE"/>
    <s v=" "/>
    <s v=""/>
    <n v="10"/>
    <n v="25"/>
    <n v="289.99900000000002"/>
    <n v="288.57"/>
    <n v="1.429"/>
    <n v="1.4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29"/>
    <s v="1.47-1.53"/>
    <s v="1260-1280"/>
    <m/>
    <m/>
    <m/>
    <m/>
    <m/>
    <m/>
    <s v="U"/>
    <s v="CRCA_G&amp;B"/>
    <s v="C01-GB03-1.5-1260"/>
    <s v="367-JC43-3.2-1260"/>
    <n v="367"/>
    <s v="JC0043"/>
    <s v="JC43"/>
    <s v="C39A"/>
    <n v="3.2"/>
    <n v="1260"/>
    <n v="4066058"/>
    <m/>
    <m/>
    <m/>
    <m/>
    <m/>
    <m/>
    <m/>
    <m/>
    <m/>
    <m/>
    <m/>
    <m/>
    <m/>
    <m/>
    <m/>
    <m/>
    <m/>
    <m/>
    <m/>
    <s v="GODREJ AND BOYCE MANUFACTURING CO L"/>
  </r>
  <r>
    <n v="742"/>
    <d v="2025-07-10T00:00:00"/>
    <s v="ZBTO"/>
    <n v="9518918667"/>
    <n v="3"/>
    <s v="9518918667-3"/>
    <s v="No Priority"/>
    <s v="Released"/>
    <x v="0"/>
    <s v="CR03"/>
    <s v="ACRM CRCA SPM"/>
    <m/>
    <x v="0"/>
    <x v="4"/>
    <m/>
    <n v="1000"/>
    <s v="South"/>
    <s v="CHENNAI"/>
    <s v="MADS"/>
    <n v="122082"/>
    <s v="GODREJ AND BOYCE MANUFACTURING CO L"/>
    <n v="3774639"/>
    <s v="CR COIL TATXHS GB03 1.500X1260"/>
    <s v="C01"/>
    <s v="TATXHS"/>
    <s v="GB03"/>
    <n v="1.5"/>
    <n v="1260"/>
    <n v="0"/>
    <s v="T2 DONE"/>
    <s v=" "/>
    <s v=""/>
    <n v="10"/>
    <n v="25"/>
    <n v="290"/>
    <n v="236.745"/>
    <n v="53.255000000000003"/>
    <n v="53.25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255000000000003"/>
    <s v="1.47-1.53"/>
    <s v="1260-1262"/>
    <m/>
    <m/>
    <m/>
    <m/>
    <m/>
    <m/>
    <s v="U"/>
    <s v="CRCA_G&amp;B"/>
    <s v="C01-GB03-1.5-1260"/>
    <s v="367-JC43-3.2-1260"/>
    <n v="367"/>
    <s v="JC0043"/>
    <s v="JC43"/>
    <s v="C39A"/>
    <n v="3.2"/>
    <n v="1260"/>
    <n v="4066058"/>
    <m/>
    <m/>
    <m/>
    <m/>
    <m/>
    <m/>
    <m/>
    <m/>
    <m/>
    <m/>
    <m/>
    <m/>
    <m/>
    <m/>
    <m/>
    <m/>
    <m/>
    <m/>
    <m/>
    <s v="GODREJ AND BOYCE MANUFACTURING CO L"/>
  </r>
  <r>
    <n v="743"/>
    <d v="2025-07-23T00:00:00"/>
    <s v="ZBTO"/>
    <n v="9518952183"/>
    <n v="2"/>
    <s v="9518952183-2"/>
    <s v="No Priority"/>
    <s v="Released"/>
    <x v="0"/>
    <s v="GP03"/>
    <s v="ACRM GP#3 NARROW"/>
    <m/>
    <x v="2"/>
    <x v="2"/>
    <m/>
    <n v="2000"/>
    <s v="East"/>
    <s v="TATANAGAR"/>
    <s v="JAMS"/>
    <n v="165053"/>
    <s v="SUDISA ENTERPRISES (P) LTD."/>
    <n v="1852414"/>
    <s v="GP COIL SOFT-TSBXGP-N1GP-0.6X900"/>
    <s v="C02"/>
    <s v="TSBXGP"/>
    <s v="N1GP"/>
    <n v="0.6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8-0.62"/>
    <s v="900-904"/>
    <m/>
    <m/>
    <m/>
    <m/>
    <m/>
    <m/>
    <s v="R"/>
    <s v="GP03_BPRS"/>
    <s v="C02-N1GP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UDISA ENTERPRISES (P) LTD."/>
  </r>
  <r>
    <n v="743"/>
    <d v="2025-07-23T00:00:00"/>
    <s v="ZBTO"/>
    <n v="9518952183"/>
    <n v="4"/>
    <s v="9518952183-4"/>
    <s v="No Priority"/>
    <s v="Released"/>
    <x v="0"/>
    <s v="GP03"/>
    <s v="ACRM GP#3 NARROW"/>
    <m/>
    <x v="2"/>
    <x v="2"/>
    <m/>
    <n v="2000"/>
    <s v="East"/>
    <s v="TATANAGAR"/>
    <s v="JAMS"/>
    <n v="165053"/>
    <s v="SUDISA ENTERPRISES (P) LTD."/>
    <n v="1852012"/>
    <s v="GP COIL SOFT-TSBXGP-N1GP-0.4X900"/>
    <s v="C02"/>
    <s v="TSBXGP"/>
    <s v="N1GP"/>
    <n v="0.4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8-0.42"/>
    <s v="900-904"/>
    <m/>
    <m/>
    <m/>
    <m/>
    <m/>
    <m/>
    <s v="R"/>
    <s v="GP03_BPRS"/>
    <s v="C02-N1GP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UDISA ENTERPRISES (P) LTD."/>
  </r>
  <r>
    <n v="743"/>
    <d v="2025-07-23T00:00:00"/>
    <s v="ZBTO"/>
    <n v="9518952183"/>
    <n v="5"/>
    <s v="9518952183-5"/>
    <s v="No Priority"/>
    <s v="Released"/>
    <x v="0"/>
    <s v="GP03"/>
    <s v="ACRM GP#3 NARROW"/>
    <m/>
    <x v="2"/>
    <x v="2"/>
    <m/>
    <n v="2000"/>
    <s v="East"/>
    <s v="TATANAGAR"/>
    <s v="JAMS"/>
    <n v="165053"/>
    <s v="SUDISA ENTERPRISES (P) LTD."/>
    <n v="1852246"/>
    <s v="GP COIL SOFT-TSBXGP-N1GP-0.5X900"/>
    <s v="C02"/>
    <s v="TSBXGP"/>
    <s v="N1GP"/>
    <n v="0.5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8-0.52"/>
    <s v="900-904"/>
    <m/>
    <m/>
    <m/>
    <m/>
    <m/>
    <m/>
    <s v="R"/>
    <s v="GP03_BPRS"/>
    <s v="C02-N1GP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UDISA ENTERPRISES (P) LTD."/>
  </r>
  <r>
    <n v="743"/>
    <d v="2025-07-23T00:00:00"/>
    <s v="ZBTO"/>
    <n v="9518952765"/>
    <n v="1"/>
    <s v="9518952765-1"/>
    <s v="No Priority"/>
    <s v="Released"/>
    <x v="0"/>
    <s v="GP03"/>
    <s v="ACRM GP#3 NARROW"/>
    <m/>
    <x v="2"/>
    <x v="2"/>
    <m/>
    <n v="2000"/>
    <s v="East"/>
    <s v="TATANAGAR"/>
    <s v="JAMS"/>
    <n v="165053"/>
    <s v="SUDISA ENTERPRISES (P) LTD."/>
    <n v="1851909"/>
    <s v="GP COIL SOFT-TSBXGP-N1GP-0.35X900"/>
    <s v="C02"/>
    <s v="TSBXGP"/>
    <s v="N1GP"/>
    <n v="0.35"/>
    <n v="900"/>
    <n v="0"/>
    <s v="T2 DONE"/>
    <s v="Z80"/>
    <s v=""/>
    <n v="4"/>
    <n v="12"/>
    <n v="21"/>
    <n v="0"/>
    <n v="21"/>
    <n v="21"/>
    <n v="0"/>
    <n v="0"/>
    <n v="28.76"/>
    <n v="0"/>
    <n v="0"/>
    <n v="0"/>
    <n v="0"/>
    <n v="0"/>
    <n v="0"/>
    <n v="0"/>
    <n v="0"/>
    <n v="0"/>
    <n v="0"/>
    <n v="0"/>
    <n v="0"/>
    <n v="0"/>
    <n v="0"/>
    <n v="0"/>
    <n v="0"/>
    <n v="28.76"/>
    <n v="0"/>
    <n v="28.76"/>
    <n v="0"/>
    <n v="21"/>
    <s v="0.33-0.37"/>
    <s v="900-904"/>
    <m/>
    <m/>
    <m/>
    <m/>
    <m/>
    <m/>
    <s v="R"/>
    <s v="NA"/>
    <s v="C02-N1GP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UDISA ENTERPRISES (P) LTD."/>
  </r>
  <r>
    <n v="743"/>
    <d v="2025-06-17T00:00:00"/>
    <s v="ZBTO"/>
    <n v="9518856188"/>
    <n v="2"/>
    <s v="9518856188-2"/>
    <s v="No Priority"/>
    <s v="Released"/>
    <x v="0"/>
    <s v="GP02"/>
    <s v="ACRM GP#3 WIDER SOFT"/>
    <m/>
    <x v="2"/>
    <x v="2"/>
    <m/>
    <n v="2200"/>
    <s v="South"/>
    <s v="CHENNAI"/>
    <s v="MADS"/>
    <n v="822271"/>
    <s v="TATA STEEL DOWNSTREAM PRODUCTS LIMI"/>
    <n v="1851847"/>
    <s v="GP COIL SOFT-TSBXGP-T1GP-0.3X1220"/>
    <s v="C02"/>
    <s v="TSBXGP"/>
    <s v="T1GP"/>
    <n v="0.3"/>
    <n v="1220"/>
    <n v="0"/>
    <s v="T1 REJECT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s v="0.28-0.32"/>
    <s v="1220-1224"/>
    <m/>
    <m/>
    <m/>
    <m/>
    <m/>
    <m/>
    <s v="R"/>
    <s v="GP03_BPRS"/>
    <s v="C02-T1GP-0.3-1220"/>
    <s v="367-HG02-2-1235"/>
    <n v="367"/>
    <s v="T01576"/>
    <s v="HG02"/>
    <s v="C06A"/>
    <n v="2"/>
    <n v="1235"/>
    <n v="414088"/>
    <m/>
    <m/>
    <m/>
    <m/>
    <m/>
    <m/>
    <m/>
    <m/>
    <m/>
    <m/>
    <m/>
    <m/>
    <m/>
    <m/>
    <m/>
    <m/>
    <m/>
    <m/>
    <m/>
    <s v="TATA STEEL DOWNSTREAM PRODUCTS LIMI"/>
  </r>
  <r>
    <n v="743"/>
    <d v="2025-07-23T00:00:00"/>
    <s v="ZBTO"/>
    <n v="9518951602"/>
    <n v="1"/>
    <s v="9518951602-1"/>
    <s v="Sep'25"/>
    <s v="Released"/>
    <x v="1"/>
    <s v="GP03"/>
    <s v="ACRM GP#3 NARROW"/>
    <m/>
    <x v="2"/>
    <x v="6"/>
    <m/>
    <n v="2000"/>
    <s v="North"/>
    <s v="KANPUR"/>
    <s v="KANP"/>
    <n v="933952"/>
    <s v="AGARWAL STEEL TRADERS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AGARWAL STEEL TRADERS"/>
  </r>
  <r>
    <n v="742"/>
    <d v="2025-07-19T00:00:00"/>
    <s v="ZBTO"/>
    <n v="9518942225"/>
    <n v="3"/>
    <s v="9518942225-3"/>
    <s v="No Priority"/>
    <s v="Released"/>
    <x v="0"/>
    <s v="CR01"/>
    <s v="ACRM CRCA CTL"/>
    <m/>
    <x v="0"/>
    <x v="5"/>
    <m/>
    <n v="2000"/>
    <s v="East"/>
    <s v="SILIGURI TOWN"/>
    <s v="GWAH"/>
    <n v="948783"/>
    <s v="SAGAR STEELS"/>
    <n v="3409912"/>
    <s v="CRCA SHEET TSBCRC SR15 0.500X1120X2000"/>
    <s v="C06"/>
    <s v="TSBCRC"/>
    <s v="SR15"/>
    <n v="0.5"/>
    <n v="1120"/>
    <n v="2000"/>
    <s v="T2 DONE"/>
    <s v=" "/>
    <s v=""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7-0.5"/>
    <s v="1120-1122"/>
    <m/>
    <m/>
    <m/>
    <m/>
    <m/>
    <m/>
    <s v="T"/>
    <s v="CRCA_SUPR"/>
    <s v="C06-SR15-0.5-1120"/>
    <s v="367-SH69-2.25-1135"/>
    <n v="367"/>
    <s v="T01069"/>
    <s v="SH69"/>
    <s v="R12A"/>
    <n v="2.25"/>
    <n v="1135"/>
    <e v="#N/A"/>
    <m/>
    <m/>
    <m/>
    <m/>
    <m/>
    <m/>
    <m/>
    <m/>
    <m/>
    <m/>
    <m/>
    <m/>
    <m/>
    <m/>
    <m/>
    <m/>
    <m/>
    <m/>
    <m/>
    <s v="SAGAR STEELS"/>
  </r>
  <r>
    <n v="742"/>
    <d v="2025-07-19T00:00:00"/>
    <s v="ZBTO"/>
    <n v="9518942225"/>
    <n v="13"/>
    <s v="9518942225-13"/>
    <s v="Stocks"/>
    <s v="Released"/>
    <x v="1"/>
    <s v="CR01"/>
    <s v="ACRM CRCA CTL"/>
    <m/>
    <x v="0"/>
    <x v="5"/>
    <m/>
    <n v="2000"/>
    <s v="East"/>
    <s v="SILIGURI TOWN"/>
    <s v="GWAH"/>
    <n v="948783"/>
    <s v="SAGAR STEELS"/>
    <n v="3240778"/>
    <s v="CRCA SHEET TSBCRC SR15 0.600X1000X2500"/>
    <s v="C06"/>
    <s v="TSBCRC"/>
    <s v="SR15"/>
    <n v="0.6"/>
    <n v="1000"/>
    <n v="2500"/>
    <s v="T2 DONE"/>
    <s v=" "/>
    <s v=""/>
    <n v="2"/>
    <n v="3"/>
    <n v="24"/>
    <n v="13.41"/>
    <n v="10.585000000000001"/>
    <n v="10.585000000000001"/>
    <n v="4.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85000000000001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SAGAR STEELS"/>
  </r>
  <r>
    <n v="742"/>
    <d v="2025-07-18T00:00:00"/>
    <s v="ZBTO"/>
    <n v="9518939680"/>
    <n v="9"/>
    <s v="9518939680-9"/>
    <s v="Oct'25"/>
    <s v="Released"/>
    <x v="1"/>
    <s v="CR01"/>
    <s v="ACRM CRCA CTL"/>
    <m/>
    <x v="0"/>
    <x v="5"/>
    <m/>
    <n v="2000"/>
    <s v="South"/>
    <s v="CHENNAI"/>
    <s v="MADS"/>
    <n v="938550"/>
    <s v="BASEER AND CO"/>
    <n v="3533339"/>
    <s v="CRCA SHEET TATCRC SR16 0.450X1000X2000"/>
    <s v="C06"/>
    <s v="TATCRC"/>
    <s v="SR16"/>
    <n v="0.45"/>
    <n v="1000"/>
    <n v="2000"/>
    <s v="T2 DONE"/>
    <s v=" "/>
    <s v=""/>
    <n v="0"/>
    <n v="0"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s v="0.43-0.47"/>
    <s v="1000-1004"/>
    <m/>
    <m/>
    <m/>
    <m/>
    <m/>
    <m/>
    <s v="U"/>
    <s v="CRCA_SUPR"/>
    <s v="C06-SR16-0.45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BASEER AND CO"/>
  </r>
  <r>
    <n v="743"/>
    <d v="2025-07-25T00:00:00"/>
    <s v="ZBTO"/>
    <n v="9518957720"/>
    <n v="6"/>
    <s v="9518957720-6"/>
    <s v="Aug'25"/>
    <s v="Released"/>
    <x v="1"/>
    <s v="GL03"/>
    <s v="ACRM GP#2 NON TBSPL"/>
    <m/>
    <x v="4"/>
    <x v="4"/>
    <m/>
    <n v="1000"/>
    <s v="South"/>
    <s v="VINJAMURU"/>
    <s v="BANG"/>
    <n v="188750"/>
    <s v="Colorshine Coated Pvt.Ltd."/>
    <n v="4096236"/>
    <s v="GL COIL HARD  Y550GL H7GL 0.350X1235"/>
    <s v="B04"/>
    <s v="Y550GL"/>
    <s v="H7GL"/>
    <n v="0.35"/>
    <n v="1235"/>
    <n v="0"/>
    <s v="T2 DONE"/>
    <s v="aZ70"/>
    <s v=""/>
    <n v="5.75"/>
    <n v="20"/>
    <n v="251.999"/>
    <n v="226.43"/>
    <n v="25.568999999999999"/>
    <n v="25.568999999999999"/>
    <n v="0"/>
    <n v="0"/>
    <n v="0"/>
    <n v="0"/>
    <n v="0"/>
    <n v="0"/>
    <n v="0"/>
    <n v="0"/>
    <n v="0"/>
    <n v="0"/>
    <n v="0"/>
    <n v="0"/>
    <n v="0"/>
    <n v="0"/>
    <n v="0"/>
    <n v="0"/>
    <n v="16.62"/>
    <n v="0"/>
    <n v="0"/>
    <n v="16.62"/>
    <n v="0"/>
    <n v="16.62"/>
    <n v="0"/>
    <n v="25.568999999999999"/>
    <s v="0.32-0.36"/>
    <s v="1235-1255"/>
    <m/>
    <m/>
    <m/>
    <m/>
    <m/>
    <m/>
    <s v="U"/>
    <s v="GP02_IPP"/>
    <s v="B04-H7GL-0.35-1235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Colorshine Coated Pvt.Ltd."/>
  </r>
  <r>
    <n v="742"/>
    <d v="2025-07-25T00:00:00"/>
    <s v="ZBTO"/>
    <n v="9518957825"/>
    <n v="5"/>
    <s v="9518957825-5"/>
    <s v="No Priority"/>
    <s v="Released"/>
    <x v="0"/>
    <s v="CR01"/>
    <s v="ACRM CRCA CTL"/>
    <m/>
    <x v="0"/>
    <x v="5"/>
    <m/>
    <n v="2000"/>
    <s v="East"/>
    <s v="HOWRAH"/>
    <s v="CALS"/>
    <n v="925093"/>
    <s v="PSPL STEEL PROCESSORS PRIVATE LIMIT"/>
    <n v="3240772"/>
    <s v="CRCA SHEET TSBCRC SR15 0.600X900X2500"/>
    <s v="C06"/>
    <s v="TSBCRC"/>
    <s v="SR15"/>
    <n v="0.6"/>
    <n v="900"/>
    <n v="2500"/>
    <s v="T2 DONE"/>
    <s v=" "/>
    <s v=""/>
    <n v="2"/>
    <n v="3"/>
    <n v="20.998999999999999"/>
    <n v="0"/>
    <n v="20.998999999999999"/>
    <n v="20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999999999999"/>
    <s v="0.57-0.6"/>
    <s v="900-902"/>
    <m/>
    <m/>
    <m/>
    <m/>
    <m/>
    <m/>
    <s v="T"/>
    <s v="CRCA_SUPR"/>
    <s v="C06-SR15-0.6-900"/>
    <s v="B69-SH69-2.5-925"/>
    <s v="B69"/>
    <s v="T01069"/>
    <s v="SH69"/>
    <s v="R12A"/>
    <n v="2.5"/>
    <n v="925"/>
    <n v="3918108"/>
    <m/>
    <m/>
    <m/>
    <m/>
    <m/>
    <m/>
    <m/>
    <m/>
    <m/>
    <m/>
    <m/>
    <m/>
    <m/>
    <m/>
    <m/>
    <m/>
    <m/>
    <m/>
    <m/>
    <s v="PSPL STEEL PROCESSORS PRIVATE LIMIT"/>
  </r>
  <r>
    <n v="742"/>
    <d v="2025-07-10T00:00:00"/>
    <s v="ZBTO"/>
    <n v="9518919474"/>
    <n v="1"/>
    <s v="9518919474-1"/>
    <s v="No Priority"/>
    <s v="Released"/>
    <x v="0"/>
    <s v="CR01"/>
    <s v="ACRM CRCA CTL"/>
    <m/>
    <x v="0"/>
    <x v="5"/>
    <m/>
    <n v="2000"/>
    <s v="East"/>
    <s v="HOWRAH"/>
    <s v="CALS"/>
    <n v="925093"/>
    <s v="PSPL STEEL PROCESSORS PRIVATE LIMIT"/>
    <n v="3892602"/>
    <s v="BLOCKED BY QAD"/>
    <s v="C06"/>
    <s v="TSBCRC"/>
    <s v="SR15"/>
    <n v="0.45"/>
    <n v="1000"/>
    <n v="2500"/>
    <s v="T1 REJECT"/>
    <s v=" "/>
    <s v=""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"/>
    <s v="1000-1002"/>
    <m/>
    <m/>
    <m/>
    <m/>
    <m/>
    <m/>
    <s v="T"/>
    <s v="NA"/>
    <s v="C06-SR15-0.4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s v="PSPL STEEL PROCESSORS PRIVATE LIMIT"/>
  </r>
  <r>
    <n v="742"/>
    <d v="2025-07-31T00:00:00"/>
    <s v="ZBTO"/>
    <n v="9518980071"/>
    <n v="3"/>
    <s v="9518980071-3"/>
    <s v="Sep'25"/>
    <s v="Released"/>
    <x v="1"/>
    <s v="CR01"/>
    <s v="ACRM CRCA CTL"/>
    <m/>
    <x v="0"/>
    <x v="5"/>
    <m/>
    <n v="2000"/>
    <s v="East"/>
    <s v="HOWRAH"/>
    <s v="CALS"/>
    <n v="101278"/>
    <s v="RAMESH COMPANY"/>
    <n v="3239536"/>
    <s v="CRCA SHEET TATCRC SR16 0.350X900X2500"/>
    <s v="C06"/>
    <s v="TATCRC"/>
    <s v="SR16"/>
    <n v="0.35"/>
    <n v="900"/>
    <n v="2500"/>
    <s v="T2 DONE"/>
    <s v=" "/>
    <s v=""/>
    <n v="0.1"/>
    <n v="9.9"/>
    <n v="21"/>
    <n v="0"/>
    <n v="21"/>
    <n v="0.6"/>
    <n v="0"/>
    <n v="0"/>
    <n v="0"/>
    <n v="0"/>
    <n v="0"/>
    <n v="0"/>
    <n v="0"/>
    <n v="0"/>
    <n v="0"/>
    <n v="0"/>
    <n v="0"/>
    <n v="0"/>
    <n v="20.440000000000001"/>
    <n v="0"/>
    <n v="0"/>
    <n v="0"/>
    <n v="0"/>
    <n v="0"/>
    <n v="0"/>
    <n v="20.440000000000001"/>
    <n v="0"/>
    <n v="20.440000000000001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RAMESH COMPANY"/>
  </r>
  <r>
    <n v="742"/>
    <d v="2025-08-06T00:00:00"/>
    <s v="ZBTF"/>
    <n v="9518998049"/>
    <n v="5"/>
    <s v="9518998049-5"/>
    <s v="Stocks"/>
    <s v="Released"/>
    <x v="1"/>
    <s v="CR04"/>
    <s v="ACRM CRCA TLL"/>
    <m/>
    <x v="0"/>
    <x v="8"/>
    <m/>
    <n v="1000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135"/>
    <n v="123.05500000000001"/>
    <n v="11.945"/>
    <n v="11.945"/>
    <n v="24.615000000000002"/>
    <n v="0"/>
    <n v="0"/>
    <n v="0"/>
    <n v="0"/>
    <n v="0"/>
    <n v="0"/>
    <n v="0"/>
    <n v="0"/>
    <n v="0"/>
    <n v="0"/>
    <n v="0"/>
    <n v="0"/>
    <n v="0"/>
    <n v="0"/>
    <n v="24.615000000000002"/>
    <n v="0"/>
    <n v="0"/>
    <n v="0"/>
    <n v="24.615000000000002"/>
    <n v="24.615000000000002"/>
    <n v="0"/>
    <n v="0"/>
    <n v="-12.670000000000002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s v="TATA CENTER"/>
  </r>
  <r>
    <n v="742"/>
    <d v="2025-08-28T00:00:00"/>
    <s v="ZBTF"/>
    <n v="9519056395"/>
    <n v="1"/>
    <s v="9519056395-1"/>
    <s v="Stocks"/>
    <s v="Released"/>
    <x v="0"/>
    <e v="#N/A"/>
    <e v="#N/A"/>
    <m/>
    <x v="5"/>
    <x v="9"/>
    <m/>
    <n v="2000"/>
    <s v="West"/>
    <s v="KHOPOLI"/>
    <s v="TSMK"/>
    <n v="650783"/>
    <s v="Khopoli Wider CRM"/>
    <n v="4015454"/>
    <s v="CR COIL TATFHC TR10 0.449X1235"/>
    <s v="C09"/>
    <s v="TATFHC"/>
    <s v="TR10"/>
    <n v="0.44900000000000001"/>
    <n v="1235"/>
    <n v="0"/>
    <s v="T2 DONE"/>
    <s v=" "/>
    <s v=""/>
    <n v="22"/>
    <n v="25"/>
    <n v="168"/>
    <n v="145.535"/>
    <n v="25.465"/>
    <n v="25.465"/>
    <n v="23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465"/>
    <s v="0.449-0.554"/>
    <s v="1235-1255"/>
    <m/>
    <m/>
    <m/>
    <m/>
    <m/>
    <m/>
    <s v="U"/>
    <s v="NA"/>
    <s v="C09-TR10-0.449-1235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s v="Khopoli Wider CRM"/>
  </r>
  <r>
    <n v="743"/>
    <d v="2025-08-21T00:00:00"/>
    <s v="ZBTO"/>
    <n v="9519035728"/>
    <n v="2"/>
    <s v="9519035728-2"/>
    <s v="Oct'25"/>
    <s v="Released"/>
    <x v="1"/>
    <s v="GL01"/>
    <s v="ACRM GP#2 TBSPL BGL"/>
    <m/>
    <x v="4"/>
    <x v="3"/>
    <m/>
    <n v="1000"/>
    <s v="TBSPL"/>
    <s v="TATANAGAR"/>
    <s v="BOMB"/>
    <n v="942284"/>
    <s v="TATA BLUESCOPE STEEL PRIVATE LIMITE"/>
    <n v="3931932"/>
    <s v="GL C YS550 M306 0.35BMT(0.37TCT)X900"/>
    <s v="B04"/>
    <s v="Y550GL"/>
    <s v="M306"/>
    <n v="0.35"/>
    <n v="900"/>
    <n v="0"/>
    <s v="T2 DONE"/>
    <s v="aZ70"/>
    <s v=""/>
    <n v="3"/>
    <n v="5"/>
    <n v="84"/>
    <n v="13.725"/>
    <n v="70.275000000000006"/>
    <n v="70.275000000000006"/>
    <n v="13.7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275000000000006"/>
    <s v="0.33-0.37"/>
    <s v="900-902"/>
    <m/>
    <m/>
    <m/>
    <m/>
    <m/>
    <m/>
    <s v="R"/>
    <s v="GP02_BGL"/>
    <s v="B04-M306-0.35-900"/>
    <s v="727-SF93-2-903"/>
    <n v="727"/>
    <s v="S02149"/>
    <s v="SF93"/>
    <s v="C07A"/>
    <n v="2"/>
    <n v="903"/>
    <n v="4059596"/>
    <m/>
    <m/>
    <m/>
    <m/>
    <m/>
    <m/>
    <m/>
    <m/>
    <m/>
    <m/>
    <m/>
    <m/>
    <m/>
    <m/>
    <m/>
    <m/>
    <m/>
    <m/>
    <m/>
    <s v="TATA BLUESCOPE STEEL PRIVATE LIMITE"/>
  </r>
  <r>
    <n v="742"/>
    <d v="2025-07-19T00:00:00"/>
    <s v="ZBTO"/>
    <n v="9518941704"/>
    <n v="1"/>
    <s v="9518941704-1"/>
    <s v="Sep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2427612"/>
    <s v="CRCA SHEET TATCRC SR16 0.300X900X2500"/>
    <s v="C06"/>
    <s v="TATCRC"/>
    <s v="SR16"/>
    <n v="0.3"/>
    <n v="900"/>
    <n v="2500"/>
    <s v="T2 DONE"/>
    <s v=" "/>
    <s v=""/>
    <n v="2.5"/>
    <n v="3.2"/>
    <n v="84"/>
    <n v="0"/>
    <n v="84"/>
    <n v="3.09"/>
    <n v="0"/>
    <n v="0"/>
    <n v="0"/>
    <n v="0"/>
    <n v="0"/>
    <n v="0"/>
    <n v="0"/>
    <n v="0"/>
    <n v="0"/>
    <n v="0"/>
    <n v="0"/>
    <n v="0"/>
    <n v="80.930000000000007"/>
    <n v="0"/>
    <n v="0"/>
    <n v="0"/>
    <n v="0"/>
    <n v="0"/>
    <n v="0"/>
    <n v="80.930000000000007"/>
    <n v="0"/>
    <n v="80.930000000000007"/>
    <n v="0"/>
    <n v="84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Shree Bajrang Steel Udyog"/>
  </r>
  <r>
    <n v="742"/>
    <d v="2025-07-19T00:00:00"/>
    <s v="ZBTO"/>
    <n v="9518941704"/>
    <n v="2"/>
    <s v="9518941704-2"/>
    <s v="Sep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5"/>
    <n v="3.2"/>
    <n v="84"/>
    <n v="29.69"/>
    <n v="54.31"/>
    <n v="-7.3650000000000002"/>
    <n v="16.52"/>
    <n v="0"/>
    <n v="0"/>
    <n v="0"/>
    <n v="0"/>
    <n v="0"/>
    <n v="0"/>
    <n v="0"/>
    <n v="0"/>
    <n v="0"/>
    <n v="0"/>
    <n v="0"/>
    <n v="79.960000000000008"/>
    <n v="0"/>
    <n v="0"/>
    <n v="0"/>
    <n v="0"/>
    <n v="0"/>
    <n v="0"/>
    <n v="79.960000000000008"/>
    <n v="0"/>
    <n v="79.960000000000008"/>
    <n v="0"/>
    <n v="54.31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Shree Bajrang Steel Udyog"/>
  </r>
  <r>
    <n v="742"/>
    <d v="2025-07-19T00:00:00"/>
    <s v="ZBTO"/>
    <n v="9518941704"/>
    <n v="3"/>
    <s v="9518941704-3"/>
    <s v="No Priority"/>
    <s v="Released"/>
    <x v="0"/>
    <s v="CR01"/>
    <s v="ACRM CRCA CTL"/>
    <m/>
    <x v="0"/>
    <x v="5"/>
    <m/>
    <n v="2000"/>
    <s v="East"/>
    <s v="WEST BOKARO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5"/>
    <n v="3.2"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s v="0.33-0.37"/>
    <s v="1000-1002"/>
    <m/>
    <m/>
    <m/>
    <m/>
    <m/>
    <m/>
    <s v="M"/>
    <s v="CRCA_SUPR"/>
    <s v="C06-SR16-0.35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Shree Bajrang Steel Udyog"/>
  </r>
  <r>
    <n v="743"/>
    <d v="2025-07-15T00:00:00"/>
    <s v="ZBTO"/>
    <n v="9518930025"/>
    <n v="1"/>
    <s v="9518930025-1"/>
    <s v="Sep'25"/>
    <s v="Released"/>
    <x v="1"/>
    <s v="GP03"/>
    <s v="ACRM GP#3 NARROW"/>
    <m/>
    <x v="2"/>
    <x v="6"/>
    <m/>
    <n v="2000"/>
    <s v="East"/>
    <s v="PATNA"/>
    <s v="PATN"/>
    <n v="103227"/>
    <s v="BMW VENTURES LIMITED"/>
    <n v="1851054"/>
    <s v="GP COIL SOFT-TATXGP-GK09-0.2X900"/>
    <s v="C02"/>
    <s v="TATXGP"/>
    <s v="GK09"/>
    <n v="0.2"/>
    <n v="900"/>
    <n v="0"/>
    <s v="T2 DONE"/>
    <s v="Z80"/>
    <s v=""/>
    <n v="2"/>
    <n v="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5-0.21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BMW VENTURES LIMITED"/>
  </r>
  <r>
    <n v="743"/>
    <d v="2025-08-01T00:00:00"/>
    <s v="ZBTF"/>
    <n v="9518985721"/>
    <n v="1"/>
    <s v="9518985721-1"/>
    <s v="Stocks"/>
    <s v="Released"/>
    <x v="1"/>
    <s v="GP03"/>
    <s v="ACRM GP#3 NARROW"/>
    <m/>
    <x v="2"/>
    <x v="11"/>
    <m/>
    <n v="2000"/>
    <s v="East"/>
    <s v="GAMHARIA"/>
    <s v="COMD"/>
    <n v="650743"/>
    <s v="ANGUL GALVANIZING PLANT"/>
    <n v="3708867"/>
    <s v="GP COIL TATGPH GP02 0.300X900"/>
    <s v="C05"/>
    <s v="TATGPH"/>
    <s v="GP02"/>
    <n v="0.3"/>
    <n v="900"/>
    <n v="0"/>
    <s v="T2 DONE"/>
    <s v="Z120"/>
    <s v=""/>
    <n v="8.1"/>
    <n v="24"/>
    <n v="104.999"/>
    <n v="66.174999999999997"/>
    <n v="38.823999999999998"/>
    <n v="38.823999999999998"/>
    <n v="9.949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823999999999998"/>
    <s v="0.28-0.3"/>
    <s v="900-902"/>
    <m/>
    <m/>
    <m/>
    <m/>
    <m/>
    <m/>
    <s v="U"/>
    <s v="GP03_SHKT"/>
    <s v="C05-GP02-0.3-900"/>
    <s v="B69-SF93-2-925"/>
    <s v="B69"/>
    <s v="S02149"/>
    <s v="SF93"/>
    <s v="C07A"/>
    <n v="2"/>
    <n v="925"/>
    <n v="2429037"/>
    <m/>
    <m/>
    <m/>
    <m/>
    <m/>
    <m/>
    <m/>
    <m/>
    <m/>
    <m/>
    <m/>
    <m/>
    <m/>
    <m/>
    <m/>
    <m/>
    <m/>
    <m/>
    <m/>
    <s v="ANGUL GALVANIZING PLANT"/>
  </r>
  <r>
    <n v="743"/>
    <d v="2025-08-01T00:00:00"/>
    <s v="ZBTF"/>
    <n v="9518985721"/>
    <n v="2"/>
    <s v="9518985721-2"/>
    <s v="No Priority"/>
    <s v="Released"/>
    <x v="0"/>
    <s v="GP03"/>
    <s v="ACRM GP#3 NARROW"/>
    <m/>
    <x v="2"/>
    <x v="11"/>
    <m/>
    <n v="2000"/>
    <s v="East"/>
    <s v="GAMHARIA"/>
    <s v="COMD"/>
    <n v="650743"/>
    <s v="ANGUL GALVANIZING PLANT"/>
    <n v="3777531"/>
    <s v="GP COIL TATGPH GP02 0.300X1015"/>
    <s v="C05"/>
    <s v="TATGPH"/>
    <s v="GP02"/>
    <n v="0.3"/>
    <n v="1015"/>
    <n v="0"/>
    <s v="T2 DONE"/>
    <s v="Z120"/>
    <s v=""/>
    <n v="8.1"/>
    <n v="24"/>
    <n v="160.999"/>
    <n v="0"/>
    <n v="160.999"/>
    <n v="160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9"/>
    <s v="0.28-0.3"/>
    <s v="1015-1017"/>
    <m/>
    <m/>
    <m/>
    <m/>
    <m/>
    <m/>
    <s v="U"/>
    <s v="GP03_SHKT"/>
    <s v="C05-GP02-0.3-1015"/>
    <s v="B69-SF93-2-1035"/>
    <s v="B69"/>
    <s v="S02149"/>
    <s v="SF93"/>
    <s v="C07A"/>
    <n v="2"/>
    <n v="1035"/>
    <n v="3907916"/>
    <m/>
    <m/>
    <m/>
    <m/>
    <m/>
    <m/>
    <m/>
    <m/>
    <m/>
    <m/>
    <m/>
    <m/>
    <m/>
    <m/>
    <m/>
    <m/>
    <m/>
    <m/>
    <m/>
    <s v="ANGUL GALVANIZING PLANT"/>
  </r>
  <r>
    <n v="743"/>
    <d v="2025-08-01T00:00:00"/>
    <s v="ZBTF"/>
    <n v="9518985721"/>
    <n v="3"/>
    <s v="9518985721-3"/>
    <s v="No Priority"/>
    <s v="Released"/>
    <x v="0"/>
    <s v="GP03"/>
    <s v="ACRM GP#3 NARROW"/>
    <m/>
    <x v="2"/>
    <x v="11"/>
    <m/>
    <n v="2000"/>
    <s v="East"/>
    <s v="GAMHARIA"/>
    <s v="COMD"/>
    <n v="650743"/>
    <s v="ANGUL GALVANIZING PLANT"/>
    <n v="3768542"/>
    <s v="GP COIL TATGPH GP02 0.350X900"/>
    <s v="C05"/>
    <s v="TATGPH"/>
    <s v="GP02"/>
    <n v="0.35"/>
    <n v="900"/>
    <n v="0"/>
    <s v="T2 DONE"/>
    <s v="Z120"/>
    <s v=""/>
    <n v="8.1"/>
    <n v="24"/>
    <n v="187"/>
    <n v="144.69999999999999"/>
    <n v="42.3"/>
    <n v="4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3"/>
    <s v="0.33-0.35"/>
    <s v="900-902"/>
    <m/>
    <m/>
    <m/>
    <m/>
    <m/>
    <m/>
    <s v="U"/>
    <s v="GP03_SHKT"/>
    <s v="C05-GP02-0.35-900"/>
    <s v="B69-SF93-2-925"/>
    <s v="B69"/>
    <s v="S02149"/>
    <s v="SF93"/>
    <s v="C07A"/>
    <n v="2"/>
    <n v="925"/>
    <n v="2429037"/>
    <m/>
    <m/>
    <m/>
    <m/>
    <m/>
    <m/>
    <m/>
    <m/>
    <m/>
    <m/>
    <m/>
    <m/>
    <m/>
    <m/>
    <m/>
    <m/>
    <m/>
    <m/>
    <m/>
    <s v="ANGUL GALVANIZING PLANT"/>
  </r>
  <r>
    <n v="743"/>
    <d v="2025-08-01T00:00:00"/>
    <s v="ZBTF"/>
    <n v="9518985721"/>
    <n v="4"/>
    <s v="9518985721-4"/>
    <s v="Aug'25"/>
    <s v="Released"/>
    <x v="1"/>
    <s v="GP03"/>
    <s v="ACRM GP#3 NARROW"/>
    <m/>
    <x v="2"/>
    <x v="11"/>
    <m/>
    <n v="2000"/>
    <s v="East"/>
    <s v="GAMHARIA"/>
    <s v="COMD"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0.6"/>
    <n v="24"/>
    <n v="149.995"/>
    <n v="121.31"/>
    <n v="28.684999999999999"/>
    <n v="7.2050000000000001"/>
    <n v="0"/>
    <n v="0"/>
    <n v="0"/>
    <n v="0"/>
    <n v="0"/>
    <n v="0"/>
    <n v="21.48"/>
    <n v="0"/>
    <n v="0"/>
    <n v="0"/>
    <n v="0"/>
    <n v="0"/>
    <n v="0"/>
    <n v="0"/>
    <n v="0"/>
    <n v="0"/>
    <n v="0"/>
    <n v="0"/>
    <n v="0"/>
    <n v="21.48"/>
    <n v="0"/>
    <n v="21.48"/>
    <n v="0"/>
    <n v="28.684999999999999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m/>
    <m/>
    <m/>
    <m/>
    <m/>
    <m/>
    <m/>
    <m/>
    <m/>
    <m/>
    <m/>
    <m/>
    <m/>
    <m/>
    <s v="ANGUL GALVANIZING PLANT"/>
  </r>
  <r>
    <n v="742"/>
    <d v="2025-06-25T00:00:00"/>
    <s v="ZBTO"/>
    <n v="9518878640"/>
    <n v="1"/>
    <s v="9518878640-1"/>
    <s v="No Priority"/>
    <s v="Released"/>
    <x v="0"/>
    <s v="CR02"/>
    <s v="ACRM CRCA CRS"/>
    <m/>
    <x v="0"/>
    <x v="4"/>
    <m/>
    <n v="1000"/>
    <s v="West"/>
    <s v="RAJKOT"/>
    <s v="AMED"/>
    <n v="188891"/>
    <s v="Galaxy Stamping Pvt. Ltd."/>
    <n v="1804785"/>
    <s v="CRCA COIL-TATCRC-TR20-0.5X1250"/>
    <s v="C01"/>
    <s v="TATCRC"/>
    <s v="TR20"/>
    <n v="0.5"/>
    <n v="1250"/>
    <n v="0"/>
    <s v="T2 DONE"/>
    <s v=" "/>
    <s v=""/>
    <n v="6"/>
    <n v="8"/>
    <n v="232"/>
    <n v="99.745000000000005"/>
    <n v="132.255"/>
    <n v="132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.255"/>
    <s v="0.48-0.52"/>
    <s v="1250-1252"/>
    <m/>
    <m/>
    <m/>
    <m/>
    <m/>
    <m/>
    <s v="T"/>
    <s v="CRCA_IPP"/>
    <s v="C01-TR20-0.5-1250"/>
    <s v="367-SF98-2.5-1250"/>
    <n v="367"/>
    <s v="S02150"/>
    <s v="SF98"/>
    <s v="C29A"/>
    <n v="2.5"/>
    <n v="1250"/>
    <e v="#N/A"/>
    <m/>
    <m/>
    <m/>
    <m/>
    <m/>
    <m/>
    <m/>
    <m/>
    <m/>
    <m/>
    <m/>
    <m/>
    <m/>
    <m/>
    <m/>
    <m/>
    <m/>
    <m/>
    <m/>
    <s v="Galaxy Stamping Pvt. Ltd."/>
  </r>
  <r>
    <n v="742"/>
    <d v="2025-07-19T00:00:00"/>
    <s v="ZBTO"/>
    <n v="9518942225"/>
    <n v="10"/>
    <s v="9518942225-10"/>
    <s v="Sep'25"/>
    <s v="Released"/>
    <x v="1"/>
    <s v="CR01"/>
    <s v="ACRM CRCA CTL"/>
    <m/>
    <x v="0"/>
    <x v="5"/>
    <m/>
    <n v="2000"/>
    <s v="East"/>
    <s v="SILIGURI TOWN"/>
    <s v="GWAH"/>
    <n v="948783"/>
    <s v="SAGAR STEELS"/>
    <n v="3239542"/>
    <s v="CRCA SHEET TATCRC SR16 0.350X1000X2500"/>
    <s v="C06"/>
    <s v="TATCRC"/>
    <s v="SR16"/>
    <n v="0.35"/>
    <n v="1000"/>
    <n v="2500"/>
    <s v="T2 DONE"/>
    <s v=" "/>
    <s v=""/>
    <n v="2"/>
    <n v="3"/>
    <n v="24"/>
    <n v="0"/>
    <n v="23.995000000000001"/>
    <n v="23.99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95000000000001"/>
    <s v="0.33-0.35"/>
    <s v="1000-1020"/>
    <m/>
    <m/>
    <m/>
    <m/>
    <m/>
    <m/>
    <s v="T"/>
    <s v="CRCA_SUPR"/>
    <s v="C06-SR16-0.35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SAGAR STEELS"/>
  </r>
  <r>
    <n v="742"/>
    <d v="2025-07-19T00:00:00"/>
    <s v="ZBTO"/>
    <n v="9518942225"/>
    <n v="16"/>
    <s v="9518942225-16"/>
    <s v="Oct'25"/>
    <s v="Released"/>
    <x v="1"/>
    <s v="CR01"/>
    <s v="ACRM CRCA CTL"/>
    <m/>
    <x v="0"/>
    <x v="5"/>
    <m/>
    <n v="2000"/>
    <s v="East"/>
    <s v="SILIGURI TOWN"/>
    <s v="GWAH"/>
    <n v="948783"/>
    <s v="SAGAR STEELS"/>
    <n v="3402254"/>
    <s v="CRCA SHEET TSBCRC SR15 0.600X1000X2000"/>
    <s v="C06"/>
    <s v="TSBCRC"/>
    <s v="SR15"/>
    <n v="0.6"/>
    <n v="1000"/>
    <n v="2000"/>
    <s v="T2 DONE"/>
    <s v=" "/>
    <s v=""/>
    <n v="2"/>
    <n v="3"/>
    <n v="24"/>
    <n v="0"/>
    <n v="23.995000000000001"/>
    <n v="1.0249999999999999"/>
    <n v="0"/>
    <n v="0"/>
    <n v="0"/>
    <n v="0"/>
    <n v="0"/>
    <n v="0"/>
    <n v="0"/>
    <n v="0"/>
    <n v="0"/>
    <n v="0"/>
    <n v="22.97"/>
    <n v="0"/>
    <n v="0"/>
    <n v="0"/>
    <n v="0"/>
    <n v="0"/>
    <n v="0"/>
    <n v="0"/>
    <n v="0"/>
    <n v="22.97"/>
    <n v="0"/>
    <n v="22.97"/>
    <n v="0"/>
    <n v="23.995000000000001"/>
    <s v="0.57-0.6"/>
    <s v="1000-1020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SAGAR STEELS"/>
  </r>
  <r>
    <n v="742"/>
    <d v="2025-08-22T00:00:00"/>
    <s v="ZBTO"/>
    <n v="9519040245"/>
    <n v="1"/>
    <s v="9519040245-1"/>
    <s v="Sep'25"/>
    <s v="Released"/>
    <x v="1"/>
    <s v="CR02"/>
    <s v="ACRM CRCA CRS"/>
    <m/>
    <x v="0"/>
    <x v="4"/>
    <m/>
    <n v="1000"/>
    <s v="South"/>
    <s v="CHENNAI"/>
    <s v="NPUR"/>
    <n v="187214"/>
    <s v="BALMER LAWRIE &amp; CO. LIMITED.."/>
    <n v="2164800"/>
    <s v="CRCA COIL TATXXD BT02 0.970X913"/>
    <s v="C01"/>
    <s v="TATXXD"/>
    <s v="BT02"/>
    <n v="0.97"/>
    <n v="913"/>
    <n v="0"/>
    <s v="T2 DONE"/>
    <s v=" "/>
    <s v=""/>
    <n v="6"/>
    <n v="12"/>
    <n v="126"/>
    <n v="32.575000000000003"/>
    <n v="93.424999999999997"/>
    <n v="73.569999999999993"/>
    <n v="7.49"/>
    <n v="0"/>
    <n v="0"/>
    <n v="0"/>
    <n v="0"/>
    <n v="0"/>
    <n v="0"/>
    <n v="0"/>
    <n v="0"/>
    <n v="0"/>
    <n v="0"/>
    <n v="0"/>
    <n v="0"/>
    <n v="0"/>
    <n v="0"/>
    <n v="32.575000000000003"/>
    <n v="36.47"/>
    <n v="0"/>
    <n v="0"/>
    <n v="69.045000000000002"/>
    <n v="32.575000000000003"/>
    <n v="36.47"/>
    <n v="0"/>
    <n v="60.849999999999994"/>
    <s v="0.96-0.99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s v="BALMER LAWRIE &amp; CO. LIMITED.."/>
  </r>
  <r>
    <n v="742"/>
    <d v="2025-08-22T00:00:00"/>
    <s v="ZBTO"/>
    <n v="9519040469"/>
    <n v="3"/>
    <s v="9519040469-3"/>
    <s v="Oct'25"/>
    <s v="Released"/>
    <x v="1"/>
    <s v="CR02"/>
    <s v="ACRM CRCA CRS"/>
    <m/>
    <x v="0"/>
    <x v="4"/>
    <m/>
    <n v="1000"/>
    <s v="West"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s v="T2 DONE"/>
    <s v=" "/>
    <s v=""/>
    <n v="6"/>
    <n v="10.130000000000001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s v="Balmer Lawrie And Co. Ltd."/>
  </r>
  <r>
    <n v="742"/>
    <d v="2025-08-22T00:00:00"/>
    <s v="ZBTO"/>
    <n v="9519040469"/>
    <n v="4"/>
    <s v="9519040469-4"/>
    <s v="No Priority"/>
    <s v="Released"/>
    <x v="0"/>
    <s v="CR02"/>
    <s v="ACRM CRCA CRS"/>
    <m/>
    <x v="0"/>
    <x v="4"/>
    <m/>
    <n v="1000"/>
    <s v="West"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s v="T2 DONE"/>
    <s v=" "/>
    <s v=""/>
    <n v="6"/>
    <n v="10.130000000000001"/>
    <n v="105"/>
    <n v="70.114999999999995"/>
    <n v="34.884999999999998"/>
    <n v="33.185000000000002"/>
    <n v="0"/>
    <n v="0"/>
    <n v="0"/>
    <n v="0"/>
    <n v="0"/>
    <n v="0"/>
    <n v="0"/>
    <n v="0"/>
    <n v="0"/>
    <n v="0"/>
    <n v="0"/>
    <n v="0"/>
    <n v="0"/>
    <n v="0"/>
    <n v="0"/>
    <n v="0"/>
    <n v="8.4150000000000009"/>
    <n v="0"/>
    <n v="0"/>
    <n v="8.4150000000000009"/>
    <n v="0"/>
    <n v="8.4150000000000009"/>
    <n v="0"/>
    <n v="34.884999999999998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s v="Balmer Lawrie And Co. Ltd."/>
  </r>
  <r>
    <n v="742"/>
    <d v="2025-08-22T00:00:00"/>
    <s v="ZBTO"/>
    <n v="9519040469"/>
    <n v="6"/>
    <s v="9519040469-6"/>
    <s v="No Priority"/>
    <s v="Released"/>
    <x v="0"/>
    <s v="CR02"/>
    <s v="ACRM CRCA CRS"/>
    <m/>
    <x v="0"/>
    <x v="4"/>
    <m/>
    <n v="1000"/>
    <s v="West"/>
    <s v="VILLAGE DADRA"/>
    <s v="NPUR"/>
    <n v="189405"/>
    <s v="Balmer Lawrie And Co. Ltd."/>
    <n v="2164803"/>
    <s v="CRCA COIL TATXXD BT02 1.200X910"/>
    <s v="C01"/>
    <s v="TATXXD"/>
    <s v="BT02"/>
    <n v="1.2"/>
    <n v="910"/>
    <n v="0"/>
    <s v="T2 DONE"/>
    <s v=" "/>
    <s v=""/>
    <n v="6"/>
    <n v="1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s v="1.17-1.23"/>
    <s v="910-911"/>
    <m/>
    <m/>
    <m/>
    <m/>
    <m/>
    <m/>
    <s v="T"/>
    <s v="CRCA_D&amp;B"/>
    <s v="C01-BT02-1.2-910"/>
    <s v="B69-SH67-3.2-935"/>
    <s v="B69"/>
    <s v="TSH067"/>
    <s v="SH67"/>
    <s v="C14A"/>
    <n v="3.2"/>
    <n v="935"/>
    <n v="3924284"/>
    <m/>
    <m/>
    <m/>
    <m/>
    <m/>
    <m/>
    <m/>
    <m/>
    <m/>
    <m/>
    <m/>
    <m/>
    <m/>
    <m/>
    <m/>
    <m/>
    <m/>
    <m/>
    <m/>
    <s v="Balmer Lawrie And Co. Ltd."/>
  </r>
  <r>
    <n v="742"/>
    <d v="2025-08-22T00:00:00"/>
    <s v="ZBTO"/>
    <n v="9519040469"/>
    <n v="7"/>
    <s v="9519040469-7"/>
    <s v="Oct'25"/>
    <s v="Released"/>
    <x v="1"/>
    <s v="CR02"/>
    <s v="ACRM CRCA CRS"/>
    <m/>
    <x v="0"/>
    <x v="4"/>
    <m/>
    <n v="1000"/>
    <s v="West"/>
    <s v="VILLAGE DADRA"/>
    <s v="NPUR"/>
    <n v="189405"/>
    <s v="Balmer Lawrie And Co. Ltd."/>
    <n v="2164792"/>
    <s v="CRCA COIL TATXXD BT02 0.900X913"/>
    <s v="C01"/>
    <s v="TATXXD"/>
    <s v="BT02"/>
    <n v="0.9"/>
    <n v="913"/>
    <n v="0"/>
    <s v="T2 DONE"/>
    <s v=" "/>
    <s v=""/>
    <n v="6"/>
    <n v="10.4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88-0.92"/>
    <s v="913-914"/>
    <m/>
    <m/>
    <m/>
    <m/>
    <m/>
    <m/>
    <s v="T"/>
    <s v="CRCA_D&amp;B"/>
    <s v="C01-BT02-0.9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s v="Balmer Lawrie And Co. Ltd."/>
  </r>
  <r>
    <n v="743"/>
    <d v="2025-07-28T00:00:00"/>
    <s v="ZBTO"/>
    <n v="9518968397"/>
    <n v="1"/>
    <s v="9518968397-1"/>
    <s v="No Priority"/>
    <s v="Released"/>
    <x v="0"/>
    <s v="GP03"/>
    <s v="ACRM GP#3 NARROW"/>
    <m/>
    <x v="2"/>
    <x v="11"/>
    <m/>
    <n v="2000"/>
    <s v="North"/>
    <s v="SRINAGAR"/>
    <s v="LUDH"/>
    <n v="115190"/>
    <s v="SHEYRUB AGENCIES"/>
    <n v="3777533"/>
    <s v="GP COIL TATGPH GP02 0.500X1015"/>
    <s v="C05"/>
    <s v="TATGPH"/>
    <s v="GP02"/>
    <n v="0.5"/>
    <n v="1015"/>
    <n v="0"/>
    <s v="T2 DONE"/>
    <s v="Z120"/>
    <s v=""/>
    <n v="3"/>
    <n v="5"/>
    <n v="23"/>
    <n v="18.385000000000002"/>
    <n v="5.6150000000000002"/>
    <n v="5.6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6150000000000002"/>
    <s v="0.47-0.51"/>
    <s v="1015-1018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m/>
    <m/>
    <m/>
    <m/>
    <m/>
    <m/>
    <m/>
    <m/>
    <m/>
    <m/>
    <m/>
    <m/>
    <m/>
    <m/>
    <s v="SHEYRUB AGENCIES"/>
  </r>
  <r>
    <n v="742"/>
    <d v="2025-06-30T00:00:00"/>
    <s v="ZBTO"/>
    <n v="9518896127"/>
    <n v="4"/>
    <s v="9518896127-4"/>
    <s v="Stocks"/>
    <s v="Released"/>
    <x v="0"/>
    <e v="#N/A"/>
    <e v="#N/A"/>
    <m/>
    <x v="1"/>
    <x v="2"/>
    <m/>
    <n v="2000"/>
    <s v="East"/>
    <s v="HOWRAH"/>
    <s v="CALS"/>
    <n v="154464"/>
    <s v="TATA STEEL DOWNSTREAM PRODUCTS LIMI"/>
    <n v="1252834"/>
    <s v="HR COILS-PO IS 1079 HR2 3.0X1250"/>
    <n v="768"/>
    <s v="THR099"/>
    <s v="HR99"/>
    <n v="3"/>
    <n v="1250"/>
    <n v="0"/>
    <s v="T2 DONE"/>
    <s v=" "/>
    <s v=""/>
    <n v="17"/>
    <n v="29"/>
    <n v="87"/>
    <n v="87.66"/>
    <n v="0.34"/>
    <n v="0.34"/>
    <n v="22.31"/>
    <n v="0"/>
    <n v="0"/>
    <n v="0"/>
    <n v="0"/>
    <n v="0"/>
    <n v="0"/>
    <n v="0"/>
    <n v="0"/>
    <n v="0"/>
    <n v="0"/>
    <n v="0"/>
    <n v="0"/>
    <n v="0"/>
    <n v="0"/>
    <n v="22.38"/>
    <n v="0"/>
    <n v="0"/>
    <n v="0"/>
    <n v="22.38"/>
    <n v="22.38"/>
    <n v="0"/>
    <n v="0"/>
    <n v="-22.04"/>
    <s v=""/>
    <s v=""/>
    <m/>
    <m/>
    <m/>
    <m/>
    <m/>
    <m/>
    <s v="U"/>
    <s v="HRPO_BPRS"/>
    <s v="768-HR99-3-1250"/>
    <s v="367-HR99-3-1250"/>
    <n v="367"/>
    <s v="THR099"/>
    <s v="HR99"/>
    <s v="D06A"/>
    <n v="3"/>
    <n v="1250"/>
    <n v="1179668"/>
    <m/>
    <m/>
    <m/>
    <m/>
    <m/>
    <m/>
    <m/>
    <m/>
    <m/>
    <m/>
    <m/>
    <m/>
    <m/>
    <m/>
    <m/>
    <m/>
    <m/>
    <m/>
    <m/>
    <s v="TATA STEEL DOWNSTREAM PRODUCTS LIMI"/>
  </r>
  <r>
    <n v="743"/>
    <d v="2025-07-26T00:00:00"/>
    <s v="ZBTO"/>
    <n v="9518962848"/>
    <n v="1"/>
    <s v="9518962848-1"/>
    <s v="Stocks"/>
    <s v="Released"/>
    <x v="1"/>
    <s v="GL01"/>
    <s v="ACRM GP#2 TBSPL BGL"/>
    <m/>
    <x v="4"/>
    <x v="3"/>
    <m/>
    <n v="1000"/>
    <s v="TBSPL"/>
    <m/>
    <s v="BOMB"/>
    <n v="942283"/>
    <s v="TATA BLUESCOPE STEEL PRIVATE LIMITE"/>
    <n v="2148241"/>
    <s v="GL C Y300GL T12L 0.55BMT(0.60TCT)X1220"/>
    <s v="B03"/>
    <s v="Y300GL"/>
    <s v="T12L"/>
    <n v="0.55000000000000004"/>
    <n v="1220"/>
    <n v="0"/>
    <s v="T2 DONE"/>
    <s v="aZ150"/>
    <s v=""/>
    <n v="3"/>
    <n v="5"/>
    <n v="112"/>
    <n v="102.155"/>
    <n v="9.8450000000000006"/>
    <n v="9.8450000000000006"/>
    <n v="21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450000000000006"/>
    <s v="0.53-0.57"/>
    <s v="1220-1222"/>
    <m/>
    <m/>
    <m/>
    <m/>
    <m/>
    <m/>
    <s v="R"/>
    <s v="GP02_BGL"/>
    <s v="B03-T12L-0.5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2"/>
    <d v="2025-07-15T00:00:00"/>
    <s v="ZBTO"/>
    <n v="9518931316"/>
    <n v="1"/>
    <s v="9518931316-1"/>
    <s v="Sep'25"/>
    <s v="Released"/>
    <x v="1"/>
    <s v="CR01"/>
    <s v="ACRM CRCA CTL"/>
    <m/>
    <x v="0"/>
    <x v="5"/>
    <m/>
    <n v="2000"/>
    <s v="East"/>
    <s v="URLA"/>
    <s v="RPUR"/>
    <n v="139336"/>
    <s v="PASA ASSOCIATES PRIVATE LIMITED"/>
    <n v="3239536"/>
    <s v="CRCA SHEET TATCRC SR16 0.350X900X2500"/>
    <s v="C06"/>
    <s v="TATCRC"/>
    <s v="SR16"/>
    <n v="0.35"/>
    <n v="900"/>
    <n v="2500"/>
    <s v="T2 DONE"/>
    <s v=" "/>
    <s v=""/>
    <n v="1"/>
    <n v="5"/>
    <n v="21"/>
    <n v="19.489999999999998"/>
    <n v="1.51"/>
    <n v="1.36"/>
    <n v="0"/>
    <n v="0"/>
    <n v="0"/>
    <n v="0"/>
    <n v="0"/>
    <n v="0"/>
    <n v="0"/>
    <n v="0"/>
    <n v="0"/>
    <n v="0"/>
    <n v="0"/>
    <n v="0"/>
    <n v="20.440000000000001"/>
    <n v="0"/>
    <n v="0"/>
    <n v="0"/>
    <n v="0"/>
    <n v="0"/>
    <n v="0"/>
    <n v="20.440000000000001"/>
    <n v="0"/>
    <n v="20.440000000000001"/>
    <n v="0"/>
    <n v="1.51"/>
    <s v="0.32-0.352"/>
    <s v="900-902"/>
    <m/>
    <m/>
    <m/>
    <m/>
    <m/>
    <m/>
    <s v="R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PASA ASSOCIATES PRIVATE LIMITED"/>
  </r>
  <r>
    <n v="742"/>
    <d v="2025-07-11T00:00:00"/>
    <s v="ZBTO"/>
    <n v="9518922956"/>
    <n v="2"/>
    <s v="9518922956-2"/>
    <s v="Sep'25"/>
    <s v="Released"/>
    <x v="1"/>
    <s v="CR01"/>
    <s v="ACRM CRCA CTL"/>
    <m/>
    <x v="0"/>
    <x v="5"/>
    <m/>
    <n v="2000"/>
    <s v="East"/>
    <s v="HOWRAH"/>
    <s v="CALS"/>
    <n v="101278"/>
    <s v="RAMESH COMPANY"/>
    <n v="3239536"/>
    <s v="CRCA SHEET TATCRC SR16 0.350X900X2500"/>
    <s v="C06"/>
    <s v="TATCRC"/>
    <s v="SR16"/>
    <n v="0.35"/>
    <n v="900"/>
    <n v="2500"/>
    <s v="T2 DONE"/>
    <s v=" "/>
    <s v=""/>
    <n v="0"/>
    <n v="0"/>
    <n v="20.998999999999999"/>
    <n v="19.184999999999999"/>
    <n v="1.8140000000000001"/>
    <n v="-117.46599999999999"/>
    <n v="19.184999999999999"/>
    <n v="0"/>
    <n v="0"/>
    <n v="0"/>
    <n v="0"/>
    <n v="0"/>
    <n v="0"/>
    <n v="0"/>
    <n v="0"/>
    <n v="20.78"/>
    <n v="0"/>
    <n v="0"/>
    <n v="120.9"/>
    <n v="0"/>
    <n v="0"/>
    <n v="0"/>
    <n v="0"/>
    <n v="0"/>
    <n v="0"/>
    <n v="141.68"/>
    <n v="0"/>
    <n v="141.68"/>
    <n v="0"/>
    <n v="1.8140000000000001"/>
    <s v="0.33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RAMESH COMPANY"/>
  </r>
  <r>
    <n v="742"/>
    <d v="2025-06-03T00:00:00"/>
    <s v="ZBTO"/>
    <n v="9518822216"/>
    <n v="7"/>
    <s v="9518822216-7"/>
    <s v="Stocks"/>
    <s v="Released"/>
    <x v="1"/>
    <e v="#N/A"/>
    <e v="#N/A"/>
    <m/>
    <x v="0"/>
    <x v="0"/>
    <m/>
    <n v="2000"/>
    <s v="West"/>
    <s v="LONI"/>
    <s v="FBAD"/>
    <n v="123052"/>
    <s v="G R GUPTA &amp; BROS"/>
    <n v="2193598"/>
    <s v="CRCA COIL TATXXD AU03 1.900X1250"/>
    <s v="C01"/>
    <s v="TATXXD"/>
    <s v="AU03"/>
    <n v="1.9"/>
    <n v="1250"/>
    <n v="0"/>
    <s v="T2 DONE"/>
    <s v=" "/>
    <s v=""/>
    <n v="10"/>
    <n v="30"/>
    <n v="116"/>
    <n v="110.18"/>
    <n v="5.82"/>
    <n v="5.82"/>
    <n v="17.41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2"/>
    <s v="1.87-1.91"/>
    <s v="1250-1252"/>
    <m/>
    <m/>
    <m/>
    <m/>
    <m/>
    <m/>
    <s v="U"/>
    <s v="CRCA_STLM"/>
    <s v="C01-AU03-1.9-1250"/>
    <s v="367-SH08-4.5-1260"/>
    <n v="367"/>
    <s v="T01320"/>
    <s v="SH08"/>
    <s v="C16D"/>
    <n v="4.5"/>
    <n v="1260"/>
    <n v="3655817"/>
    <m/>
    <m/>
    <m/>
    <m/>
    <m/>
    <m/>
    <m/>
    <m/>
    <m/>
    <m/>
    <m/>
    <m/>
    <m/>
    <m/>
    <m/>
    <m/>
    <m/>
    <m/>
    <m/>
    <s v="G R GUPTA &amp; BROS"/>
  </r>
  <r>
    <n v="743"/>
    <d v="2025-08-08T00:00:00"/>
    <s v="ZBTF"/>
    <n v="9519003944"/>
    <n v="1"/>
    <s v="9519003944-1"/>
    <s v="No Priority"/>
    <s v="Released"/>
    <x v="0"/>
    <s v="GP03"/>
    <s v="ACRM GP#3 NARROW"/>
    <m/>
    <x v="2"/>
    <x v="11"/>
    <m/>
    <n v="2000"/>
    <s v="East"/>
    <s v="GAMHARIA"/>
    <s v="COMD"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1"/>
    <n v="24"/>
    <n v="92"/>
    <n v="79.605000000000004"/>
    <n v="12.394"/>
    <n v="12.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394"/>
    <s v="0.38-0.4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m/>
    <m/>
    <m/>
    <m/>
    <m/>
    <m/>
    <m/>
    <m/>
    <m/>
    <m/>
    <m/>
    <m/>
    <m/>
    <m/>
    <s v="ANGUL GALVANIZING PLANT"/>
  </r>
  <r>
    <n v="743"/>
    <d v="2025-07-29T00:00:00"/>
    <s v="ZBTO"/>
    <n v="9518971601"/>
    <n v="7"/>
    <s v="9518971601-7"/>
    <s v="No Priority"/>
    <s v="Released"/>
    <x v="0"/>
    <s v="GP03"/>
    <s v="ACRM GP#3 NARROW"/>
    <m/>
    <x v="2"/>
    <x v="2"/>
    <m/>
    <n v="2000"/>
    <s v="West"/>
    <s v="LONI"/>
    <s v="GBAD"/>
    <n v="931234"/>
    <s v="JAI LAXMI STEELS"/>
    <n v="1851762"/>
    <s v="GP COIL SOFT-TSBXGP-T1GP-0.25X1000"/>
    <s v="C02"/>
    <s v="TSBXGP"/>
    <s v="T1GP"/>
    <n v="0.25"/>
    <n v="1000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2-0.25"/>
    <s v="1000-1003"/>
    <m/>
    <m/>
    <m/>
    <m/>
    <m/>
    <m/>
    <s v="R"/>
    <s v="GP03_BPRS"/>
    <s v="C02-T1GP-0.25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JAI LAXMI STEELS"/>
  </r>
  <r>
    <n v="742"/>
    <d v="2025-07-23T00:00:00"/>
    <s v="ZBTF"/>
    <n v="9518952949"/>
    <n v="1"/>
    <s v="9518952949-1"/>
    <s v="Stocks"/>
    <s v="Released"/>
    <x v="1"/>
    <s v="CR03"/>
    <s v="ACRM CRCA SPM"/>
    <m/>
    <x v="0"/>
    <x v="7"/>
    <m/>
    <n v="2000"/>
    <s v="South"/>
    <s v="YESHWANTHPURA"/>
    <s v="TUBE"/>
    <n v="650742"/>
    <s v="Angul Cold Rolling Mill"/>
    <n v="2150940"/>
    <s v="CRCA COIL SA1008 TU98 1.200X1250"/>
    <s v="C01"/>
    <s v="SA1008"/>
    <s v="TU98"/>
    <n v="1.2"/>
    <n v="1250"/>
    <n v="0"/>
    <s v="T2 DONE"/>
    <s v=" "/>
    <s v=""/>
    <n v="10"/>
    <n v="27"/>
    <n v="261"/>
    <n v="247.42"/>
    <n v="13.58"/>
    <n v="12.615"/>
    <n v="13.355"/>
    <n v="0"/>
    <n v="0"/>
    <n v="0"/>
    <n v="0"/>
    <n v="0"/>
    <n v="0"/>
    <n v="0"/>
    <n v="0"/>
    <n v="0"/>
    <n v="0"/>
    <n v="0"/>
    <n v="0.96500000000000008"/>
    <n v="0"/>
    <n v="0"/>
    <n v="0"/>
    <n v="0"/>
    <n v="0"/>
    <n v="0"/>
    <n v="0.96500000000000008"/>
    <n v="0"/>
    <n v="0.96500000000000008"/>
    <n v="0"/>
    <n v="13.58"/>
    <s v="1.17-1.23"/>
    <s v="1250-1270"/>
    <m/>
    <m/>
    <m/>
    <m/>
    <m/>
    <m/>
    <s v="U"/>
    <s v="CRCA_HOSUR"/>
    <s v="C01-TU98-1.2-1250"/>
    <s v="367-SH69-3.2-1250"/>
    <n v="367"/>
    <s v="T01069"/>
    <s v="SH69"/>
    <s v="R12A"/>
    <n v="3.2"/>
    <n v="1250"/>
    <n v="3918480"/>
    <m/>
    <m/>
    <m/>
    <m/>
    <m/>
    <m/>
    <m/>
    <m/>
    <m/>
    <m/>
    <m/>
    <m/>
    <m/>
    <m/>
    <m/>
    <m/>
    <m/>
    <m/>
    <m/>
    <s v="Angul Cold Rolling Mill"/>
  </r>
  <r>
    <n v="742"/>
    <d v="2025-07-18T00:00:00"/>
    <s v="ZBTO"/>
    <n v="9518938765"/>
    <n v="16"/>
    <s v="9518938765-16"/>
    <s v="No Priority"/>
    <s v="Released"/>
    <x v="0"/>
    <s v="CR01"/>
    <s v="ACRM CRCA CTL"/>
    <m/>
    <x v="0"/>
    <x v="5"/>
    <m/>
    <n v="2000"/>
    <s v="East"/>
    <s v="PATNA"/>
    <s v="PATN"/>
    <n v="103227"/>
    <s v="BMW VENTURES LIMITED"/>
    <n v="3240757"/>
    <s v="CRCA SHEET TSBCRC SR15 0.500X1000X2000"/>
    <s v="C06"/>
    <s v="TSBCRC"/>
    <s v="SR15"/>
    <n v="0.5"/>
    <n v="1000"/>
    <n v="2000"/>
    <s v="T2 DONE"/>
    <s v=" "/>
    <s v=""/>
    <n v="0"/>
    <n v="0"/>
    <n v="22.998999999999999"/>
    <n v="22.425000000000001"/>
    <n v="0.57399999999999995"/>
    <n v="0.573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7399999999999995"/>
    <s v="0.47-0.5"/>
    <s v="1000-1002"/>
    <m/>
    <m/>
    <m/>
    <m/>
    <m/>
    <m/>
    <s v="T"/>
    <s v="CRCA_SUPR"/>
    <s v="C06-SR15-0.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s v="BMW VENTURES LIMITED"/>
  </r>
  <r>
    <n v="742"/>
    <d v="2025-07-18T00:00:00"/>
    <s v="ZBTO"/>
    <n v="9518938765"/>
    <n v="17"/>
    <s v="9518938765-17"/>
    <s v="No Priority"/>
    <s v="Released"/>
    <x v="0"/>
    <s v="CR01"/>
    <s v="ACRM CRCA CTL"/>
    <m/>
    <x v="0"/>
    <x v="5"/>
    <m/>
    <n v="2000"/>
    <s v="East"/>
    <s v="PATNA"/>
    <s v="PATN"/>
    <n v="103227"/>
    <s v="BMW VENTURES LIMITED"/>
    <n v="3903194"/>
    <s v="CRCA SHEET TSBCRC SR15 0.500X1250X2000"/>
    <s v="C06"/>
    <s v="TSBCRC"/>
    <s v="SR15"/>
    <n v="0.5"/>
    <n v="1250"/>
    <n v="2000"/>
    <s v="T2 DONE"/>
    <s v=" "/>
    <s v=""/>
    <n v="2"/>
    <n v="3"/>
    <n v="28.998999999999999"/>
    <n v="0"/>
    <n v="30.4"/>
    <n v="3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4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BMW VENTURES LIMITED"/>
  </r>
  <r>
    <n v="742"/>
    <d v="2025-07-18T00:00:00"/>
    <s v="ZBTO"/>
    <n v="9518938766"/>
    <n v="1"/>
    <s v="9518938766-1"/>
    <s v="Oct'25"/>
    <s v="Released"/>
    <x v="1"/>
    <s v="CR01"/>
    <s v="ACRM CRCA CTL"/>
    <m/>
    <x v="0"/>
    <x v="5"/>
    <m/>
    <n v="2000"/>
    <s v="East"/>
    <s v="PURNIA"/>
    <s v="PATN"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7-25T00:00:00"/>
    <s v="ZBTO"/>
    <n v="9518960457"/>
    <n v="1"/>
    <s v="9518960457-1"/>
    <s v="No Priority"/>
    <s v="Released"/>
    <x v="0"/>
    <s v="CR02"/>
    <s v="ACRM CRCA CRS"/>
    <m/>
    <x v="0"/>
    <x v="4"/>
    <m/>
    <n v="1000"/>
    <s v="West"/>
    <s v="VILLAGE DADRA"/>
    <s v="BOMB"/>
    <n v="801535"/>
    <s v="E-CON PACKAGING PVT. LTD."/>
    <n v="3854918"/>
    <s v="CR COIL TATXXD BT01 1.500X1320"/>
    <s v="C01"/>
    <s v="TATXXD"/>
    <s v="BT01"/>
    <n v="1.5"/>
    <n v="1320"/>
    <n v="0"/>
    <s v="T2 DONE"/>
    <s v=" "/>
    <s v=""/>
    <n v="7"/>
    <n v="1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1.48-1.52"/>
    <s v="1320-1322"/>
    <m/>
    <m/>
    <m/>
    <m/>
    <m/>
    <m/>
    <s v="C"/>
    <s v="CRCA_D&amp;B"/>
    <s v="C01-BT01-1.5-1320"/>
    <s v="367-SH67-4-1330"/>
    <n v="367"/>
    <s v="TSH067"/>
    <s v="SH67"/>
    <s v="C14A"/>
    <n v="4"/>
    <n v="1330"/>
    <n v="3924626"/>
    <m/>
    <m/>
    <m/>
    <m/>
    <m/>
    <m/>
    <m/>
    <m/>
    <m/>
    <m/>
    <m/>
    <m/>
    <m/>
    <m/>
    <m/>
    <m/>
    <m/>
    <m/>
    <m/>
    <s v="E-CON PACKAGING PVT. LTD."/>
  </r>
  <r>
    <n v="742"/>
    <d v="2025-07-18T00:00:00"/>
    <s v="ZBTO"/>
    <n v="9518938044"/>
    <n v="1"/>
    <s v="9518938044-1"/>
    <s v="Sep'25"/>
    <s v="Released"/>
    <x v="1"/>
    <s v="CR01"/>
    <s v="ACRM CRCA CTL"/>
    <m/>
    <x v="0"/>
    <x v="5"/>
    <m/>
    <n v="2000"/>
    <s v="East"/>
    <s v="URLA"/>
    <s v="RPUR"/>
    <n v="931662"/>
    <s v="PRESTIGE METALLICS PRIVATE LIMITED"/>
    <n v="3239536"/>
    <s v="CRCA SHEET TATCRC SR16 0.350X900X2500"/>
    <s v="C06"/>
    <s v="TATCRC"/>
    <s v="SR16"/>
    <n v="0.35"/>
    <n v="900"/>
    <n v="2500"/>
    <s v="T2 DONE"/>
    <s v=" "/>
    <s v=""/>
    <n v="1"/>
    <n v="5"/>
    <n v="21"/>
    <n v="0"/>
    <n v="21"/>
    <n v="0.82"/>
    <n v="0"/>
    <n v="0"/>
    <n v="0"/>
    <n v="0"/>
    <n v="0"/>
    <n v="0"/>
    <n v="0"/>
    <n v="0"/>
    <n v="0"/>
    <n v="0"/>
    <n v="0"/>
    <n v="0"/>
    <n v="20.18"/>
    <n v="0"/>
    <n v="0"/>
    <n v="0"/>
    <n v="0"/>
    <n v="0"/>
    <n v="0"/>
    <n v="20.18"/>
    <n v="0"/>
    <n v="20.18"/>
    <n v="0"/>
    <n v="21"/>
    <s v="0.32-0.352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PRESTIGE METALLICS PRIVATE LIMITED"/>
  </r>
  <r>
    <n v="742"/>
    <d v="2025-07-31T00:00:00"/>
    <s v="ZBTO"/>
    <n v="9518980071"/>
    <n v="7"/>
    <s v="9518980071-7"/>
    <s v="No Priority"/>
    <s v="Released"/>
    <x v="0"/>
    <s v="CR01"/>
    <s v="ACRM CRCA CTL"/>
    <m/>
    <x v="0"/>
    <x v="5"/>
    <m/>
    <n v="2000"/>
    <s v="East"/>
    <s v="HOWRAH"/>
    <s v="CALS"/>
    <n v="101278"/>
    <s v="RAMESH COMPANY"/>
    <n v="3908482"/>
    <s v="BLOCKED BY QAD"/>
    <s v="C06"/>
    <s v="TSBCRC"/>
    <s v="SR15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2-0.45"/>
    <s v="900-902"/>
    <m/>
    <m/>
    <m/>
    <m/>
    <m/>
    <m/>
    <s v="T"/>
    <s v="CRCA_SUPR"/>
    <s v="C06-SR15-0.45-900"/>
    <s v="B69-SH69-2.5-925"/>
    <s v="B69"/>
    <s v="T01069"/>
    <s v="SH69"/>
    <s v="R12A"/>
    <n v="2.5"/>
    <n v="925"/>
    <n v="3918108"/>
    <m/>
    <m/>
    <m/>
    <m/>
    <m/>
    <m/>
    <m/>
    <m/>
    <m/>
    <m/>
    <m/>
    <m/>
    <m/>
    <m/>
    <m/>
    <m/>
    <m/>
    <m/>
    <m/>
    <s v="RAMESH COMPANY"/>
  </r>
  <r>
    <n v="742"/>
    <d v="2025-07-31T00:00:00"/>
    <s v="ZBTO"/>
    <n v="9518980071"/>
    <n v="9"/>
    <s v="9518980071-9"/>
    <s v="No Priority"/>
    <s v="Released"/>
    <x v="0"/>
    <s v="CR01"/>
    <s v="ACRM CRCA CTL"/>
    <m/>
    <x v="0"/>
    <x v="5"/>
    <m/>
    <n v="2000"/>
    <s v="East"/>
    <s v="HOWRAH"/>
    <s v="CALS"/>
    <n v="101278"/>
    <s v="RAMESH COMPANY"/>
    <n v="3710840"/>
    <s v="BLOCKED BY QAD"/>
    <s v="C06"/>
    <s v="TSBCRC"/>
    <s v="SR15"/>
    <n v="0.45"/>
    <n v="1250"/>
    <n v="2500"/>
    <s v="T2 DONE"/>
    <s v=" "/>
    <s v=""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m/>
    <m/>
    <m/>
    <m/>
    <m/>
    <m/>
    <s v="T"/>
    <s v="CRCA_SUPR"/>
    <s v="C06-SR15-0.45-1250"/>
    <s v="367-SH69-2.5-1260"/>
    <n v="367"/>
    <s v="T01069"/>
    <s v="SH69"/>
    <s v="R12A"/>
    <n v="2.5"/>
    <n v="1260"/>
    <n v="3901920"/>
    <m/>
    <m/>
    <m/>
    <m/>
    <m/>
    <m/>
    <m/>
    <m/>
    <m/>
    <m/>
    <m/>
    <m/>
    <m/>
    <m/>
    <m/>
    <m/>
    <m/>
    <m/>
    <m/>
    <s v="RAMESH COMPANY"/>
  </r>
  <r>
    <n v="742"/>
    <d v="2025-07-18T00:00:00"/>
    <s v="ZBTO"/>
    <n v="9518938766"/>
    <n v="3"/>
    <s v="9518938766-3"/>
    <s v="Oct'25"/>
    <s v="Released"/>
    <x v="1"/>
    <s v="CR01"/>
    <s v="ACRM CRCA CTL"/>
    <m/>
    <x v="0"/>
    <x v="5"/>
    <m/>
    <n v="2000"/>
    <s v="East"/>
    <s v="PURNIA"/>
    <s v="PATN"/>
    <n v="103227"/>
    <s v="BMW VENTURES LIMITED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7-18T00:00:00"/>
    <s v="ZBTO"/>
    <n v="9518938766"/>
    <n v="4"/>
    <s v="9518938766-4"/>
    <s v="Sep'25"/>
    <s v="Released"/>
    <x v="1"/>
    <s v="CR01"/>
    <s v="ACRM CRCA CTL"/>
    <m/>
    <x v="0"/>
    <x v="5"/>
    <m/>
    <n v="2000"/>
    <s v="East"/>
    <s v="PURNIA"/>
    <s v="PATN"/>
    <n v="103227"/>
    <s v="BMW VENTURES LIMITED"/>
    <n v="3539044"/>
    <s v="CRCA SHEET TATCRC SR16 0.380X900X2500"/>
    <s v="C06"/>
    <s v="TATCRC"/>
    <s v="SR16"/>
    <n v="0.38"/>
    <n v="900"/>
    <n v="2500"/>
    <s v="T2 DONE"/>
    <s v=" "/>
    <s v=""/>
    <n v="2"/>
    <n v="3"/>
    <n v="20.998999999999999"/>
    <n v="0"/>
    <n v="20.998999999999999"/>
    <n v="0.749"/>
    <n v="0"/>
    <n v="0"/>
    <n v="0"/>
    <n v="0"/>
    <n v="0"/>
    <n v="0"/>
    <n v="0"/>
    <n v="0"/>
    <n v="0"/>
    <n v="0"/>
    <n v="0"/>
    <n v="0"/>
    <n v="20.25"/>
    <n v="0"/>
    <n v="0"/>
    <n v="0"/>
    <n v="0"/>
    <n v="0"/>
    <n v="0"/>
    <n v="20.25"/>
    <n v="0"/>
    <n v="20.25"/>
    <n v="0"/>
    <n v="20.998999999999999"/>
    <s v="0.35-0.38"/>
    <s v="900-903"/>
    <m/>
    <m/>
    <m/>
    <m/>
    <m/>
    <m/>
    <s v="T"/>
    <s v="CRCA_SUPR"/>
    <s v="C06-SR16-0.38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7-18T00:00:00"/>
    <s v="ZBTO"/>
    <n v="9518938766"/>
    <n v="5"/>
    <s v="9518938766-5"/>
    <s v="No Priority"/>
    <s v="Released"/>
    <x v="0"/>
    <s v="CR01"/>
    <s v="ACRM CRCA CTL"/>
    <m/>
    <x v="0"/>
    <x v="5"/>
    <m/>
    <n v="2000"/>
    <s v="East"/>
    <s v="PURNIA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  <s v="CRCA_SUPR"/>
    <s v="C06-SR16-0.38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BMW VENTURES LIMITED"/>
  </r>
  <r>
    <n v="742"/>
    <d v="2025-07-25T00:00:00"/>
    <s v="ZBTO"/>
    <n v="9518957825"/>
    <n v="1"/>
    <s v="9518957825-1"/>
    <s v="Oct'25"/>
    <s v="Released"/>
    <x v="1"/>
    <s v="CR01"/>
    <s v="ACRM CRCA CTL"/>
    <m/>
    <x v="0"/>
    <x v="5"/>
    <m/>
    <n v="2000"/>
    <s v="East"/>
    <s v="HOWRAH"/>
    <s v="CALS"/>
    <n v="925093"/>
    <s v="PSPL STEEL PROCESSORS PRIVATE LIMIT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16.164999999999999"/>
    <n v="25.835000000000001"/>
    <n v="22.77"/>
    <n v="0"/>
    <n v="0"/>
    <n v="0"/>
    <n v="0"/>
    <n v="0"/>
    <n v="0"/>
    <n v="0"/>
    <n v="0"/>
    <n v="0"/>
    <n v="0"/>
    <n v="0"/>
    <n v="0"/>
    <n v="20.14"/>
    <n v="0"/>
    <n v="0"/>
    <n v="0"/>
    <n v="0"/>
    <n v="0"/>
    <n v="0"/>
    <n v="20.14"/>
    <n v="0"/>
    <n v="20.14"/>
    <n v="0"/>
    <n v="25.83500000000000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PSPL STEEL PROCESSORS PRIVATE LIMIT"/>
  </r>
  <r>
    <n v="742"/>
    <d v="2025-07-18T00:00:00"/>
    <s v="ZBTO"/>
    <n v="9518938765"/>
    <n v="5"/>
    <s v="9518938765-5"/>
    <s v="No Priority"/>
    <s v="Released"/>
    <x v="0"/>
    <s v="CR01"/>
    <s v="ACRM CRCA CTL"/>
    <m/>
    <x v="0"/>
    <x v="5"/>
    <m/>
    <n v="2000"/>
    <s v="East"/>
    <s v="PATNA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  <s v="CRCA_SUPR"/>
    <s v="C06-SR16-0.38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BMW VENTURES LIMITED"/>
  </r>
  <r>
    <n v="743"/>
    <d v="2025-07-29T00:00:00"/>
    <s v="ZBTO"/>
    <n v="9518971601"/>
    <n v="5"/>
    <s v="9518971601-5"/>
    <s v="No Priority"/>
    <s v="Released"/>
    <x v="0"/>
    <s v="GP03"/>
    <s v="ACRM GP#3 NARROW"/>
    <m/>
    <x v="2"/>
    <x v="6"/>
    <m/>
    <n v="2000"/>
    <s v="West"/>
    <s v="LONI"/>
    <s v="GBAD"/>
    <n v="931234"/>
    <s v="JAI LAXMI STEELS"/>
    <n v="1851065"/>
    <s v="GP COIL SOFT-TATXGP-GK09-0.25X900"/>
    <s v="C02"/>
    <s v="TATXGP"/>
    <s v="GK09"/>
    <n v="0.25"/>
    <n v="900"/>
    <n v="0"/>
    <s v="T2 DONE"/>
    <s v="Z80"/>
    <s v=""/>
    <n v="4"/>
    <n v="6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22-0.25"/>
    <s v="900-903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JAI LAXMI STEELS"/>
  </r>
  <r>
    <n v="742"/>
    <d v="2025-07-18T00:00:00"/>
    <s v="ZBTO"/>
    <n v="9518938765"/>
    <n v="3"/>
    <s v="9518938765-3"/>
    <s v="Oct'25"/>
    <s v="Released"/>
    <x v="1"/>
    <s v="CR01"/>
    <s v="ACRM CRCA CTL"/>
    <m/>
    <x v="0"/>
    <x v="5"/>
    <m/>
    <n v="2000"/>
    <s v="East"/>
    <s v="PATNA"/>
    <s v="PATN"/>
    <n v="103227"/>
    <s v="BMW VENTURES LIMITED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7-18T00:00:00"/>
    <s v="ZBTO"/>
    <n v="9518938765"/>
    <n v="4"/>
    <s v="9518938765-4"/>
    <s v="Sep'25"/>
    <s v="Released"/>
    <x v="1"/>
    <s v="CR01"/>
    <s v="ACRM CRCA CTL"/>
    <m/>
    <x v="0"/>
    <x v="5"/>
    <m/>
    <n v="2000"/>
    <s v="East"/>
    <s v="PATNA"/>
    <s v="PATN"/>
    <n v="103227"/>
    <s v="BMW VENTURES LIMITED"/>
    <n v="3539044"/>
    <s v="CRCA SHEET TATCRC SR16 0.380X900X2500"/>
    <s v="C06"/>
    <s v="TATCRC"/>
    <s v="SR16"/>
    <n v="0.38"/>
    <n v="900"/>
    <n v="2500"/>
    <s v="T2 DONE"/>
    <s v=" "/>
    <s v=""/>
    <n v="0"/>
    <n v="0"/>
    <n v="20.998999999999999"/>
    <n v="16.399999999999999"/>
    <n v="4.5990000000000002"/>
    <n v="-37.960999999999999"/>
    <n v="0"/>
    <n v="0"/>
    <n v="0"/>
    <n v="0"/>
    <n v="0"/>
    <n v="0"/>
    <n v="0"/>
    <n v="0"/>
    <n v="0"/>
    <n v="0"/>
    <n v="0"/>
    <n v="0"/>
    <n v="60.54"/>
    <n v="0"/>
    <n v="0"/>
    <n v="0"/>
    <n v="0"/>
    <n v="0"/>
    <n v="0"/>
    <n v="60.54"/>
    <n v="0"/>
    <n v="60.54"/>
    <n v="0"/>
    <n v="4.5990000000000002"/>
    <s v="0.35-0.38"/>
    <s v="900-903"/>
    <m/>
    <m/>
    <m/>
    <m/>
    <m/>
    <m/>
    <s v="T"/>
    <s v="CRCA_SUPR"/>
    <s v="C06-SR16-0.38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4"/>
    <d v="2025-08-01T00:00:00"/>
    <s v="ZBTO"/>
    <n v="9518985918"/>
    <n v="2"/>
    <s v="9518985918-2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OYAL BLUE TSL 1815"/>
    <n v="2"/>
    <n v="5.2"/>
    <n v="55.997999999999998"/>
    <n v="55.78"/>
    <n v="0.218"/>
    <n v="0.218"/>
    <n v="38.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8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3"/>
    <d v="2025-07-29T00:00:00"/>
    <s v="ZBTO"/>
    <n v="9518972366"/>
    <n v="5"/>
    <s v="9518972366-5"/>
    <s v="No Priority"/>
    <s v="Released"/>
    <x v="0"/>
    <s v="GP03"/>
    <s v="ACRM GP#3 NARROW"/>
    <m/>
    <x v="2"/>
    <x v="6"/>
    <m/>
    <n v="2000"/>
    <s v="West"/>
    <s v="LONI"/>
    <s v="GBAD"/>
    <n v="931235"/>
    <s v="K D J P STEELS PVT LTD"/>
    <n v="1142902"/>
    <s v="GP COIL SOFT-TATXGP-GLK1-0.35X1000"/>
    <s v="C02"/>
    <s v="TATXGP"/>
    <s v="GLK1"/>
    <n v="0.35"/>
    <n v="1000"/>
    <n v="0"/>
    <s v="T2 DONE"/>
    <s v="Z80"/>
    <s v=""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250-1253"/>
    <m/>
    <m/>
    <m/>
    <m/>
    <m/>
    <m/>
    <s v="R"/>
    <s v="GP03_KOSH"/>
    <s v="C02-GLK1-0.35-1000"/>
    <s v="B69-HG02-2.25-1025"/>
    <s v="B69"/>
    <s v="T01576"/>
    <s v="HG02"/>
    <s v="C06A"/>
    <n v="2.25"/>
    <n v="1025"/>
    <n v="3655782"/>
    <m/>
    <m/>
    <m/>
    <m/>
    <m/>
    <m/>
    <m/>
    <m/>
    <m/>
    <m/>
    <m/>
    <m/>
    <m/>
    <m/>
    <m/>
    <m/>
    <m/>
    <m/>
    <m/>
    <s v="K D J P STEELS PVT LTD"/>
  </r>
  <r>
    <n v="742"/>
    <d v="2025-08-26T00:00:00"/>
    <s v="ZBTO"/>
    <n v="9519050497"/>
    <n v="1"/>
    <s v="9519050497-1"/>
    <s v="Oct'25"/>
    <s v="Released"/>
    <x v="1"/>
    <s v="CR01"/>
    <s v="ACRM CRCA CTL"/>
    <m/>
    <x v="0"/>
    <x v="5"/>
    <m/>
    <n v="2000"/>
    <s v="West"/>
    <s v="JAIPUR"/>
    <s v="JPUR"/>
    <n v="116137"/>
    <s v="PELIKAN DOSSIER (P) LTD "/>
    <n v="3239557"/>
    <s v="CRCA SHEET TATCRC SR16 0.400X1250X2500"/>
    <s v="C06"/>
    <s v="TATCRC"/>
    <s v="SR16"/>
    <n v="0.4"/>
    <n v="1250"/>
    <n v="2500"/>
    <s v="T2 DONE"/>
    <s v=" "/>
    <s v=""/>
    <n v="1"/>
    <n v="3"/>
    <n v="58"/>
    <n v="0"/>
    <n v="58"/>
    <n v="30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PELIKAN DOSSIER (P) LTD "/>
  </r>
  <r>
    <n v="742"/>
    <d v="2025-08-20T00:00:00"/>
    <s v="ZBTO"/>
    <n v="9519031476"/>
    <n v="11"/>
    <s v="9519031476-11"/>
    <s v="Stocks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40857"/>
    <s v="CRCA SHEET TSBCRC SR15 2X1250X2500"/>
    <s v="C06"/>
    <s v="TSBCRC"/>
    <s v="SR15"/>
    <n v="2"/>
    <n v="1250"/>
    <n v="2500"/>
    <s v="T2 DONE"/>
    <s v=" "/>
    <s v=""/>
    <n v="0.1"/>
    <n v="5"/>
    <n v="29"/>
    <n v="23.24"/>
    <n v="5.76"/>
    <n v="5.76"/>
    <n v="23.24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6"/>
    <s v="1.97-2"/>
    <s v="1250-1251"/>
    <m/>
    <m/>
    <m/>
    <m/>
    <m/>
    <m/>
    <s v="T"/>
    <s v="CRCA_SUPR"/>
    <s v="C06-SR15-2-1250"/>
    <s v="367-SH69-4.5-1260"/>
    <n v="367"/>
    <s v="T01069"/>
    <s v="SH69"/>
    <s v="R12A"/>
    <n v="4.5"/>
    <n v="1260"/>
    <n v="3924609"/>
    <m/>
    <m/>
    <m/>
    <m/>
    <m/>
    <m/>
    <m/>
    <m/>
    <m/>
    <m/>
    <m/>
    <m/>
    <m/>
    <m/>
    <m/>
    <m/>
    <m/>
    <m/>
    <m/>
    <s v="BHARTIA  DISTRIBUTORS PVT. LTD."/>
  </r>
  <r>
    <n v="742"/>
    <d v="2025-08-20T00:00:00"/>
    <s v="ZBTO"/>
    <n v="9519031476"/>
    <n v="9"/>
    <s v="9519031476-9"/>
    <s v="Oct'25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40842"/>
    <s v="CRCA SHEET TSBCRC SR15 1X1250X2500"/>
    <s v="C06"/>
    <s v="TSBCRC"/>
    <s v="SR15"/>
    <n v="1"/>
    <n v="1250"/>
    <n v="2500"/>
    <s v="T2 DONE"/>
    <s v=" "/>
    <s v=""/>
    <n v="0.1"/>
    <n v="5"/>
    <n v="58"/>
    <n v="26.52"/>
    <n v="31.48"/>
    <n v="5.09"/>
    <n v="0"/>
    <n v="0"/>
    <n v="0"/>
    <n v="0"/>
    <n v="0"/>
    <n v="0"/>
    <n v="0"/>
    <n v="0"/>
    <n v="0"/>
    <n v="0"/>
    <n v="26.39"/>
    <n v="0"/>
    <n v="0"/>
    <n v="0"/>
    <n v="0"/>
    <n v="0"/>
    <n v="0"/>
    <n v="0"/>
    <n v="0"/>
    <n v="26.39"/>
    <n v="0"/>
    <n v="26.39"/>
    <n v="0"/>
    <n v="31.48"/>
    <s v="0.97-1"/>
    <s v="1250-1251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m/>
    <m/>
    <m/>
    <m/>
    <m/>
    <m/>
    <m/>
    <m/>
    <m/>
    <m/>
    <m/>
    <m/>
    <m/>
    <m/>
    <s v="BHARTIA  DISTRIBUTORS PVT. LTD."/>
  </r>
  <r>
    <n v="742"/>
    <d v="2025-07-21T00:00:00"/>
    <s v="ZBTO"/>
    <n v="9518946015"/>
    <n v="2"/>
    <s v="9518946015-2"/>
    <s v="Sep'25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39542"/>
    <s v="CRCA SHEET TATCRC SR16 0.350X1000X2500"/>
    <s v="C06"/>
    <s v="TATCRC"/>
    <s v="SR16"/>
    <n v="0.35"/>
    <n v="1000"/>
    <n v="2500"/>
    <s v="T2 DONE"/>
    <s v=" "/>
    <s v=""/>
    <n v="0.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32-0.35"/>
    <s v="1000-1002"/>
    <m/>
    <m/>
    <m/>
    <m/>
    <m/>
    <m/>
    <s v="T"/>
    <s v="CRCA_SUPR"/>
    <s v="C06-SR16-0.35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BHARTIA  DISTRIBUTORS PVT. LTD."/>
  </r>
  <r>
    <n v="742"/>
    <d v="2025-07-21T00:00:00"/>
    <s v="ZBTO"/>
    <n v="9518946015"/>
    <n v="7"/>
    <s v="9518946015-7"/>
    <s v="Sep'25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40790"/>
    <s v="CRCA SHEET TSBCRC SR15 0.700X1000X2500"/>
    <s v="C06"/>
    <s v="TSBCRC"/>
    <s v="SR15"/>
    <n v="0.7"/>
    <n v="1000"/>
    <n v="2500"/>
    <s v="T2 DONE"/>
    <s v=" "/>
    <s v=""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m/>
    <m/>
    <m/>
    <m/>
    <m/>
    <m/>
    <s v="R"/>
    <s v="CRCA_SUPR"/>
    <s v="C06-SR15-0.7-1000"/>
    <s v="B69-SH69-2.8-1025"/>
    <s v="B69"/>
    <s v="T01069"/>
    <s v="SH69"/>
    <s v="R12A"/>
    <n v="2.8"/>
    <n v="1025"/>
    <n v="3918221"/>
    <m/>
    <m/>
    <m/>
    <m/>
    <m/>
    <m/>
    <m/>
    <m/>
    <m/>
    <m/>
    <m/>
    <m/>
    <m/>
    <m/>
    <m/>
    <m/>
    <m/>
    <m/>
    <m/>
    <s v="BHARTIA  DISTRIBUTORS PVT. LTD."/>
  </r>
  <r>
    <n v="742"/>
    <d v="2025-07-18T00:00:00"/>
    <s v="ZBTO"/>
    <n v="9518938044"/>
    <n v="3"/>
    <s v="9518938044-3"/>
    <s v="Stocks"/>
    <s v="Released"/>
    <x v="1"/>
    <s v="CR01"/>
    <s v="ACRM CRCA CTL"/>
    <m/>
    <x v="0"/>
    <x v="5"/>
    <m/>
    <n v="2000"/>
    <s v="East"/>
    <s v="URLA"/>
    <s v="RPUR"/>
    <n v="931662"/>
    <s v="PRESTIGE METALLICS PRIVATE LIMITED"/>
    <n v="3240778"/>
    <s v="CRCA SHEET TSBCRC SR15 0.600X1000X2500"/>
    <s v="C06"/>
    <s v="TSBCRC"/>
    <s v="SR15"/>
    <n v="0.6"/>
    <n v="1000"/>
    <n v="2500"/>
    <s v="T2 DONE"/>
    <s v=" "/>
    <s v=""/>
    <n v="1"/>
    <n v="5"/>
    <n v="23"/>
    <n v="19.995000000000001"/>
    <n v="3.0049999999999999"/>
    <n v="3.0049999999999999"/>
    <n v="19.99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049999999999999"/>
    <s v="0.57-0.61"/>
    <s v="1000-1003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PRESTIGE METALLICS PRIVATE LIMITED"/>
  </r>
  <r>
    <n v="742"/>
    <d v="2025-06-30T00:00:00"/>
    <s v="ZBTO"/>
    <n v="9518896127"/>
    <n v="1"/>
    <s v="9518896127-1"/>
    <s v="Stocks"/>
    <s v="Released"/>
    <x v="0"/>
    <e v="#N/A"/>
    <e v="#N/A"/>
    <m/>
    <x v="1"/>
    <x v="2"/>
    <m/>
    <n v="2000"/>
    <s v="East"/>
    <s v="HOWRAH"/>
    <s v="CALS"/>
    <n v="154464"/>
    <s v="TATA STEEL DOWNSTREAM PRODUCTS LIMI"/>
    <n v="4060921"/>
    <s v="HR COILS-PO I09497 1.80X1270"/>
    <n v="768"/>
    <s v="I09497"/>
    <s v="HG01"/>
    <n v="1.8"/>
    <n v="1270"/>
    <n v="0"/>
    <s v="T2 DONE"/>
    <s v=" "/>
    <s v=""/>
    <n v="13"/>
    <n v="30"/>
    <n v="29"/>
    <n v="28.41"/>
    <n v="0.59"/>
    <n v="0.59"/>
    <n v="28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9"/>
    <s v=""/>
    <s v=""/>
    <m/>
    <m/>
    <m/>
    <m/>
    <m/>
    <m/>
    <s v="U"/>
    <s v="HRPO_BPRS"/>
    <s v="768-HG01-1.8-1270"/>
    <s v="367-HG01-1.8-1270"/>
    <n v="367"/>
    <s v="I09497"/>
    <s v="HG01"/>
    <s v="T01"/>
    <n v="1.8"/>
    <n v="1270"/>
    <n v="3191172"/>
    <m/>
    <m/>
    <m/>
    <m/>
    <m/>
    <m/>
    <m/>
    <m/>
    <m/>
    <m/>
    <m/>
    <m/>
    <m/>
    <m/>
    <m/>
    <m/>
    <m/>
    <m/>
    <m/>
    <s v="TATA STEEL DOWNSTREAM PRODUCTS LIMI"/>
  </r>
  <r>
    <n v="743"/>
    <d v="2025-08-07T00:00:00"/>
    <s v="ZBTO"/>
    <n v="9519001255"/>
    <n v="1"/>
    <s v="9519001255-1"/>
    <s v="Sep'25"/>
    <s v="Released"/>
    <x v="1"/>
    <s v="GL03"/>
    <s v="ACRM GP#2 NON TBSPL"/>
    <m/>
    <x v="4"/>
    <x v="12"/>
    <m/>
    <n v="1000"/>
    <s v="South"/>
    <s v="VIKARABAD"/>
    <s v="SBAD"/>
    <n v="947959"/>
    <s v="PENNAR INDUSTRIES LIMITED"/>
    <n v="3924555"/>
    <s v="GL COIL HARD  Y550GL HGL6 0.900X1045"/>
    <s v="B04"/>
    <s v="Y550GL"/>
    <s v="HGL6"/>
    <n v="0.9"/>
    <n v="1045"/>
    <n v="0"/>
    <s v="T2 DONE"/>
    <s v="aZ150"/>
    <s v=""/>
    <n v="6"/>
    <n v="15"/>
    <n v="120"/>
    <n v="0"/>
    <n v="120"/>
    <n v="14.7"/>
    <n v="0"/>
    <n v="0"/>
    <n v="0"/>
    <n v="21.02"/>
    <n v="0"/>
    <n v="84.5"/>
    <n v="0"/>
    <n v="0"/>
    <n v="0"/>
    <n v="0"/>
    <n v="0"/>
    <n v="0"/>
    <n v="0"/>
    <n v="0"/>
    <n v="0"/>
    <n v="0"/>
    <n v="0"/>
    <n v="0"/>
    <n v="0"/>
    <n v="105.52"/>
    <n v="84.5"/>
    <n v="21.019999999999996"/>
    <n v="0"/>
    <n v="35.5"/>
    <s v="0.86-0.92"/>
    <s v="1045-1049"/>
    <m/>
    <m/>
    <m/>
    <m/>
    <m/>
    <m/>
    <s v="R"/>
    <s v="GP02_SOLAR"/>
    <s v="B04-HGL6-0.9-1045"/>
    <s v="367-HG02-2.8-1060"/>
    <n v="367"/>
    <s v="T01576"/>
    <s v="HG02"/>
    <s v="C06A"/>
    <n v="2.8"/>
    <n v="1060"/>
    <n v="2320867"/>
    <m/>
    <m/>
    <m/>
    <m/>
    <m/>
    <m/>
    <m/>
    <m/>
    <m/>
    <m/>
    <m/>
    <m/>
    <m/>
    <m/>
    <m/>
    <m/>
    <m/>
    <m/>
    <m/>
    <s v="PENNAR INDUSTRIES LIMITED"/>
  </r>
  <r>
    <n v="742"/>
    <d v="2025-08-04T00:00:00"/>
    <s v="ZBTO"/>
    <n v="9518992992"/>
    <n v="1"/>
    <s v="9518992992-1"/>
    <s v="No Priority"/>
    <s v="Released"/>
    <x v="0"/>
    <e v="#N/A"/>
    <e v="#N/A"/>
    <m/>
    <x v="1"/>
    <x v="2"/>
    <m/>
    <n v="2000"/>
    <s v="West"/>
    <s v="NAGPUR"/>
    <s v="NPUR"/>
    <n v="937885"/>
    <s v="PRINCE STEEL INDUSTRIES (P) LTD."/>
    <n v="1210097"/>
    <s v="HR COILS-PO IS 1079 HR2 5X1250"/>
    <n v="768"/>
    <s v="THR099"/>
    <s v="HR99"/>
    <n v="5"/>
    <n v="1250"/>
    <n v="0"/>
    <s v="T2 DONE"/>
    <s v=" "/>
    <s v=""/>
    <n v="17"/>
    <n v="29.2"/>
    <n v="87"/>
    <n v="65.56"/>
    <n v="23.44"/>
    <n v="23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44"/>
    <s v=""/>
    <s v=""/>
    <m/>
    <m/>
    <m/>
    <m/>
    <m/>
    <m/>
    <s v="U"/>
    <s v="HRPO_BPRS"/>
    <s v="768-HR99-5-1250"/>
    <s v="367-HR99-5-1250"/>
    <n v="367"/>
    <s v="THR099"/>
    <s v="HR99"/>
    <s v="D06A"/>
    <n v="5"/>
    <n v="1250"/>
    <n v="1210206"/>
    <m/>
    <m/>
    <m/>
    <m/>
    <m/>
    <m/>
    <m/>
    <m/>
    <m/>
    <m/>
    <m/>
    <m/>
    <m/>
    <m/>
    <m/>
    <m/>
    <m/>
    <m/>
    <m/>
    <s v="PRINCE STEEL INDUSTRIES (P) LTD."/>
  </r>
  <r>
    <n v="743"/>
    <d v="2025-07-15T00:00:00"/>
    <s v="ZBTO"/>
    <n v="9518930025"/>
    <n v="7"/>
    <s v="9518930025-7"/>
    <s v="Stocks"/>
    <s v="Released"/>
    <x v="1"/>
    <s v="GP03"/>
    <s v="ACRM GP#3 NARROW"/>
    <m/>
    <x v="2"/>
    <x v="6"/>
    <m/>
    <n v="2000"/>
    <s v="East"/>
    <s v="PATNA"/>
    <s v="PATN"/>
    <n v="103227"/>
    <s v="BMW VENTURES LIMITED"/>
    <n v="1854418"/>
    <s v="GP COIL SOFT-TATXGP-GK09-0.5X900"/>
    <s v="C02"/>
    <s v="TATXGP"/>
    <s v="GK09"/>
    <n v="0.5"/>
    <n v="900"/>
    <n v="0"/>
    <s v="T2 DONE"/>
    <s v="Z80"/>
    <s v=""/>
    <n v="2"/>
    <n v="4"/>
    <n v="252"/>
    <n v="231.03"/>
    <n v="20.97"/>
    <n v="14.135"/>
    <n v="5.75"/>
    <n v="0"/>
    <n v="0"/>
    <n v="0"/>
    <n v="0"/>
    <n v="0"/>
    <n v="6.76"/>
    <n v="0"/>
    <n v="0"/>
    <n v="0"/>
    <n v="0"/>
    <n v="0"/>
    <n v="0"/>
    <n v="0"/>
    <n v="0"/>
    <n v="0"/>
    <n v="0"/>
    <n v="0"/>
    <n v="0"/>
    <n v="6.76"/>
    <n v="6.76"/>
    <n v="0"/>
    <n v="0"/>
    <n v="14.209999999999999"/>
    <s v="0.48-0.51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BMW VENTURES LIMITED"/>
  </r>
  <r>
    <n v="743"/>
    <d v="2025-07-15T00:00:00"/>
    <s v="ZBTO"/>
    <n v="9518930025"/>
    <n v="8"/>
    <s v="9518930025-8"/>
    <s v="Sep'25"/>
    <s v="Released"/>
    <x v="1"/>
    <s v="GP03"/>
    <s v="ACRM GP#3 NARROW"/>
    <m/>
    <x v="2"/>
    <x v="6"/>
    <m/>
    <n v="2000"/>
    <s v="East"/>
    <s v="PATNA"/>
    <s v="PATN"/>
    <n v="103227"/>
    <s v="BMW VENTURES LIMITED"/>
    <n v="1854424"/>
    <s v="GP COIL SOFT-TATXGP-GK09-0.6X900"/>
    <s v="C02"/>
    <s v="TATXGP"/>
    <s v="GK09"/>
    <n v="0.6"/>
    <n v="900"/>
    <n v="0"/>
    <s v="T2 DONE"/>
    <s v="Z80"/>
    <s v=""/>
    <n v="2"/>
    <n v="4"/>
    <n v="210"/>
    <n v="111.14"/>
    <n v="98.86"/>
    <n v="16.045000000000002"/>
    <n v="0"/>
    <n v="0"/>
    <n v="103.8"/>
    <n v="41.52"/>
    <n v="0"/>
    <n v="0"/>
    <n v="0"/>
    <n v="0"/>
    <n v="0"/>
    <n v="0"/>
    <n v="0"/>
    <n v="0"/>
    <n v="0"/>
    <n v="0"/>
    <n v="0"/>
    <n v="0"/>
    <n v="0"/>
    <n v="0"/>
    <n v="8.14"/>
    <n v="153.45999999999998"/>
    <n v="8.14"/>
    <n v="145.32"/>
    <n v="0"/>
    <n v="90.72"/>
    <s v="0.58-0.61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BMW VENTURES LIMITED"/>
  </r>
  <r>
    <n v="742"/>
    <d v="2025-07-23T00:00:00"/>
    <s v="ZBTO"/>
    <n v="9518952529"/>
    <n v="5"/>
    <s v="9518952529-5"/>
    <s v="Aug'25"/>
    <s v="Released"/>
    <x v="1"/>
    <s v="CR02"/>
    <s v="ACRM CRCA CRS"/>
    <m/>
    <x v="0"/>
    <x v="4"/>
    <m/>
    <n v="1000"/>
    <s v="South"/>
    <s v="CHENNAI"/>
    <s v="NPUR"/>
    <n v="187214"/>
    <s v="BALMER LAWRIE &amp; CO. LIMITED.."/>
    <n v="2421724"/>
    <s v="CRCA COIL TATXXD BT01 0.970X1310"/>
    <s v="C01"/>
    <s v="TATXXD"/>
    <s v="BT01"/>
    <n v="0.97"/>
    <n v="1310"/>
    <n v="0"/>
    <s v="T2 DONE"/>
    <s v=" "/>
    <s v=""/>
    <n v="6"/>
    <n v="12"/>
    <n v="180"/>
    <n v="186.60499999999999"/>
    <n v="-6.6050000000000004"/>
    <n v="-6.6050000000000004"/>
    <n v="0"/>
    <n v="0"/>
    <n v="0"/>
    <n v="0"/>
    <n v="0"/>
    <n v="0"/>
    <n v="0"/>
    <n v="0"/>
    <n v="0"/>
    <n v="0"/>
    <n v="0"/>
    <n v="0"/>
    <n v="29.77"/>
    <n v="0"/>
    <n v="0"/>
    <n v="0"/>
    <n v="0"/>
    <n v="0"/>
    <n v="0"/>
    <n v="29.77"/>
    <n v="0"/>
    <n v="29.77"/>
    <n v="0"/>
    <n v="-6.6050000000000004"/>
    <s v="0.96-0.99"/>
    <s v="1310-1311"/>
    <m/>
    <m/>
    <m/>
    <m/>
    <m/>
    <m/>
    <s v="T"/>
    <s v="CRCA_D&amp;B"/>
    <s v="C01-BT01-0.97-1310"/>
    <s v="367-SH67-2.8-1330"/>
    <n v="367"/>
    <s v="TSH067"/>
    <s v="SH67"/>
    <s v="C14A"/>
    <n v="2.8"/>
    <n v="1330"/>
    <n v="3920738"/>
    <m/>
    <m/>
    <m/>
    <m/>
    <m/>
    <m/>
    <m/>
    <m/>
    <m/>
    <m/>
    <m/>
    <m/>
    <m/>
    <m/>
    <m/>
    <m/>
    <m/>
    <m/>
    <m/>
    <s v="BALMER LAWRIE &amp; CO. LIMITED.."/>
  </r>
  <r>
    <n v="744"/>
    <d v="2025-08-05T00:00:00"/>
    <s v="ZBTO"/>
    <n v="9518994979"/>
    <n v="1"/>
    <s v="9518994979-1"/>
    <s v="No Priority"/>
    <s v="Released"/>
    <x v="0"/>
    <s v="GL02"/>
    <s v="ACRM GP#2 TBSPL PPGL"/>
    <m/>
    <x v="3"/>
    <x v="3"/>
    <m/>
    <n v="1000"/>
    <s v="TBSPL"/>
    <s v="TAMILNADU"/>
    <s v="BOMB"/>
    <n v="940074"/>
    <s v="TATA BLUESCOPE STEEL PRIVATE LIMITE"/>
    <n v="3996225"/>
    <s v="PPGL C Y550 HPL6 0.40BMT(0.47TPT)X1220"/>
    <s v="B18"/>
    <s v="Y550PL"/>
    <s v="HPL6"/>
    <n v="0.4"/>
    <n v="1220"/>
    <n v="0"/>
    <s v="T2 DONE"/>
    <s v="aZ150"/>
    <s v="NG SMART GREY TSL 1905"/>
    <n v="3"/>
    <n v="5"/>
    <n v="56"/>
    <n v="54.64"/>
    <n v="1.36"/>
    <n v="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"/>
    <s v="0.38-0.42"/>
    <s v="1220-1222"/>
    <m/>
    <m/>
    <m/>
    <m/>
    <m/>
    <m/>
    <s v="M"/>
    <s v="GP02_PPGL"/>
    <s v="B18-HPL6-0.4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RIVATE LIMITE"/>
  </r>
  <r>
    <n v="742"/>
    <d v="2025-07-24T00:00:00"/>
    <s v="ZBTO"/>
    <n v="9518956389"/>
    <n v="17"/>
    <s v="9518956389-17"/>
    <s v="No Priority"/>
    <s v="Released"/>
    <x v="0"/>
    <s v="CR02"/>
    <s v="ACRM CRCA CRS"/>
    <m/>
    <x v="0"/>
    <x v="0"/>
    <m/>
    <n v="2000"/>
    <s v="South"/>
    <s v="YESHWANTHPURA"/>
    <s v="BANG"/>
    <n v="932244"/>
    <s v="DURGA TRADERS"/>
    <n v="2229968"/>
    <s v="CRCA COIL TATXXD AU03 0.750X1250"/>
    <s v="C01"/>
    <s v="TATXXD"/>
    <s v="AU03"/>
    <n v="0.75"/>
    <n v="1250"/>
    <n v="0"/>
    <s v="T2 DONE"/>
    <s v=" "/>
    <s v=""/>
    <n v="10"/>
    <n v="28"/>
    <n v="58"/>
    <n v="0"/>
    <n v="58"/>
    <n v="5.3150000000000004"/>
    <n v="0"/>
    <n v="0"/>
    <n v="0"/>
    <n v="0"/>
    <n v="0"/>
    <n v="0"/>
    <n v="0"/>
    <n v="0"/>
    <n v="0"/>
    <n v="0"/>
    <n v="0"/>
    <n v="0"/>
    <n v="54.64"/>
    <n v="0"/>
    <n v="0"/>
    <n v="0"/>
    <n v="0"/>
    <n v="0"/>
    <n v="0"/>
    <n v="54.64"/>
    <n v="54.64"/>
    <n v="0"/>
    <n v="0"/>
    <n v="3.3599999999999994"/>
    <s v="0.71-0.75"/>
    <s v="1250-1262"/>
    <m/>
    <m/>
    <m/>
    <m/>
    <m/>
    <m/>
    <s v="U"/>
    <s v="NA"/>
    <s v="C01-AU03-0.75-1250"/>
    <s v="367-SH08-2.8-1250"/>
    <n v="367"/>
    <s v="T01320"/>
    <s v="SH08"/>
    <s v="C16D"/>
    <n v="2.8"/>
    <n v="1250"/>
    <n v="1154953"/>
    <m/>
    <m/>
    <m/>
    <m/>
    <m/>
    <m/>
    <m/>
    <m/>
    <m/>
    <m/>
    <m/>
    <m/>
    <m/>
    <m/>
    <m/>
    <m/>
    <m/>
    <m/>
    <m/>
    <s v="DURGA TRADERS"/>
  </r>
  <r>
    <n v="742"/>
    <d v="2025-08-19T00:00:00"/>
    <s v="ZBTO"/>
    <n v="9519028293"/>
    <n v="2"/>
    <s v="9519028293-2"/>
    <s v="Oct'25"/>
    <s v="Released"/>
    <x v="1"/>
    <s v="CR01"/>
    <s v="ACRM CRCA CTL"/>
    <m/>
    <x v="0"/>
    <x v="5"/>
    <m/>
    <n v="2000"/>
    <s v="South"/>
    <s v="CHENNAI"/>
    <s v="MADS"/>
    <n v="938550"/>
    <s v="BASEER AND CO"/>
    <n v="3239552"/>
    <s v="CRCA SHEET TATCRC SR16 0.400X1000X1980"/>
    <s v="C06"/>
    <s v="TATCRC"/>
    <s v="SR16"/>
    <n v="0.4"/>
    <n v="1000"/>
    <n v="198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m/>
    <m/>
    <m/>
    <m/>
    <m/>
    <m/>
    <s v="M"/>
    <s v="CRCA_SUPR"/>
    <s v="C06-SR16-0.4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BASEER AND CO"/>
  </r>
  <r>
    <n v="742"/>
    <d v="2025-08-19T00:00:00"/>
    <s v="ZBTO"/>
    <n v="9519028293"/>
    <n v="4"/>
    <s v="9519028293-4"/>
    <s v="Oct'25"/>
    <s v="Released"/>
    <x v="1"/>
    <s v="CR01"/>
    <s v="ACRM CRCA CTL"/>
    <m/>
    <x v="0"/>
    <x v="5"/>
    <m/>
    <n v="2000"/>
    <s v="South"/>
    <s v="CHENNAI"/>
    <s v="MADS"/>
    <n v="938550"/>
    <s v="BASEER AND CO"/>
    <n v="3239557"/>
    <s v="CRCA SHEET TATCRC SR16 0.400X1250X2500"/>
    <s v="C06"/>
    <s v="TATCRC"/>
    <s v="SR16"/>
    <n v="0.4"/>
    <n v="1250"/>
    <n v="2500"/>
    <s v="T2 DONE"/>
    <s v=" "/>
    <s v=""/>
    <n v="0"/>
    <n v="0"/>
    <n v="58"/>
    <n v="0"/>
    <n v="58"/>
    <n v="2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BASEER AND CO"/>
  </r>
  <r>
    <n v="742"/>
    <d v="2025-08-18T00:00:00"/>
    <s v="ZBTO"/>
    <n v="9519025273"/>
    <n v="4"/>
    <s v="9519025273-4"/>
    <s v="Oct'25"/>
    <s v="Released"/>
    <x v="1"/>
    <s v="CR01"/>
    <s v="ACRM CRCA CTL"/>
    <m/>
    <x v="0"/>
    <x v="5"/>
    <m/>
    <n v="2000"/>
    <s v="East"/>
    <s v="HOWRAH"/>
    <s v="CALS"/>
    <n v="925093"/>
    <s v="PSPL STEEL PROCESSORS PRIVATE LIMIT"/>
    <n v="3239560"/>
    <s v="CRCA SHEET TATCRC SR16 0.450X900X2500"/>
    <s v="C06"/>
    <s v="TATCRC"/>
    <s v="SR16"/>
    <n v="0.45"/>
    <n v="900"/>
    <n v="2500"/>
    <s v="T2 DONE"/>
    <s v=" "/>
    <s v=""/>
    <n v="0"/>
    <n v="0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s v="0.42-0.45"/>
    <s v="900-902"/>
    <m/>
    <m/>
    <m/>
    <m/>
    <m/>
    <m/>
    <s v="T"/>
    <n v="0"/>
    <s v="C06-SR16-0.45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s v="PSPL STEEL PROCESSORS PRIVATE LIMIT"/>
  </r>
  <r>
    <n v="742"/>
    <d v="2025-08-26T00:00:00"/>
    <s v="ZBTF"/>
    <n v="9519049786"/>
    <n v="1"/>
    <s v="9519049786-1"/>
    <s v="No Priority"/>
    <s v="Released"/>
    <x v="0"/>
    <e v="#N/A"/>
    <e v="#N/A"/>
    <m/>
    <x v="5"/>
    <x v="9"/>
    <m/>
    <n v="2000"/>
    <s v="West"/>
    <s v="KHOPOLI"/>
    <s v="TSMK"/>
    <n v="650783"/>
    <s v="Khopoli Wider CRM"/>
    <n v="4083645"/>
    <s v="CR COIL TATFHC TR10 0.359X1235"/>
    <s v="C09"/>
    <s v="TATFHC"/>
    <s v="TR10"/>
    <n v="0.35899999999999999"/>
    <n v="1235"/>
    <n v="0"/>
    <s v="T2 DONE"/>
    <s v=" "/>
    <s v=""/>
    <n v="22"/>
    <n v="25"/>
    <n v="300"/>
    <n v="286.33"/>
    <n v="25.67"/>
    <n v="25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7"/>
    <s v="0.359-0.364"/>
    <s v="1235-1255"/>
    <m/>
    <m/>
    <m/>
    <m/>
    <m/>
    <m/>
    <s v="U"/>
    <s v="CRFH_KHOPOLI"/>
    <s v="C09-TR10-0.359-1235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Khopoli Wider CRM"/>
  </r>
  <r>
    <n v="742"/>
    <d v="2025-08-26T00:00:00"/>
    <s v="ZBTF"/>
    <n v="9519049786"/>
    <n v="4"/>
    <s v="9519049786-4"/>
    <s v="Stocks"/>
    <s v="Released"/>
    <x v="0"/>
    <e v="#N/A"/>
    <e v="#N/A"/>
    <m/>
    <x v="5"/>
    <x v="9"/>
    <m/>
    <n v="2000"/>
    <s v="West"/>
    <s v="KHOPOLI"/>
    <s v="TSMK"/>
    <n v="650783"/>
    <s v="Khopoli Wider CRM"/>
    <n v="4083739"/>
    <s v="CR COIL TATFHC TR10 0.459X1235"/>
    <s v="C09"/>
    <s v="TATFHC"/>
    <s v="TR10"/>
    <n v="0.45900000000000002"/>
    <n v="1235"/>
    <n v="0"/>
    <s v="T2 DONE"/>
    <s v=" "/>
    <s v=""/>
    <n v="22"/>
    <n v="25"/>
    <n v="300"/>
    <n v="308.02999999999997"/>
    <n v="1.97"/>
    <n v="1.97"/>
    <n v="20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7"/>
    <s v="0.459-0.464"/>
    <s v="1235-1255"/>
    <m/>
    <m/>
    <m/>
    <m/>
    <m/>
    <m/>
    <s v="U"/>
    <s v="CRFH_KHOPOLI"/>
    <s v="C09-TR10-0.459-1235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s v="Khopoli Wider CRM"/>
  </r>
  <r>
    <n v="742"/>
    <d v="2025-08-26T00:00:00"/>
    <s v="ZBTF"/>
    <n v="9519049786"/>
    <n v="5"/>
    <s v="9519049786-5"/>
    <s v="Stocks"/>
    <s v="Released"/>
    <x v="0"/>
    <e v="#N/A"/>
    <e v="#N/A"/>
    <m/>
    <x v="5"/>
    <x v="9"/>
    <m/>
    <n v="2000"/>
    <s v="West"/>
    <s v="KHOPOLI"/>
    <s v="TSMK"/>
    <n v="650783"/>
    <s v="Khopoli Wider CRM"/>
    <n v="4083738"/>
    <s v="CR COIL TATFHC TR10 0.559X1235"/>
    <s v="C09"/>
    <s v="TATFHC"/>
    <s v="TR10"/>
    <n v="0.55900000000000005"/>
    <n v="1235"/>
    <n v="0"/>
    <s v="T2 DONE"/>
    <s v=" "/>
    <s v=""/>
    <n v="22"/>
    <n v="25"/>
    <n v="200"/>
    <n v="192.22"/>
    <n v="7.78"/>
    <n v="7.78"/>
    <n v="23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8"/>
    <s v="0.559-0.564"/>
    <s v="1235-1255"/>
    <m/>
    <m/>
    <m/>
    <m/>
    <m/>
    <m/>
    <s v="U"/>
    <s v="CRFH_KHOPOLI"/>
    <s v="C09-TR10-0.559-1235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s v="Khopoli Wider CRM"/>
  </r>
  <r>
    <n v="742"/>
    <d v="2025-08-26T00:00:00"/>
    <s v="ZBTF"/>
    <n v="9519050606"/>
    <n v="1"/>
    <s v="9519050606-1"/>
    <s v="No Priority"/>
    <s v="Released"/>
    <x v="0"/>
    <e v="#N/A"/>
    <e v="#N/A"/>
    <m/>
    <x v="5"/>
    <x v="9"/>
    <m/>
    <n v="2000"/>
    <s v="West"/>
    <s v="KHOPOLI"/>
    <s v="TSMK"/>
    <n v="650783"/>
    <s v="Khopoli Wider CRM"/>
    <n v="4083644"/>
    <s v="CR COIL TATFHC TR10 0.309X1235"/>
    <s v="C09"/>
    <s v="TATFHC"/>
    <s v="TR10"/>
    <n v="0.309"/>
    <n v="1235"/>
    <n v="0"/>
    <s v="T2 DONE"/>
    <s v=" "/>
    <s v=""/>
    <n v="22"/>
    <n v="25"/>
    <n v="170"/>
    <n v="170.34"/>
    <n v="0.66"/>
    <n v="0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"/>
    <s v="0.309-0.314"/>
    <s v="1235-1255"/>
    <m/>
    <m/>
    <m/>
    <m/>
    <m/>
    <m/>
    <s v="U"/>
    <s v="CRFH_KHOPOLI"/>
    <s v="C09-TR10-0.309-1235"/>
    <s v="367-HG02-2-1235"/>
    <n v="367"/>
    <s v="T01576"/>
    <s v="HG02"/>
    <s v="C06A"/>
    <n v="2"/>
    <n v="1235"/>
    <n v="414088"/>
    <m/>
    <m/>
    <m/>
    <m/>
    <m/>
    <m/>
    <m/>
    <m/>
    <m/>
    <m/>
    <m/>
    <m/>
    <m/>
    <m/>
    <m/>
    <m/>
    <m/>
    <m/>
    <m/>
    <s v="Khopoli Wider CRM"/>
  </r>
  <r>
    <n v="742"/>
    <d v="2025-08-07T00:00:00"/>
    <s v="ZBTO"/>
    <n v="9518999629"/>
    <n v="1"/>
    <s v="9518999629-1"/>
    <s v="Sep'25"/>
    <s v="Released"/>
    <x v="1"/>
    <s v="CR02"/>
    <s v="ACRM CRCA CRS"/>
    <m/>
    <x v="0"/>
    <x v="4"/>
    <m/>
    <n v="1000"/>
    <s v="South"/>
    <s v="PATTANCHERY"/>
    <s v="SBAD"/>
    <n v="947865"/>
    <s v="CHANDRA CONTAINER MANUFACTURERS"/>
    <n v="4006905"/>
    <s v="CR COIL TATXXD BT04 0.450X848"/>
    <s v="C01"/>
    <s v="TATXXD"/>
    <s v="BT04"/>
    <n v="0.45"/>
    <n v="848"/>
    <n v="0"/>
    <s v="T2 DONE"/>
    <s v=" "/>
    <s v=""/>
    <n v="4"/>
    <n v="8"/>
    <n v="99.99"/>
    <n v="0"/>
    <n v="99.99"/>
    <n v="9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.99"/>
    <s v="0.43-0.45"/>
    <s v="848-849"/>
    <m/>
    <m/>
    <m/>
    <m/>
    <m/>
    <m/>
    <s v="C"/>
    <s v="CRCA_D&amp;B"/>
    <s v="C01-BT04-0.45-848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2"/>
    <s v="9518999629-2"/>
    <s v="Sep'25"/>
    <s v="Released"/>
    <x v="1"/>
    <s v="CR02"/>
    <s v="ACRM CRCA CRS"/>
    <m/>
    <x v="0"/>
    <x v="4"/>
    <m/>
    <n v="1000"/>
    <s v="South"/>
    <s v="PATTANCHERY"/>
    <s v="SBAD"/>
    <n v="947865"/>
    <s v="CHANDRA CONTAINER MANUFACTURERS"/>
    <n v="4005822"/>
    <s v="CR COIL TATXXD BT04 0.500X1020"/>
    <s v="C01"/>
    <s v="TATXXD"/>
    <s v="BT04"/>
    <n v="0.5"/>
    <n v="1020"/>
    <n v="0"/>
    <s v="T2 DONE"/>
    <s v=" "/>
    <s v=""/>
    <n v="4"/>
    <n v="8"/>
    <n v="22.99"/>
    <n v="0"/>
    <n v="22.99"/>
    <n v="1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s v="0.48-0.5"/>
    <s v="1020-1021"/>
    <m/>
    <m/>
    <m/>
    <m/>
    <m/>
    <m/>
    <s v="C"/>
    <s v="CRCA_D&amp;B"/>
    <s v="C01-BT04-0.5-1020"/>
    <s v="B69-SH67-2.25-1035"/>
    <s v="B69"/>
    <s v="TSH067"/>
    <s v="SH67"/>
    <s v="C14A"/>
    <n v="2.25"/>
    <n v="1035"/>
    <n v="4082336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3"/>
    <s v="9518999629-3"/>
    <s v="Sep'25"/>
    <s v="Released"/>
    <x v="1"/>
    <s v="CR02"/>
    <s v="ACRM CRCA CRS"/>
    <m/>
    <x v="0"/>
    <x v="4"/>
    <m/>
    <n v="1000"/>
    <s v="South"/>
    <s v="PATTANCHERY"/>
    <s v="SBAD"/>
    <n v="947865"/>
    <s v="CHANDRA CONTAINER MANUFACTURERS"/>
    <n v="3878062"/>
    <s v="CR COIL TATXXD BT04 0.500X1000"/>
    <s v="C01"/>
    <s v="TATXXD"/>
    <s v="BT04"/>
    <n v="0.5"/>
    <n v="1000"/>
    <n v="0"/>
    <s v="T2 DONE"/>
    <s v=" "/>
    <s v=""/>
    <n v="4"/>
    <n v="8"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48-0.5"/>
    <s v="1000-1001"/>
    <m/>
    <m/>
    <m/>
    <m/>
    <m/>
    <m/>
    <s v="C"/>
    <s v="CRCA_D&amp;B"/>
    <s v="C01-BT04-0.5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5"/>
    <s v="9518999629-5"/>
    <s v="Sep'25"/>
    <s v="Released"/>
    <x v="1"/>
    <s v="CR02"/>
    <s v="ACRM CRCA CRS"/>
    <m/>
    <x v="0"/>
    <x v="4"/>
    <m/>
    <n v="1000"/>
    <s v="South"/>
    <s v="PATTANCHERY"/>
    <s v="SBAD"/>
    <n v="947865"/>
    <s v="CHANDRA CONTAINER MANUFACTURERS"/>
    <n v="4005007"/>
    <s v="CR COIL TATXXD BT04 0.450X1020"/>
    <s v="C01"/>
    <s v="TATXXD"/>
    <s v="BT04"/>
    <n v="0.45"/>
    <n v="1020"/>
    <n v="0"/>
    <s v="T2 DONE"/>
    <s v=" "/>
    <s v=""/>
    <n v="4"/>
    <n v="8"/>
    <n v="45.99"/>
    <n v="0"/>
    <n v="45.99"/>
    <n v="2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43-0.45"/>
    <s v="1020-1021"/>
    <m/>
    <m/>
    <m/>
    <m/>
    <m/>
    <m/>
    <s v="C"/>
    <s v="CRCA_D&amp;B"/>
    <s v="C01-BT04-0.45-1020"/>
    <s v="B69-SH67-2.25-1035"/>
    <s v="B69"/>
    <s v="TSH067"/>
    <s v="SH67"/>
    <s v="C14A"/>
    <n v="2.25"/>
    <n v="1035"/>
    <n v="4082336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6"/>
    <s v="9518999629-6"/>
    <s v="Sep'25"/>
    <s v="Released"/>
    <x v="1"/>
    <s v="CR02"/>
    <s v="ACRM CRCA CRS"/>
    <m/>
    <x v="0"/>
    <x v="4"/>
    <m/>
    <n v="1000"/>
    <s v="South"/>
    <s v="PATTANCHERY"/>
    <s v="SBAD"/>
    <n v="947865"/>
    <s v="CHANDRA CONTAINER MANUFACTURERS"/>
    <n v="4042197"/>
    <s v="CR COIL TATXXD BT04 0.400X1020"/>
    <s v="C01"/>
    <s v="TATXXD"/>
    <s v="BT04"/>
    <n v="0.4"/>
    <n v="1020"/>
    <n v="0"/>
    <s v="T2 DONE"/>
    <s v=" "/>
    <s v=""/>
    <n v="4"/>
    <n v="8"/>
    <n v="22.99"/>
    <n v="0"/>
    <n v="22.99"/>
    <n v="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s v="0.38-0.4"/>
    <s v="1020-1021"/>
    <m/>
    <m/>
    <m/>
    <m/>
    <m/>
    <m/>
    <s v="C"/>
    <s v="CRCA_D&amp;B"/>
    <s v="C01-BT04-0.4-1020"/>
    <s v="B69-SH67-2.25-1035"/>
    <s v="B69"/>
    <s v="TSH067"/>
    <s v="SH67"/>
    <s v="C14A"/>
    <n v="2.25"/>
    <n v="1035"/>
    <n v="4082336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7"/>
    <s v="9518999629-7"/>
    <s v="Stocks"/>
    <s v="Released"/>
    <x v="1"/>
    <s v="CR02"/>
    <s v="ACRM CRCA CRS"/>
    <m/>
    <x v="0"/>
    <x v="4"/>
    <m/>
    <n v="1000"/>
    <s v="South"/>
    <s v="PATTANCHERY"/>
    <s v="SBAD"/>
    <n v="947865"/>
    <s v="CHANDRA CONTAINER MANUFACTURERS"/>
    <n v="3884110"/>
    <s v="CR COIL TATXXD BT04 0.450X900"/>
    <s v="C01"/>
    <s v="TATXXD"/>
    <s v="BT04"/>
    <n v="0.45"/>
    <n v="900"/>
    <n v="0"/>
    <s v="T2 DONE"/>
    <s v=" "/>
    <s v=""/>
    <n v="4"/>
    <n v="7"/>
    <n v="20.99"/>
    <n v="18.504999999999999"/>
    <n v="2.4849999999999999"/>
    <n v="2.4849999999999999"/>
    <n v="18.50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849999999999999"/>
    <s v="0.43-0.45"/>
    <s v="900-901"/>
    <m/>
    <m/>
    <m/>
    <m/>
    <m/>
    <m/>
    <s v="C"/>
    <s v="CRCA_D&amp;B"/>
    <s v="C01-BT04-0.45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s v="CHANDRA CONTAINER MANUFACTURERS"/>
  </r>
  <r>
    <n v="742"/>
    <d v="2025-08-07T00:00:00"/>
    <s v="ZBTO"/>
    <n v="9518999629"/>
    <n v="8"/>
    <s v="9518999629-8"/>
    <s v="Sep'25"/>
    <s v="Released"/>
    <x v="1"/>
    <s v="CR02"/>
    <s v="ACRM CRCA CRS"/>
    <m/>
    <x v="0"/>
    <x v="4"/>
    <m/>
    <n v="1000"/>
    <s v="South"/>
    <s v="PATTANCHERY"/>
    <s v="SBAD"/>
    <n v="947865"/>
    <s v="CHANDRA CONTAINER MANUFACTURERS"/>
    <n v="4099869"/>
    <s v="CR COIL TATXXD BT04 0.400X1000"/>
    <s v="C01"/>
    <s v="TATXXD"/>
    <s v="BT04"/>
    <n v="0.4"/>
    <n v="1000"/>
    <n v="0"/>
    <s v="T2 DONE"/>
    <s v=" "/>
    <s v=""/>
    <n v="4"/>
    <n v="8"/>
    <n v="22.99"/>
    <n v="0"/>
    <n v="22.99"/>
    <n v="0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s v="0.38-0.4"/>
    <s v="1000-1001"/>
    <m/>
    <m/>
    <m/>
    <m/>
    <m/>
    <m/>
    <s v="C"/>
    <s v="CRCA_D&amp;B"/>
    <s v="C01-BT04-0.4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CHANDRA CONTAINER MANUFACTURERS"/>
  </r>
  <r>
    <n v="742"/>
    <d v="2025-08-13T00:00:00"/>
    <s v="ZBTO"/>
    <n v="9519013975"/>
    <n v="1"/>
    <s v="9519013975-1"/>
    <s v="Sep'25"/>
    <s v="Released"/>
    <x v="1"/>
    <s v="CR02"/>
    <s v="ACRM CRCA CRS"/>
    <m/>
    <x v="0"/>
    <x v="4"/>
    <m/>
    <n v="1000"/>
    <s v="South"/>
    <s v="PATTANCHERY"/>
    <s v="SBAD"/>
    <n v="947865"/>
    <s v="CHANDRA CONTAINER MANUFACTURERS"/>
    <n v="4101931"/>
    <s v="CR COIL TATXXD BT04 0.400X848"/>
    <s v="C01"/>
    <s v="TATXXD"/>
    <s v="BT04"/>
    <n v="0.4"/>
    <n v="848"/>
    <n v="0"/>
    <s v="T2 DONE"/>
    <s v=" "/>
    <s v=""/>
    <n v="4"/>
    <n v="8"/>
    <n v="40"/>
    <n v="35.435000000000002"/>
    <n v="4.5650000000000004"/>
    <n v="4.5650000000000004"/>
    <n v="35.434999999999995"/>
    <n v="0"/>
    <n v="0"/>
    <n v="0"/>
    <n v="0"/>
    <n v="0"/>
    <n v="0"/>
    <n v="0"/>
    <n v="0"/>
    <n v="0"/>
    <n v="0"/>
    <n v="0"/>
    <n v="40.270000000000003"/>
    <n v="0"/>
    <n v="0"/>
    <n v="0"/>
    <n v="0"/>
    <n v="0"/>
    <n v="0"/>
    <n v="40.270000000000003"/>
    <n v="0"/>
    <n v="40.270000000000003"/>
    <n v="0"/>
    <n v="4.5650000000000004"/>
    <s v="0.38-0.4"/>
    <s v="848-849"/>
    <m/>
    <m/>
    <m/>
    <m/>
    <m/>
    <m/>
    <s v="C"/>
    <s v="CRCA_D&amp;B"/>
    <s v="C01-BT04-0.4-848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s v="CHANDRA CONTAINER MANUFACTURERS"/>
  </r>
  <r>
    <n v="742"/>
    <d v="2025-08-08T00:00:00"/>
    <s v="ZBTO"/>
    <n v="9519003457"/>
    <n v="2"/>
    <s v="9519003457-2"/>
    <s v="Stocks"/>
    <s v="Released"/>
    <x v="0"/>
    <e v="#N/A"/>
    <e v="#N/A"/>
    <m/>
    <x v="1"/>
    <x v="1"/>
    <m/>
    <n v="3000"/>
    <s v="South"/>
    <s v="YESHWANTHPURA"/>
    <s v="BANG"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61"/>
    <n v="245.73500000000001"/>
    <n v="15.265000000000001"/>
    <n v="15.265000000000001"/>
    <n v="44.105000000000004"/>
    <n v="0"/>
    <n v="44.26"/>
    <n v="0"/>
    <n v="0"/>
    <n v="0"/>
    <n v="0"/>
    <n v="0"/>
    <n v="0"/>
    <n v="0"/>
    <n v="0"/>
    <n v="0"/>
    <n v="0"/>
    <n v="0"/>
    <n v="0"/>
    <n v="0"/>
    <n v="0"/>
    <n v="0"/>
    <n v="0"/>
    <n v="44.26"/>
    <n v="44.26"/>
    <n v="0"/>
    <n v="0"/>
    <n v="-28.994999999999997"/>
    <s v=""/>
    <s v=""/>
    <m/>
    <m/>
    <m/>
    <m/>
    <m/>
    <m/>
    <s v="U"/>
    <s v="HRO_AUTO"/>
    <s v="768-HA58-2-1250"/>
    <s v="367-HA58-2-1250"/>
    <n v="367"/>
    <s v="THA058"/>
    <s v="HA58"/>
    <s v="A13A"/>
    <n v="2"/>
    <n v="1250"/>
    <n v="1304660"/>
    <m/>
    <m/>
    <m/>
    <m/>
    <m/>
    <m/>
    <m/>
    <m/>
    <m/>
    <m/>
    <m/>
    <m/>
    <m/>
    <m/>
    <m/>
    <m/>
    <m/>
    <m/>
    <m/>
    <s v="TATA STEEL DOWNSTREAM PRODUCTS LIMI"/>
  </r>
  <r>
    <n v="742"/>
    <d v="2025-07-29T00:00:00"/>
    <s v="ZBTO"/>
    <n v="9518972719"/>
    <n v="13"/>
    <s v="9518972719-13"/>
    <s v="Stocks"/>
    <s v="Released"/>
    <x v="1"/>
    <s v="CR01"/>
    <s v="ACRM CRCA CTL"/>
    <m/>
    <x v="0"/>
    <x v="0"/>
    <m/>
    <n v="2000"/>
    <s v="South"/>
    <s v="VALPARAI"/>
    <s v="MADS"/>
    <n v="116465"/>
    <s v="SRI BALAJI STEEL TRADERS"/>
    <n v="325986"/>
    <s v="CRCA SHEET TATXXD AU03 2.5X1250X2500"/>
    <s v="C06"/>
    <s v="TATXXD"/>
    <s v="AU03"/>
    <n v="2.5"/>
    <n v="1250"/>
    <n v="2500"/>
    <s v="T2 DONE"/>
    <s v=" "/>
    <s v=""/>
    <n v="0"/>
    <n v="0"/>
    <n v="28.998999999999999"/>
    <n v="21.295000000000002"/>
    <n v="7.7039999999999997"/>
    <n v="7.7039999999999997"/>
    <n v="8.564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039999999999997"/>
    <s v="2.48-2.52"/>
    <s v="1250-1254"/>
    <m/>
    <m/>
    <m/>
    <m/>
    <m/>
    <m/>
    <s v="U"/>
    <s v="CRCA_STLM"/>
    <s v="C06-AU03-2.5-1250"/>
    <s v="367-SH08-5-1260"/>
    <n v="367"/>
    <s v="T01320"/>
    <s v="SH08"/>
    <s v="C16D"/>
    <n v="5"/>
    <n v="1260"/>
    <n v="4083059"/>
    <m/>
    <m/>
    <m/>
    <m/>
    <m/>
    <m/>
    <m/>
    <m/>
    <m/>
    <m/>
    <m/>
    <m/>
    <m/>
    <m/>
    <m/>
    <m/>
    <m/>
    <m/>
    <m/>
    <s v="SRI BALAJI STEEL TRADERS"/>
  </r>
  <r>
    <n v="742"/>
    <d v="2025-08-08T00:00:00"/>
    <s v="ZBTO"/>
    <n v="9519003457"/>
    <n v="1"/>
    <s v="9519003457-1"/>
    <s v="No Priority"/>
    <s v="Released"/>
    <x v="0"/>
    <e v="#N/A"/>
    <e v="#N/A"/>
    <m/>
    <x v="1"/>
    <x v="1"/>
    <m/>
    <n v="3000"/>
    <s v="South"/>
    <s v="YESHWANTHPURA"/>
    <s v="BANG"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61"/>
    <n v="64.37"/>
    <n v="196.63"/>
    <n v="196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.63"/>
    <s v=""/>
    <s v=""/>
    <m/>
    <m/>
    <m/>
    <m/>
    <m/>
    <m/>
    <s v="U"/>
    <s v="HRO_AUTO"/>
    <s v="768-HA58-2-1250"/>
    <s v="367-HA58-2-1250"/>
    <n v="367"/>
    <s v="THA058"/>
    <s v="HA58"/>
    <s v="A13A"/>
    <n v="2"/>
    <n v="1250"/>
    <n v="1304660"/>
    <m/>
    <m/>
    <m/>
    <m/>
    <m/>
    <m/>
    <m/>
    <m/>
    <m/>
    <m/>
    <m/>
    <m/>
    <m/>
    <m/>
    <m/>
    <m/>
    <m/>
    <m/>
    <m/>
    <s v="TATA STEEL DOWNSTREAM PRODUCTS LIMI"/>
  </r>
  <r>
    <n v="744"/>
    <d v="2025-08-21T00:00:00"/>
    <s v="ZBTO"/>
    <n v="9519034052"/>
    <n v="1"/>
    <s v="9519034052-1"/>
    <s v="Stocks"/>
    <s v="Released"/>
    <x v="1"/>
    <s v="GL02"/>
    <s v="ACRM GP#2 TBSPL PPGL"/>
    <m/>
    <x v="3"/>
    <x v="3"/>
    <m/>
    <n v="1000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84"/>
    <n v="83.49"/>
    <n v="0.51"/>
    <n v="0.51"/>
    <n v="4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2"/>
    <d v="2025-08-21T00:00:00"/>
    <s v="ZBTF"/>
    <n v="9519034241"/>
    <n v="1"/>
    <s v="9519034241-1"/>
    <s v="No Priority"/>
    <s v="Released"/>
    <x v="0"/>
    <e v="#N/A"/>
    <e v="#N/A"/>
    <m/>
    <x v="0"/>
    <x v="0"/>
    <m/>
    <n v="2000"/>
    <s v="South"/>
    <s v="THIRUVALLUR"/>
    <s v="TATA"/>
    <n v="600250"/>
    <s v="TATA CENTER"/>
    <n v="27569"/>
    <s v="CR COIL-ICF  DQ TATXXD AU03 0.60 X 1250"/>
    <s v="C01"/>
    <s v="TATXXD"/>
    <s v="AU03"/>
    <n v="0.6"/>
    <n v="1250"/>
    <n v="0"/>
    <s v="T2 DONE"/>
    <s v=" "/>
    <s v=""/>
    <n v="10"/>
    <n v="28"/>
    <n v="167.995"/>
    <n v="114.235"/>
    <n v="53.76"/>
    <n v="-0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76"/>
    <s v="0.57-0.63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m/>
    <m/>
    <m/>
    <m/>
    <m/>
    <m/>
    <m/>
    <m/>
    <m/>
    <m/>
    <m/>
    <m/>
    <m/>
    <m/>
    <s v="TATA CENTER"/>
  </r>
  <r>
    <n v="742"/>
    <d v="2025-08-21T00:00:00"/>
    <s v="ZBTF"/>
    <n v="9519034241"/>
    <n v="3"/>
    <s v="9519034241-3"/>
    <s v="No Priority"/>
    <s v="Released"/>
    <x v="0"/>
    <e v="#N/A"/>
    <e v="#N/A"/>
    <m/>
    <x v="0"/>
    <x v="0"/>
    <m/>
    <n v="2000"/>
    <s v="South"/>
    <s v="THIRUVALLUR"/>
    <s v="TATA"/>
    <n v="600250"/>
    <s v="TATA CENTER"/>
    <n v="187529"/>
    <s v="CR COIL-ICF  DQ TATXXD AU03 1.20 X 1250"/>
    <s v="C01"/>
    <s v="TATXXD"/>
    <s v="AU03"/>
    <n v="1.2"/>
    <n v="1250"/>
    <n v="0"/>
    <s v="T2 DONE"/>
    <s v=" "/>
    <s v=""/>
    <n v="10"/>
    <n v="28"/>
    <n v="215.995"/>
    <n v="208.89500000000001"/>
    <n v="7.1"/>
    <n v="-16.63"/>
    <n v="0"/>
    <n v="0"/>
    <n v="0"/>
    <n v="0"/>
    <n v="0"/>
    <n v="0"/>
    <n v="0"/>
    <n v="0"/>
    <n v="0"/>
    <n v="23.73"/>
    <n v="0"/>
    <n v="0"/>
    <n v="0"/>
    <n v="0"/>
    <n v="0"/>
    <n v="0"/>
    <n v="0"/>
    <n v="0"/>
    <n v="0"/>
    <n v="23.73"/>
    <n v="0"/>
    <n v="23.73"/>
    <n v="0"/>
    <n v="7.1"/>
    <s v="1.17-1.23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m/>
    <m/>
    <m/>
    <m/>
    <m/>
    <m/>
    <m/>
    <m/>
    <m/>
    <m/>
    <m/>
    <m/>
    <m/>
    <m/>
    <s v="TATA CENTER"/>
  </r>
  <r>
    <n v="742"/>
    <d v="2025-08-21T00:00:00"/>
    <s v="ZBTF"/>
    <n v="9519034241"/>
    <n v="4"/>
    <s v="9519034241-4"/>
    <s v="No Priority"/>
    <s v="Released"/>
    <x v="0"/>
    <e v="#N/A"/>
    <e v="#N/A"/>
    <m/>
    <x v="0"/>
    <x v="0"/>
    <m/>
    <n v="2000"/>
    <s v="South"/>
    <s v="THIRUVALLUR"/>
    <s v="TATA"/>
    <n v="600250"/>
    <s v="TATA CENTER"/>
    <n v="185675"/>
    <s v="CRCA COIL-TATXXD-AU03-0.5X1250"/>
    <s v="C01"/>
    <s v="TATXXD"/>
    <s v="AU03"/>
    <n v="0.5"/>
    <n v="1250"/>
    <n v="0"/>
    <s v="T2 DONE"/>
    <s v=" "/>
    <s v=""/>
    <n v="10"/>
    <n v="28"/>
    <n v="287.995"/>
    <n v="20.63"/>
    <n v="267.36500000000001"/>
    <n v="267.36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7.36500000000001"/>
    <s v="0.47-0.53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TATA CENTER"/>
  </r>
  <r>
    <n v="742"/>
    <d v="2025-07-18T00:00:00"/>
    <s v="ZBTO"/>
    <n v="9518938766"/>
    <n v="10"/>
    <s v="9518938766-10"/>
    <s v="Oct'25"/>
    <s v="Released"/>
    <x v="1"/>
    <s v="CR01"/>
    <s v="ACRM CRCA CTL"/>
    <m/>
    <x v="0"/>
    <x v="5"/>
    <m/>
    <n v="2000"/>
    <s v="East"/>
    <s v="PURNIA"/>
    <s v="PATN"/>
    <n v="103227"/>
    <s v="BMW VENTURES LIMITED"/>
    <n v="3239572"/>
    <s v="CRCA SHEET TATCRC SR16 0.480X1000X2500"/>
    <s v="C06"/>
    <s v="TATCRC"/>
    <s v="SR16"/>
    <n v="0.4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5-0.48"/>
    <s v="1000-1002"/>
    <m/>
    <m/>
    <m/>
    <m/>
    <m/>
    <m/>
    <s v="T"/>
    <s v="CRCA_SUPR"/>
    <s v="C06-SR16-0.48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BMW VENTURES LIMITED"/>
  </r>
  <r>
    <n v="743"/>
    <d v="2025-08-14T00:00:00"/>
    <s v="ZBTO"/>
    <n v="9519017657"/>
    <n v="1"/>
    <s v="9519017657-1"/>
    <s v="Sep'25"/>
    <s v="Released"/>
    <x v="1"/>
    <s v="GL03"/>
    <s v="ACRM GP#2 NON TBSPL"/>
    <m/>
    <x v="4"/>
    <x v="4"/>
    <m/>
    <n v="1000"/>
    <s v="South"/>
    <s v="ZAHIRABAD"/>
    <s v="SBAD"/>
    <n v="188152"/>
    <s v="Metalkraft Forming Industries Pvt L"/>
    <n v="4031999"/>
    <s v="GL COIL SOFT  Y300GL T12L 0.500X1221"/>
    <s v="B03"/>
    <s v="Y300GL"/>
    <s v="T12L"/>
    <n v="0.5"/>
    <n v="1221"/>
    <n v="0"/>
    <s v="T2 DONE"/>
    <s v="aZ150"/>
    <s v=""/>
    <n v="8"/>
    <n v="12"/>
    <n v="224"/>
    <n v="167.71"/>
    <n v="56.29"/>
    <n v="35.21"/>
    <n v="0"/>
    <n v="0"/>
    <n v="0"/>
    <n v="0"/>
    <n v="0"/>
    <n v="0"/>
    <n v="0"/>
    <n v="0"/>
    <n v="0"/>
    <n v="0"/>
    <n v="0"/>
    <n v="0"/>
    <n v="0"/>
    <n v="0"/>
    <n v="0"/>
    <n v="0"/>
    <n v="3.5550000000000002"/>
    <n v="6.07"/>
    <n v="15.01"/>
    <n v="24.634999999999998"/>
    <n v="21.08"/>
    <n v="3.5549999999999997"/>
    <n v="0"/>
    <n v="35.21"/>
    <s v="0.47-0.51"/>
    <s v="1221-1225"/>
    <m/>
    <m/>
    <m/>
    <m/>
    <m/>
    <m/>
    <s v="R"/>
    <s v="GP02_IPP"/>
    <s v="B03-T12L-0.5-1221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Metalkraft Forming Industries Pvt L"/>
  </r>
  <r>
    <n v="742"/>
    <d v="2025-09-01T00:00:00"/>
    <s v="ZBTO"/>
    <n v="9519071445"/>
    <n v="1"/>
    <s v="9519071445-1"/>
    <s v="Oct'25"/>
    <s v="Released"/>
    <x v="1"/>
    <s v="CR01"/>
    <s v="ACRM CRCA CTL"/>
    <m/>
    <x v="0"/>
    <x v="5"/>
    <m/>
    <n v="2000"/>
    <s v="West"/>
    <s v="JAIPUR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s v=" "/>
    <s v=""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PELIKAN DOSSIER (P) LTD "/>
  </r>
  <r>
    <n v="742"/>
    <d v="2025-09-01T00:00:00"/>
    <s v="ZBTO"/>
    <n v="9519071445"/>
    <n v="3"/>
    <s v="9519071445-3"/>
    <s v="No Priority"/>
    <s v="Released"/>
    <x v="0"/>
    <s v="CR01"/>
    <s v="ACRM CRCA CTL"/>
    <m/>
    <x v="0"/>
    <x v="5"/>
    <m/>
    <n v="2000"/>
    <s v="West"/>
    <s v="JAIPUR"/>
    <s v="JPUR"/>
    <n v="116137"/>
    <s v="PELIKAN DOSSIER (P) LTD "/>
    <n v="3240786"/>
    <s v="CRCA SHEET TSBCRC SR15 0.700X1250X2500"/>
    <s v="C06"/>
    <s v="TSBCRC"/>
    <s v="SR15"/>
    <n v="0.7"/>
    <n v="1250"/>
    <n v="2500"/>
    <s v="T2 DONE"/>
    <s v=" "/>
    <s v=""/>
    <n v="1"/>
    <n v="3"/>
    <n v="58"/>
    <n v="13.93"/>
    <n v="44.07"/>
    <n v="44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s v="PELIKAN DOSSIER (P) LTD "/>
  </r>
  <r>
    <n v="742"/>
    <d v="2025-08-26T00:00:00"/>
    <s v="ZBTF"/>
    <n v="9519049786"/>
    <n v="2"/>
    <s v="9519049786-2"/>
    <s v="No Priority"/>
    <s v="Released"/>
    <x v="0"/>
    <e v="#N/A"/>
    <e v="#N/A"/>
    <m/>
    <x v="5"/>
    <x v="9"/>
    <m/>
    <n v="2000"/>
    <s v="West"/>
    <s v="KHOPOLI"/>
    <s v="TSMK"/>
    <n v="650783"/>
    <s v="Khopoli Wider CRM"/>
    <n v="4083646"/>
    <s v="CR COIL TATFHC TR10 0.409X1235"/>
    <s v="C09"/>
    <s v="TATFHC"/>
    <s v="TR10"/>
    <n v="0.40899999999999997"/>
    <n v="1235"/>
    <n v="0"/>
    <s v="T2 DONE"/>
    <s v=" "/>
    <s v=""/>
    <n v="12"/>
    <n v="25"/>
    <n v="125"/>
    <n v="116.18"/>
    <n v="8.82"/>
    <n v="8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2"/>
    <s v="0.409-0.414"/>
    <s v="1235-1255"/>
    <m/>
    <m/>
    <m/>
    <m/>
    <m/>
    <m/>
    <s v="U"/>
    <s v="CRFH_KHOPOLI"/>
    <s v="C09-TR10-0.409-1235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s v="Khopoli Wider CRM"/>
  </r>
  <r>
    <n v="743"/>
    <d v="2025-07-08T00:00:00"/>
    <s v="ZBTO"/>
    <n v="9518914760"/>
    <n v="3"/>
    <s v="9518914760-3"/>
    <s v="No Priority"/>
    <s v="Released"/>
    <x v="0"/>
    <s v="GP03"/>
    <s v="ACRM GP#3 NARROW"/>
    <m/>
    <x v="2"/>
    <x v="6"/>
    <m/>
    <n v="2000"/>
    <s v="West"/>
    <s v="LONI"/>
    <s v="GBAD"/>
    <n v="931235"/>
    <s v="K D J P STEELS PVT LTD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7-0.3"/>
    <s v="1000-1003"/>
    <m/>
    <m/>
    <m/>
    <m/>
    <m/>
    <m/>
    <s v="R"/>
    <s v="GP03_KOSH"/>
    <s v="C02-GLK1-0.3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K D J P STEELS PVT LTD"/>
  </r>
  <r>
    <n v="742"/>
    <d v="2025-07-01T00:00:00"/>
    <s v="ZBTO"/>
    <n v="9518900193"/>
    <n v="10"/>
    <s v="9518900193-10"/>
    <s v="Sep'25"/>
    <s v="Released"/>
    <x v="1"/>
    <s v="CR02"/>
    <s v="ACRM CRCA CRS"/>
    <m/>
    <x v="0"/>
    <x v="0"/>
    <m/>
    <n v="2000"/>
    <s v="South"/>
    <s v="COCHIN HARBOUR "/>
    <s v="MADS"/>
    <n v="116650"/>
    <s v="KUMMENCHERY STEELS"/>
    <n v="1804870"/>
    <s v="CRCA COIL-TATXXD-AU03-2X1000"/>
    <s v="C01"/>
    <s v="TATXXD"/>
    <s v="AU03"/>
    <n v="2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1.98-2.02"/>
    <s v="1000-1004"/>
    <m/>
    <m/>
    <m/>
    <m/>
    <m/>
    <m/>
    <s v="R"/>
    <s v="CRCA_STLM"/>
    <s v="C01-AU03-2-1000"/>
    <s v="B69-SH08-4.5-1025"/>
    <s v="B69"/>
    <s v="T01320"/>
    <s v="SH08"/>
    <s v="C16D"/>
    <n v="4.5"/>
    <n v="1025"/>
    <n v="3924594"/>
    <m/>
    <m/>
    <m/>
    <m/>
    <m/>
    <m/>
    <m/>
    <m/>
    <m/>
    <m/>
    <m/>
    <m/>
    <m/>
    <m/>
    <m/>
    <m/>
    <m/>
    <m/>
    <m/>
    <s v="KUMMENCHERY STEELS"/>
  </r>
  <r>
    <n v="743"/>
    <d v="2025-07-29T00:00:00"/>
    <s v="ZBTO"/>
    <n v="9518972366"/>
    <n v="4"/>
    <s v="9518972366-4"/>
    <s v="No Priority"/>
    <s v="Released"/>
    <x v="0"/>
    <s v="GP03"/>
    <s v="ACRM GP#3 NARROW"/>
    <m/>
    <x v="2"/>
    <x v="6"/>
    <m/>
    <n v="2000"/>
    <s v="West"/>
    <s v="LONI"/>
    <s v="GBAD"/>
    <n v="931235"/>
    <s v="K D J P STEELS PVT LTD"/>
    <n v="1142901"/>
    <s v="GP COIL SOFT-TATXGP-GLK1-0.3X1000"/>
    <s v="C02"/>
    <s v="TATXGP"/>
    <s v="GLK1"/>
    <n v="0.3"/>
    <n v="1000"/>
    <n v="0"/>
    <s v="T2 DONE"/>
    <s v="Z80"/>
    <s v=""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7-0.3"/>
    <s v="1000-1003"/>
    <m/>
    <m/>
    <m/>
    <m/>
    <m/>
    <m/>
    <s v="R"/>
    <s v="GP03_KOSH"/>
    <s v="C02-GLK1-0.3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K D J P STEELS PVT LTD"/>
  </r>
  <r>
    <n v="743"/>
    <d v="2025-07-08T00:00:00"/>
    <s v="ZBTO"/>
    <n v="9518914709"/>
    <n v="2"/>
    <s v="9518914709-2"/>
    <s v="No Priority"/>
    <s v="Released"/>
    <x v="0"/>
    <s v="GP03"/>
    <s v="ACRM GP#3 NARROW"/>
    <m/>
    <x v="2"/>
    <x v="6"/>
    <m/>
    <n v="2000"/>
    <s v="West"/>
    <s v="LONI"/>
    <s v="GBAD"/>
    <n v="183259"/>
    <s v="Rakesh Steel Inds.(P) Ltd."/>
    <n v="2270690"/>
    <s v="GP COIL SOFT TATXGP GLK1 0.25X1000"/>
    <s v="C02"/>
    <s v="TATXGP"/>
    <s v="GLK1"/>
    <n v="0.25"/>
    <n v="1000"/>
    <n v="0"/>
    <s v="T2 DONE"/>
    <s v="Z80"/>
    <s v=""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2-0.25"/>
    <s v="1000-1002"/>
    <m/>
    <m/>
    <m/>
    <m/>
    <m/>
    <m/>
    <s v="R"/>
    <s v="GP03_KOSH"/>
    <s v="C02-GLK1-0.25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Rakesh Steel Inds.(P) Ltd."/>
  </r>
  <r>
    <n v="743"/>
    <d v="2025-07-08T00:00:00"/>
    <s v="ZBTO"/>
    <n v="9518914709"/>
    <n v="6"/>
    <s v="9518914709-6"/>
    <s v="No Priority"/>
    <s v="Released"/>
    <x v="0"/>
    <s v="GP03"/>
    <s v="ACRM GP#3 NARROW"/>
    <m/>
    <x v="2"/>
    <x v="6"/>
    <m/>
    <n v="2000"/>
    <s v="West"/>
    <s v="LONI"/>
    <s v="GBAD"/>
    <n v="183259"/>
    <s v="Rakesh Steel Inds.(P) Ltd."/>
    <n v="1319275"/>
    <s v="GP COIL SOFT-TATXGP-GLK1-0.2X900"/>
    <s v="C02"/>
    <s v="TATXGP"/>
    <s v="GLK1"/>
    <n v="0.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7-0.2"/>
    <s v="900-902"/>
    <m/>
    <m/>
    <m/>
    <m/>
    <m/>
    <m/>
    <s v="R"/>
    <s v="GP03_KOSH"/>
    <s v="C02-GLK1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Rakesh Steel Inds.(P) Ltd."/>
  </r>
  <r>
    <n v="743"/>
    <d v="2025-07-08T00:00:00"/>
    <s v="ZBTO"/>
    <n v="9518915062"/>
    <n v="6"/>
    <s v="9518915062-6"/>
    <s v="No Priority"/>
    <s v="Released"/>
    <x v="0"/>
    <s v="GP03"/>
    <s v="ACRM GP#3 NARROW"/>
    <m/>
    <x v="2"/>
    <x v="6"/>
    <m/>
    <n v="2000"/>
    <s v="West"/>
    <s v="LONI"/>
    <s v="GBAD"/>
    <n v="931235"/>
    <s v="K D J P STEELS PVT LTD"/>
    <n v="1319275"/>
    <s v="GP COIL SOFT-TATXGP-GLK1-0.2X900"/>
    <s v="C02"/>
    <s v="TATXGP"/>
    <s v="GLK1"/>
    <n v="0.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7-0.2"/>
    <s v="900-902"/>
    <m/>
    <m/>
    <m/>
    <m/>
    <m/>
    <m/>
    <s v="R"/>
    <s v="GP03_KOSH"/>
    <s v="C02-GLK1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K D J P STEELS PVT LTD"/>
  </r>
  <r>
    <n v="743"/>
    <d v="2025-07-29T00:00:00"/>
    <s v="ZBTO"/>
    <n v="9518971601"/>
    <n v="1"/>
    <s v="9518971601-1"/>
    <s v="Sep'25"/>
    <s v="Released"/>
    <x v="1"/>
    <s v="GP02"/>
    <s v="ACRM GP#3 WIDER SOFT"/>
    <m/>
    <x v="2"/>
    <x v="13"/>
    <m/>
    <n v="2000"/>
    <s v="West"/>
    <s v="LONI"/>
    <s v="GBAD"/>
    <n v="931234"/>
    <s v="JAI LAXMI STEELS"/>
    <n v="1327809"/>
    <s v="GP COIL SOFT-TATXGP-GLK1-0.3X1250"/>
    <s v="C02"/>
    <s v="TATXGP"/>
    <s v="GLK1"/>
    <n v="0.3"/>
    <n v="1250"/>
    <n v="0"/>
    <s v="T2 DONE"/>
    <s v="Z80"/>
    <s v=""/>
    <n v="4"/>
    <n v="6"/>
    <n v="29"/>
    <n v="0"/>
    <n v="29"/>
    <n v="29"/>
    <n v="0"/>
    <n v="0"/>
    <n v="0"/>
    <n v="0"/>
    <n v="24.400000000000002"/>
    <n v="0"/>
    <n v="0"/>
    <n v="0"/>
    <n v="0"/>
    <n v="0"/>
    <n v="0"/>
    <n v="0"/>
    <n v="0"/>
    <n v="0"/>
    <n v="0"/>
    <n v="0"/>
    <n v="0"/>
    <n v="0"/>
    <n v="0"/>
    <n v="24.400000000000002"/>
    <n v="0"/>
    <n v="24.400000000000002"/>
    <n v="0"/>
    <n v="29"/>
    <s v="0.27-0.3"/>
    <s v="1250-1253"/>
    <m/>
    <m/>
    <m/>
    <m/>
    <m/>
    <m/>
    <s v="R"/>
    <s v="GP03_KOSH"/>
    <s v="C02-GLK1-0.3-1250"/>
    <s v="367-HG02-2-1265"/>
    <n v="367"/>
    <s v="T01576"/>
    <s v="HG02"/>
    <s v="C06A"/>
    <n v="2"/>
    <n v="1265"/>
    <n v="414807"/>
    <m/>
    <m/>
    <m/>
    <m/>
    <m/>
    <m/>
    <m/>
    <m/>
    <m/>
    <m/>
    <m/>
    <m/>
    <m/>
    <m/>
    <m/>
    <m/>
    <m/>
    <m/>
    <m/>
    <s v="JAI LAXMI STEELS"/>
  </r>
  <r>
    <n v="743"/>
    <d v="2025-07-29T00:00:00"/>
    <s v="ZBTO"/>
    <n v="9518971601"/>
    <n v="2"/>
    <s v="9518971601-2"/>
    <s v="No Priority"/>
    <s v="Released"/>
    <x v="0"/>
    <s v="GP03"/>
    <s v="ACRM GP#3 NARROW"/>
    <m/>
    <x v="2"/>
    <x v="6"/>
    <m/>
    <n v="2000"/>
    <s v="West"/>
    <s v="LONI"/>
    <s v="GBAD"/>
    <n v="931234"/>
    <s v="JAI LAXMI STEELS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7-0.3"/>
    <s v="1000-1003"/>
    <m/>
    <m/>
    <m/>
    <m/>
    <m/>
    <m/>
    <s v="R"/>
    <s v="GP03_KOSH"/>
    <s v="C02-GLK1-0.3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JAI LAXMI STEELS"/>
  </r>
  <r>
    <n v="743"/>
    <d v="2025-07-29T00:00:00"/>
    <s v="ZBTO"/>
    <n v="9518971601"/>
    <n v="3"/>
    <s v="9518971601-3"/>
    <s v="No Priority"/>
    <s v="Released"/>
    <x v="0"/>
    <s v="GP03"/>
    <s v="ACRM GP#3 NARROW"/>
    <m/>
    <x v="2"/>
    <x v="6"/>
    <m/>
    <n v="2000"/>
    <s v="West"/>
    <s v="LONI"/>
    <s v="GBAD"/>
    <n v="931234"/>
    <s v="JAI LAXMI STEELS"/>
    <n v="1319275"/>
    <s v="GP COIL SOFT-TATXGP-GLK1-0.2X900"/>
    <s v="C02"/>
    <s v="TATXGP"/>
    <s v="GLK1"/>
    <n v="0.2"/>
    <n v="900"/>
    <n v="0"/>
    <s v="T2 DONE"/>
    <s v="Z80"/>
    <s v=""/>
    <n v="4"/>
    <n v="6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17-0.2"/>
    <s v="900-903"/>
    <m/>
    <m/>
    <m/>
    <m/>
    <m/>
    <m/>
    <s v="R"/>
    <s v="GP03_KOSH"/>
    <s v="C02-GLK1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JAI LAXMI STEELS"/>
  </r>
  <r>
    <n v="743"/>
    <d v="2025-07-29T00:00:00"/>
    <s v="ZBTO"/>
    <n v="9518971601"/>
    <n v="4"/>
    <s v="9518971601-4"/>
    <s v="No Priority"/>
    <s v="Released"/>
    <x v="0"/>
    <s v="GP03"/>
    <s v="ACRM GP#3 NARROW"/>
    <m/>
    <x v="2"/>
    <x v="6"/>
    <m/>
    <n v="2000"/>
    <s v="West"/>
    <s v="LONI"/>
    <s v="GBAD"/>
    <n v="931234"/>
    <s v="JAI LAXMI STEELS"/>
    <n v="1854363"/>
    <s v="GP COIL SOFT-TATXGP-GLK1-0.22X900"/>
    <s v="C02"/>
    <s v="TATXGP"/>
    <s v="GLK1"/>
    <n v="0.22"/>
    <n v="900"/>
    <n v="0"/>
    <s v="T2 DONE"/>
    <s v="Z80"/>
    <s v=""/>
    <n v="4"/>
    <n v="6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19-0.22"/>
    <s v="900-903"/>
    <m/>
    <m/>
    <m/>
    <m/>
    <m/>
    <m/>
    <s v="R"/>
    <s v="GP03_KOSH"/>
    <s v="C02-GLK1-0.22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JAI LAXMI STEELS"/>
  </r>
  <r>
    <n v="743"/>
    <d v="2025-07-29T00:00:00"/>
    <s v="ZBTO"/>
    <n v="9518971601"/>
    <n v="6"/>
    <s v="9518971601-6"/>
    <s v="No Priority"/>
    <s v="Released"/>
    <x v="0"/>
    <s v="GP03"/>
    <s v="ACRM GP#3 NARROW"/>
    <m/>
    <x v="2"/>
    <x v="6"/>
    <m/>
    <n v="2000"/>
    <s v="West"/>
    <s v="LONI"/>
    <s v="GBAD"/>
    <n v="931234"/>
    <s v="JAI LAXMI STEELS"/>
    <n v="1851066"/>
    <s v="GP COIL SOFT-TATXGP-GLK1-0.25X900"/>
    <s v="C02"/>
    <s v="TATXGP"/>
    <s v="GLK1"/>
    <n v="0.25"/>
    <n v="900"/>
    <n v="0"/>
    <s v="T2 DONE"/>
    <s v="Z80"/>
    <s v=""/>
    <n v="4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22-0.25"/>
    <s v="900-903"/>
    <m/>
    <m/>
    <m/>
    <m/>
    <m/>
    <m/>
    <s v="R"/>
    <s v="GP03_KOSH"/>
    <s v="C02-GLK1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JAI LAXMI STEELS"/>
  </r>
  <r>
    <n v="742"/>
    <d v="2025-07-29T00:00:00"/>
    <s v="ZBTO"/>
    <n v="9518972719"/>
    <n v="3"/>
    <s v="9518972719-3"/>
    <s v="Sep'25"/>
    <s v="Released"/>
    <x v="1"/>
    <s v="CR02"/>
    <s v="ACRM CRCA CRS"/>
    <m/>
    <x v="0"/>
    <x v="0"/>
    <m/>
    <n v="2000"/>
    <s v="South"/>
    <s v="VALPARAI"/>
    <s v="MADS"/>
    <n v="116465"/>
    <s v="SRI BALAJI STEEL TRADERS"/>
    <n v="1804852"/>
    <s v="CRCA COIL-TATXXD-AU03-1.2X1000"/>
    <s v="C01"/>
    <s v="TATXXD"/>
    <s v="AU03"/>
    <n v="1.2"/>
    <n v="1000"/>
    <n v="0"/>
    <s v="T2 DONE"/>
    <s v=" "/>
    <s v=""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1.18-1.22"/>
    <s v="1000-1002"/>
    <m/>
    <m/>
    <m/>
    <m/>
    <m/>
    <m/>
    <s v="C"/>
    <s v="CRCA_STLM"/>
    <s v="C01-AU03-1.2-1000"/>
    <s v="B69-SH08-3.2-1025"/>
    <s v="B69"/>
    <s v="T01320"/>
    <s v="SH08"/>
    <s v="C16D"/>
    <n v="3.2"/>
    <n v="1025"/>
    <n v="3917268"/>
    <m/>
    <m/>
    <m/>
    <m/>
    <m/>
    <m/>
    <m/>
    <m/>
    <m/>
    <m/>
    <m/>
    <m/>
    <m/>
    <m/>
    <m/>
    <m/>
    <m/>
    <m/>
    <m/>
    <s v="SRI BALAJI STEEL TRADERS"/>
  </r>
  <r>
    <n v="742"/>
    <d v="2025-07-29T00:00:00"/>
    <s v="ZBTO"/>
    <n v="9518972719"/>
    <n v="4"/>
    <s v="9518972719-4"/>
    <s v="Sep'25"/>
    <s v="Released"/>
    <x v="1"/>
    <s v="CR02"/>
    <s v="ACRM CRCA CRS"/>
    <m/>
    <x v="0"/>
    <x v="0"/>
    <m/>
    <n v="2000"/>
    <s v="South"/>
    <s v="VALPARAI"/>
    <s v="MADS"/>
    <n v="116465"/>
    <s v="SRI BALAJI STEEL TRADERS"/>
    <n v="1804866"/>
    <s v="CRCA COIL-TATXXD-AU03-1.6X1000"/>
    <s v="C01"/>
    <s v="TATXXD"/>
    <s v="AU03"/>
    <n v="1.6"/>
    <n v="1000"/>
    <n v="0"/>
    <s v="T2 DONE"/>
    <s v=" "/>
    <s v=""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1.58-1.62"/>
    <s v="1000-1002"/>
    <m/>
    <m/>
    <m/>
    <m/>
    <m/>
    <m/>
    <s v="C"/>
    <s v="CRCA_STLM"/>
    <s v="C01-AU03-1.6-1000"/>
    <s v="B69-SH08-4-1025"/>
    <s v="B69"/>
    <s v="T01320"/>
    <s v="SH08"/>
    <s v="C16D"/>
    <n v="4"/>
    <n v="1025"/>
    <n v="3655832"/>
    <m/>
    <m/>
    <m/>
    <m/>
    <m/>
    <m/>
    <m/>
    <m/>
    <m/>
    <m/>
    <m/>
    <m/>
    <m/>
    <m/>
    <m/>
    <m/>
    <m/>
    <m/>
    <m/>
    <s v="SRI BALAJI STEEL TRADERS"/>
  </r>
  <r>
    <n v="742"/>
    <d v="2025-07-29T00:00:00"/>
    <s v="ZBTO"/>
    <n v="9518972719"/>
    <n v="5"/>
    <s v="9518972719-5"/>
    <s v="Sep'25"/>
    <s v="Released"/>
    <x v="1"/>
    <s v="CR02"/>
    <s v="ACRM CRCA CRS"/>
    <m/>
    <x v="0"/>
    <x v="0"/>
    <m/>
    <n v="2000"/>
    <s v="South"/>
    <s v="VALPARAI"/>
    <s v="MADS"/>
    <n v="116465"/>
    <s v="SRI BALAJI STEEL TRADERS"/>
    <n v="1804870"/>
    <s v="CRCA COIL-TATXXD-AU03-2X1000"/>
    <s v="C01"/>
    <s v="TATXXD"/>
    <s v="AU03"/>
    <n v="2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1.98-2.02"/>
    <s v="1000-1002"/>
    <m/>
    <m/>
    <m/>
    <m/>
    <m/>
    <m/>
    <s v="C"/>
    <s v="CRCA_STLM"/>
    <s v="C01-AU03-2-1000"/>
    <s v="B69-SH08-4.5-1025"/>
    <s v="B69"/>
    <s v="T01320"/>
    <s v="SH08"/>
    <s v="C16D"/>
    <n v="4.5"/>
    <n v="1025"/>
    <n v="3924594"/>
    <m/>
    <m/>
    <m/>
    <m/>
    <m/>
    <m/>
    <m/>
    <m/>
    <m/>
    <m/>
    <m/>
    <m/>
    <m/>
    <m/>
    <m/>
    <m/>
    <m/>
    <m/>
    <m/>
    <s v="SRI BALAJI STEEL TRADERS"/>
  </r>
  <r>
    <n v="743"/>
    <d v="2025-07-29T00:00:00"/>
    <s v="ZBTO"/>
    <n v="9518971045"/>
    <n v="1"/>
    <s v="9518971045-1"/>
    <s v="No Priority"/>
    <s v="Released"/>
    <x v="0"/>
    <s v="GP03"/>
    <s v="ACRM GP#3 NARROW"/>
    <m/>
    <x v="2"/>
    <x v="6"/>
    <m/>
    <n v="2000"/>
    <s v="West"/>
    <s v="LONI"/>
    <s v="GBAD"/>
    <n v="183259"/>
    <s v="Rakesh Steel Inds.(P) Ltd."/>
    <n v="2270690"/>
    <s v="GP COIL SOFT TATXGP GLK1 0.25X1000"/>
    <s v="C02"/>
    <s v="TATXGP"/>
    <s v="GLK1"/>
    <n v="0.25"/>
    <n v="1000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2-0.25"/>
    <s v="1000-1002"/>
    <m/>
    <m/>
    <m/>
    <m/>
    <m/>
    <m/>
    <s v="M"/>
    <s v="GP03_KOSH"/>
    <s v="C02-GLK1-0.25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Rakesh Steel Inds.(P) Ltd."/>
  </r>
  <r>
    <n v="743"/>
    <d v="2025-07-29T00:00:00"/>
    <s v="ZBTO"/>
    <n v="9518971045"/>
    <n v="2"/>
    <s v="9518971045-2"/>
    <s v="No Priority"/>
    <s v="Released"/>
    <x v="0"/>
    <s v="GP03"/>
    <s v="ACRM GP#3 NARROW"/>
    <m/>
    <x v="2"/>
    <x v="6"/>
    <m/>
    <n v="2000"/>
    <s v="West"/>
    <s v="LONI"/>
    <s v="GBAD"/>
    <n v="183259"/>
    <s v="Rakesh Steel Inds.(P) Ltd."/>
    <n v="1854363"/>
    <s v="GP COIL SOFT-TATXGP-GLK1-0.22X900"/>
    <s v="C02"/>
    <s v="TATXGP"/>
    <s v="GLK1"/>
    <n v="0.2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-0.22"/>
    <s v="900-902"/>
    <m/>
    <m/>
    <m/>
    <m/>
    <m/>
    <m/>
    <s v="M"/>
    <s v="GP03_KOSH"/>
    <s v="C02-GLK1-0.22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Rakesh Steel Inds.(P) Ltd."/>
  </r>
  <r>
    <n v="743"/>
    <d v="2025-07-29T00:00:00"/>
    <s v="ZBTO"/>
    <n v="9518971045"/>
    <n v="3"/>
    <s v="9518971045-3"/>
    <s v="No Priority"/>
    <s v="Released"/>
    <x v="0"/>
    <s v="GP03"/>
    <s v="ACRM GP#3 NARROW"/>
    <m/>
    <x v="2"/>
    <x v="6"/>
    <m/>
    <n v="2000"/>
    <s v="West"/>
    <s v="LONI"/>
    <s v="GBAD"/>
    <n v="183259"/>
    <s v="Rakesh Steel Inds.(P) Ltd."/>
    <n v="1319275"/>
    <s v="GP COIL SOFT-TATXGP-GLK1-0.2X900"/>
    <s v="C02"/>
    <s v="TATXGP"/>
    <s v="GLK1"/>
    <n v="0.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7-0.2"/>
    <s v="900-902"/>
    <m/>
    <m/>
    <m/>
    <m/>
    <m/>
    <m/>
    <s v="M"/>
    <s v="GP03_KOSH"/>
    <s v="C02-GLK1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Rakesh Steel Inds.(P) Ltd."/>
  </r>
  <r>
    <n v="742"/>
    <d v="2025-08-26T00:00:00"/>
    <s v="ZBTO"/>
    <n v="9519050823"/>
    <n v="1"/>
    <s v="9519050823-1"/>
    <s v="Oct'25"/>
    <s v="Released"/>
    <x v="1"/>
    <s v="CR02"/>
    <s v="ACRM CRCA CRS"/>
    <n v="7700"/>
    <x v="0"/>
    <x v="0"/>
    <m/>
    <n v="2000"/>
    <s v="West"/>
    <s v="JAIPUR"/>
    <s v="JPUR"/>
    <n v="116137"/>
    <s v="PELIKAN DOSSIER (P) LTD "/>
    <n v="1800890"/>
    <s v="CRCA COIL-TATXXD-AU03-0.35X1250"/>
    <s v="C01"/>
    <s v="TATXXD"/>
    <s v="AU03"/>
    <n v="0.35"/>
    <n v="1250"/>
    <n v="0"/>
    <s v="T2 DONE"/>
    <s v=" "/>
    <s v=""/>
    <n v="10"/>
    <n v="25"/>
    <n v="29"/>
    <n v="0"/>
    <n v="29"/>
    <n v="1.9"/>
    <n v="0"/>
    <n v="0"/>
    <n v="0"/>
    <n v="0"/>
    <n v="0"/>
    <n v="0"/>
    <n v="0"/>
    <n v="0"/>
    <n v="0"/>
    <n v="27.900000000000002"/>
    <n v="0"/>
    <n v="0"/>
    <n v="0"/>
    <n v="0"/>
    <n v="0"/>
    <n v="0"/>
    <n v="0"/>
    <n v="0"/>
    <n v="0"/>
    <n v="27.900000000000002"/>
    <n v="0"/>
    <n v="27.900000000000002"/>
    <n v="0"/>
    <n v="29"/>
    <s v="0.32-0.35"/>
    <s v="1250-1252"/>
    <m/>
    <m/>
    <m/>
    <m/>
    <m/>
    <m/>
    <s v="M"/>
    <s v="CRCA_STLM"/>
    <s v="C01-AU03-0.35-1250"/>
    <s v="367-SH08-2-1275"/>
    <n v="367"/>
    <s v="T01320"/>
    <s v="SH08"/>
    <s v="C16D"/>
    <n v="2"/>
    <n v="1275"/>
    <n v="3636910"/>
    <m/>
    <m/>
    <m/>
    <m/>
    <m/>
    <m/>
    <m/>
    <m/>
    <m/>
    <m/>
    <m/>
    <m/>
    <m/>
    <m/>
    <m/>
    <m/>
    <m/>
    <m/>
    <m/>
    <s v="PELIKAN DOSSIER (P) LTD "/>
  </r>
  <r>
    <n v="742"/>
    <d v="2025-09-05T00:00:00"/>
    <s v="ZBTO"/>
    <n v="9519081551"/>
    <n v="2"/>
    <s v="9519081551-2"/>
    <s v="No Priority"/>
    <s v="Released"/>
    <x v="0"/>
    <e v="#N/A"/>
    <e v="#N/A"/>
    <m/>
    <x v="1"/>
    <x v="2"/>
    <m/>
    <n v="2000"/>
    <s v="South"/>
    <s v="YESHWANTHPURA"/>
    <s v="BANG"/>
    <n v="932179"/>
    <s v="DURGA STEEL INDUSTRIES"/>
    <n v="1309822"/>
    <s v="HR COILS-PO IS 1079-HR2 4X1250"/>
    <n v="768"/>
    <s v="THA058"/>
    <s v="HA58"/>
    <n v="4"/>
    <n v="1250"/>
    <n v="0"/>
    <s v="T2 DONE"/>
    <s v=" "/>
    <s v=""/>
    <n v="15"/>
    <n v="30"/>
    <n v="29"/>
    <n v="21.914999999999999"/>
    <n v="7.085"/>
    <n v="7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85"/>
    <s v=""/>
    <s v="1250-1275"/>
    <m/>
    <m/>
    <m/>
    <m/>
    <m/>
    <m/>
    <s v="U"/>
    <s v="HRO_AUTO"/>
    <s v="768-HA58-4-1250"/>
    <s v="367-HA58-4-1250"/>
    <n v="367"/>
    <s v="THA058"/>
    <s v="HA58"/>
    <s v="A13A"/>
    <n v="4"/>
    <n v="1250"/>
    <n v="1304735"/>
    <m/>
    <m/>
    <m/>
    <m/>
    <m/>
    <m/>
    <m/>
    <m/>
    <m/>
    <m/>
    <m/>
    <m/>
    <m/>
    <m/>
    <m/>
    <m/>
    <m/>
    <m/>
    <m/>
    <s v="DURGA STEEL INDUSTRIES"/>
  </r>
  <r>
    <n v="742"/>
    <d v="2025-09-05T00:00:00"/>
    <s v="ZBTO"/>
    <n v="9519081551"/>
    <n v="3"/>
    <s v="9519081551-3"/>
    <s v="No Priority"/>
    <s v="Released"/>
    <x v="0"/>
    <e v="#N/A"/>
    <e v="#N/A"/>
    <m/>
    <x v="1"/>
    <x v="2"/>
    <m/>
    <n v="2000"/>
    <s v="South"/>
    <s v="YESHWANTHPURA"/>
    <s v="BANG"/>
    <n v="932179"/>
    <s v="DURGA STEEL INDUSTRIES"/>
    <n v="1210083"/>
    <s v="HR COILS-PO IS 1079 HR2 2X1250"/>
    <n v="768"/>
    <s v="THR099"/>
    <s v="HR99"/>
    <n v="2"/>
    <n v="1250"/>
    <n v="0"/>
    <s v="T2 DONE"/>
    <s v=" "/>
    <s v=""/>
    <n v="15"/>
    <n v="30"/>
    <n v="58"/>
    <n v="21.98"/>
    <n v="36.020000000000003"/>
    <n v="36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020000000000003"/>
    <s v=""/>
    <s v="1250-1275"/>
    <m/>
    <m/>
    <m/>
    <m/>
    <m/>
    <m/>
    <s v="U"/>
    <s v="HRPO_BPRS"/>
    <s v="768-HR99-2-1250"/>
    <s v="367-HR99-2-1250"/>
    <n v="367"/>
    <s v="THR099"/>
    <s v="HR99"/>
    <s v="D06A"/>
    <n v="2"/>
    <n v="1250"/>
    <n v="1220539"/>
    <m/>
    <m/>
    <m/>
    <m/>
    <m/>
    <m/>
    <m/>
    <m/>
    <m/>
    <m/>
    <m/>
    <m/>
    <m/>
    <m/>
    <m/>
    <m/>
    <m/>
    <m/>
    <m/>
    <s v="DURGA STEEL INDUSTRIES"/>
  </r>
  <r>
    <n v="742"/>
    <d v="2025-08-26T00:00:00"/>
    <s v="ZBTO"/>
    <n v="9519049599"/>
    <n v="1"/>
    <s v="9519049599-1"/>
    <s v="No Priority"/>
    <s v="Released"/>
    <x v="0"/>
    <e v="#N/A"/>
    <e v="#N/A"/>
    <m/>
    <x v="5"/>
    <x v="4"/>
    <m/>
    <n v="1000"/>
    <s v="West"/>
    <s v="VILLAGE-PRAGPAR"/>
    <s v="AMED"/>
    <n v="189108"/>
    <s v="Manaksia Coated Metals &amp; Industries"/>
    <n v="2320878"/>
    <s v="CRFH COIL TATFHC TR10 0.360X1250"/>
    <s v="C09"/>
    <s v="TATFHC"/>
    <s v="TR10"/>
    <n v="0.36"/>
    <n v="1250"/>
    <n v="0"/>
    <s v="T2 DONE"/>
    <s v=" "/>
    <s v=""/>
    <n v="10"/>
    <n v="20"/>
    <n v="232"/>
    <n v="71.33"/>
    <n v="160.66999999999999"/>
    <n v="47.558999999999997"/>
    <n v="0"/>
    <n v="0"/>
    <n v="29.25"/>
    <n v="29.14"/>
    <n v="86.4"/>
    <n v="0"/>
    <n v="0"/>
    <n v="0"/>
    <n v="0"/>
    <n v="0"/>
    <n v="0"/>
    <n v="0"/>
    <n v="0"/>
    <n v="0"/>
    <n v="0"/>
    <n v="0"/>
    <n v="0"/>
    <n v="0"/>
    <n v="0"/>
    <n v="144.79000000000002"/>
    <n v="144.79000000000002"/>
    <n v="0"/>
    <n v="0"/>
    <n v="15.879999999999967"/>
    <s v="0.345-0.37"/>
    <s v="1250-1253"/>
    <m/>
    <m/>
    <m/>
    <m/>
    <m/>
    <m/>
    <s v="T"/>
    <s v="CRFH_MKTG"/>
    <s v="C09-TR10-0.36-1250"/>
    <s v="367-HG02-2.25-1250"/>
    <n v="367"/>
    <s v="T01576"/>
    <s v="HG02"/>
    <s v="C06A"/>
    <n v="2.25"/>
    <n v="1250"/>
    <n v="444494"/>
    <m/>
    <m/>
    <m/>
    <m/>
    <m/>
    <m/>
    <m/>
    <m/>
    <m/>
    <m/>
    <m/>
    <m/>
    <m/>
    <m/>
    <m/>
    <m/>
    <m/>
    <m/>
    <m/>
    <s v="Manaksia Coated Metals &amp; Industries"/>
  </r>
  <r>
    <n v="742"/>
    <d v="2025-08-28T00:00:00"/>
    <s v="ZBTF"/>
    <n v="4000516624"/>
    <n v="1"/>
    <s v="4000516624-1"/>
    <s v="No Priority"/>
    <s v="Released"/>
    <x v="0"/>
    <e v="#N/A"/>
    <e v="#N/A"/>
    <m/>
    <x v="1"/>
    <x v="7"/>
    <m/>
    <n v="2000"/>
    <s v="South"/>
    <s v="YESHWANTHPURA"/>
    <s v=""/>
    <n v="600103"/>
    <s v="TATA STEEL LIMITED"/>
    <n v="3226987"/>
    <s v="HR COILS-PO THR099 HR99 1.90X1250"/>
    <n v="768"/>
    <s v="THR099"/>
    <s v="HR99"/>
    <n v="1.9"/>
    <n v="1250"/>
    <n v="0"/>
    <s v="T2 DONE"/>
    <s v=" "/>
    <s v=""/>
    <n v="10"/>
    <n v="27"/>
    <n v="290.00099999999998"/>
    <n v="0"/>
    <n v="290.00099999999998"/>
    <n v="290.000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.00099999999998"/>
    <s v=""/>
    <s v=""/>
    <m/>
    <m/>
    <m/>
    <m/>
    <m/>
    <m/>
    <s v="U"/>
    <s v="HRPO_BPRS"/>
    <s v="768-HR99-1.9-1250"/>
    <s v="367-HR99-1.9-1250"/>
    <n v="367"/>
    <s v="THR099"/>
    <s v="HR99"/>
    <s v="D06A"/>
    <n v="1.9"/>
    <n v="1250"/>
    <n v="1326468"/>
    <m/>
    <m/>
    <m/>
    <m/>
    <m/>
    <m/>
    <m/>
    <m/>
    <m/>
    <m/>
    <m/>
    <m/>
    <m/>
    <m/>
    <m/>
    <m/>
    <m/>
    <m/>
    <m/>
    <s v="TATA STEEL LIMITED"/>
  </r>
  <r>
    <n v="742"/>
    <d v="2025-09-09T00:00:00"/>
    <s v="ZBTF"/>
    <n v="4000517561"/>
    <n v="1"/>
    <s v="4000517561-1"/>
    <s v="No Priority"/>
    <s v="Released"/>
    <x v="0"/>
    <e v="#N/A"/>
    <e v="#N/A"/>
    <m/>
    <x v="1"/>
    <x v="7"/>
    <m/>
    <n v="2000"/>
    <s v="South"/>
    <s v="YESHWANTHPURA"/>
    <s v=""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s v=""/>
    <s v=""/>
    <m/>
    <m/>
    <m/>
    <m/>
    <m/>
    <m/>
    <s v="U"/>
    <s v="HRPO_BPRS"/>
    <s v="768-HR99-2-1250"/>
    <s v="367-HR99-2-1250"/>
    <n v="367"/>
    <s v="THR099"/>
    <s v="HR99"/>
    <s v="D06A"/>
    <n v="2"/>
    <n v="1250"/>
    <n v="1220539"/>
    <m/>
    <m/>
    <m/>
    <m/>
    <m/>
    <m/>
    <m/>
    <m/>
    <m/>
    <m/>
    <m/>
    <m/>
    <m/>
    <m/>
    <m/>
    <m/>
    <m/>
    <m/>
    <m/>
    <s v="TATA STEEL LIMITED"/>
  </r>
  <r>
    <n v="742"/>
    <d v="2025-09-09T00:00:00"/>
    <s v="ZBTF"/>
    <n v="4000517561"/>
    <n v="2"/>
    <s v="4000517561-2"/>
    <s v="No Priority"/>
    <s v="Released"/>
    <x v="0"/>
    <e v="#N/A"/>
    <e v="#N/A"/>
    <m/>
    <x v="1"/>
    <x v="7"/>
    <m/>
    <n v="2000"/>
    <s v="South"/>
    <s v="YESHWANTHPURA"/>
    <s v=""/>
    <n v="600103"/>
    <s v="TATA STEEL LIMITED"/>
    <n v="1250221"/>
    <s v="HR COILS-PO IS 1079 HR2 2.50X1250"/>
    <n v="768"/>
    <s v="THR099"/>
    <s v="HR99"/>
    <n v="2.5"/>
    <n v="1250"/>
    <n v="0"/>
    <s v="T2 DONE"/>
    <s v=" "/>
    <s v=""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s v=""/>
    <s v=""/>
    <m/>
    <m/>
    <m/>
    <m/>
    <m/>
    <m/>
    <s v="U"/>
    <s v="HRPO_BPRS"/>
    <s v="768-HR99-2.5-1250"/>
    <s v="367-HR99-2.5-1250"/>
    <n v="367"/>
    <s v="THR099"/>
    <s v="HR99"/>
    <s v="D06A"/>
    <n v="2.5"/>
    <n v="1250"/>
    <n v="1179666"/>
    <m/>
    <m/>
    <m/>
    <m/>
    <m/>
    <m/>
    <m/>
    <m/>
    <m/>
    <m/>
    <m/>
    <m/>
    <m/>
    <m/>
    <m/>
    <m/>
    <m/>
    <m/>
    <m/>
    <s v="TATA STEEL LIMITED"/>
  </r>
  <r>
    <n v="743"/>
    <d v="2025-08-21T00:00:00"/>
    <s v="ZBTO"/>
    <n v="9519035790"/>
    <n v="1"/>
    <s v="9519035790-1"/>
    <s v="Sep'25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851065"/>
    <s v="GP COIL SOFT-TATXGP-GK09-0.25X900"/>
    <s v="C02"/>
    <s v="TATXGP"/>
    <s v="GK09"/>
    <n v="0.25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R. S. BOKARO METAL (P) LTD."/>
  </r>
  <r>
    <n v="743"/>
    <d v="2025-08-21T00:00:00"/>
    <s v="ZBTO"/>
    <n v="9519036143"/>
    <n v="1"/>
    <s v="9519036143-1"/>
    <s v="No Priority"/>
    <s v="Released"/>
    <x v="0"/>
    <s v="GP03"/>
    <s v="ACRM GP#3 NARROW"/>
    <m/>
    <x v="2"/>
    <x v="6"/>
    <m/>
    <n v="2000"/>
    <s v="East"/>
    <s v="WEST BOKARO"/>
    <s v="JAMS"/>
    <n v="185794"/>
    <s v="Shree Bajrang Steel Udyog"/>
    <n v="1851065"/>
    <s v="GP COIL SOFT-TATXGP-GK09-0.25X900"/>
    <s v="C02"/>
    <s v="TATXGP"/>
    <s v="GK09"/>
    <n v="0.25"/>
    <n v="900"/>
    <n v="0"/>
    <s v="T2 DONE"/>
    <s v="Z80"/>
    <s v=""/>
    <n v="4"/>
    <n v="12"/>
    <n v="21"/>
    <n v="20.12"/>
    <n v="0.88"/>
    <n v="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29999999999999"/>
    <n v="10.029999999999999"/>
    <n v="10.029999999999999"/>
    <n v="0"/>
    <n v="0"/>
    <n v="-9.1499999999999986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Shree Bajrang Steel Udyog"/>
  </r>
  <r>
    <n v="742"/>
    <d v="2025-08-28T00:00:00"/>
    <s v="ZBTO"/>
    <n v="9519057462"/>
    <n v="1"/>
    <s v="9519057462-1"/>
    <s v="Stocks"/>
    <s v="Released"/>
    <x v="0"/>
    <e v="#N/A"/>
    <e v="#N/A"/>
    <m/>
    <x v="5"/>
    <x v="4"/>
    <m/>
    <n v="1000"/>
    <s v="East"/>
    <s v="PURBA MEDINIPUR"/>
    <s v="CALS"/>
    <n v="189406"/>
    <s v="Manaksia Steels Limited"/>
    <n v="43577"/>
    <s v="CR COIL C09 TATFHC TR10 0.41 X 1220"/>
    <s v="C09"/>
    <s v="TATFHC"/>
    <s v="TR10"/>
    <n v="0.41"/>
    <n v="1220"/>
    <n v="0"/>
    <s v="T2 DONE"/>
    <s v=" "/>
    <s v=""/>
    <n v="10"/>
    <n v="22"/>
    <n v="252"/>
    <n v="242.19"/>
    <n v="9.81"/>
    <n v="9.81"/>
    <n v="13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1"/>
    <s v="0.39-0.43"/>
    <s v="1220-1223"/>
    <m/>
    <m/>
    <m/>
    <m/>
    <m/>
    <m/>
    <s v="R"/>
    <s v="CRFH_IPP"/>
    <s v="C09-TR10-0.41-1220"/>
    <s v="367-HG02-2-1235"/>
    <n v="367"/>
    <s v="T01576"/>
    <s v="HG02"/>
    <s v="C06A"/>
    <n v="2"/>
    <n v="1235"/>
    <n v="414088"/>
    <m/>
    <m/>
    <m/>
    <m/>
    <m/>
    <m/>
    <m/>
    <m/>
    <m/>
    <m/>
    <m/>
    <m/>
    <m/>
    <m/>
    <m/>
    <m/>
    <m/>
    <m/>
    <m/>
    <s v="Manaksia Steels Limited"/>
  </r>
  <r>
    <n v="742"/>
    <d v="2025-08-28T00:00:00"/>
    <s v="ZBTO"/>
    <n v="9519057462"/>
    <n v="2"/>
    <s v="9519057462-2"/>
    <s v="Stocks"/>
    <s v="Released"/>
    <x v="0"/>
    <s v="FHCR"/>
    <e v="#N/A"/>
    <m/>
    <x v="5"/>
    <x v="4"/>
    <m/>
    <n v="1000"/>
    <s v="East"/>
    <s v="PURBA MEDINIPUR"/>
    <s v="CALS"/>
    <n v="189406"/>
    <s v="Manaksia Steels Limited"/>
    <n v="43577"/>
    <s v="CR COIL C09 TATFHC TR10 0.41 X 1220"/>
    <s v="C09"/>
    <s v="TATFHC"/>
    <s v="TR10"/>
    <n v="0.41"/>
    <n v="1220"/>
    <n v="0"/>
    <s v="T2 DONE"/>
    <s v=" "/>
    <s v=""/>
    <n v="10"/>
    <n v="22"/>
    <n v="252"/>
    <n v="240.83"/>
    <n v="11.17"/>
    <n v="11.17"/>
    <n v="26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7"/>
    <s v="0.39-0.43"/>
    <s v="1220-1223"/>
    <m/>
    <m/>
    <m/>
    <m/>
    <m/>
    <m/>
    <s v="R"/>
    <s v="CRFH_IPP"/>
    <s v="C09-TR10-0.41-1220"/>
    <s v="367-HG02-2-1235"/>
    <n v="367"/>
    <s v="T01576"/>
    <s v="HG02"/>
    <s v="C06A"/>
    <n v="2"/>
    <n v="1235"/>
    <n v="414088"/>
    <m/>
    <m/>
    <m/>
    <m/>
    <m/>
    <m/>
    <m/>
    <m/>
    <m/>
    <m/>
    <m/>
    <m/>
    <m/>
    <m/>
    <m/>
    <m/>
    <m/>
    <m/>
    <m/>
    <s v="Manaksia Steels Limited"/>
  </r>
  <r>
    <n v="743"/>
    <d v="2025-07-19T00:00:00"/>
    <s v="ZBTO"/>
    <n v="9518941556"/>
    <n v="2"/>
    <s v="9518941556-2"/>
    <s v="No Priority"/>
    <s v="Released"/>
    <x v="0"/>
    <s v="GP03"/>
    <s v="ACRM GP#3 NARROW"/>
    <m/>
    <x v="2"/>
    <x v="6"/>
    <m/>
    <n v="2000"/>
    <s v="East"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4"/>
    <n v="12"/>
    <n v="210"/>
    <n v="198.46"/>
    <n v="11.54"/>
    <n v="11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54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hree Bajrang Steel Udyog"/>
  </r>
  <r>
    <n v="744"/>
    <d v="2025-08-14T00:00:00"/>
    <s v="ZBTO"/>
    <n v="9519016553"/>
    <n v="1"/>
    <s v="9519016553-1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41967"/>
    <s v="PPGL C HARD Y550PL D0C9 0.60(TPT)X1220"/>
    <s v="B18"/>
    <s v="Y550PL"/>
    <s v="D0C9"/>
    <n v="0.6"/>
    <n v="1220"/>
    <n v="0"/>
    <s v="T2 DONE"/>
    <s v="aZ150"/>
    <s v="CHERRY RED TSL 1855"/>
    <n v="3"/>
    <n v="5"/>
    <n v="27.998999999999999"/>
    <n v="20.93"/>
    <n v="7.069"/>
    <n v="7.069"/>
    <n v="3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9"/>
    <s v="0.58-0.62"/>
    <s v="1220-1222"/>
    <m/>
    <m/>
    <m/>
    <m/>
    <m/>
    <m/>
    <s v="M"/>
    <s v="GP02_PPGL"/>
    <s v="B18-D0C9-0.6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3"/>
    <d v="2025-08-21T00:00:00"/>
    <s v="ZBTO"/>
    <n v="9519036674"/>
    <n v="1"/>
    <s v="9519036674-1"/>
    <s v="Stocks"/>
    <s v="Released"/>
    <x v="1"/>
    <s v="GL03"/>
    <s v="ACRM GP#2 NON TBSPL"/>
    <m/>
    <x v="4"/>
    <x v="4"/>
    <m/>
    <n v="1000"/>
    <s v="East"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330"/>
    <n v="313.04000000000002"/>
    <n v="16.96"/>
    <n v="16.96"/>
    <n v="8.6300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19.16"/>
    <n v="19.16"/>
    <n v="19.16"/>
    <n v="0"/>
    <n v="0"/>
    <n v="-2.199999999999999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JINDAL INDIA LIMITED"/>
  </r>
  <r>
    <n v="743"/>
    <d v="2025-08-21T00:00:00"/>
    <s v="ZBTO"/>
    <n v="9519036674"/>
    <n v="2"/>
    <s v="9519036674-2"/>
    <s v="No Priority"/>
    <s v="Released"/>
    <x v="0"/>
    <s v="GL03"/>
    <s v="ACRM GP#2 NON TBSPL"/>
    <m/>
    <x v="4"/>
    <x v="4"/>
    <m/>
    <n v="1000"/>
    <s v="East"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330"/>
    <n v="321.483"/>
    <n v="8.5169999999999995"/>
    <n v="8.516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169999999999995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JINDAL INDIA LIMITED"/>
  </r>
  <r>
    <n v="743"/>
    <d v="2025-08-21T00:00:00"/>
    <s v="ZBTO"/>
    <n v="9519036674"/>
    <n v="3"/>
    <s v="9519036674-3"/>
    <s v="Sep'25"/>
    <s v="Released"/>
    <x v="1"/>
    <s v="GL03"/>
    <s v="ACRM GP#2 NON TBSPL"/>
    <m/>
    <x v="4"/>
    <x v="4"/>
    <n v="1100"/>
    <n v="1000"/>
    <s v="East"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9.99900000000002"/>
    <n v="249.34"/>
    <n v="55.66"/>
    <n v="55.66"/>
    <n v="8.4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66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JINDAL INDIA LIMITED"/>
  </r>
  <r>
    <n v="743"/>
    <d v="2025-08-21T00:00:00"/>
    <s v="ZBTO"/>
    <n v="9519036674"/>
    <n v="4"/>
    <s v="9519036674-4"/>
    <s v="Stocks"/>
    <s v="Released"/>
    <x v="1"/>
    <s v="GL03"/>
    <s v="ACRM GP#2 NON TBSPL"/>
    <m/>
    <x v="4"/>
    <x v="4"/>
    <m/>
    <n v="1000"/>
    <s v="East"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9.99900000000002"/>
    <n v="276.83999999999997"/>
    <n v="3.1589999999999998"/>
    <n v="-9.2110000000000003"/>
    <n v="45.314999999999998"/>
    <n v="0"/>
    <n v="0"/>
    <n v="0"/>
    <n v="0"/>
    <n v="32.94"/>
    <n v="0"/>
    <n v="0"/>
    <n v="0"/>
    <n v="0"/>
    <n v="0"/>
    <n v="0"/>
    <n v="0"/>
    <n v="0"/>
    <n v="0"/>
    <n v="0"/>
    <n v="0"/>
    <n v="0"/>
    <n v="69.08"/>
    <n v="102.02"/>
    <n v="102.02"/>
    <n v="0"/>
    <n v="0"/>
    <n v="-98.86099999999999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JINDAL INDIA LIMITED"/>
  </r>
  <r>
    <n v="743"/>
    <d v="2025-08-21T00:00:00"/>
    <s v="ZBTO"/>
    <n v="9519036674"/>
    <n v="8"/>
    <s v="9519036674-8"/>
    <s v="Stocks"/>
    <s v="Released"/>
    <x v="1"/>
    <s v="GL03"/>
    <s v="ACRM GP#2 NON TBSPL"/>
    <m/>
    <x v="4"/>
    <x v="4"/>
    <m/>
    <n v="1000"/>
    <s v="East"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9.99900000000002"/>
    <n v="275.76"/>
    <n v="4.2389999999999999"/>
    <n v="4.2389999999999999"/>
    <n v="13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389999999999999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JINDAL INDIA LIMITED"/>
  </r>
  <r>
    <n v="743"/>
    <d v="2025-08-29T00:00:00"/>
    <s v="ZBTO"/>
    <n v="9519061532"/>
    <n v="1"/>
    <s v="9519061532-1"/>
    <s v="No Priority"/>
    <s v="Released"/>
    <x v="0"/>
    <s v="GP03"/>
    <s v="ACRM GP#3 NARROW"/>
    <m/>
    <x v="2"/>
    <x v="2"/>
    <m/>
    <n v="2000"/>
    <s v="West"/>
    <s v="LONI"/>
    <s v="GBAD"/>
    <n v="931234"/>
    <s v="JAI LAXMI STEELS"/>
    <n v="1851024"/>
    <s v="GP COIL SOFT-TSBXGP-T1GP-0.22X900"/>
    <s v="C02"/>
    <s v="TSBXGP"/>
    <s v="T1GP"/>
    <n v="0.2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-0.22"/>
    <s v="900-903"/>
    <m/>
    <m/>
    <m/>
    <m/>
    <m/>
    <m/>
    <s v="S"/>
    <s v="NA"/>
    <s v="C02-T1GP-0.22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JAI LAXMI STEELS"/>
  </r>
  <r>
    <n v="742"/>
    <d v="2025-08-20T00:00:00"/>
    <s v="ZBTO"/>
    <n v="9519030995"/>
    <n v="1"/>
    <s v="9519030995-1"/>
    <s v="Stocks"/>
    <s v="Released"/>
    <x v="0"/>
    <e v="#N/A"/>
    <e v="#N/A"/>
    <m/>
    <x v="1"/>
    <x v="2"/>
    <m/>
    <n v="2000"/>
    <s v="East"/>
    <s v="HOWRAH"/>
    <s v="CALS"/>
    <n v="154464"/>
    <s v="TATA STEEL DOWNSTREAM PRODUCTS LIMI"/>
    <n v="4060921"/>
    <s v="HR COILS-PO I09497 1.80X1270"/>
    <n v="768"/>
    <s v="I09497"/>
    <s v="HG01"/>
    <n v="1.8"/>
    <n v="1270"/>
    <n v="0"/>
    <s v="T2 DONE"/>
    <s v=" "/>
    <s v=""/>
    <n v="13"/>
    <n v="30"/>
    <n v="58"/>
    <n v="56.8"/>
    <n v="1.2"/>
    <n v="1.2"/>
    <n v="5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"/>
    <s v=""/>
    <s v=""/>
    <m/>
    <m/>
    <m/>
    <m/>
    <m/>
    <m/>
    <s v="U"/>
    <s v="HRPO_BPRS"/>
    <s v="768-HG01-1.8-1270"/>
    <s v="367-HG01-1.8-1270"/>
    <n v="367"/>
    <s v="I09497"/>
    <s v="HG01"/>
    <s v="T01"/>
    <n v="1.8"/>
    <n v="1270"/>
    <n v="3191172"/>
    <m/>
    <m/>
    <m/>
    <m/>
    <m/>
    <m/>
    <m/>
    <m/>
    <m/>
    <m/>
    <m/>
    <m/>
    <m/>
    <m/>
    <m/>
    <m/>
    <m/>
    <m/>
    <m/>
    <s v="TATA STEEL DOWNSTREAM PRODUCTS LIMI"/>
  </r>
  <r>
    <n v="742"/>
    <d v="2025-07-22T00:00:00"/>
    <s v="ZBTO"/>
    <n v="9518949530"/>
    <n v="2"/>
    <s v="9518949530-2"/>
    <s v="Stocks"/>
    <s v="Released"/>
    <x v="1"/>
    <s v="CR01"/>
    <s v="ACRM CRCA CTL"/>
    <m/>
    <x v="0"/>
    <x v="5"/>
    <m/>
    <n v="2000"/>
    <s v="East"/>
    <s v="URLA"/>
    <s v="RPUR"/>
    <n v="139336"/>
    <s v="PASA ASSOCIATES PRIVATE LIMITED"/>
    <n v="3240869"/>
    <s v="CRCA SHEET TSBCRC SR15 2X1250X2500"/>
    <s v="C06"/>
    <s v="TSBCRC"/>
    <s v="SR15"/>
    <n v="2"/>
    <n v="1250"/>
    <n v="2500"/>
    <s v="T2 DONE"/>
    <s v=" "/>
    <s v=""/>
    <n v="1"/>
    <n v="5"/>
    <n v="29"/>
    <n v="23.41"/>
    <n v="5.59"/>
    <n v="5.59"/>
    <n v="23.41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9"/>
    <s v="1.96-2.01"/>
    <s v="1250-1253"/>
    <m/>
    <m/>
    <m/>
    <m/>
    <m/>
    <m/>
    <s v="R"/>
    <s v="CRCA_SUPR"/>
    <s v="C06-SR15-2-1250"/>
    <s v="367-SH69-4.5-1260"/>
    <n v="367"/>
    <s v="T01069"/>
    <s v="SH69"/>
    <s v="R12A"/>
    <n v="4.5"/>
    <n v="1260"/>
    <n v="3924609"/>
    <m/>
    <m/>
    <m/>
    <m/>
    <m/>
    <m/>
    <m/>
    <m/>
    <m/>
    <m/>
    <m/>
    <m/>
    <m/>
    <m/>
    <m/>
    <m/>
    <m/>
    <m/>
    <m/>
    <s v="PASA ASSOCIATES PRIVATE LIMITED"/>
  </r>
  <r>
    <n v="742"/>
    <d v="2025-08-02T00:00:00"/>
    <s v="ZBTO"/>
    <n v="9518988369"/>
    <n v="1"/>
    <s v="9518988369-1"/>
    <s v="No Priority"/>
    <s v="Released"/>
    <x v="0"/>
    <e v="#N/A"/>
    <e v="#N/A"/>
    <m/>
    <x v="0"/>
    <x v="0"/>
    <m/>
    <n v="2000"/>
    <s v="North"/>
    <s v="FARIDABAD"/>
    <s v="GBAD"/>
    <n v="184986"/>
    <s v="SWASTIK STEEL PROCESSOR LLP"/>
    <n v="1804772"/>
    <s v="CRCA COIL TATXXD AU03 0.4X1250"/>
    <s v="C01"/>
    <s v="TATXXD"/>
    <s v="AU03"/>
    <n v="0.4"/>
    <n v="1250"/>
    <n v="0"/>
    <s v="T2 DONE"/>
    <s v=" "/>
    <s v=""/>
    <n v="15"/>
    <n v="29"/>
    <n v="116"/>
    <n v="0"/>
    <n v="116"/>
    <n v="6.11"/>
    <n v="0"/>
    <n v="0"/>
    <n v="0"/>
    <n v="0"/>
    <n v="0"/>
    <n v="0"/>
    <n v="0"/>
    <n v="0"/>
    <n v="0"/>
    <n v="0"/>
    <n v="0"/>
    <n v="0"/>
    <n v="26.990000000000002"/>
    <n v="0"/>
    <n v="0"/>
    <n v="0"/>
    <n v="0"/>
    <n v="0"/>
    <n v="0"/>
    <n v="26.990000000000002"/>
    <n v="26.990000000000002"/>
    <n v="0"/>
    <n v="0"/>
    <n v="89.009999999999991"/>
    <s v="0.36-0.46"/>
    <s v="1250-1262"/>
    <m/>
    <m/>
    <m/>
    <m/>
    <m/>
    <m/>
    <s v="U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SWASTIK STEEL PROCESSOR LLP"/>
  </r>
  <r>
    <n v="742"/>
    <d v="2025-07-24T00:00:00"/>
    <s v="ZBTO"/>
    <n v="9518956389"/>
    <n v="14"/>
    <s v="9518956389-14"/>
    <s v="No Priority"/>
    <s v="Released"/>
    <x v="0"/>
    <e v="#N/A"/>
    <e v="#N/A"/>
    <m/>
    <x v="0"/>
    <x v="0"/>
    <m/>
    <n v="2000"/>
    <s v="South"/>
    <s v="YESHWANTHPURA"/>
    <s v="BANG"/>
    <n v="932244"/>
    <s v="DURGA TRADERS"/>
    <n v="2193598"/>
    <s v="CRCA COIL TATXXD AU03 1.900X1250"/>
    <s v="C01"/>
    <s v="TATXXD"/>
    <s v="AU03"/>
    <n v="1.9"/>
    <n v="1250"/>
    <n v="0"/>
    <s v="T2 DONE"/>
    <s v=" "/>
    <s v=""/>
    <n v="10"/>
    <n v="28"/>
    <n v="116"/>
    <n v="51.765000000000001"/>
    <n v="64.234999999999999"/>
    <n v="10.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234999999999999"/>
    <s v="1.85-1.9"/>
    <s v="1250-1262"/>
    <m/>
    <m/>
    <m/>
    <m/>
    <m/>
    <m/>
    <s v="U"/>
    <s v="CRCA_STLM"/>
    <s v="C01-AU03-1.9-1250"/>
    <s v="367-SH08-4.5-1260"/>
    <n v="367"/>
    <s v="T01320"/>
    <s v="SH08"/>
    <s v="C16D"/>
    <n v="4.5"/>
    <n v="1260"/>
    <n v="3655817"/>
    <m/>
    <m/>
    <m/>
    <m/>
    <m/>
    <m/>
    <m/>
    <m/>
    <m/>
    <m/>
    <m/>
    <m/>
    <m/>
    <m/>
    <m/>
    <m/>
    <m/>
    <m/>
    <m/>
    <s v="DURGA TRADERS"/>
  </r>
  <r>
    <n v="742"/>
    <d v="2025-08-22T00:00:00"/>
    <s v="ZBTO"/>
    <n v="9519039845"/>
    <n v="1"/>
    <s v="9519039845-1"/>
    <s v="No Priority"/>
    <s v="Released"/>
    <x v="0"/>
    <e v="#N/A"/>
    <e v="#N/A"/>
    <m/>
    <x v="0"/>
    <x v="0"/>
    <m/>
    <n v="2000"/>
    <s v="South"/>
    <s v="YESHWANTHPURA"/>
    <s v="BANG"/>
    <n v="932244"/>
    <s v="DURGA TRADERS"/>
    <n v="1800890"/>
    <s v="CRCA COIL-TATXXD-AU03-0.35X1250"/>
    <s v="C01"/>
    <s v="TATXXD"/>
    <s v="AU03"/>
    <n v="0.35"/>
    <n v="1250"/>
    <n v="0"/>
    <s v="T2 DONE"/>
    <s v=" "/>
    <s v=""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2-0.35"/>
    <s v="1250-1262"/>
    <m/>
    <m/>
    <m/>
    <m/>
    <m/>
    <m/>
    <s v="U"/>
    <s v="CRCA_STLM"/>
    <s v="C01-AU03-0.35-1250"/>
    <s v="367-SH08-2-1275"/>
    <n v="367"/>
    <s v="T01320"/>
    <s v="SH08"/>
    <s v="C16D"/>
    <n v="2"/>
    <n v="1275"/>
    <n v="3636910"/>
    <m/>
    <m/>
    <m/>
    <m/>
    <m/>
    <m/>
    <m/>
    <m/>
    <m/>
    <m/>
    <m/>
    <m/>
    <m/>
    <m/>
    <m/>
    <m/>
    <m/>
    <m/>
    <m/>
    <s v="DURGA TRADERS"/>
  </r>
  <r>
    <n v="742"/>
    <d v="2025-08-19T00:00:00"/>
    <s v="ZBTO"/>
    <n v="9519028090"/>
    <n v="1"/>
    <s v="9519028090-1"/>
    <s v="Sep'25"/>
    <s v="Released"/>
    <x v="1"/>
    <s v="CR02"/>
    <s v="ACRM CRCA CRS"/>
    <m/>
    <x v="0"/>
    <x v="0"/>
    <m/>
    <n v="2000"/>
    <s v="East"/>
    <s v="JSR"/>
    <s v="CALS"/>
    <n v="155536"/>
    <s v="TATA STEEL DOWNSTREAM PRODUCTS LIMI"/>
    <n v="2390329"/>
    <s v="CRCA COIL TATXXD AU03 0.900X1000"/>
    <s v="C01"/>
    <s v="TATXXD"/>
    <s v="AU03"/>
    <n v="0.9"/>
    <n v="1000"/>
    <n v="0"/>
    <s v="T2 DONE"/>
    <s v=" "/>
    <s v=""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m/>
    <m/>
    <m/>
    <m/>
    <m/>
    <m/>
    <s v="C"/>
    <s v="CRCA_STLM"/>
    <s v="C01-AU03-0.9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TATA STEEL DOWNSTREAM PRODUCTS LIMI"/>
  </r>
  <r>
    <n v="743"/>
    <d v="2025-08-22T00:00:00"/>
    <s v="ZBTF"/>
    <n v="9519039649"/>
    <n v="1"/>
    <s v="9519039649-1"/>
    <s v="No Priority"/>
    <s v="Released"/>
    <x v="0"/>
    <s v="GP02"/>
    <s v="ACRM GP#3 WIDER SOFT"/>
    <m/>
    <x v="2"/>
    <x v="2"/>
    <m/>
    <n v="2000"/>
    <s v="East"/>
    <s v="TCIL-JAMSHEDPUR"/>
    <s v="COMD"/>
    <n v="600250"/>
    <s v="TATA CENTER"/>
    <n v="3230681"/>
    <s v="GP COIL TATXGP GLR1 0.420X1220"/>
    <s v="C02"/>
    <s v="TATXGP"/>
    <s v="GLR1"/>
    <n v="0.42"/>
    <n v="1220"/>
    <n v="0"/>
    <s v="T2 DONE"/>
    <s v="Z80"/>
    <s v=""/>
    <n v="5.4"/>
    <n v="8"/>
    <n v="252"/>
    <n v="248.96"/>
    <n v="3.04"/>
    <n v="3.04"/>
    <n v="0"/>
    <n v="0"/>
    <n v="0"/>
    <n v="0"/>
    <n v="0"/>
    <n v="0"/>
    <n v="0"/>
    <n v="0"/>
    <n v="0"/>
    <n v="0"/>
    <n v="0"/>
    <n v="0"/>
    <n v="0"/>
    <n v="0"/>
    <n v="0"/>
    <n v="0"/>
    <n v="0"/>
    <n v="6.915"/>
    <n v="0"/>
    <n v="6.915"/>
    <n v="6.915"/>
    <n v="0"/>
    <n v="0"/>
    <n v="-3.875"/>
    <s v="0.4-0.42"/>
    <s v="1220-1222"/>
    <m/>
    <m/>
    <m/>
    <m/>
    <m/>
    <m/>
    <s v="R"/>
    <s v="NA"/>
    <s v="C02-GLR1-0.42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TATA CENTER"/>
  </r>
  <r>
    <n v="743"/>
    <d v="2025-09-02T00:00:00"/>
    <s v="ZBTO"/>
    <n v="9519072501"/>
    <n v="1"/>
    <s v="9519072501-1"/>
    <s v="No Priority"/>
    <s v="Released"/>
    <x v="0"/>
    <s v="GL03"/>
    <s v="ACRM GP#2 NON TBSPL"/>
    <m/>
    <x v="4"/>
    <x v="4"/>
    <m/>
    <n v="1000"/>
    <s v="West"/>
    <s v="TAMBATI"/>
    <s v="BOMB"/>
    <n v="942186"/>
    <s v="PRABHAT GLOBAL COLOURCOATED PRIVATE"/>
    <n v="2258434"/>
    <s v="GL COIL HARD  Y550GL H7GL 0.47X1220"/>
    <s v="B04"/>
    <s v="Y550GL"/>
    <s v="H7GL"/>
    <n v="0.47"/>
    <n v="1220"/>
    <n v="0"/>
    <s v="T2 DONE"/>
    <s v="aZ70"/>
    <s v=""/>
    <n v="8"/>
    <n v="12"/>
    <n v="56"/>
    <n v="54.244999999999997"/>
    <n v="1.7549999999999999"/>
    <n v="1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49999999999999"/>
    <s v="0.43-0.47"/>
    <s v="1220-1225"/>
    <m/>
    <m/>
    <m/>
    <m/>
    <m/>
    <m/>
    <s v="T"/>
    <s v="GP02_IPP"/>
    <s v="B04-H7GL-0.47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PRABHAT GLOBAL COLOURCOATED PRIVATE"/>
  </r>
  <r>
    <n v="743"/>
    <d v="2025-09-02T00:00:00"/>
    <s v="ZBTO"/>
    <n v="9519072501"/>
    <n v="2"/>
    <s v="9519072501-2"/>
    <s v="Oct'25"/>
    <s v="Released"/>
    <x v="1"/>
    <s v="GL03"/>
    <s v="ACRM GP#2 NON TBSPL"/>
    <m/>
    <x v="4"/>
    <x v="4"/>
    <m/>
    <n v="1000"/>
    <s v="West"/>
    <s v="TAMBATI"/>
    <s v="BOMB"/>
    <n v="942186"/>
    <s v="PRABHAT GLOBAL COLOURCOATED PRIVATE"/>
    <n v="1882436"/>
    <s v="GL COIL HARD -Y550GL-H7GL-0.37X1220"/>
    <s v="B04"/>
    <s v="Y550GL"/>
    <s v="H7GL"/>
    <n v="0.37"/>
    <n v="1220"/>
    <n v="0"/>
    <s v="T2 DONE"/>
    <s v="aZ7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s v="0.34-0.38"/>
    <s v="1220-1225"/>
    <m/>
    <m/>
    <m/>
    <m/>
    <m/>
    <m/>
    <s v="T"/>
    <s v="NA"/>
    <s v="B04-H7GL-0.37-12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PRABHAT GLOBAL COLOURCOATED PRIVATE"/>
  </r>
  <r>
    <n v="742"/>
    <d v="2025-09-05T00:00:00"/>
    <s v="ZBTO"/>
    <n v="9519081427"/>
    <n v="1"/>
    <s v="9519081427-1"/>
    <s v="No Priority"/>
    <s v="Released"/>
    <x v="0"/>
    <e v="#N/A"/>
    <e v="#N/A"/>
    <m/>
    <x v="1"/>
    <x v="2"/>
    <m/>
    <n v="2000"/>
    <s v="South"/>
    <s v="VALPARAI"/>
    <s v="MADS"/>
    <n v="116465"/>
    <s v="SRI BALAJI STEEL TRADERS"/>
    <n v="1210083"/>
    <s v="HR COILS-PO IS 1079 HR2 2X1250"/>
    <n v="768"/>
    <s v="THR099"/>
    <s v="HR99"/>
    <n v="2"/>
    <n v="1250"/>
    <n v="0"/>
    <s v="T2 DONE"/>
    <s v=" "/>
    <s v=""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m/>
    <m/>
    <m/>
    <m/>
    <m/>
    <m/>
    <s v="U"/>
    <s v="HRPO_BPRS"/>
    <s v="768-HR99-2-1250"/>
    <s v="367-HR99-2-1250"/>
    <n v="367"/>
    <s v="THR099"/>
    <s v="HR99"/>
    <s v="D06A"/>
    <n v="2"/>
    <n v="1250"/>
    <n v="1220539"/>
    <m/>
    <m/>
    <m/>
    <m/>
    <m/>
    <m/>
    <m/>
    <m/>
    <m/>
    <m/>
    <m/>
    <m/>
    <m/>
    <m/>
    <m/>
    <m/>
    <m/>
    <m/>
    <m/>
    <s v="SRI BALAJI STEEL TRADERS"/>
  </r>
  <r>
    <n v="742"/>
    <d v="2025-07-18T00:00:00"/>
    <s v="ZBTO"/>
    <n v="9518940039"/>
    <n v="1"/>
    <s v="9518940039-1"/>
    <s v="No Priority"/>
    <s v="Released"/>
    <x v="0"/>
    <s v="CR02"/>
    <s v="ACRM CRCA CRS"/>
    <m/>
    <x v="0"/>
    <x v="14"/>
    <m/>
    <n v="2000"/>
    <s v="South"/>
    <s v="YESHWANTHPURA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s v=" "/>
    <s v=""/>
    <n v="15"/>
    <n v="28"/>
    <n v="203"/>
    <n v="171.89"/>
    <n v="31.11"/>
    <n v="31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11"/>
    <s v="0.46-0.5"/>
    <s v="1250-1270"/>
    <m/>
    <m/>
    <m/>
    <m/>
    <m/>
    <m/>
    <s v="M"/>
    <s v="CRCA_STMP"/>
    <s v="C01-EL03-0.5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s v="TATA STEEL DOWNSTREAM PRODUCTS LIMI"/>
  </r>
  <r>
    <n v="742"/>
    <d v="2025-08-02T00:00:00"/>
    <s v="ZBTO"/>
    <n v="9518988288"/>
    <n v="3"/>
    <s v="9518988288-3"/>
    <s v="Stocks"/>
    <s v="Released"/>
    <x v="1"/>
    <s v="CR01"/>
    <s v="ACRM CRCA CTL"/>
    <m/>
    <x v="0"/>
    <x v="5"/>
    <m/>
    <n v="2000"/>
    <s v="East"/>
    <s v="SILIGURI TOWN"/>
    <s v="GWAH"/>
    <n v="948783"/>
    <s v="SAGAR STEELS"/>
    <n v="2427624"/>
    <s v="CRCA SHEET TSBCRC SR15 0.500X1000X2000"/>
    <s v="C06"/>
    <s v="TSBCRC"/>
    <s v="SR15"/>
    <n v="0.5"/>
    <n v="1000"/>
    <n v="2000"/>
    <s v="T2 DONE"/>
    <s v=" "/>
    <s v=""/>
    <n v="2"/>
    <n v="3"/>
    <n v="22.998999999999999"/>
    <n v="22.82"/>
    <n v="0.17899999999999999"/>
    <n v="-2.1560000000000001"/>
    <n v="22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7899999999999999"/>
    <s v="0.47-0.5"/>
    <s v="1000-1002"/>
    <m/>
    <m/>
    <m/>
    <m/>
    <m/>
    <m/>
    <s v="T"/>
    <s v="CRCA_SUPR"/>
    <s v="C06-SR15-0.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s v="SAGAR STEELS"/>
  </r>
  <r>
    <n v="742"/>
    <d v="2025-08-22T00:00:00"/>
    <s v="ZBTO"/>
    <n v="9519040469"/>
    <n v="5"/>
    <s v="9519040469-5"/>
    <s v="Sep'25"/>
    <s v="Released"/>
    <x v="1"/>
    <s v="CR02"/>
    <s v="ACRM CRCA CRS"/>
    <m/>
    <x v="0"/>
    <x v="4"/>
    <m/>
    <n v="1000"/>
    <s v="West"/>
    <s v="VILLAGE DADRA"/>
    <s v="NPUR"/>
    <n v="189405"/>
    <s v="Balmer Lawrie And Co. Ltd."/>
    <n v="2170009"/>
    <s v="CRCA COIL TATXXD BT02 1.200X914"/>
    <s v="C01"/>
    <s v="TATXXD"/>
    <s v="BT02"/>
    <n v="1.2"/>
    <n v="914"/>
    <n v="0"/>
    <s v="T2 DONE"/>
    <s v=" "/>
    <s v=""/>
    <n v="6"/>
    <n v="10"/>
    <n v="42"/>
    <n v="0"/>
    <n v="42"/>
    <n v="4.9349999999999996"/>
    <n v="0"/>
    <n v="0"/>
    <n v="0"/>
    <n v="0"/>
    <n v="0"/>
    <n v="0"/>
    <n v="0"/>
    <n v="0"/>
    <n v="0"/>
    <n v="0"/>
    <n v="0"/>
    <n v="0"/>
    <n v="0"/>
    <n v="0"/>
    <n v="0"/>
    <n v="0"/>
    <n v="16.824999999999999"/>
    <n v="0"/>
    <n v="0"/>
    <n v="16.824999999999999"/>
    <n v="0"/>
    <n v="16.824999999999999"/>
    <n v="0"/>
    <n v="42"/>
    <s v="1.17-1.23"/>
    <s v="914-915"/>
    <m/>
    <m/>
    <m/>
    <m/>
    <m/>
    <m/>
    <s v="T"/>
    <s v="CRCA_D&amp;B"/>
    <s v="C01-BT02-1.2-914"/>
    <s v="B69-SH67-3.2-935"/>
    <s v="B69"/>
    <s v="TSH067"/>
    <s v="SH67"/>
    <s v="C14A"/>
    <n v="3.2"/>
    <n v="935"/>
    <n v="3924284"/>
    <m/>
    <m/>
    <m/>
    <m/>
    <m/>
    <m/>
    <m/>
    <m/>
    <m/>
    <m/>
    <m/>
    <m/>
    <m/>
    <m/>
    <m/>
    <m/>
    <m/>
    <m/>
    <m/>
    <s v="Balmer Lawrie And Co. Ltd."/>
  </r>
  <r>
    <n v="742"/>
    <d v="2025-07-23T00:00:00"/>
    <s v="ZBTO"/>
    <n v="9518953337"/>
    <n v="1"/>
    <s v="9518953337-1"/>
    <s v="No Priority"/>
    <s v="Released"/>
    <x v="0"/>
    <e v="#N/A"/>
    <e v="#N/A"/>
    <m/>
    <x v="1"/>
    <x v="2"/>
    <m/>
    <n v="2000"/>
    <s v="South"/>
    <s v="CHENNAI"/>
    <s v="MADS"/>
    <n v="161312"/>
    <s v="GOVINDARAJA MUDALIAR SONS PVT LTD"/>
    <n v="1210097"/>
    <s v="HR COILS-PO IS 1079 HR2 5X1250"/>
    <n v="768"/>
    <s v="THR099"/>
    <s v="HR99"/>
    <n v="5"/>
    <n v="1250"/>
    <n v="0"/>
    <s v="T2 DONE"/>
    <s v=" "/>
    <s v=""/>
    <n v="18"/>
    <n v="34"/>
    <n v="58"/>
    <n v="66.95"/>
    <n v="1.05"/>
    <n v="1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"/>
    <s v=""/>
    <s v=""/>
    <m/>
    <m/>
    <m/>
    <m/>
    <m/>
    <m/>
    <s v="U"/>
    <s v="HRPO_BPRS"/>
    <s v="768-HR99-5-1250"/>
    <s v="367-HR99-5-1250"/>
    <n v="367"/>
    <s v="THR099"/>
    <s v="HR99"/>
    <s v="D06A"/>
    <n v="5"/>
    <n v="1250"/>
    <n v="1210206"/>
    <m/>
    <m/>
    <m/>
    <m/>
    <m/>
    <m/>
    <m/>
    <m/>
    <m/>
    <m/>
    <m/>
    <m/>
    <m/>
    <m/>
    <m/>
    <m/>
    <m/>
    <m/>
    <m/>
    <s v="GOVINDARAJA MUDALIAR SONS PVT LTD"/>
  </r>
  <r>
    <n v="743"/>
    <d v="2025-08-22T00:00:00"/>
    <s v="ZBTO"/>
    <n v="9519037676"/>
    <n v="1"/>
    <s v="9519037676-1"/>
    <s v="No Priority"/>
    <s v="Released"/>
    <x v="0"/>
    <s v="GP02"/>
    <s v="ACRM GP#3 WIDER SOFT"/>
    <m/>
    <x v="2"/>
    <x v="2"/>
    <m/>
    <n v="2200"/>
    <s v="South"/>
    <s v="CHENNAI"/>
    <s v="MADS"/>
    <n v="822271"/>
    <s v="TATA STEEL DOWNSTREAM PRODUCTS LIMI"/>
    <n v="1851847"/>
    <s v="GP COIL SOFT-TSBXGP-T1GP-0.3X1220"/>
    <s v="C02"/>
    <s v="TSBXGP"/>
    <s v="T1GP"/>
    <n v="0.3"/>
    <n v="1220"/>
    <n v="0"/>
    <s v="T2 DONE"/>
    <s v="Z80"/>
    <s v=""/>
    <n v="3"/>
    <n v="5"/>
    <n v="280"/>
    <n v="196.245"/>
    <n v="83.754999999999995"/>
    <n v="83.75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754999999999995"/>
    <s v="0.28-0.32"/>
    <s v="1220-1224"/>
    <m/>
    <m/>
    <m/>
    <m/>
    <m/>
    <m/>
    <s v="R"/>
    <s v="GP03_BPRS"/>
    <s v="C02-T1GP-0.3-1220"/>
    <s v="367-HG02-2-1235"/>
    <n v="367"/>
    <s v="T01576"/>
    <s v="HG02"/>
    <s v="C06A"/>
    <n v="2"/>
    <n v="1235"/>
    <n v="414088"/>
    <m/>
    <m/>
    <m/>
    <m/>
    <m/>
    <m/>
    <m/>
    <m/>
    <m/>
    <m/>
    <m/>
    <m/>
    <m/>
    <m/>
    <m/>
    <m/>
    <m/>
    <m/>
    <m/>
    <s v="TATA STEEL DOWNSTREAM PRODUCTS LIMI"/>
  </r>
  <r>
    <n v="743"/>
    <d v="2025-08-20T00:00:00"/>
    <s v="ZBTO"/>
    <n v="9519032510"/>
    <n v="1"/>
    <s v="9519032510-1"/>
    <s v="No Priority"/>
    <s v="Released"/>
    <x v="0"/>
    <s v="GP03"/>
    <s v="ACRM GP#3 NARROW"/>
    <m/>
    <x v="2"/>
    <x v="6"/>
    <m/>
    <n v="2000"/>
    <s v="East"/>
    <s v="PATNA"/>
    <s v="PATN"/>
    <n v="103227"/>
    <s v="BMW VENTURES LIMITED"/>
    <n v="1851066"/>
    <s v="GP COIL SOFT-TATXGP-GLK1-0.25X900"/>
    <s v="C02"/>
    <s v="TATXGP"/>
    <s v="GLK1"/>
    <n v="0.25"/>
    <n v="900"/>
    <n v="0"/>
    <s v="T2 DONE"/>
    <s v="Z80"/>
    <s v=""/>
    <n v="2"/>
    <n v="6"/>
    <n v="63"/>
    <n v="57.895000000000003"/>
    <n v="5.1050000000000004"/>
    <n v="5.10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050000000000004"/>
    <s v="0.215-0.26"/>
    <s v="900-904"/>
    <m/>
    <m/>
    <m/>
    <m/>
    <m/>
    <m/>
    <s v="S"/>
    <s v="GP03_KOSH"/>
    <s v="C02-GLK1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BMW VENTURES LIMITED"/>
  </r>
  <r>
    <n v="743"/>
    <d v="2025-07-29T00:00:00"/>
    <s v="ZBTO"/>
    <n v="9518973099"/>
    <n v="1"/>
    <s v="9518973099-1"/>
    <s v="Aug'25"/>
    <s v="Released"/>
    <x v="1"/>
    <s v="GP03"/>
    <s v="ACRM GP#3 NARROW"/>
    <m/>
    <x v="2"/>
    <x v="11"/>
    <m/>
    <n v="2000"/>
    <s v="East"/>
    <s v="GAUHATI"/>
    <s v="GWAH"/>
    <n v="103671"/>
    <s v="BAJRANG STEEL (SALES) CORPORATION"/>
    <n v="3708867"/>
    <s v="GP COIL TATGPH GP02 0.300X900"/>
    <s v="C05"/>
    <s v="TATGPH"/>
    <s v="GP02"/>
    <n v="0.3"/>
    <n v="900"/>
    <n v="0"/>
    <s v="T2 DONE"/>
    <s v="Z120"/>
    <s v=""/>
    <n v="1"/>
    <n v="5"/>
    <n v="42"/>
    <n v="0"/>
    <n v="42"/>
    <n v="3.82"/>
    <n v="0"/>
    <n v="0"/>
    <n v="0"/>
    <n v="0"/>
    <n v="0"/>
    <n v="0"/>
    <n v="38.18"/>
    <n v="0"/>
    <n v="0"/>
    <n v="0"/>
    <n v="0"/>
    <n v="0"/>
    <n v="0"/>
    <n v="0"/>
    <n v="0"/>
    <n v="0"/>
    <n v="0"/>
    <n v="0"/>
    <n v="0"/>
    <n v="38.18"/>
    <n v="0"/>
    <n v="38.18"/>
    <n v="0"/>
    <n v="42"/>
    <s v="0.27-0.3"/>
    <s v="900-920"/>
    <m/>
    <m/>
    <m/>
    <m/>
    <m/>
    <m/>
    <s v="R"/>
    <s v="GP03_SHKT"/>
    <s v="C05-GP02-0.3-900"/>
    <s v="B69-SF93-2-925"/>
    <s v="B69"/>
    <s v="S02149"/>
    <s v="SF93"/>
    <s v="C07A"/>
    <n v="2"/>
    <n v="925"/>
    <n v="2429037"/>
    <m/>
    <m/>
    <m/>
    <m/>
    <m/>
    <m/>
    <m/>
    <m/>
    <m/>
    <m/>
    <m/>
    <m/>
    <m/>
    <m/>
    <m/>
    <m/>
    <m/>
    <m/>
    <m/>
    <s v="BAJRANG STEEL (SALES) CORPORATION"/>
  </r>
  <r>
    <n v="742"/>
    <d v="2025-08-01T00:00:00"/>
    <s v="ZBTO"/>
    <n v="9518985861"/>
    <n v="7"/>
    <s v="9518985861-7"/>
    <s v="No Priority"/>
    <s v="Released"/>
    <x v="0"/>
    <e v="#N/A"/>
    <e v="#N/A"/>
    <m/>
    <x v="1"/>
    <x v="2"/>
    <m/>
    <n v="2200"/>
    <s v="South"/>
    <s v="YESHWANTHPURA"/>
    <s v="BANG"/>
    <n v="801611"/>
    <s v="SHIVA FERRIC PVT LTD"/>
    <n v="3947394"/>
    <s v="HR COILS-PO I09497 5X1250"/>
    <n v="768"/>
    <s v="I09497"/>
    <s v="HG01"/>
    <n v="5"/>
    <n v="1250"/>
    <n v="0"/>
    <s v="T2 DONE"/>
    <s v=" "/>
    <s v=""/>
    <n v="15"/>
    <n v="29.5"/>
    <n v="86.998999999999995"/>
    <n v="90.465000000000003"/>
    <n v="0.53500000000000003"/>
    <n v="0.535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3500000000000003"/>
    <s v=""/>
    <s v=""/>
    <m/>
    <m/>
    <m/>
    <m/>
    <m/>
    <m/>
    <s v="U"/>
    <s v="HRPO_BPRS"/>
    <s v="768-HG01-5-1250"/>
    <s v="367-HG01-5-1250"/>
    <n v="367"/>
    <s v="I09497"/>
    <s v="HG01"/>
    <s v="T01"/>
    <n v="5"/>
    <n v="1250"/>
    <n v="3516031"/>
    <m/>
    <m/>
    <m/>
    <m/>
    <m/>
    <m/>
    <m/>
    <m/>
    <m/>
    <m/>
    <m/>
    <m/>
    <m/>
    <m/>
    <m/>
    <m/>
    <m/>
    <m/>
    <m/>
    <s v="SHIVA FERRIC PVT LTD"/>
  </r>
  <r>
    <n v="742"/>
    <d v="2025-09-05T00:00:00"/>
    <s v="ZBTO"/>
    <n v="9519081380"/>
    <n v="1"/>
    <s v="9519081380-1"/>
    <s v="No Priority"/>
    <s v="Released"/>
    <x v="0"/>
    <e v="#N/A"/>
    <e v="#N/A"/>
    <m/>
    <x v="1"/>
    <x v="2"/>
    <m/>
    <n v="2000"/>
    <s v="South"/>
    <s v="CHENNAI"/>
    <s v="MADS"/>
    <n v="116465"/>
    <s v="SRI BALAJI STEEL TRADERS"/>
    <n v="1309822"/>
    <s v="HR COILS-PO IS 1079-HR2 4X1250"/>
    <n v="768"/>
    <s v="THA058"/>
    <s v="HA58"/>
    <n v="4"/>
    <n v="1250"/>
    <n v="0"/>
    <s v="T2 DONE"/>
    <s v=" "/>
    <s v=""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1.95"/>
    <n v="0"/>
    <n v="21.95"/>
    <n v="21.95"/>
    <n v="0"/>
    <n v="0"/>
    <n v="7.0500000000000007"/>
    <s v=""/>
    <s v=""/>
    <m/>
    <m/>
    <m/>
    <m/>
    <m/>
    <m/>
    <s v="U"/>
    <s v="HRO_AUTO"/>
    <s v="768-HA58-4-1250"/>
    <s v="367-HA58-4-1250"/>
    <n v="367"/>
    <s v="THA058"/>
    <s v="HA58"/>
    <s v="A13A"/>
    <n v="4"/>
    <n v="1250"/>
    <n v="1304735"/>
    <m/>
    <m/>
    <m/>
    <m/>
    <m/>
    <m/>
    <m/>
    <m/>
    <m/>
    <m/>
    <m/>
    <m/>
    <m/>
    <m/>
    <m/>
    <m/>
    <m/>
    <m/>
    <m/>
    <s v="SRI BALAJI STEEL TRADERS"/>
  </r>
  <r>
    <n v="742"/>
    <d v="2025-09-05T00:00:00"/>
    <s v="ZBTO"/>
    <n v="9519081446"/>
    <n v="1"/>
    <s v="9519081446-1"/>
    <s v="No Priority"/>
    <s v="Released"/>
    <x v="0"/>
    <e v="#N/A"/>
    <e v="#N/A"/>
    <m/>
    <x v="1"/>
    <x v="2"/>
    <m/>
    <n v="2000"/>
    <s v="South"/>
    <s v="GUMMIDIPOONDI"/>
    <s v="MADS"/>
    <n v="161312"/>
    <s v="GOVINDARAJA MUDALIAR SONS PVT LTD"/>
    <n v="4015513"/>
    <s v="HR COILS-PO IS 5986 205 FE330 3.20X1250"/>
    <n v="768"/>
    <s v="THA117"/>
    <s v="HA17"/>
    <n v="3.2"/>
    <n v="1250"/>
    <n v="0"/>
    <s v="T2 DONE"/>
    <s v=" "/>
    <s v=""/>
    <n v="17"/>
    <n v="29"/>
    <n v="58"/>
    <n v="43.11"/>
    <n v="14.89"/>
    <n v="14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9"/>
    <s v=""/>
    <s v=""/>
    <m/>
    <m/>
    <m/>
    <m/>
    <m/>
    <m/>
    <s v="U"/>
    <s v="NA"/>
    <s v="768-HA17-3.2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GOVINDARAJA MUDALIAR SONS PVT LTD"/>
  </r>
  <r>
    <n v="742"/>
    <d v="2025-09-05T00:00:00"/>
    <s v="ZBTO"/>
    <n v="9519081518"/>
    <n v="1"/>
    <s v="9519081518-1"/>
    <s v="No Priority"/>
    <s v="Released"/>
    <x v="0"/>
    <e v="#N/A"/>
    <e v="#N/A"/>
    <m/>
    <x v="1"/>
    <x v="2"/>
    <m/>
    <n v="2000"/>
    <s v="South"/>
    <s v="CHENNAI"/>
    <s v="MADS"/>
    <n v="861100"/>
    <s v="KARTHIK STEEL"/>
    <n v="1305553"/>
    <s v="HR COILS-PO IS 1079-HR2 6X1250"/>
    <n v="768"/>
    <s v="THA058"/>
    <s v="HA58"/>
    <n v="6"/>
    <n v="1250"/>
    <n v="0"/>
    <s v=""/>
    <s v=" "/>
    <s v=""/>
    <n v="17"/>
    <n v="29"/>
    <n v="58"/>
    <n v="0"/>
    <n v="58"/>
    <n v="13.93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44.07"/>
    <n v="0"/>
    <n v="0"/>
    <n v="13.93"/>
    <s v=""/>
    <s v=""/>
    <m/>
    <m/>
    <m/>
    <m/>
    <m/>
    <m/>
    <s v="U"/>
    <s v="NA"/>
    <s v="768-HA58-6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KARTHIK STEEL"/>
  </r>
  <r>
    <n v="743"/>
    <d v="2025-08-20T00:00:00"/>
    <s v="ZBTO"/>
    <n v="9519031683"/>
    <n v="1"/>
    <s v="9519031683-1"/>
    <s v="No Priority"/>
    <s v="Released"/>
    <x v="0"/>
    <s v="GL03"/>
    <s v="ACRM GP#2 NON TBSPL"/>
    <m/>
    <x v="4"/>
    <x v="12"/>
    <m/>
    <n v="1000"/>
    <s v="West"/>
    <s v="SANAND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s v="aZ150"/>
    <s v=""/>
    <n v="10"/>
    <n v="18"/>
    <n v="290"/>
    <n v="282.83999999999997"/>
    <n v="7.16"/>
    <n v="7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6"/>
    <s v="0.9-0.94"/>
    <s v="1249-1253"/>
    <m/>
    <m/>
    <m/>
    <m/>
    <m/>
    <m/>
    <s v="R"/>
    <s v="GP02_SOLAR"/>
    <s v="B04-H0GL-0.9-1249"/>
    <s v="367-HG02-2.8-1265"/>
    <n v="367"/>
    <s v="T01576"/>
    <s v="HG02"/>
    <s v="C06A"/>
    <n v="2.8"/>
    <n v="1265"/>
    <n v="435174"/>
    <m/>
    <m/>
    <m/>
    <m/>
    <m/>
    <m/>
    <m/>
    <m/>
    <m/>
    <m/>
    <m/>
    <m/>
    <m/>
    <m/>
    <m/>
    <m/>
    <m/>
    <m/>
    <m/>
    <s v="PURSHOTAM PROFILES PRIVATE LIMITED"/>
  </r>
  <r>
    <n v="742"/>
    <d v="2025-09-11T00:00:00"/>
    <s v="ZBTF"/>
    <n v="4000518020"/>
    <n v="2"/>
    <s v="4000518020-2"/>
    <s v="No Priority"/>
    <s v="Released"/>
    <x v="0"/>
    <e v="#N/A"/>
    <e v="#N/A"/>
    <m/>
    <x v="1"/>
    <x v="7"/>
    <m/>
    <n v="2000"/>
    <s v="South"/>
    <s v="YESHWANTHPURA"/>
    <s v=""/>
    <n v="650789"/>
    <s v="Hosur Tube Plant"/>
    <n v="4116633"/>
    <s v="HR COILS-PO THR099 2.50X1245"/>
    <n v="768"/>
    <s v="THR099"/>
    <s v="HR99"/>
    <n v="2.5"/>
    <n v="1245"/>
    <n v="0"/>
    <s v="T2 DONE"/>
    <s v=" "/>
    <s v=""/>
    <n v="12"/>
    <n v="28"/>
    <n v="58"/>
    <n v="22.25"/>
    <n v="35.75"/>
    <n v="3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75"/>
    <s v=""/>
    <s v=""/>
    <m/>
    <m/>
    <m/>
    <m/>
    <m/>
    <m/>
    <s v="U"/>
    <s v="NA"/>
    <s v="768-HR99-2.5-1245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Hosur Tube Plant"/>
  </r>
  <r>
    <n v="742"/>
    <d v="2025-09-11T00:00:00"/>
    <s v="ZBTF"/>
    <n v="4000518020"/>
    <n v="3"/>
    <s v="4000518020-3"/>
    <s v="Stocks"/>
    <s v="Released"/>
    <x v="0"/>
    <e v="#N/A"/>
    <e v="#N/A"/>
    <m/>
    <x v="1"/>
    <x v="7"/>
    <m/>
    <n v="2000"/>
    <s v="South"/>
    <s v="YESHWANTHPURA"/>
    <s v=""/>
    <n v="650789"/>
    <s v="Hosur Tube Plant"/>
    <n v="4116634"/>
    <s v="HR COILS-PO THR099 2.50X1255"/>
    <n v="768"/>
    <s v="THR099"/>
    <s v="HR99"/>
    <n v="2.5"/>
    <n v="1255"/>
    <n v="0"/>
    <s v="T2 DONE"/>
    <s v=" "/>
    <s v=""/>
    <n v="10"/>
    <n v="28"/>
    <n v="116"/>
    <n v="44.6"/>
    <n v="71.400000000000006"/>
    <n v="71.400000000000006"/>
    <n v="2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s v=""/>
    <s v=""/>
    <m/>
    <m/>
    <m/>
    <m/>
    <m/>
    <m/>
    <s v="U"/>
    <s v="NA"/>
    <s v="768-HR99-2.5-1255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Hosur Tube Plant"/>
  </r>
  <r>
    <n v="742"/>
    <d v="2025-09-11T00:00:00"/>
    <s v="ZBTF"/>
    <n v="4000518020"/>
    <n v="4"/>
    <s v="4000518020-4"/>
    <s v="No Priority"/>
    <s v="Released"/>
    <x v="0"/>
    <e v="#N/A"/>
    <e v="#N/A"/>
    <m/>
    <x v="1"/>
    <x v="7"/>
    <m/>
    <n v="2000"/>
    <s v="South"/>
    <s v="YESHWANTHPURA"/>
    <s v=""/>
    <n v="650789"/>
    <s v="Hosur Tube Plant"/>
    <n v="1210083"/>
    <s v="HR COILS-PO IS 1079 HR2 2X1250"/>
    <n v="768"/>
    <s v="THR099"/>
    <s v="HR99"/>
    <n v="2"/>
    <n v="1250"/>
    <n v="0"/>
    <s v="T2 DONE"/>
    <s v=" "/>
    <s v=""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"/>
    <s v=""/>
    <m/>
    <m/>
    <m/>
    <m/>
    <m/>
    <m/>
    <s v="U"/>
    <s v="HRPO_BPRS"/>
    <s v="768-HR99-2-1250"/>
    <s v="367-HR99-2-1250"/>
    <n v="367"/>
    <s v="THR099"/>
    <s v="HR99"/>
    <s v="D06A"/>
    <n v="2"/>
    <n v="1250"/>
    <n v="1220539"/>
    <m/>
    <m/>
    <m/>
    <m/>
    <m/>
    <m/>
    <m/>
    <m/>
    <m/>
    <m/>
    <m/>
    <m/>
    <m/>
    <m/>
    <m/>
    <m/>
    <m/>
    <m/>
    <m/>
    <s v="Hosur Tube Plant"/>
  </r>
  <r>
    <n v="743"/>
    <d v="2025-08-20T00:00:00"/>
    <s v="ZBTO"/>
    <n v="9519031560"/>
    <n v="1"/>
    <s v="9519031560-1"/>
    <s v="No Priority"/>
    <s v="Released"/>
    <x v="0"/>
    <s v="GL03"/>
    <s v="ACRM GP#2 NON TBSPL"/>
    <m/>
    <x v="4"/>
    <x v="12"/>
    <m/>
    <n v="1000"/>
    <s v="West"/>
    <s v="SANAND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s v="aZ150"/>
    <s v=""/>
    <n v="10"/>
    <n v="18"/>
    <n v="290"/>
    <n v="282.83"/>
    <n v="7.17"/>
    <n v="7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7"/>
    <s v="0.9-0.94"/>
    <s v="1249-1253"/>
    <m/>
    <m/>
    <m/>
    <m/>
    <m/>
    <m/>
    <s v="R"/>
    <s v="GP02_SOLAR"/>
    <s v="B04-H0GL-0.9-1249"/>
    <s v="367-HG02-2.8-1265"/>
    <n v="367"/>
    <s v="T01576"/>
    <s v="HG02"/>
    <s v="C06A"/>
    <n v="2.8"/>
    <n v="1265"/>
    <n v="435174"/>
    <m/>
    <m/>
    <m/>
    <m/>
    <m/>
    <m/>
    <m/>
    <m/>
    <m/>
    <m/>
    <m/>
    <m/>
    <m/>
    <m/>
    <m/>
    <m/>
    <m/>
    <m/>
    <m/>
    <s v="PURSHOTAM PROFILES PRIVATE LIMITED"/>
  </r>
  <r>
    <n v="743"/>
    <d v="2025-08-21T00:00:00"/>
    <s v="ZBTO"/>
    <n v="9519036674"/>
    <n v="5"/>
    <s v="9519036674-5"/>
    <s v="No Priority"/>
    <s v="Released"/>
    <x v="0"/>
    <s v="GL03"/>
    <s v="ACRM GP#2 NON TBSPL"/>
    <m/>
    <x v="4"/>
    <x v="4"/>
    <m/>
    <n v="1000"/>
    <s v="East"/>
    <s v="DANKUNI"/>
    <s v="CALS"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9.99"/>
    <n v="275.72500000000002"/>
    <n v="4.2649999999999997"/>
    <n v="4.26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649999999999997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JINDAL INDIA LIMITED"/>
  </r>
  <r>
    <n v="742"/>
    <d v="2025-07-18T00:00:00"/>
    <s v="ZBTO"/>
    <n v="9518940039"/>
    <n v="2"/>
    <s v="9518940039-2"/>
    <s v="No Priority"/>
    <s v="Released"/>
    <x v="0"/>
    <s v="CR02"/>
    <s v="ACRM CRCA CRS"/>
    <m/>
    <x v="0"/>
    <x v="0"/>
    <m/>
    <n v="2000"/>
    <s v="South"/>
    <s v="YESHWANTHPURA"/>
    <s v="BANG"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15"/>
    <n v="28"/>
    <n v="58"/>
    <n v="15.39"/>
    <n v="42.61"/>
    <n v="42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61"/>
    <s v="0.31-0.35"/>
    <s v="1250-1270"/>
    <m/>
    <m/>
    <m/>
    <m/>
    <m/>
    <m/>
    <s v="M"/>
    <s v="CRCA_STLM"/>
    <s v="C01-AU03-0.35-1250"/>
    <s v="367-SH08-2-1275"/>
    <n v="367"/>
    <s v="T01320"/>
    <s v="SH08"/>
    <s v="C16D"/>
    <n v="2"/>
    <n v="1275"/>
    <n v="3636910"/>
    <m/>
    <m/>
    <m/>
    <m/>
    <m/>
    <m/>
    <m/>
    <m/>
    <m/>
    <m/>
    <m/>
    <m/>
    <m/>
    <m/>
    <m/>
    <m/>
    <m/>
    <m/>
    <m/>
    <s v="TATA STEEL DOWNSTREAM PRODUCTS LIMI"/>
  </r>
  <r>
    <n v="742"/>
    <d v="2025-07-18T00:00:00"/>
    <s v="ZBTO"/>
    <n v="9518940039"/>
    <n v="3"/>
    <s v="9518940039-3"/>
    <s v="No Priority"/>
    <s v="Released"/>
    <x v="0"/>
    <s v="CR02"/>
    <s v="ACRM CRCA CRS"/>
    <m/>
    <x v="0"/>
    <x v="0"/>
    <m/>
    <n v="2000"/>
    <s v="South"/>
    <s v="YESHWANTHPURA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15"/>
    <n v="28"/>
    <n v="145"/>
    <n v="0"/>
    <n v="145"/>
    <n v="11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5-0.4"/>
    <s v="1250-1270"/>
    <m/>
    <m/>
    <m/>
    <m/>
    <m/>
    <m/>
    <s v="M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TATA STEEL DOWNSTREAM PRODUCTS LIMI"/>
  </r>
  <r>
    <n v="742"/>
    <d v="2025-07-18T00:00:00"/>
    <s v="ZBTO"/>
    <n v="9518940039"/>
    <n v="4"/>
    <s v="9518940039-4"/>
    <s v="Oct'25"/>
    <s v="Released"/>
    <x v="1"/>
    <s v="CR02"/>
    <s v="ACRM CRCA CRS"/>
    <m/>
    <x v="0"/>
    <x v="0"/>
    <m/>
    <n v="2000"/>
    <s v="South"/>
    <s v="YESHWANTHPURA"/>
    <s v="BANG"/>
    <n v="939268"/>
    <s v="TATA STEEL DOWNSTREAM PRODUCTS LIMI"/>
    <n v="1801022"/>
    <s v="CRCA COIL-TATXXD-AU03-0.45X1250"/>
    <s v="C01"/>
    <s v="TATXXD"/>
    <s v="AU03"/>
    <n v="0.45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1-0.45"/>
    <s v="1250-1270"/>
    <m/>
    <m/>
    <m/>
    <m/>
    <m/>
    <m/>
    <s v="M"/>
    <s v="CRCA_STLM"/>
    <s v="C01-AU03-0.45-1250"/>
    <s v="367-SH08-2.25-1250"/>
    <n v="367"/>
    <s v="T01320"/>
    <s v="SH08"/>
    <s v="C16D"/>
    <n v="2.25"/>
    <n v="1250"/>
    <n v="1387018"/>
    <m/>
    <m/>
    <m/>
    <m/>
    <m/>
    <m/>
    <m/>
    <m/>
    <m/>
    <m/>
    <m/>
    <m/>
    <m/>
    <m/>
    <m/>
    <m/>
    <m/>
    <m/>
    <m/>
    <s v="TATA STEEL DOWNSTREAM PRODUCTS LIMI"/>
  </r>
  <r>
    <n v="742"/>
    <d v="2025-07-18T00:00:00"/>
    <s v="ZBTO"/>
    <n v="9518940039"/>
    <n v="5"/>
    <s v="9518940039-5"/>
    <s v="Oct'25"/>
    <s v="Released"/>
    <x v="1"/>
    <s v="CR02"/>
    <s v="ACRM CRCA CRS"/>
    <m/>
    <x v="0"/>
    <x v="0"/>
    <m/>
    <n v="2000"/>
    <s v="South"/>
    <s v="YESHWANTHPURA"/>
    <s v="BANG"/>
    <n v="939268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5"/>
    <n v="28"/>
    <n v="203"/>
    <n v="24.08"/>
    <n v="178.92"/>
    <n v="17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.92"/>
    <s v="0.46-0.5"/>
    <s v="1250-1262"/>
    <m/>
    <m/>
    <m/>
    <m/>
    <m/>
    <s v="4000519244-5"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TATA STEEL DOWNSTREAM PRODUCTS LIMI"/>
  </r>
  <r>
    <n v="742"/>
    <d v="2025-07-24T00:00:00"/>
    <s v="ZBTO"/>
    <n v="9518954971"/>
    <n v="1"/>
    <s v="9518954971-1"/>
    <s v="No Priority"/>
    <s v="Released"/>
    <x v="0"/>
    <e v="#N/A"/>
    <e v="#N/A"/>
    <m/>
    <x v="0"/>
    <x v="14"/>
    <m/>
    <n v="2000"/>
    <s v="South"/>
    <s v="YESHWANTHPURA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s v=" "/>
    <s v=""/>
    <n v="7"/>
    <n v="29"/>
    <n v="203"/>
    <n v="52.914999999999999"/>
    <n v="150.08500000000001"/>
    <n v="150.0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.08500000000001"/>
    <s v="0.46-0.5"/>
    <s v="1250-1262"/>
    <m/>
    <m/>
    <m/>
    <m/>
    <m/>
    <m/>
    <s v="U"/>
    <s v="CRCA_STMP"/>
    <s v="C01-EL03-0.5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s v="TATA STEEL DOWNSTREAM PRODUCTS LIMI"/>
  </r>
  <r>
    <n v="742"/>
    <d v="2025-09-04T00:00:00"/>
    <s v="ZBTF"/>
    <n v="9519077973"/>
    <n v="1"/>
    <s v="9519077973-1"/>
    <s v="No Priority"/>
    <s v="Released"/>
    <x v="0"/>
    <s v="FHCR"/>
    <e v="#N/A"/>
    <m/>
    <x v="5"/>
    <x v="9"/>
    <m/>
    <n v="2000"/>
    <s v="West"/>
    <s v="KHOPOLI"/>
    <s v="TSMK"/>
    <n v="650783"/>
    <s v="Khopoli Wider CRM"/>
    <n v="4015459"/>
    <s v="CR COIL TATFHC TR10 0.479X1220"/>
    <s v="C09"/>
    <s v="TATFHC"/>
    <s v="TR10"/>
    <n v="0.47899999999999998"/>
    <n v="1220"/>
    <n v="0"/>
    <s v="T2 DONE"/>
    <s v=" "/>
    <s v=""/>
    <n v="12"/>
    <n v="25"/>
    <n v="111.099"/>
    <n v="79.094999999999999"/>
    <n v="32.003999999999998"/>
    <n v="32.00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03999999999998"/>
    <s v="0.479-0.485"/>
    <s v="1220-1223"/>
    <m/>
    <m/>
    <m/>
    <m/>
    <m/>
    <m/>
    <s v="C"/>
    <s v="NA"/>
    <s v="C09-TR10-0.479-12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Khopoli Wider CRM"/>
  </r>
  <r>
    <n v="743"/>
    <d v="2025-08-23T00:00:00"/>
    <s v="ZBTO"/>
    <n v="9519042561"/>
    <n v="1"/>
    <s v="9519042561-1"/>
    <s v="No Priority"/>
    <s v="Released"/>
    <x v="0"/>
    <s v="GL01"/>
    <s v="ACRM GP#2 TBSPL BGL"/>
    <m/>
    <x v="4"/>
    <x v="3"/>
    <m/>
    <n v="1000"/>
    <s v="TBSPL"/>
    <s v="Jharkhand"/>
    <s v="BOMB"/>
    <n v="942283"/>
    <s v="TATA BLUESCOPE STEEL PRIVATE LIMITE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84"/>
    <n v="81.06"/>
    <n v="2.94"/>
    <n v="2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4"/>
    <s v="0.53-0.57"/>
    <s v="1220-1222"/>
    <m/>
    <m/>
    <m/>
    <m/>
    <m/>
    <m/>
    <s v="R"/>
    <s v="GP02_BGL"/>
    <s v="B04-H6GL-0.5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3"/>
    <d v="2025-09-02T00:00:00"/>
    <s v="ZBTO"/>
    <n v="9519073218"/>
    <n v="1"/>
    <s v="9519073218-1"/>
    <s v="No Priority"/>
    <s v="Released"/>
    <x v="0"/>
    <s v="GP03"/>
    <s v="ACRM GP#3 NARROW"/>
    <m/>
    <x v="2"/>
    <x v="6"/>
    <m/>
    <n v="2000"/>
    <s v="North"/>
    <s v="KANPUR"/>
    <s v="KANP"/>
    <n v="933952"/>
    <s v="AGARWAL STEEL TRADERS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AGARWAL STEEL TRADERS"/>
  </r>
  <r>
    <n v="743"/>
    <d v="2025-09-02T00:00:00"/>
    <s v="ZBTO"/>
    <n v="9519073218"/>
    <n v="3"/>
    <s v="9519073218-3"/>
    <s v="Stocks"/>
    <s v="Released"/>
    <x v="1"/>
    <s v="GP02"/>
    <s v="ACRM GP#3 WIDER SOFT"/>
    <n v="1000"/>
    <x v="2"/>
    <x v="13"/>
    <m/>
    <n v="2000"/>
    <s v="North"/>
    <s v="KANPUR"/>
    <s v="KANP"/>
    <n v="933952"/>
    <s v="AGARWAL STEEL TRADERS"/>
    <n v="2428450"/>
    <s v="GP COIL SOFT TATXGP GK09 0.350X1250"/>
    <s v="C02"/>
    <s v="TATXGP"/>
    <s v="GK09"/>
    <n v="0.35"/>
    <n v="1250"/>
    <n v="0"/>
    <s v="T2 DONE"/>
    <s v="Z80"/>
    <s v=""/>
    <n v="4"/>
    <n v="12"/>
    <n v="29"/>
    <n v="22.47"/>
    <n v="6.43"/>
    <n v="6.43"/>
    <n v="11.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s v="0.31-0.39"/>
    <s v="900-904"/>
    <m/>
    <m/>
    <m/>
    <m/>
    <m/>
    <m/>
    <s v="S"/>
    <s v="GP03_KOSH"/>
    <s v="C02-GK09-0.35-1250"/>
    <s v="367-HG02-2.25-1265"/>
    <n v="367"/>
    <s v="T01576"/>
    <s v="HG02"/>
    <s v="C06A"/>
    <n v="2.25"/>
    <n v="1265"/>
    <n v="1703750"/>
    <m/>
    <m/>
    <m/>
    <m/>
    <m/>
    <m/>
    <m/>
    <m/>
    <m/>
    <m/>
    <m/>
    <m/>
    <m/>
    <m/>
    <m/>
    <m/>
    <m/>
    <m/>
    <m/>
    <s v="AGARWAL STEEL TRADERS"/>
  </r>
  <r>
    <n v="743"/>
    <d v="2025-08-21T00:00:00"/>
    <s v="ZBTO"/>
    <n v="9519034083"/>
    <n v="1"/>
    <s v="9519034083-1"/>
    <s v="No Priority"/>
    <s v="Released"/>
    <x v="0"/>
    <s v="GL01"/>
    <s v="ACRM GP#2 TBSPL BGL"/>
    <m/>
    <x v="4"/>
    <x v="3"/>
    <m/>
    <n v="1000"/>
    <s v="TBSPL"/>
    <s v="RAJASTHAN"/>
    <s v="BOMB"/>
    <n v="942293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187.72499999999999"/>
    <n v="8.2750000000000004"/>
    <n v="8.2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750000000000004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RIVATE LIMITE"/>
  </r>
  <r>
    <n v="743"/>
    <d v="2025-07-29T00:00:00"/>
    <s v="ZBTO"/>
    <n v="9518973099"/>
    <n v="4"/>
    <s v="9518973099-4"/>
    <s v="No Priority"/>
    <s v="Released"/>
    <x v="0"/>
    <s v="GP03"/>
    <s v="ACRM GP#3 NARROW"/>
    <m/>
    <x v="2"/>
    <x v="11"/>
    <m/>
    <n v="2000"/>
    <s v="East"/>
    <s v="GAUHATI"/>
    <s v="GWAH"/>
    <n v="103671"/>
    <s v="BAJRANG STEEL (SALES) CORPORATION"/>
    <n v="3710431"/>
    <s v="GP COIL TATGPH GP02 0.630X900"/>
    <s v="C05"/>
    <s v="TATGPH"/>
    <s v="GP02"/>
    <n v="0.63"/>
    <n v="900"/>
    <n v="0"/>
    <s v="T2 DONE"/>
    <s v="Z120"/>
    <s v=""/>
    <n v="1"/>
    <n v="5"/>
    <n v="21"/>
    <n v="19.715"/>
    <n v="1.2849999999999999"/>
    <n v="1.28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849999999999999"/>
    <s v="0.6-0.63"/>
    <s v="900-920"/>
    <m/>
    <m/>
    <m/>
    <m/>
    <m/>
    <m/>
    <s v="R"/>
    <s v="GP03_SHKT"/>
    <s v="C05-GP02-0.63-900"/>
    <s v="B69-SF93-2.5-925"/>
    <s v="B69"/>
    <s v="S02149"/>
    <s v="SF93"/>
    <s v="C07A"/>
    <n v="2.5"/>
    <n v="925"/>
    <n v="2429038"/>
    <m/>
    <m/>
    <m/>
    <m/>
    <m/>
    <m/>
    <m/>
    <m/>
    <m/>
    <m/>
    <m/>
    <m/>
    <m/>
    <m/>
    <m/>
    <m/>
    <m/>
    <m/>
    <m/>
    <s v="BAJRANG STEEL (SALES) CORPORATION"/>
  </r>
  <r>
    <n v="742"/>
    <d v="2025-09-17T00:00:00"/>
    <s v="ZBTO"/>
    <n v="9519113382"/>
    <n v="1"/>
    <s v="9519113382-1"/>
    <s v="Oct'25"/>
    <s v="Released"/>
    <x v="1"/>
    <s v="CR01"/>
    <s v="ACRM CRCA CTL"/>
    <m/>
    <x v="0"/>
    <x v="5"/>
    <m/>
    <n v="2000"/>
    <s v="West"/>
    <s v="JAIPUR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s v=" "/>
    <s v=""/>
    <n v="1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PELIKAN DOSSIER (P) LTD "/>
  </r>
  <r>
    <n v="742"/>
    <d v="2025-09-17T00:00:00"/>
    <s v="ZBTO"/>
    <n v="9519113382"/>
    <n v="2"/>
    <s v="9519113382-2"/>
    <s v="Oct'25"/>
    <s v="Released"/>
    <x v="1"/>
    <s v="CR01"/>
    <s v="ACRM CRCA CTL"/>
    <m/>
    <x v="0"/>
    <x v="5"/>
    <m/>
    <n v="2000"/>
    <s v="West"/>
    <s v="JAIPUR"/>
    <s v="JPUR"/>
    <n v="116137"/>
    <s v="PELIKAN DOSSIER (P) LTD "/>
    <n v="3240793"/>
    <s v="CRCA SHEET TSBCRC SR15 0.700X1250X2500"/>
    <s v="C06"/>
    <s v="TSBCRC"/>
    <s v="SR15"/>
    <n v="0.7"/>
    <n v="1250"/>
    <n v="2500"/>
    <s v="T2 DONE"/>
    <s v=" "/>
    <s v=""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s v="PELIKAN DOSSIER (P) LTD "/>
  </r>
  <r>
    <n v="742"/>
    <d v="2025-08-20T00:00:00"/>
    <s v="ZBTO"/>
    <n v="9519032508"/>
    <n v="5"/>
    <s v="9519032508-5"/>
    <s v="Sep'25"/>
    <s v="Released"/>
    <x v="1"/>
    <s v="CR02"/>
    <s v="ACRM CRCA CRS"/>
    <m/>
    <x v="0"/>
    <x v="0"/>
    <m/>
    <n v="2000"/>
    <s v="South"/>
    <s v="VISHAKHAPATNAM"/>
    <s v="SBAD"/>
    <n v="946077"/>
    <s v="SITARAM IRON AND STEEL PVT LTD"/>
    <n v="1801286"/>
    <s v="CRCA COIL-TATXXD-AU03-0.6X1000"/>
    <s v="C01"/>
    <s v="TATXXD"/>
    <s v="AU03"/>
    <n v="0.6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5"/>
    <m/>
    <m/>
    <m/>
    <m/>
    <m/>
    <m/>
    <s v="C"/>
    <s v="CRCA_STLM"/>
    <s v="C01-AU03-0.6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SITARAM IRON AND STEEL PVT LTD"/>
  </r>
  <r>
    <n v="742"/>
    <d v="2025-08-20T00:00:00"/>
    <s v="ZBTO"/>
    <n v="9519032508"/>
    <n v="6"/>
    <s v="9519032508-6"/>
    <s v="Sep'25"/>
    <s v="Released"/>
    <x v="1"/>
    <s v="CR02"/>
    <s v="ACRM CRCA CRS"/>
    <m/>
    <x v="0"/>
    <x v="0"/>
    <m/>
    <n v="2000"/>
    <s v="South"/>
    <s v="VISHAKHAPATNAM"/>
    <s v="SBAD"/>
    <n v="946077"/>
    <s v="SITARAM IRON AND STEEL PVT LTD"/>
    <n v="1801562"/>
    <s v="CRCA COIL-TATXXD-AU03-0.8X1000"/>
    <s v="C01"/>
    <s v="TATXXD"/>
    <s v="AU03"/>
    <n v="0.8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8-0.82"/>
    <s v="1000-1005"/>
    <m/>
    <m/>
    <m/>
    <m/>
    <m/>
    <m/>
    <s v="C"/>
    <s v="CRCA_STLM"/>
    <s v="C01-AU03-0.8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SITARAM IRON AND STEEL PVT LTD"/>
  </r>
  <r>
    <n v="742"/>
    <d v="2025-07-18T00:00:00"/>
    <s v="ZBTO"/>
    <n v="9518939680"/>
    <n v="1"/>
    <s v="9518939680-1"/>
    <s v="Sep'25"/>
    <s v="Released"/>
    <x v="1"/>
    <s v="CR01"/>
    <s v="ACRM CRCA CTL"/>
    <m/>
    <x v="0"/>
    <x v="0"/>
    <m/>
    <n v="2000"/>
    <s v="South"/>
    <s v="CHENNAI"/>
    <s v="MADS"/>
    <n v="938550"/>
    <s v="BASEER AND CO"/>
    <n v="279229"/>
    <s v="CRSHEET TATXXD AU03 0.50X1250X2500"/>
    <s v="C06"/>
    <s v="TATXXD"/>
    <s v="AU03"/>
    <n v="0.5"/>
    <n v="125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8-0.52"/>
    <s v="1250-1254"/>
    <m/>
    <m/>
    <m/>
    <m/>
    <m/>
    <m/>
    <s v="U"/>
    <s v="CRCA_STLM"/>
    <s v="C06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19"/>
    <s v="9518939680-19"/>
    <s v="Sep'25"/>
    <s v="Released"/>
    <x v="1"/>
    <s v="CR02"/>
    <s v="ACRM CRCA CRS"/>
    <m/>
    <x v="0"/>
    <x v="0"/>
    <m/>
    <n v="2000"/>
    <s v="South"/>
    <s v="CHENNAI"/>
    <s v="MADS"/>
    <n v="938550"/>
    <s v="BASEER AND CO"/>
    <n v="1804770"/>
    <s v="CRCA COIL-TATXXD-AU03-0.4X900"/>
    <s v="C01"/>
    <s v="TATXXD"/>
    <s v="AU03"/>
    <n v="0.4"/>
    <n v="900"/>
    <n v="0"/>
    <s v="T2 DONE"/>
    <s v=" "/>
    <s v=""/>
    <n v="6"/>
    <n v="18"/>
    <n v="42"/>
    <n v="0"/>
    <n v="42"/>
    <n v="1.2"/>
    <n v="0"/>
    <n v="0"/>
    <n v="0"/>
    <n v="41.9"/>
    <n v="0"/>
    <n v="0"/>
    <n v="0"/>
    <n v="0"/>
    <n v="0"/>
    <n v="0"/>
    <n v="0"/>
    <n v="0"/>
    <n v="0"/>
    <n v="0"/>
    <n v="0"/>
    <n v="0"/>
    <n v="0"/>
    <n v="0"/>
    <n v="0"/>
    <n v="41.9"/>
    <n v="0"/>
    <n v="41.9"/>
    <n v="0"/>
    <n v="42"/>
    <s v="0.38-0.42"/>
    <s v="900-904"/>
    <m/>
    <m/>
    <m/>
    <m/>
    <m/>
    <m/>
    <s v="R"/>
    <s v="CRCA_STLM"/>
    <s v="C01-AU03-0.4-900"/>
    <s v="B69-SH08-2-925"/>
    <s v="B69"/>
    <s v="T01320"/>
    <s v="SH08"/>
    <s v="C16D"/>
    <n v="2"/>
    <n v="925"/>
    <n v="3924598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20"/>
    <s v="9518939680-20"/>
    <s v="No Priority"/>
    <s v="Released"/>
    <x v="0"/>
    <s v="CR02"/>
    <s v="ACRM CRCA CRS"/>
    <m/>
    <x v="0"/>
    <x v="0"/>
    <m/>
    <n v="2000"/>
    <s v="South"/>
    <s v="CHENNAI"/>
    <s v="MADS"/>
    <n v="938550"/>
    <s v="BASEER AND CO"/>
    <n v="1804771"/>
    <s v="CRCA COIL-TATXXD-AU03-0.4X1000"/>
    <s v="C01"/>
    <s v="TATXXD"/>
    <s v="AU03"/>
    <n v="0.4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m/>
    <m/>
    <m/>
    <m/>
    <m/>
    <m/>
    <s v="R"/>
    <s v="CRCA_STLM"/>
    <s v="C01-AU03-0.4-1000"/>
    <s v="B69-SH08-2.25-1025"/>
    <s v="B69"/>
    <s v="T01320"/>
    <s v="SH08"/>
    <s v="C16D"/>
    <n v="2.25"/>
    <n v="1025"/>
    <n v="3924593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21"/>
    <s v="9518939680-21"/>
    <s v="No Priority"/>
    <s v="Released"/>
    <x v="0"/>
    <s v="CR02"/>
    <s v="ACRM CRCA CRS"/>
    <m/>
    <x v="0"/>
    <x v="0"/>
    <m/>
    <n v="2000"/>
    <s v="South"/>
    <s v="CHENNAI"/>
    <s v="MADS"/>
    <n v="938550"/>
    <s v="BASEER AND CO"/>
    <n v="1149855"/>
    <s v="CRCA COIL-TATXXD-AU03-0.45X900"/>
    <s v="C01"/>
    <s v="TATXXD"/>
    <s v="AU03"/>
    <n v="0.45"/>
    <n v="900"/>
    <n v="0"/>
    <s v="T2 DONE"/>
    <s v=" "/>
    <s v=""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3-0.47"/>
    <s v="900-904"/>
    <m/>
    <m/>
    <m/>
    <m/>
    <m/>
    <m/>
    <s v="R"/>
    <s v="CRCA_STLM"/>
    <s v="C01-AU03-0.45-900"/>
    <s v="B69-SH08-2-925"/>
    <s v="B69"/>
    <s v="T01320"/>
    <s v="SH08"/>
    <s v="C16D"/>
    <n v="2"/>
    <n v="925"/>
    <n v="3924598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22"/>
    <s v="9518939680-22"/>
    <s v="No Priority"/>
    <s v="Released"/>
    <x v="0"/>
    <s v="CR02"/>
    <s v="ACRM CRCA CRS"/>
    <m/>
    <x v="0"/>
    <x v="0"/>
    <m/>
    <n v="2000"/>
    <s v="South"/>
    <s v="CHENNAI"/>
    <s v="MADS"/>
    <n v="938550"/>
    <s v="BASEER AND CO"/>
    <n v="2397585"/>
    <s v="CRCA COIL TATXXD AU03 0.450X1000"/>
    <s v="C01"/>
    <s v="TATXXD"/>
    <s v="AU03"/>
    <n v="0.45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3-0.47"/>
    <s v="1000-1004"/>
    <m/>
    <m/>
    <m/>
    <m/>
    <m/>
    <m/>
    <s v="R"/>
    <s v="CRCA_STLM"/>
    <s v="C01-AU03-0.45-1000"/>
    <s v="B69-SH08-2.25-1025"/>
    <s v="B69"/>
    <s v="T01320"/>
    <s v="SH08"/>
    <s v="C16D"/>
    <n v="2.25"/>
    <n v="1025"/>
    <n v="3924593"/>
    <m/>
    <m/>
    <m/>
    <m/>
    <m/>
    <m/>
    <m/>
    <m/>
    <m/>
    <m/>
    <m/>
    <m/>
    <m/>
    <m/>
    <m/>
    <m/>
    <m/>
    <m/>
    <m/>
    <s v="BASEER AND CO"/>
  </r>
  <r>
    <n v="743"/>
    <d v="2025-07-05T00:00:00"/>
    <s v="ZBTO"/>
    <n v="9518908638"/>
    <n v="1"/>
    <s v="9518908638-1"/>
    <s v="Sep'25"/>
    <s v="Released"/>
    <x v="1"/>
    <s v="GP03"/>
    <s v="ACRM GP#3 NARROW"/>
    <m/>
    <x v="2"/>
    <x v="11"/>
    <m/>
    <n v="2000"/>
    <s v="North"/>
    <s v="SRINAGAR"/>
    <s v="LUDH"/>
    <n v="115190"/>
    <s v="SHEYRUB AGENCIES"/>
    <n v="3897501"/>
    <s v="GP COIL XXXGPH GPH3 0.500X900"/>
    <s v="C05"/>
    <s v="XXXGPH"/>
    <s v="GPH3"/>
    <n v="0.5"/>
    <n v="900"/>
    <n v="0"/>
    <s v="T2 DONE"/>
    <s v="Z80"/>
    <s v=""/>
    <n v="3"/>
    <n v="5"/>
    <n v="42"/>
    <n v="19.484999999999999"/>
    <n v="22.515000000000001"/>
    <n v="22.5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515000000000001"/>
    <s v="0.47-0.51"/>
    <s v="900-902"/>
    <m/>
    <m/>
    <m/>
    <m/>
    <m/>
    <m/>
    <s v="R"/>
    <s v="NA"/>
    <s v="C05-GPH3-0.5-900"/>
    <s v="B69-SF93-2.5-925"/>
    <s v="B69"/>
    <s v="S02149"/>
    <s v="SF93"/>
    <s v="C07A"/>
    <n v="2.5"/>
    <n v="925"/>
    <n v="2429038"/>
    <m/>
    <m/>
    <m/>
    <m/>
    <m/>
    <m/>
    <m/>
    <m/>
    <m/>
    <m/>
    <m/>
    <m/>
    <m/>
    <m/>
    <m/>
    <m/>
    <m/>
    <m/>
    <m/>
    <s v="SHEYRUB AGENCIES"/>
  </r>
  <r>
    <n v="743"/>
    <d v="2025-08-20T00:00:00"/>
    <s v="ZBTO"/>
    <n v="9519031945"/>
    <n v="1"/>
    <s v="9519031945-1"/>
    <s v="Stocks"/>
    <s v="Released"/>
    <x v="1"/>
    <s v="GP03"/>
    <s v="ACRM GP#3 NARROW"/>
    <m/>
    <x v="2"/>
    <x v="6"/>
    <m/>
    <n v="2000"/>
    <s v="East"/>
    <s v="TANGI"/>
    <s v="BHUB"/>
    <n v="117061"/>
    <s v="BHARTIA  DISTRIBUTORS PVT. LTD."/>
    <n v="3484324"/>
    <s v="GP SH SOFT TATXGP GK09 0.300X900X2500"/>
    <s v="B11"/>
    <s v="TATXGP"/>
    <s v="GK09"/>
    <n v="0.3"/>
    <n v="900"/>
    <n v="2500"/>
    <s v="T2 DONE"/>
    <s v="Z80"/>
    <s v=""/>
    <n v="0.1"/>
    <n v="5"/>
    <n v="90"/>
    <n v="88.944999999999993"/>
    <n v="1.0549999999999999"/>
    <n v="1.0549999999999999"/>
    <n v="22.99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49999999999999"/>
    <s v="0.297-0.3"/>
    <s v="900-903"/>
    <m/>
    <m/>
    <m/>
    <m/>
    <m/>
    <m/>
    <s v="R"/>
    <s v="GP03_KOSH"/>
    <s v="B11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BHARTIA  DISTRIBUTORS PVT. LTD."/>
  </r>
  <r>
    <n v="742"/>
    <d v="2025-07-23T00:00:00"/>
    <s v="ZBTO"/>
    <n v="9518951771"/>
    <n v="2"/>
    <s v="9518951771-2"/>
    <s v="Sep'25"/>
    <s v="Released"/>
    <x v="1"/>
    <s v="CR02"/>
    <s v="ACRM CRCA CRS"/>
    <m/>
    <x v="0"/>
    <x v="0"/>
    <m/>
    <n v="2000"/>
    <s v="South"/>
    <s v="GUMMIDIPOONDI"/>
    <s v="MADS"/>
    <n v="161312"/>
    <s v="GOVINDARAJA MUDALIAR SONS PVT LTD"/>
    <n v="2390540"/>
    <s v="CRCA COIL TATXXD AU03 1.800X1250"/>
    <s v="C01"/>
    <s v="TATXXD"/>
    <s v="AU03"/>
    <n v="1.8"/>
    <n v="1250"/>
    <n v="0"/>
    <s v="T2 DONE"/>
    <s v=" "/>
    <s v=""/>
    <n v="5"/>
    <n v="29"/>
    <n v="87"/>
    <n v="0"/>
    <n v="87"/>
    <n v="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1.78-1.82"/>
    <s v="1250-1262"/>
    <m/>
    <m/>
    <m/>
    <m/>
    <m/>
    <s v="4000519244-7"/>
    <s v="U"/>
    <s v="CRCA_STLM"/>
    <s v="C01-AU03-1.8-1250"/>
    <s v="367-SH08-4-1250"/>
    <n v="367"/>
    <s v="T01320"/>
    <s v="SH08"/>
    <s v="C16D"/>
    <n v="4"/>
    <n v="1250"/>
    <n v="406488"/>
    <m/>
    <m/>
    <m/>
    <m/>
    <m/>
    <m/>
    <m/>
    <m/>
    <m/>
    <m/>
    <m/>
    <m/>
    <m/>
    <m/>
    <m/>
    <m/>
    <m/>
    <m/>
    <m/>
    <s v="GOVINDARAJA MUDALIAR SONS PVT LTD"/>
  </r>
  <r>
    <n v="742"/>
    <d v="2025-07-07T00:00:00"/>
    <s v="ZBTO"/>
    <n v="9518911415"/>
    <n v="8"/>
    <s v="9518911415-8"/>
    <s v="Sep'25"/>
    <s v="Released"/>
    <x v="1"/>
    <s v="CR01"/>
    <s v="ACRM CRCA CTL"/>
    <m/>
    <x v="0"/>
    <x v="5"/>
    <m/>
    <n v="2000"/>
    <s v="North"/>
    <s v="VARANASI"/>
    <s v="KANP"/>
    <n v="931525"/>
    <s v="INDIA STEEL INDUSTRIES"/>
    <n v="3912457"/>
    <s v="CRCA SHEET TATCRC SR16 0.400X1250X2020"/>
    <s v="C06"/>
    <s v="TATCRC"/>
    <s v="SR16"/>
    <n v="0.4"/>
    <n v="1250"/>
    <n v="202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INDIA STEEL INDUSTRIES"/>
  </r>
  <r>
    <n v="742"/>
    <d v="2025-08-27T00:00:00"/>
    <s v="ZBTO"/>
    <n v="9519054439"/>
    <n v="1"/>
    <s v="9519054439-1"/>
    <s v="Stocks"/>
    <s v="Released"/>
    <x v="0"/>
    <e v="#N/A"/>
    <e v="#N/A"/>
    <m/>
    <x v="5"/>
    <x v="4"/>
    <m/>
    <n v="1000"/>
    <s v="West"/>
    <s v="VILLAGE-PRAGPAR"/>
    <s v="AMED"/>
    <n v="189108"/>
    <s v="Manaksia Coated Metals &amp; Industries"/>
    <n v="2305888"/>
    <s v="CRFH COIL TATFHC TR10 0.370X1200"/>
    <s v="C09"/>
    <s v="TATFHC"/>
    <s v="TR10"/>
    <n v="0.37"/>
    <n v="1200"/>
    <n v="0"/>
    <s v="T2 DONE"/>
    <s v=" "/>
    <s v=""/>
    <n v="10"/>
    <n v="20"/>
    <n v="107.999"/>
    <n v="111.83"/>
    <n v="-3.831"/>
    <n v="-3.831"/>
    <n v="22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831"/>
    <s v="0.355-0.38"/>
    <s v="1200-1203"/>
    <m/>
    <m/>
    <m/>
    <m/>
    <m/>
    <m/>
    <s v="T"/>
    <s v="CRFH_IPP"/>
    <s v="C09-TR10-0.37-1200"/>
    <s v="367-HG02-2-1200"/>
    <n v="367"/>
    <s v="T01576"/>
    <s v="HG02"/>
    <s v="C06A"/>
    <n v="2"/>
    <n v="1200"/>
    <n v="428126"/>
    <m/>
    <m/>
    <m/>
    <m/>
    <m/>
    <m/>
    <m/>
    <m/>
    <m/>
    <m/>
    <m/>
    <m/>
    <m/>
    <m/>
    <m/>
    <m/>
    <m/>
    <m/>
    <m/>
    <s v="Manaksia Coated Metals &amp; Industries"/>
  </r>
  <r>
    <n v="743"/>
    <d v="2025-08-27T00:00:00"/>
    <s v="ZBTO"/>
    <n v="9519054666"/>
    <n v="2"/>
    <s v="9519054666-2"/>
    <s v="No Priority"/>
    <s v="Released"/>
    <x v="0"/>
    <s v="GP02"/>
    <s v="ACRM GP#3 WIDER SOFT"/>
    <m/>
    <x v="2"/>
    <x v="13"/>
    <m/>
    <n v="2000"/>
    <s v="East"/>
    <s v="GUWAHATI"/>
    <s v="GWAH"/>
    <n v="936511"/>
    <s v="SAGAR STEELS PROCESSING &amp; MANUFACTU"/>
    <n v="1300229"/>
    <s v="GP COIL SOFT-TATXGP-GLK1-0.4X1220"/>
    <s v="C02"/>
    <s v="TATXGP"/>
    <s v="GLK1"/>
    <n v="0.4"/>
    <n v="1220"/>
    <n v="0"/>
    <s v="T2 DONE"/>
    <s v="Z80"/>
    <s v=""/>
    <n v="6"/>
    <n v="24"/>
    <n v="112"/>
    <n v="108.81"/>
    <n v="3.19"/>
    <n v="3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9"/>
    <s v="0.37-0.4"/>
    <s v="1220-1240"/>
    <m/>
    <m/>
    <m/>
    <m/>
    <m/>
    <m/>
    <s v="R"/>
    <s v="GP03_KOSH"/>
    <s v="C02-GLK1-0.4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SAGAR STEELS PROCESSING &amp; MANUFACTU"/>
  </r>
  <r>
    <n v="742"/>
    <d v="2025-08-29T00:00:00"/>
    <s v="ZBTO"/>
    <n v="9519060675"/>
    <n v="3"/>
    <s v="9519060675-3"/>
    <s v="No Priority"/>
    <s v="Released"/>
    <x v="0"/>
    <e v="#N/A"/>
    <e v="#N/A"/>
    <m/>
    <x v="1"/>
    <x v="2"/>
    <m/>
    <n v="2000"/>
    <s v="South"/>
    <s v="YESHWANTHPURA"/>
    <s v="BANG"/>
    <n v="932179"/>
    <s v="DURGA STEEL INDUSTRIES"/>
    <n v="1294719"/>
    <s v="HR COILS-POIS 1079 HR2  2.90X1250"/>
    <n v="768"/>
    <s v="THR099"/>
    <s v="HR99"/>
    <n v="2.9"/>
    <n v="1250"/>
    <n v="0"/>
    <s v="T2 DONE"/>
    <s v=" "/>
    <s v=""/>
    <n v="15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"/>
    <s v="1250-1275"/>
    <m/>
    <m/>
    <m/>
    <m/>
    <m/>
    <m/>
    <s v="U"/>
    <s v="HRPO_HOSUR"/>
    <s v="768-HR99-2.9-1250"/>
    <s v="367-HR99-2.9-1250"/>
    <n v="367"/>
    <s v="THR099"/>
    <s v="HR99"/>
    <s v="D06A"/>
    <n v="2.9"/>
    <n v="1250"/>
    <n v="1199396"/>
    <m/>
    <m/>
    <m/>
    <m/>
    <m/>
    <m/>
    <m/>
    <m/>
    <m/>
    <m/>
    <m/>
    <m/>
    <m/>
    <m/>
    <m/>
    <m/>
    <m/>
    <m/>
    <m/>
    <s v="DURGA STEEL INDUSTRIES"/>
  </r>
  <r>
    <n v="742"/>
    <d v="2025-08-29T00:00:00"/>
    <s v="ZBTO"/>
    <n v="9519060675"/>
    <n v="4"/>
    <s v="9519060675-4"/>
    <s v="No Priority"/>
    <s v="Released"/>
    <x v="0"/>
    <e v="#N/A"/>
    <e v="#N/A"/>
    <m/>
    <x v="1"/>
    <x v="2"/>
    <m/>
    <n v="2000"/>
    <s v="South"/>
    <s v="YESHWANTHPURA"/>
    <s v="BANG"/>
    <n v="932179"/>
    <s v="DURGA STEEL INDUSTRIES"/>
    <n v="1252834"/>
    <s v="HR COILS-PO IS 1079 HR2 3.0X1250"/>
    <n v="768"/>
    <s v="THR099"/>
    <s v="HR99"/>
    <n v="3"/>
    <n v="1250"/>
    <n v="0"/>
    <s v="T2 DONE"/>
    <s v=" "/>
    <s v=""/>
    <n v="15"/>
    <n v="29"/>
    <n v="87"/>
    <n v="67.004999999999995"/>
    <n v="19.995000000000001"/>
    <n v="19.99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95000000000001"/>
    <s v=""/>
    <s v="1250-1275"/>
    <m/>
    <m/>
    <m/>
    <m/>
    <m/>
    <m/>
    <s v="U"/>
    <s v="HRPO_BPRS"/>
    <s v="768-HR99-3-1250"/>
    <s v="367-HR99-3-1250"/>
    <n v="367"/>
    <s v="THR099"/>
    <s v="HR99"/>
    <s v="D06A"/>
    <n v="3"/>
    <n v="1250"/>
    <n v="1179668"/>
    <m/>
    <m/>
    <m/>
    <m/>
    <m/>
    <m/>
    <m/>
    <m/>
    <m/>
    <m/>
    <m/>
    <m/>
    <m/>
    <m/>
    <m/>
    <m/>
    <m/>
    <m/>
    <m/>
    <s v="DURGA STEEL INDUSTRIES"/>
  </r>
  <r>
    <n v="742"/>
    <d v="2025-08-29T00:00:00"/>
    <s v="ZBTO"/>
    <n v="9519060675"/>
    <n v="5"/>
    <s v="9519060675-5"/>
    <s v="No Priority"/>
    <s v="Released"/>
    <x v="0"/>
    <e v="#N/A"/>
    <e v="#N/A"/>
    <m/>
    <x v="1"/>
    <x v="2"/>
    <m/>
    <n v="2000"/>
    <s v="South"/>
    <s v="YESHWANTHPURA"/>
    <s v="BANG"/>
    <n v="932179"/>
    <s v="DURGA STEEL INDUSTRIES"/>
    <n v="1210086"/>
    <s v="HR COILS-PO IS 1079 HR2 4X1250"/>
    <n v="768"/>
    <s v="THR099"/>
    <s v="HR99"/>
    <n v="4"/>
    <n v="1250"/>
    <n v="0"/>
    <s v="T2 DONE"/>
    <s v=" "/>
    <s v=""/>
    <n v="15"/>
    <n v="29"/>
    <n v="58"/>
    <n v="43.12"/>
    <n v="14.88"/>
    <n v="14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8"/>
    <s v=""/>
    <s v="1250-1275"/>
    <m/>
    <m/>
    <m/>
    <m/>
    <m/>
    <m/>
    <s v="U"/>
    <s v="HRPO_BPRS"/>
    <s v="768-HR99-4-1250"/>
    <s v="367-HR99-4-1250"/>
    <n v="367"/>
    <s v="THR099"/>
    <s v="HR99"/>
    <s v="D06A"/>
    <n v="4"/>
    <n v="1250"/>
    <n v="1209959"/>
    <m/>
    <m/>
    <m/>
    <m/>
    <m/>
    <m/>
    <m/>
    <m/>
    <m/>
    <m/>
    <m/>
    <m/>
    <m/>
    <m/>
    <m/>
    <m/>
    <m/>
    <m/>
    <m/>
    <s v="DURGA STEEL INDUSTRIES"/>
  </r>
  <r>
    <n v="742"/>
    <d v="2025-08-22T00:00:00"/>
    <s v="ZBTO"/>
    <n v="9519038135"/>
    <n v="3"/>
    <s v="9519038135-3"/>
    <s v="No Priority"/>
    <s v="Released"/>
    <x v="0"/>
    <e v="#N/A"/>
    <e v="#N/A"/>
    <m/>
    <x v="0"/>
    <x v="0"/>
    <m/>
    <n v="2000"/>
    <s v="South"/>
    <s v="VALPARAI"/>
    <s v="MADS"/>
    <n v="116465"/>
    <s v="SRI BALAJI STEEL TRADERS"/>
    <n v="1804854"/>
    <s v="CRCA COIL-TATXXD-AU03-1.2X1250"/>
    <s v="C01"/>
    <s v="TATXXD"/>
    <s v="AU03"/>
    <n v="1.2"/>
    <n v="1250"/>
    <n v="0"/>
    <s v="T2 DONE"/>
    <s v=" "/>
    <s v=""/>
    <n v="6"/>
    <n v="18"/>
    <n v="29"/>
    <n v="23.37"/>
    <n v="5.63"/>
    <n v="-18.22"/>
    <n v="0"/>
    <n v="0"/>
    <n v="0"/>
    <n v="0"/>
    <n v="0"/>
    <n v="0"/>
    <n v="0"/>
    <n v="0"/>
    <n v="0"/>
    <n v="23.87"/>
    <n v="0"/>
    <n v="0"/>
    <n v="0"/>
    <n v="0"/>
    <n v="0"/>
    <n v="0"/>
    <n v="0"/>
    <n v="0"/>
    <n v="0"/>
    <n v="23.87"/>
    <n v="0"/>
    <n v="23.87"/>
    <n v="0"/>
    <n v="5.63"/>
    <s v="1.18-1.22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m/>
    <m/>
    <m/>
    <m/>
    <m/>
    <m/>
    <m/>
    <m/>
    <m/>
    <m/>
    <m/>
    <m/>
    <m/>
    <m/>
    <s v="SRI BALAJI STEEL TRADERS"/>
  </r>
  <r>
    <n v="743"/>
    <d v="2025-08-30T00:00:00"/>
    <s v="ZBTO"/>
    <n v="9519065058"/>
    <n v="1"/>
    <s v="9519065058-1"/>
    <s v="Oct'25"/>
    <s v="Released"/>
    <x v="1"/>
    <s v="GL01"/>
    <s v="ACRM GP#2 TBSPL BGL"/>
    <m/>
    <x v="4"/>
    <x v="3"/>
    <m/>
    <n v="1000"/>
    <s v="TBSPL"/>
    <s v="TAMILNADU"/>
    <s v="BOMB"/>
    <n v="942294"/>
    <s v="TATA BLUESCOPE STEEL PRIVATE LIMITE"/>
    <n v="4108810"/>
    <s v="GL COIL HARD  Y550GL M310 0.350X1220"/>
    <s v="B04"/>
    <s v="Y550GL"/>
    <s v="M310"/>
    <n v="0.35"/>
    <n v="1220"/>
    <n v="0"/>
    <s v="T2 DONE"/>
    <s v="aZ150"/>
    <s v=""/>
    <n v="3"/>
    <n v="5"/>
    <n v="56"/>
    <n v="48.94"/>
    <n v="7.06"/>
    <n v="3.7850000000000001"/>
    <n v="0"/>
    <n v="0"/>
    <n v="0"/>
    <n v="0"/>
    <n v="0"/>
    <n v="0"/>
    <n v="0"/>
    <n v="0"/>
    <n v="0"/>
    <n v="0"/>
    <n v="0"/>
    <n v="0"/>
    <n v="0"/>
    <n v="0"/>
    <n v="0"/>
    <n v="0"/>
    <n v="15.8"/>
    <n v="0"/>
    <n v="0"/>
    <n v="15.8"/>
    <n v="0"/>
    <n v="15.8"/>
    <n v="0"/>
    <n v="7.06"/>
    <s v="0.33-0.37"/>
    <s v="1220-1222"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RIVATE LIMITE"/>
  </r>
  <r>
    <n v="743"/>
    <d v="2025-08-26T00:00:00"/>
    <s v="ZBTO"/>
    <n v="9519051518"/>
    <n v="1"/>
    <s v="9519051518-1"/>
    <s v="Stocks"/>
    <s v="Released"/>
    <x v="1"/>
    <s v="GL01"/>
    <s v="ACRM GP#2 TBSPL BGL"/>
    <m/>
    <x v="4"/>
    <x v="3"/>
    <m/>
    <n v="1000"/>
    <s v="TBSPL"/>
    <s v="TATANAGAR"/>
    <s v="BOMB"/>
    <n v="942284"/>
    <s v="TATA BLUESCOPE STEEL PRIVATE LIMITE"/>
    <n v="4108810"/>
    <s v="GL COIL HARD  Y550GL M310 0.350X1220"/>
    <s v="B04"/>
    <s v="Y550GL"/>
    <s v="M310"/>
    <n v="0.35"/>
    <n v="1220"/>
    <n v="0"/>
    <s v="T2 DONE"/>
    <s v="aZ150"/>
    <s v=""/>
    <n v="3"/>
    <n v="5"/>
    <n v="28"/>
    <n v="24.11"/>
    <n v="3.89"/>
    <n v="3.89"/>
    <n v="24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9"/>
    <s v="0.33-0.37"/>
    <s v="1220-1222"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RIVATE LIMITE"/>
  </r>
  <r>
    <n v="743"/>
    <d v="2025-09-04T00:00:00"/>
    <s v="ZBTO"/>
    <n v="9519078271"/>
    <n v="1"/>
    <s v="9519078271-1"/>
    <s v="No Priority"/>
    <s v="Released"/>
    <x v="0"/>
    <s v="GL03"/>
    <s v="ACRM GP#2 NON TBSPL"/>
    <m/>
    <x v="4"/>
    <x v="12"/>
    <m/>
    <n v="1000"/>
    <s v="West"/>
    <s v="JAIPUR"/>
    <s v="AMED"/>
    <n v="950529"/>
    <s v="RAYDEAN ENTERPRISES PRIVATE LIMITED"/>
    <n v="3884496"/>
    <s v="GL COIL HARD  Y550GL HGL6 0.900X1220"/>
    <s v="B04"/>
    <s v="Y550GL"/>
    <s v="HGL6"/>
    <n v="0.9"/>
    <n v="1220"/>
    <n v="0"/>
    <s v="T2 DONE"/>
    <s v="aZ150"/>
    <s v=""/>
    <n v="8"/>
    <n v="14"/>
    <n v="168"/>
    <n v="165.52500000000001"/>
    <n v="2.4750000000000001"/>
    <n v="-5.2249999999999996"/>
    <n v="0"/>
    <n v="0"/>
    <n v="0"/>
    <n v="0"/>
    <n v="0"/>
    <n v="0"/>
    <n v="0"/>
    <n v="7.7"/>
    <n v="0"/>
    <n v="0"/>
    <n v="0"/>
    <n v="0"/>
    <n v="0"/>
    <n v="0"/>
    <n v="0"/>
    <n v="0"/>
    <n v="0"/>
    <n v="0"/>
    <n v="0"/>
    <n v="7.7"/>
    <n v="7.7"/>
    <n v="0"/>
    <n v="0"/>
    <n v="-5.2249999999999996"/>
    <s v="0.88-0.92"/>
    <s v="1220-1222"/>
    <m/>
    <m/>
    <m/>
    <m/>
    <m/>
    <m/>
    <s v="R"/>
    <s v="NA"/>
    <s v="B04-HGL6-0.9-12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RAYDEAN ENTERPRISES PRIVATE LIMITED"/>
  </r>
  <r>
    <n v="742"/>
    <d v="2025-07-21T00:00:00"/>
    <s v="ZBTO"/>
    <n v="9518946807"/>
    <n v="1"/>
    <s v="9518946807-1"/>
    <s v="No Priority"/>
    <s v="Released"/>
    <x v="0"/>
    <s v="CR02"/>
    <s v="ACRM CRCA CRS"/>
    <m/>
    <x v="0"/>
    <x v="0"/>
    <m/>
    <n v="2000"/>
    <s v="North"/>
    <s v="ZOSOLA"/>
    <s v="FBAD"/>
    <n v="101499"/>
    <s v="G.R. GUPTA &amp; BROS."/>
    <n v="1800890"/>
    <s v="CRCA COIL-TATXXD-AU03-0.35X1250"/>
    <s v="C01"/>
    <s v="TATXXD"/>
    <s v="AU03"/>
    <n v="0.35"/>
    <n v="1250"/>
    <n v="0"/>
    <s v="T2 DONE"/>
    <s v=" "/>
    <s v=""/>
    <n v="10"/>
    <n v="30"/>
    <n v="29"/>
    <n v="10.414999999999999"/>
    <n v="18.585000000000001"/>
    <n v="18.58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585000000000001"/>
    <s v="0.32-0.36"/>
    <s v="1250-1252"/>
    <m/>
    <m/>
    <m/>
    <m/>
    <m/>
    <m/>
    <s v="M"/>
    <s v="CRCA_STLM"/>
    <s v="C01-AU03-0.35-1250"/>
    <s v="367-SH08-2-1275"/>
    <n v="367"/>
    <s v="T01320"/>
    <s v="SH08"/>
    <s v="C16D"/>
    <n v="2"/>
    <n v="1275"/>
    <n v="3636910"/>
    <m/>
    <m/>
    <m/>
    <m/>
    <m/>
    <m/>
    <m/>
    <m/>
    <m/>
    <m/>
    <m/>
    <m/>
    <m/>
    <m/>
    <m/>
    <m/>
    <m/>
    <m/>
    <m/>
    <s v="G.R. GUPTA &amp; BROS."/>
  </r>
  <r>
    <n v="743"/>
    <d v="2025-08-21T00:00:00"/>
    <s v="ZBTO"/>
    <n v="9519035025"/>
    <n v="2"/>
    <s v="9519035025-2"/>
    <s v="No Priority"/>
    <s v="Released"/>
    <x v="0"/>
    <s v="GL01"/>
    <s v="ACRM GP#2 TBSPL BGL"/>
    <m/>
    <x v="4"/>
    <x v="3"/>
    <m/>
    <n v="1000"/>
    <s v="TBSPL"/>
    <s v="TAMILNADU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68"/>
    <n v="164.53"/>
    <n v="3.47"/>
    <n v="3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7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RIVATE LIMITE"/>
  </r>
  <r>
    <n v="742"/>
    <d v="2025-08-28T00:00:00"/>
    <s v="ZBTF"/>
    <n v="4000516624"/>
    <n v="2"/>
    <s v="4000516624-2"/>
    <s v="No Priority"/>
    <s v="Released"/>
    <x v="0"/>
    <e v="#N/A"/>
    <e v="#N/A"/>
    <m/>
    <x v="1"/>
    <x v="7"/>
    <m/>
    <n v="2000"/>
    <s v="South"/>
    <s v="YESHWANTHPURA"/>
    <s v=""/>
    <n v="600103"/>
    <s v="TATA STEEL LIMITED"/>
    <n v="1250221"/>
    <s v="HR COILS-PO IS 1079 HR2 2.50X1250"/>
    <n v="768"/>
    <s v="THR099"/>
    <s v="HR99"/>
    <n v="2.5"/>
    <n v="1250"/>
    <n v="0"/>
    <s v="T2 DONE"/>
    <s v=" "/>
    <s v=""/>
    <n v="10"/>
    <n v="27"/>
    <n v="290.00099999999998"/>
    <n v="44.35"/>
    <n v="245.65100000000001"/>
    <n v="245.651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.65100000000001"/>
    <s v=""/>
    <s v=""/>
    <m/>
    <m/>
    <m/>
    <m/>
    <m/>
    <m/>
    <s v="U"/>
    <s v="HRPO_BPRS"/>
    <s v="768-HR99-2.5-1250"/>
    <s v="367-HR99-2.5-1250"/>
    <n v="367"/>
    <s v="THR099"/>
    <s v="HR99"/>
    <s v="D06A"/>
    <n v="2.5"/>
    <n v="1250"/>
    <n v="1179666"/>
    <m/>
    <m/>
    <m/>
    <m/>
    <m/>
    <m/>
    <m/>
    <m/>
    <m/>
    <m/>
    <m/>
    <m/>
    <m/>
    <m/>
    <m/>
    <m/>
    <m/>
    <m/>
    <m/>
    <s v="TATA STEEL LIMITED"/>
  </r>
  <r>
    <n v="742"/>
    <d v="2025-08-28T00:00:00"/>
    <s v="ZBTF"/>
    <n v="4000516624"/>
    <n v="4"/>
    <s v="4000516624-4"/>
    <s v="No Priority"/>
    <s v="Released"/>
    <x v="0"/>
    <e v="#N/A"/>
    <e v="#N/A"/>
    <m/>
    <x v="1"/>
    <x v="7"/>
    <m/>
    <n v="2000"/>
    <s v="South"/>
    <s v="YESHWANTHPURA"/>
    <s v=""/>
    <n v="600103"/>
    <s v="TATA STEEL LIMITED"/>
    <n v="1294722"/>
    <s v="HR COILS-PO IS 1079 HR2 3.15X1250"/>
    <n v="768"/>
    <s v="THR099"/>
    <s v="HR99"/>
    <n v="3.15"/>
    <n v="1250"/>
    <n v="0"/>
    <s v="T2 DONE"/>
    <s v=" "/>
    <s v=""/>
    <n v="10"/>
    <n v="27"/>
    <n v="174.001"/>
    <n v="0"/>
    <n v="174.001"/>
    <n v="174.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.001"/>
    <s v=""/>
    <s v=""/>
    <m/>
    <m/>
    <m/>
    <m/>
    <m/>
    <m/>
    <s v="U"/>
    <s v="HRPO_HOSUR"/>
    <s v="768-HR99-3.15-1250"/>
    <s v="367-HR99-3.15-1250"/>
    <n v="367"/>
    <s v="THR099"/>
    <s v="HR99"/>
    <s v="D06A"/>
    <n v="3.15"/>
    <n v="1250"/>
    <n v="1294967"/>
    <m/>
    <m/>
    <m/>
    <m/>
    <m/>
    <m/>
    <m/>
    <m/>
    <m/>
    <m/>
    <m/>
    <m/>
    <m/>
    <m/>
    <m/>
    <m/>
    <m/>
    <m/>
    <m/>
    <s v="TATA STEEL LIMITED"/>
  </r>
  <r>
    <n v="742"/>
    <d v="2025-08-28T00:00:00"/>
    <s v="ZBTF"/>
    <n v="4000516624"/>
    <n v="5"/>
    <s v="4000516624-5"/>
    <s v="No Priority"/>
    <s v="Released"/>
    <x v="0"/>
    <e v="#N/A"/>
    <e v="#N/A"/>
    <m/>
    <x v="1"/>
    <x v="7"/>
    <m/>
    <n v="2000"/>
    <s v="South"/>
    <s v="YESHWANTHPURA"/>
    <s v=""/>
    <n v="600103"/>
    <s v="TATA STEEL LIMITED"/>
    <n v="3226988"/>
    <s v="HR COILS-PO THR099 HR99 3.40X1250"/>
    <n v="768"/>
    <s v="THR099"/>
    <s v="HR99"/>
    <n v="3.4"/>
    <n v="1250"/>
    <n v="0"/>
    <s v="T2 DONE"/>
    <s v=" "/>
    <s v=""/>
    <n v="10"/>
    <n v="27"/>
    <n v="87.001000000000005"/>
    <n v="0"/>
    <n v="87.001000000000005"/>
    <n v="87.001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.001000000000005"/>
    <s v=""/>
    <s v=""/>
    <m/>
    <m/>
    <m/>
    <m/>
    <m/>
    <m/>
    <s v="U"/>
    <s v="HRPO_HOSUR"/>
    <s v="768-HR99-3.4-1250"/>
    <s v="367-HR99-3.4-1250"/>
    <n v="367"/>
    <s v="THR099"/>
    <s v="HR99"/>
    <s v="D06A"/>
    <n v="3.4"/>
    <n v="1250"/>
    <n v="3449888"/>
    <m/>
    <m/>
    <m/>
    <m/>
    <m/>
    <m/>
    <m/>
    <m/>
    <m/>
    <m/>
    <m/>
    <m/>
    <m/>
    <m/>
    <m/>
    <m/>
    <m/>
    <m/>
    <m/>
    <s v="TATA STEEL LIMITED"/>
  </r>
  <r>
    <n v="743"/>
    <d v="2025-09-16T00:00:00"/>
    <s v="ZBTO"/>
    <n v="9519107089"/>
    <n v="5"/>
    <s v="9519107089-5"/>
    <s v="Oct'25"/>
    <s v="Released"/>
    <x v="1"/>
    <s v="GP03"/>
    <s v="ACRM GP#3 NARROW"/>
    <m/>
    <x v="2"/>
    <x v="6"/>
    <m/>
    <n v="2000"/>
    <s v="East"/>
    <s v="URLA"/>
    <s v="RPUR"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1"/>
    <s v="900-903"/>
    <m/>
    <m/>
    <m/>
    <m/>
    <m/>
    <m/>
    <s v="M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PASA ASSOCIATES PRIVATE LIMITED"/>
  </r>
  <r>
    <n v="742"/>
    <d v="2025-08-20T00:00:00"/>
    <s v="ZBTO"/>
    <n v="9519031476"/>
    <n v="4"/>
    <s v="9519031476-4"/>
    <s v="Oct'25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40778"/>
    <s v="CRCA SHEET TSBCRC SR15 0.600X1000X2500"/>
    <s v="C06"/>
    <s v="TSBCRC"/>
    <s v="SR15"/>
    <n v="0.6"/>
    <n v="1000"/>
    <n v="2500"/>
    <s v="T2 DONE"/>
    <s v=" "/>
    <s v=""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BHARTIA  DISTRIBUTORS PVT. LTD."/>
  </r>
  <r>
    <n v="742"/>
    <d v="2025-07-23T00:00:00"/>
    <s v="ZBTO"/>
    <n v="9518951771"/>
    <n v="4"/>
    <s v="9518951771-4"/>
    <s v="No Priority"/>
    <s v="Released"/>
    <x v="0"/>
    <e v="#N/A"/>
    <e v="#N/A"/>
    <m/>
    <x v="0"/>
    <x v="2"/>
    <m/>
    <n v="2000"/>
    <s v="South"/>
    <s v="GUMMIDIPOONDI"/>
    <s v="MADS"/>
    <n v="161312"/>
    <s v="GOVINDARAJA MUDALIAR SONS PVT LTD"/>
    <n v="2169610"/>
    <s v="CRCA COIL TATEDD AU09 1X1250"/>
    <s v="C01"/>
    <s v="TATEDD"/>
    <s v="AU09"/>
    <n v="1"/>
    <n v="1250"/>
    <n v="0"/>
    <s v="T2 DONE"/>
    <s v=" "/>
    <s v=""/>
    <n v="5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98-1.02"/>
    <s v="1250-1262"/>
    <m/>
    <m/>
    <m/>
    <m/>
    <m/>
    <m/>
    <s v="U"/>
    <s v="NA"/>
    <s v="C01-AU09-1-1250"/>
    <s v="367-0-0-1250"/>
    <n v="367"/>
    <n v="0"/>
    <n v="0"/>
    <n v="0"/>
    <n v="0"/>
    <n v="1250"/>
    <e v="#N/A"/>
    <m/>
    <m/>
    <m/>
    <m/>
    <m/>
    <m/>
    <m/>
    <m/>
    <m/>
    <m/>
    <m/>
    <m/>
    <m/>
    <m/>
    <m/>
    <m/>
    <m/>
    <m/>
    <m/>
    <s v="GOVINDARAJA MUDALIAR SONS PVT LTD"/>
  </r>
  <r>
    <n v="742"/>
    <d v="2025-07-10T00:00:00"/>
    <s v="ZBTO"/>
    <n v="9518919381"/>
    <n v="1"/>
    <s v="9518919381-1"/>
    <s v="Oct'25"/>
    <s v="Released"/>
    <x v="1"/>
    <s v="CR03"/>
    <s v="ACRM CRCA SPM"/>
    <m/>
    <x v="0"/>
    <x v="15"/>
    <m/>
    <n v="2000"/>
    <s v="East"/>
    <s v="HOWRAH"/>
    <s v="CALS"/>
    <n v="154464"/>
    <s v="TATA STEEL DOWNSTREAM PRODUCTS LIMI"/>
    <n v="2438381"/>
    <s v="CRCA COIL TATXXD AH03 0.900X1320"/>
    <s v="C01"/>
    <s v="TATXXD"/>
    <s v="AH03"/>
    <n v="0.9"/>
    <n v="1320"/>
    <n v="0"/>
    <s v="T2 DONE"/>
    <s v=" "/>
    <s v=""/>
    <n v="13"/>
    <n v="29"/>
    <n v="120"/>
    <n v="0"/>
    <n v="120"/>
    <n v="22.86"/>
    <n v="0"/>
    <n v="0"/>
    <n v="0"/>
    <n v="100.3"/>
    <n v="0"/>
    <n v="0"/>
    <n v="0"/>
    <n v="0"/>
    <n v="0"/>
    <n v="0"/>
    <n v="0"/>
    <n v="0"/>
    <n v="0"/>
    <n v="0"/>
    <n v="0"/>
    <n v="0"/>
    <n v="0"/>
    <n v="0"/>
    <n v="0"/>
    <n v="100.3"/>
    <n v="0"/>
    <n v="100.3"/>
    <n v="0"/>
    <n v="120"/>
    <s v="0.87-0.9"/>
    <s v="1320-1340"/>
    <m/>
    <m/>
    <m/>
    <m/>
    <m/>
    <m/>
    <s v="U"/>
    <s v="NA"/>
    <s v="C01-AH03-0.9-1320"/>
    <s v="367-SH67-2.8-1320"/>
    <n v="367"/>
    <s v="TSH067"/>
    <s v="SH67"/>
    <s v="C14A"/>
    <n v="2.8"/>
    <n v="1320"/>
    <n v="3920736"/>
    <m/>
    <m/>
    <m/>
    <m/>
    <m/>
    <m/>
    <m/>
    <m/>
    <m/>
    <m/>
    <m/>
    <m/>
    <m/>
    <m/>
    <m/>
    <m/>
    <m/>
    <m/>
    <m/>
    <s v="TATA STEEL DOWNSTREAM PRODUCTS LIMI"/>
  </r>
  <r>
    <n v="742"/>
    <d v="2025-07-02T00:00:00"/>
    <s v="ZBTO"/>
    <n v="9518902661"/>
    <n v="1"/>
    <s v="9518902661-1"/>
    <s v="Sep'25"/>
    <s v="Released"/>
    <x v="1"/>
    <s v="CR03"/>
    <s v="ACRM CRCA SPM"/>
    <m/>
    <x v="0"/>
    <x v="15"/>
    <m/>
    <n v="2000"/>
    <s v="East"/>
    <s v="HOWRAH"/>
    <s v="CALS"/>
    <n v="154464"/>
    <s v="TATA STEEL DOWNSTREAM PRODUCTS LIMI"/>
    <n v="2438381"/>
    <s v="CRCA COIL TATXXD AH03 0.900X1320"/>
    <s v="C01"/>
    <s v="TATXXD"/>
    <s v="AH03"/>
    <n v="0.9"/>
    <n v="1320"/>
    <n v="0"/>
    <s v="T2 DONE"/>
    <s v=" "/>
    <s v=""/>
    <n v="13"/>
    <n v="29"/>
    <n v="120"/>
    <n v="54.16"/>
    <n v="65.84"/>
    <n v="7.41"/>
    <n v="0"/>
    <n v="0"/>
    <n v="0"/>
    <n v="30.09"/>
    <n v="0"/>
    <n v="0"/>
    <n v="0"/>
    <n v="0"/>
    <n v="0"/>
    <n v="0"/>
    <n v="0"/>
    <n v="0"/>
    <n v="29.650000000000002"/>
    <n v="0"/>
    <n v="0"/>
    <n v="0"/>
    <n v="0"/>
    <n v="0"/>
    <n v="0"/>
    <n v="59.74"/>
    <n v="29.650000000000002"/>
    <n v="30.09"/>
    <n v="0"/>
    <n v="36.19"/>
    <s v="0.87-0.9"/>
    <s v="1320-1340"/>
    <m/>
    <m/>
    <m/>
    <m/>
    <m/>
    <m/>
    <s v="U"/>
    <s v="NA"/>
    <s v="C01-AH03-0.9-1320"/>
    <s v="367-SH67-2.8-1320"/>
    <n v="367"/>
    <s v="TSH067"/>
    <s v="SH67"/>
    <s v="C14A"/>
    <n v="2.8"/>
    <n v="1320"/>
    <n v="3920736"/>
    <m/>
    <m/>
    <m/>
    <m/>
    <m/>
    <m/>
    <m/>
    <m/>
    <m/>
    <m/>
    <m/>
    <m/>
    <m/>
    <m/>
    <m/>
    <m/>
    <m/>
    <m/>
    <m/>
    <s v="TATA STEEL DOWNSTREAM PRODUCTS LIMI"/>
  </r>
  <r>
    <n v="742"/>
    <d v="2025-07-24T00:00:00"/>
    <s v="ZBTO"/>
    <n v="9518956502"/>
    <n v="2"/>
    <s v="9518956502-2"/>
    <s v="No Priority"/>
    <s v="Released"/>
    <x v="0"/>
    <s v="CR02"/>
    <s v="ACRM CRCA CRS"/>
    <m/>
    <x v="0"/>
    <x v="4"/>
    <m/>
    <n v="1000"/>
    <s v="West"/>
    <s v="VADODARA"/>
    <s v="NPUR"/>
    <n v="189022"/>
    <s v="Balmer Lawrie And Company Limited"/>
    <n v="2164800"/>
    <s v="CRCA COIL TATXXD BT02 0.970X913"/>
    <s v="C01"/>
    <s v="TATXXD"/>
    <s v="BT02"/>
    <n v="0.97"/>
    <n v="913"/>
    <n v="0"/>
    <s v="T2 DONE"/>
    <s v=" "/>
    <s v=""/>
    <n v="6"/>
    <n v="10"/>
    <n v="252"/>
    <n v="251.10499999999999"/>
    <n v="0.89500000000000002"/>
    <n v="0.89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9500000000000002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s v="Balmer Lawrie And Company Limited"/>
  </r>
  <r>
    <n v="742"/>
    <d v="2025-07-23T00:00:00"/>
    <s v="ZBTO"/>
    <n v="9518952391"/>
    <n v="2"/>
    <s v="9518952391-2"/>
    <s v="Aug'25"/>
    <s v="Released"/>
    <x v="1"/>
    <s v="CR02"/>
    <s v="ACRM CRCA CRS"/>
    <m/>
    <x v="0"/>
    <x v="4"/>
    <m/>
    <n v="1000"/>
    <s v="West"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s v="T2 DONE"/>
    <s v=" "/>
    <s v=""/>
    <n v="6"/>
    <n v="10"/>
    <n v="168"/>
    <n v="158.958"/>
    <n v="9.0419999999999998"/>
    <n v="-10.358000000000001"/>
    <n v="0"/>
    <n v="0"/>
    <n v="0"/>
    <n v="0"/>
    <n v="0"/>
    <n v="0"/>
    <n v="0"/>
    <n v="0"/>
    <n v="0"/>
    <n v="0"/>
    <n v="0"/>
    <n v="0"/>
    <n v="0"/>
    <n v="2.6"/>
    <n v="0"/>
    <n v="0"/>
    <n v="26.155000000000001"/>
    <n v="0"/>
    <n v="0"/>
    <n v="28.755000000000003"/>
    <n v="2.6"/>
    <n v="26.155000000000001"/>
    <n v="0"/>
    <n v="6.4420000000000002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s v="Balmer Lawrie And Co. Ltd."/>
  </r>
  <r>
    <n v="742"/>
    <d v="2025-07-31T00:00:00"/>
    <s v="ZBTO"/>
    <n v="9518980071"/>
    <n v="2"/>
    <s v="9518980071-2"/>
    <s v="Sep'25"/>
    <s v="Released"/>
    <x v="1"/>
    <s v="CR01"/>
    <s v="ACRM CRCA CTL"/>
    <m/>
    <x v="0"/>
    <x v="5"/>
    <m/>
    <n v="2000"/>
    <s v="East"/>
    <s v="HOWRAH"/>
    <s v="CALS"/>
    <n v="101278"/>
    <s v="RAMESH COMPANY"/>
    <n v="2441000"/>
    <s v="CRCA SHEET TATCRC SR16 0.330X1250X2500"/>
    <s v="C06"/>
    <s v="TATCRC"/>
    <s v="SR16"/>
    <n v="0.33"/>
    <n v="1250"/>
    <n v="2500"/>
    <s v="T2 DONE"/>
    <s v=" "/>
    <s v=""/>
    <n v="0.1"/>
    <n v="9.9"/>
    <n v="29"/>
    <n v="8.27"/>
    <n v="20.73"/>
    <n v="20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73"/>
    <s v="0.3-0.33"/>
    <s v="1250-1252"/>
    <m/>
    <m/>
    <m/>
    <m/>
    <m/>
    <m/>
    <s v="T"/>
    <s v="CRCA_SUPR"/>
    <s v="C06-SR16-0.33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s v="RAMESH COMPANY"/>
  </r>
  <r>
    <n v="742"/>
    <d v="2025-07-08T00:00:00"/>
    <s v="ZBTO"/>
    <n v="9518915269"/>
    <n v="1"/>
    <s v="9518915269-1"/>
    <s v="No Priority"/>
    <s v="Released"/>
    <x v="0"/>
    <e v="#N/A"/>
    <e v="#N/A"/>
    <m/>
    <x v="1"/>
    <x v="2"/>
    <m/>
    <n v="2000"/>
    <s v="South"/>
    <s v="GUMMIDIPOONDI"/>
    <s v="MADS"/>
    <n v="116465"/>
    <s v="SRI BALAJI STEEL TRADERS"/>
    <n v="1224970"/>
    <s v="HR COILS-PO IS 1079 HR2 1.60X1250"/>
    <n v="768"/>
    <s v="THR099"/>
    <s v="HR99"/>
    <n v="1.6"/>
    <n v="1250"/>
    <n v="0"/>
    <s v="T2 DONE"/>
    <s v=" "/>
    <s v=""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"/>
    <s v=""/>
    <m/>
    <m/>
    <m/>
    <m/>
    <m/>
    <m/>
    <s v="U"/>
    <s v="HRPO_BPRS"/>
    <s v="768-HR99-1.6-1250"/>
    <s v="367-HR99-1.6-1250"/>
    <n v="367"/>
    <s v="THR099"/>
    <s v="HR99"/>
    <s v="D06A"/>
    <n v="1.6"/>
    <n v="1250"/>
    <n v="1248998"/>
    <m/>
    <m/>
    <m/>
    <m/>
    <m/>
    <m/>
    <m/>
    <m/>
    <m/>
    <m/>
    <m/>
    <m/>
    <m/>
    <m/>
    <m/>
    <m/>
    <m/>
    <m/>
    <m/>
    <s v="SRI BALAJI STEEL TRADERS"/>
  </r>
  <r>
    <n v="744"/>
    <d v="2025-08-30T00:00:00"/>
    <s v="ZBTO"/>
    <n v="9519064390"/>
    <n v="1"/>
    <s v="9519064390-1"/>
    <s v="Sep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112"/>
    <n v="97.415000000000006"/>
    <n v="14.585000000000001"/>
    <n v="9.6850000000000005"/>
    <n v="63.704999999999998"/>
    <n v="0"/>
    <n v="0"/>
    <n v="0"/>
    <n v="0"/>
    <n v="0"/>
    <n v="0"/>
    <n v="19.559999999999999"/>
    <n v="31.16"/>
    <n v="0"/>
    <n v="0"/>
    <n v="0"/>
    <n v="0"/>
    <n v="0"/>
    <n v="0"/>
    <n v="0"/>
    <n v="2.4500000000000002"/>
    <n v="0"/>
    <n v="4.3899999999999997"/>
    <n v="57.56"/>
    <n v="4.3899999999999997"/>
    <n v="53.17"/>
    <n v="0"/>
    <n v="10.195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2"/>
    <d v="2025-08-29T00:00:00"/>
    <s v="ZBTO"/>
    <n v="9519062631"/>
    <n v="2"/>
    <s v="9519062631-2"/>
    <s v="Oct'25"/>
    <s v="Released"/>
    <x v="1"/>
    <s v="CR01"/>
    <s v="ACRM CRCA CTL"/>
    <m/>
    <x v="0"/>
    <x v="5"/>
    <m/>
    <n v="2000"/>
    <s v="North"/>
    <s v="VARANASI"/>
    <s v="FBAD"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INDIA STEEL INDUSTRIES"/>
  </r>
  <r>
    <n v="742"/>
    <d v="2025-08-29T00:00:00"/>
    <s v="ZBTO"/>
    <n v="9519062631"/>
    <n v="3"/>
    <s v="9519062631-3"/>
    <s v="Stocks"/>
    <s v="Released"/>
    <x v="1"/>
    <s v="CR01"/>
    <s v="ACRM CRCA CTL"/>
    <m/>
    <x v="0"/>
    <x v="5"/>
    <m/>
    <n v="2000"/>
    <s v="North"/>
    <s v="VARANASI"/>
    <s v="FBAD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s v=""/>
    <n v="2.5"/>
    <n v="3"/>
    <n v="22.998999999999999"/>
    <n v="19.734999999999999"/>
    <n v="3.2639999999999998"/>
    <n v="3.2639999999999998"/>
    <n v="2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639999999999998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m/>
    <m/>
    <m/>
    <m/>
    <m/>
    <m/>
    <m/>
    <m/>
    <m/>
    <m/>
    <m/>
    <m/>
    <m/>
    <m/>
    <s v="INDIA STEEL INDUSTRIES"/>
  </r>
  <r>
    <n v="742"/>
    <d v="2025-08-29T00:00:00"/>
    <s v="ZBTO"/>
    <n v="9519062631"/>
    <n v="4"/>
    <s v="9519062631-4"/>
    <s v="Oct'25"/>
    <s v="Released"/>
    <x v="1"/>
    <s v="CR01"/>
    <s v="ACRM CRCA CTL"/>
    <m/>
    <x v="0"/>
    <x v="5"/>
    <m/>
    <n v="2000"/>
    <s v="North"/>
    <s v="VARANASI"/>
    <s v="FBAD"/>
    <n v="931525"/>
    <s v="INDIA STEEL INDUSTRIES"/>
    <n v="3247971"/>
    <s v="CRCA SHEET TSBCRC SR15 0.500X1250X2020"/>
    <s v="C06"/>
    <s v="TSBCRC"/>
    <s v="SR15"/>
    <n v="0.5"/>
    <n v="1250"/>
    <n v="202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INDIA STEEL INDUSTRIES"/>
  </r>
  <r>
    <n v="742"/>
    <d v="2025-08-29T00:00:00"/>
    <s v="ZBTO"/>
    <n v="9519062631"/>
    <n v="6"/>
    <s v="9519062631-6"/>
    <s v="No Priority"/>
    <s v="Released"/>
    <x v="0"/>
    <s v="CR01"/>
    <s v="ACRM CRCA CTL"/>
    <m/>
    <x v="0"/>
    <x v="5"/>
    <m/>
    <n v="2000"/>
    <s v="North"/>
    <s v="VARANASI"/>
    <s v="FBAD"/>
    <n v="931525"/>
    <s v="INDIA STEEL INDUSTRIES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INDIA STEEL INDUSTRIES"/>
  </r>
  <r>
    <n v="742"/>
    <d v="2025-08-12T00:00:00"/>
    <s v="ZBTO"/>
    <n v="9519011538"/>
    <n v="3"/>
    <s v="9519011538-3"/>
    <s v="Oct'25"/>
    <s v="Released"/>
    <x v="1"/>
    <s v="CR01"/>
    <s v="ACRM CRCA CTL"/>
    <m/>
    <x v="0"/>
    <x v="5"/>
    <m/>
    <n v="2000"/>
    <s v="North"/>
    <s v="VARANASI"/>
    <s v="KANP"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m/>
    <m/>
    <m/>
    <m/>
    <m/>
    <m/>
    <m/>
    <m/>
    <m/>
    <m/>
    <m/>
    <m/>
    <m/>
    <m/>
    <s v="O.V.S. ISPAT UDYOG"/>
  </r>
  <r>
    <n v="742"/>
    <d v="2025-08-21T00:00:00"/>
    <s v="ZBTO"/>
    <n v="9519036272"/>
    <n v="7"/>
    <s v="9519036272-7"/>
    <s v="Oct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48-0.52"/>
    <s v="1000-1002"/>
    <m/>
    <m/>
    <m/>
    <m/>
    <m/>
    <m/>
    <s v="R"/>
    <s v="CRCA_SUPR"/>
    <s v="C06-SR15-0.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s v="Shree Bajrang Steel Udyog"/>
  </r>
  <r>
    <n v="742"/>
    <d v="2025-08-21T00:00:00"/>
    <s v="ZBTO"/>
    <n v="9519036272"/>
    <n v="8"/>
    <s v="9519036272-8"/>
    <s v="Oct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3240765"/>
    <s v="CRCA SHEET TSBCRC SR15 0.500X1250X2500"/>
    <s v="C06"/>
    <s v="TSBCRC"/>
    <s v="SR15"/>
    <n v="0.5"/>
    <n v="1250"/>
    <n v="2500"/>
    <s v="T2 DONE"/>
    <s v=" "/>
    <s v=""/>
    <n v="2.5"/>
    <n v="3.2"/>
    <n v="58"/>
    <n v="0"/>
    <n v="58"/>
    <n v="2.91"/>
    <n v="0"/>
    <n v="0"/>
    <n v="0"/>
    <n v="0"/>
    <n v="0"/>
    <n v="0"/>
    <n v="0"/>
    <n v="0"/>
    <n v="0"/>
    <n v="57"/>
    <n v="0"/>
    <n v="0"/>
    <n v="0"/>
    <n v="0"/>
    <n v="0"/>
    <n v="0"/>
    <n v="0"/>
    <n v="0"/>
    <n v="0"/>
    <n v="57"/>
    <n v="0"/>
    <n v="57"/>
    <n v="0"/>
    <n v="58"/>
    <s v="0.48-0.52"/>
    <s v="1250-1252"/>
    <m/>
    <m/>
    <m/>
    <m/>
    <m/>
    <m/>
    <s v="R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Shree Bajrang Steel Udyog"/>
  </r>
  <r>
    <n v="742"/>
    <d v="2025-08-12T00:00:00"/>
    <s v="ZBTO"/>
    <n v="9519011539"/>
    <n v="2"/>
    <s v="9519011539-2"/>
    <s v="No Priority"/>
    <s v="Released"/>
    <x v="0"/>
    <s v="CR01"/>
    <s v="ACRM CRCA CTL"/>
    <m/>
    <x v="0"/>
    <x v="5"/>
    <m/>
    <n v="2000"/>
    <s v="North"/>
    <s v="GORAKHPUR"/>
    <s v="KANP"/>
    <n v="115841"/>
    <s v="O.V.S. ISPAT UDYOG"/>
    <n v="3240760"/>
    <s v="CRCA SHEET TSBCRC SR15 0.500X1000X2500"/>
    <s v="C06"/>
    <s v="TSBCRC"/>
    <s v="SR15"/>
    <n v="0.5"/>
    <n v="1000"/>
    <n v="2500"/>
    <s v="T2 DONE"/>
    <s v=" "/>
    <s v=""/>
    <n v="0"/>
    <n v="0"/>
    <n v="19.295000000000002"/>
    <n v="17.364999999999998"/>
    <n v="1.93"/>
    <n v="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3"/>
    <s v="0.48-0.52"/>
    <s v="1000-1004"/>
    <m/>
    <m/>
    <m/>
    <m/>
    <m/>
    <m/>
    <s v="M"/>
    <s v="CRCA_SUPR"/>
    <s v="C06-SR15-0.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s v="O.V.S. ISPAT UDYOG"/>
  </r>
  <r>
    <n v="742"/>
    <d v="2025-08-12T00:00:00"/>
    <s v="ZBTO"/>
    <n v="9519011539"/>
    <n v="3"/>
    <s v="9519011539-3"/>
    <s v="Oct'25"/>
    <s v="Released"/>
    <x v="1"/>
    <s v="CR01"/>
    <s v="ACRM CRCA CTL"/>
    <m/>
    <x v="0"/>
    <x v="5"/>
    <m/>
    <n v="2000"/>
    <s v="North"/>
    <s v="GORAKHPUR"/>
    <s v="KANP"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O.V.S. ISPAT UDYOG"/>
  </r>
  <r>
    <n v="742"/>
    <d v="2025-08-18T00:00:00"/>
    <s v="ZBTO"/>
    <n v="9519025598"/>
    <n v="1"/>
    <s v="9519025598-1"/>
    <s v="Oct'25"/>
    <s v="Released"/>
    <x v="1"/>
    <s v="CR01"/>
    <s v="ACRM CRCA CTL"/>
    <m/>
    <x v="0"/>
    <x v="5"/>
    <m/>
    <n v="2000"/>
    <s v="North"/>
    <s v="GORAKHPUR"/>
    <s v="KANP"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O.V.S. ISPAT UDYOG"/>
  </r>
  <r>
    <n v="742"/>
    <d v="2025-08-28T00:00:00"/>
    <s v="ZBTO"/>
    <n v="9519056703"/>
    <n v="3"/>
    <s v="9519056703-3"/>
    <s v="Oct'25"/>
    <s v="Released"/>
    <x v="1"/>
    <s v="CR01"/>
    <s v="ACRM CRCA CTL"/>
    <m/>
    <x v="0"/>
    <x v="5"/>
    <m/>
    <n v="2000"/>
    <s v="North"/>
    <s v="VARANASI"/>
    <s v="FBAD"/>
    <n v="931525"/>
    <s v="INDIA STEEL INDUSTRIES"/>
    <n v="3765561"/>
    <s v="CRCA SHEET TSBCRC SR15 0.700X1000X1930"/>
    <s v="C06"/>
    <s v="TSBCRC"/>
    <s v="SR15"/>
    <n v="0.7"/>
    <n v="1000"/>
    <n v="193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m/>
    <m/>
    <m/>
    <m/>
    <m/>
    <m/>
    <m/>
    <m/>
    <m/>
    <m/>
    <m/>
    <m/>
    <m/>
    <m/>
    <s v="INDIA STEEL INDUSTRIES"/>
  </r>
  <r>
    <n v="742"/>
    <d v="2025-08-28T00:00:00"/>
    <s v="ZBTO"/>
    <n v="9519056703"/>
    <n v="4"/>
    <s v="9519056703-4"/>
    <s v="Stocks"/>
    <s v="Released"/>
    <x v="1"/>
    <s v="CR01"/>
    <s v="ACRM CRCA CTL"/>
    <m/>
    <x v="0"/>
    <x v="5"/>
    <m/>
    <n v="2000"/>
    <s v="North"/>
    <s v="VARANASI"/>
    <s v="FBAD"/>
    <n v="931525"/>
    <s v="INDIA STEEL INDUSTRIES"/>
    <n v="3240794"/>
    <s v="CRCA SHEET TSBCRC SR15 0.700X1250X1930"/>
    <s v="C06"/>
    <s v="TSBCRC"/>
    <s v="SR15"/>
    <n v="0.7"/>
    <n v="1250"/>
    <n v="1930"/>
    <s v="T2 DONE"/>
    <s v=" "/>
    <s v=""/>
    <n v="2.5"/>
    <n v="3"/>
    <n v="28.998999999999999"/>
    <n v="16.524999999999999"/>
    <n v="12.474"/>
    <n v="12.474"/>
    <n v="16.524999999999999"/>
    <n v="0"/>
    <n v="0"/>
    <n v="0"/>
    <n v="0"/>
    <n v="0"/>
    <n v="0"/>
    <n v="0"/>
    <n v="0"/>
    <n v="0"/>
    <n v="0"/>
    <n v="0"/>
    <n v="0"/>
    <n v="0"/>
    <n v="0.19"/>
    <n v="0"/>
    <n v="0"/>
    <n v="0"/>
    <n v="0"/>
    <n v="0.19"/>
    <n v="0"/>
    <n v="0.19"/>
    <n v="0"/>
    <n v="12.474"/>
    <s v="0.68-0.72"/>
    <s v="1250-1254"/>
    <m/>
    <m/>
    <m/>
    <m/>
    <m/>
    <m/>
    <s v="M"/>
    <s v="CRCA_SUPR"/>
    <s v="C06-SR15-0.7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s v="INDIA STEEL INDUSTRIES"/>
  </r>
  <r>
    <n v="742"/>
    <d v="2025-08-18T00:00:00"/>
    <s v="ZBTO"/>
    <n v="9519025593"/>
    <n v="3"/>
    <s v="9519025593-3"/>
    <s v="Oct'25"/>
    <s v="Released"/>
    <x v="1"/>
    <s v="CR01"/>
    <s v="ACRM CRCA CTL"/>
    <m/>
    <x v="0"/>
    <x v="5"/>
    <m/>
    <n v="2000"/>
    <s v="North"/>
    <s v="VARANASI"/>
    <s v="KANP"/>
    <n v="115841"/>
    <s v="O.V.S. ISPAT UDYOG"/>
    <n v="3240761"/>
    <s v="CRCA SHEET TSBCRC SR15 0.500X1250X2030"/>
    <s v="C06"/>
    <s v="TSBCRC"/>
    <s v="SR15"/>
    <n v="0.5"/>
    <n v="1250"/>
    <n v="2030"/>
    <s v="T2 DONE"/>
    <s v=" "/>
    <s v=""/>
    <n v="2.5"/>
    <n v="3"/>
    <n v="57.999000000000002"/>
    <n v="3"/>
    <n v="54.999000000000002"/>
    <n v="-0.64100000000000001"/>
    <n v="3"/>
    <n v="0"/>
    <n v="0"/>
    <n v="0"/>
    <n v="0"/>
    <n v="0"/>
    <n v="0"/>
    <n v="0"/>
    <n v="0"/>
    <n v="57.050000000000004"/>
    <n v="0"/>
    <n v="0"/>
    <n v="0"/>
    <n v="0"/>
    <n v="0"/>
    <n v="0"/>
    <n v="0"/>
    <n v="0"/>
    <n v="0"/>
    <n v="57.050000000000004"/>
    <n v="0"/>
    <n v="57.050000000000004"/>
    <n v="0"/>
    <n v="54.999000000000002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O.V.S. ISPAT UDYOG"/>
  </r>
  <r>
    <n v="742"/>
    <d v="2025-08-18T00:00:00"/>
    <s v="ZBTO"/>
    <n v="9519025593"/>
    <n v="4"/>
    <s v="9519025593-4"/>
    <s v="Oct'25"/>
    <s v="Released"/>
    <x v="1"/>
    <s v="CR01"/>
    <s v="ACRM CRCA CTL"/>
    <m/>
    <x v="0"/>
    <x v="5"/>
    <m/>
    <n v="2000"/>
    <s v="North"/>
    <s v="VARANASI"/>
    <s v="KANP"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m/>
    <m/>
    <m/>
    <m/>
    <m/>
    <m/>
    <m/>
    <m/>
    <m/>
    <m/>
    <m/>
    <m/>
    <m/>
    <m/>
    <s v="O.V.S. ISPAT UDYOG"/>
  </r>
  <r>
    <n v="742"/>
    <d v="2025-08-20T00:00:00"/>
    <s v="ZBTO"/>
    <n v="9519031476"/>
    <n v="1"/>
    <s v="9519031476-1"/>
    <s v="Oct'25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39542"/>
    <s v="CRCA SHEET TATCRC SR16 0.350X1000X2500"/>
    <s v="C06"/>
    <s v="TATCRC"/>
    <s v="SR16"/>
    <n v="0.35"/>
    <n v="1000"/>
    <n v="2500"/>
    <s v="T2 DONE"/>
    <s v=" "/>
    <s v=""/>
    <n v="0.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32-0.35"/>
    <s v="1000-1002"/>
    <m/>
    <m/>
    <m/>
    <m/>
    <m/>
    <m/>
    <s v="T"/>
    <s v="CRCA_SUPR"/>
    <s v="C06-SR16-0.35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BHARTIA  DISTRIBUTORS PVT. LTD."/>
  </r>
  <r>
    <n v="742"/>
    <d v="2025-08-20T00:00:00"/>
    <s v="ZBTO"/>
    <n v="9519031476"/>
    <n v="3"/>
    <s v="9519031476-3"/>
    <s v="Stocks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40760"/>
    <s v="CRCA SHEET TSBCRC SR15 0.500X1000X2500"/>
    <s v="C06"/>
    <s v="TSBCRC"/>
    <s v="SR15"/>
    <n v="0.5"/>
    <n v="1000"/>
    <n v="2500"/>
    <s v="T2 DONE"/>
    <s v=" "/>
    <s v=""/>
    <n v="0.1"/>
    <n v="5"/>
    <n v="23"/>
    <n v="22.565000000000001"/>
    <n v="0.435"/>
    <n v="0.435"/>
    <n v="22.5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5"/>
    <s v="0.47-0.5"/>
    <s v="1000-1002"/>
    <m/>
    <m/>
    <m/>
    <m/>
    <m/>
    <m/>
    <s v="T"/>
    <s v="CRCA_SUPR"/>
    <s v="C06-SR15-0.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s v="BHARTIA  DISTRIBUTORS PVT. LTD."/>
  </r>
  <r>
    <n v="742"/>
    <d v="2025-08-20T00:00:00"/>
    <s v="ZBTO"/>
    <n v="9519032783"/>
    <n v="1"/>
    <s v="9519032783-1"/>
    <s v="Oct'25"/>
    <s v="Released"/>
    <x v="1"/>
    <s v="CR01"/>
    <s v="ACRM CRCA CTL"/>
    <m/>
    <x v="0"/>
    <x v="5"/>
    <m/>
    <n v="2000"/>
    <s v="East"/>
    <s v="SILIGURI TOWN"/>
    <s v="GWAH"/>
    <n v="948783"/>
    <s v="SAGAR STEELS"/>
    <n v="3239543"/>
    <s v="CRCA SHEET TATCRC SR16 0.350X1250X2500"/>
    <s v="C06"/>
    <s v="TATCRC"/>
    <s v="SR16"/>
    <n v="0.35"/>
    <n v="1250"/>
    <n v="2500"/>
    <s v="T2 DONE"/>
    <s v=" "/>
    <s v=""/>
    <n v="2"/>
    <n v="3"/>
    <n v="29"/>
    <n v="0"/>
    <n v="29"/>
    <n v="2.74"/>
    <n v="0"/>
    <n v="0"/>
    <n v="0"/>
    <n v="27.28"/>
    <n v="0"/>
    <n v="0"/>
    <n v="0"/>
    <n v="0"/>
    <n v="0"/>
    <n v="0"/>
    <n v="0"/>
    <n v="0"/>
    <n v="0"/>
    <n v="0"/>
    <n v="0"/>
    <n v="0"/>
    <n v="0"/>
    <n v="0"/>
    <n v="0"/>
    <n v="27.28"/>
    <n v="0"/>
    <n v="27.28"/>
    <n v="0"/>
    <n v="29"/>
    <s v="0.33-0.35"/>
    <s v="1250-1262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s v="SAGAR STEELS"/>
  </r>
  <r>
    <n v="742"/>
    <d v="2025-08-18T00:00:00"/>
    <s v="ZBTO"/>
    <n v="9519025273"/>
    <n v="2"/>
    <s v="9519025273-2"/>
    <s v="Oct'25"/>
    <s v="Released"/>
    <x v="1"/>
    <s v="CR01"/>
    <s v="ACRM CRCA CTL"/>
    <m/>
    <x v="0"/>
    <x v="5"/>
    <m/>
    <n v="2000"/>
    <s v="East"/>
    <s v="HOWRAH"/>
    <s v="CALS"/>
    <n v="925093"/>
    <s v="PSPL STEEL PROCESSORS PRIVATE LIMIT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PSPL STEEL PROCESSORS PRIVATE LIMIT"/>
  </r>
  <r>
    <n v="744"/>
    <d v="2025-08-31T00:00:00"/>
    <s v="ZBTO"/>
    <n v="9519068944"/>
    <n v="1"/>
    <s v="9519068944-1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28"/>
    <n v="25.515000000000001"/>
    <n v="2.4849999999999999"/>
    <n v="2.4849999999999999"/>
    <n v="4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849999999999999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31T00:00:00"/>
    <s v="ZBTO"/>
    <n v="9519068944"/>
    <n v="3"/>
    <s v="9519068944-3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83.998999999999995"/>
    <n v="69.825000000000003"/>
    <n v="14.173999999999999"/>
    <n v="14.173999999999999"/>
    <n v="49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73999999999999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31T00:00:00"/>
    <s v="ZBTO"/>
    <n v="9519068944"/>
    <n v="4"/>
    <s v="9519068944-4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84"/>
    <n v="69.724999999999994"/>
    <n v="14.275"/>
    <n v="7.6550000000000002"/>
    <n v="13.12"/>
    <n v="0"/>
    <n v="0"/>
    <n v="0"/>
    <n v="0"/>
    <n v="0"/>
    <n v="0"/>
    <n v="0"/>
    <n v="6.62"/>
    <n v="0"/>
    <n v="0"/>
    <n v="0"/>
    <n v="0"/>
    <n v="0"/>
    <n v="0"/>
    <n v="0"/>
    <n v="0"/>
    <n v="0"/>
    <n v="4.2450000000000001"/>
    <n v="10.865"/>
    <n v="4.2450000000000001"/>
    <n v="6.62"/>
    <n v="0"/>
    <n v="10.0300000000000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31T00:00:00"/>
    <s v="ZBTO"/>
    <n v="9519068944"/>
    <n v="5"/>
    <s v="9519068944-5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BRICK RED TSL 1803"/>
    <n v="3"/>
    <n v="5"/>
    <n v="28"/>
    <n v="16.41"/>
    <n v="11.59"/>
    <n v="3.89"/>
    <n v="7.8449999999999998"/>
    <n v="0"/>
    <n v="0"/>
    <n v="0"/>
    <n v="0"/>
    <n v="0"/>
    <n v="0"/>
    <n v="0"/>
    <n v="7.7"/>
    <n v="0"/>
    <n v="0"/>
    <n v="0"/>
    <n v="0"/>
    <n v="0"/>
    <n v="0"/>
    <n v="0"/>
    <n v="0"/>
    <n v="0"/>
    <n v="0"/>
    <n v="7.7"/>
    <n v="0"/>
    <n v="7.7"/>
    <n v="0"/>
    <n v="11.59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31T00:00:00"/>
    <s v="ZBTO"/>
    <n v="9519068944"/>
    <n v="6"/>
    <s v="9519068944-6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83.998999999999995"/>
    <n v="77.394999999999996"/>
    <n v="6.6040000000000001"/>
    <n v="-0.44600000000000001"/>
    <n v="18.739999999999998"/>
    <n v="0"/>
    <n v="0"/>
    <n v="0"/>
    <n v="0"/>
    <n v="0"/>
    <n v="0"/>
    <n v="0"/>
    <n v="7.05"/>
    <n v="0"/>
    <n v="0"/>
    <n v="0"/>
    <n v="0"/>
    <n v="0"/>
    <n v="0"/>
    <n v="0"/>
    <n v="0"/>
    <n v="0"/>
    <n v="0"/>
    <n v="7.05"/>
    <n v="0"/>
    <n v="7.05"/>
    <n v="0"/>
    <n v="6.60400000000000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2"/>
    <d v="2025-08-26T00:00:00"/>
    <s v="ZBTO"/>
    <n v="9519051346"/>
    <n v="3"/>
    <s v="9519051346-3"/>
    <s v="No Priority"/>
    <s v="Released"/>
    <x v="0"/>
    <s v="CR01"/>
    <s v="ACRM CRCA CTL"/>
    <m/>
    <x v="0"/>
    <x v="5"/>
    <m/>
    <n v="2000"/>
    <s v="North"/>
    <s v="VARANASI"/>
    <s v="KANP"/>
    <n v="115841"/>
    <s v="O.V.S. ISPAT UDYOG"/>
    <n v="3409561"/>
    <s v="CRCA SHEET TSBCRC SR15 0.600X1000X1930"/>
    <s v="C06"/>
    <s v="TSBCRC"/>
    <s v="SR15"/>
    <n v="0.6"/>
    <n v="1000"/>
    <n v="193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O.V.S. ISPAT UDYOG"/>
  </r>
  <r>
    <n v="742"/>
    <d v="2025-08-01T00:00:00"/>
    <s v="ZBTO"/>
    <n v="9518986243"/>
    <n v="2"/>
    <s v="9518986243-2"/>
    <s v="Oct'25"/>
    <s v="Released"/>
    <x v="1"/>
    <s v="CR02"/>
    <s v="ACRM CRCA CRS"/>
    <m/>
    <x v="0"/>
    <x v="15"/>
    <m/>
    <n v="2000"/>
    <s v="West"/>
    <s v="AHMEDABAD"/>
    <s v="AMED"/>
    <n v="854773"/>
    <s v="ANM ISPAT PVT LTD"/>
    <n v="2420510"/>
    <s v="CRCA COIL TATXXD AH03 0.600X1250"/>
    <s v="C01"/>
    <s v="TATXXD"/>
    <s v="AH03"/>
    <n v="0.6"/>
    <n v="1250"/>
    <n v="0"/>
    <s v="T2 DONE"/>
    <s v=" "/>
    <s v=""/>
    <n v="13"/>
    <n v="2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8-0.62"/>
    <s v="1250-1252"/>
    <m/>
    <m/>
    <m/>
    <m/>
    <m/>
    <m/>
    <s v="R"/>
    <s v="CRCA_ME"/>
    <s v="C01-AH03-0.6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s v="ANM ISPAT PVT LTD"/>
  </r>
  <r>
    <n v="742"/>
    <d v="2025-08-29T00:00:00"/>
    <s v="ZBTO"/>
    <n v="9519062631"/>
    <n v="1"/>
    <s v="9519062631-1"/>
    <s v="Oct'25"/>
    <s v="Released"/>
    <x v="1"/>
    <s v="CR01"/>
    <s v="ACRM CRCA CTL"/>
    <m/>
    <x v="0"/>
    <x v="5"/>
    <m/>
    <n v="2000"/>
    <s v="North"/>
    <s v="VARANASI"/>
    <s v="FBAD"/>
    <n v="931525"/>
    <s v="INDIA STEEL INDUSTRIES"/>
    <n v="3247971"/>
    <s v="CRCA SHEET TSBCRC SR15 0.500X1250X2020"/>
    <s v="C06"/>
    <s v="TSBCRC"/>
    <s v="SR15"/>
    <n v="0.5"/>
    <n v="1250"/>
    <n v="202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INDIA STEEL INDUSTRIES"/>
  </r>
  <r>
    <n v="742"/>
    <d v="2025-09-10T00:00:00"/>
    <s v="ZBTF"/>
    <n v="9519091566"/>
    <n v="1"/>
    <s v="9519091566-1"/>
    <s v="No Priority"/>
    <s v="Released"/>
    <x v="0"/>
    <e v="#N/A"/>
    <e v="#N/A"/>
    <m/>
    <x v="5"/>
    <x v="9"/>
    <m/>
    <n v="2000"/>
    <s v="West"/>
    <s v="KHOPOLI"/>
    <s v="TSMK"/>
    <n v="650783"/>
    <s v="Khopoli Wider CRM"/>
    <n v="4083645"/>
    <s v="CR COIL TATFHC TR10 0.359X1235"/>
    <s v="C09"/>
    <s v="TATFHC"/>
    <s v="TR10"/>
    <n v="0.35899999999999999"/>
    <n v="1235"/>
    <n v="0"/>
    <s v="T2 DONE"/>
    <s v=" "/>
    <s v=""/>
    <n v="22"/>
    <n v="25"/>
    <n v="140"/>
    <n v="142.02000000000001"/>
    <n v="0.98"/>
    <n v="0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8"/>
    <s v="0.359-0.364"/>
    <s v="1235-1255"/>
    <m/>
    <m/>
    <m/>
    <m/>
    <m/>
    <m/>
    <s v="U"/>
    <s v="CRFH_KHOPOLI"/>
    <s v="C09-TR10-0.359-1235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Khopoli Wider CRM"/>
  </r>
  <r>
    <n v="742"/>
    <d v="2025-09-10T00:00:00"/>
    <s v="ZBTF"/>
    <n v="9519091566"/>
    <n v="2"/>
    <s v="9519091566-2"/>
    <s v="No Priority"/>
    <s v="Released"/>
    <x v="0"/>
    <e v="#N/A"/>
    <e v="#N/A"/>
    <m/>
    <x v="5"/>
    <x v="9"/>
    <m/>
    <n v="2000"/>
    <s v="West"/>
    <s v="KHOPOLI"/>
    <s v="TSMK"/>
    <n v="650783"/>
    <s v="Khopoli Wider CRM"/>
    <n v="4083739"/>
    <s v="CR COIL TATFHC TR10 0.459X1235"/>
    <s v="C09"/>
    <s v="TATFHC"/>
    <s v="TR10"/>
    <n v="0.45900000000000002"/>
    <n v="1235"/>
    <n v="0"/>
    <s v="T2 DONE"/>
    <s v=" "/>
    <s v=""/>
    <n v="22"/>
    <n v="25"/>
    <n v="252"/>
    <n v="244.14"/>
    <n v="20.86"/>
    <n v="2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6"/>
    <s v="0.459-0.464"/>
    <s v="1235-1255"/>
    <m/>
    <m/>
    <m/>
    <m/>
    <m/>
    <m/>
    <s v="U"/>
    <s v="CRFH_KHOPOLI"/>
    <s v="C09-TR10-0.459-1235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s v="Khopoli Wider CRM"/>
  </r>
  <r>
    <n v="742"/>
    <d v="2025-09-10T00:00:00"/>
    <s v="ZBTF"/>
    <n v="9519091566"/>
    <n v="3"/>
    <s v="9519091566-3"/>
    <s v="No Priority"/>
    <s v="Released"/>
    <x v="0"/>
    <s v="FHCR"/>
    <e v="#N/A"/>
    <m/>
    <x v="5"/>
    <x v="9"/>
    <m/>
    <n v="2000"/>
    <s v="West"/>
    <s v="KHOPOLI"/>
    <s v="TSMK"/>
    <n v="650783"/>
    <s v="Khopoli Wider CRM"/>
    <n v="4083739"/>
    <s v="CR COIL TATFHC TR10 0.459X1235"/>
    <s v="C09"/>
    <s v="TATFHC"/>
    <s v="TR10"/>
    <n v="0.45900000000000002"/>
    <n v="1235"/>
    <n v="0"/>
    <s v="T2 DONE"/>
    <s v=" "/>
    <s v=""/>
    <n v="22"/>
    <n v="25"/>
    <n v="252"/>
    <n v="256.45999999999998"/>
    <n v="25.54"/>
    <n v="25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54"/>
    <s v="0.459-0.464"/>
    <s v="1235-1255"/>
    <m/>
    <m/>
    <m/>
    <m/>
    <m/>
    <m/>
    <s v="U"/>
    <s v="CRFH_KHOPOLI"/>
    <s v="C09-TR10-0.459-1235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s v="Khopoli Wider CRM"/>
  </r>
  <r>
    <n v="743"/>
    <d v="2025-09-16T00:00:00"/>
    <s v="ZBTO"/>
    <n v="9519107089"/>
    <n v="2"/>
    <s v="9519107089-2"/>
    <s v="Oct'25"/>
    <s v="Released"/>
    <x v="1"/>
    <s v="GP03"/>
    <s v="ACRM GP#3 NARROW"/>
    <m/>
    <x v="2"/>
    <x v="6"/>
    <m/>
    <n v="2000"/>
    <s v="East"/>
    <s v="URLA"/>
    <s v="RPUR"/>
    <n v="139336"/>
    <s v="PASA ASSOCIATES PRIVATE LIMITED"/>
    <n v="1178439"/>
    <s v="GP COIL SOFT-TATXGP-GK09-0.4X900"/>
    <s v="C02"/>
    <s v="TATXGP"/>
    <s v="GK09"/>
    <n v="0.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7-0.41"/>
    <s v="900-903"/>
    <m/>
    <m/>
    <m/>
    <m/>
    <m/>
    <m/>
    <s v="M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PASA ASSOCIATES PRIVATE LIMITED"/>
  </r>
  <r>
    <n v="743"/>
    <d v="2025-09-16T00:00:00"/>
    <s v="ZBTO"/>
    <n v="9519107089"/>
    <n v="4"/>
    <s v="9519107089-4"/>
    <s v="Oct'25"/>
    <s v="Released"/>
    <x v="1"/>
    <s v="GP03"/>
    <s v="ACRM GP#3 NARROW"/>
    <m/>
    <x v="2"/>
    <x v="6"/>
    <m/>
    <n v="2000"/>
    <s v="East"/>
    <s v="URLA"/>
    <s v="RPUR"/>
    <n v="139336"/>
    <s v="PASA ASSOCIATES PRIVATE LIMITED"/>
    <n v="1353179"/>
    <s v="GP COIL TATXGP GK09 0.500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1"/>
    <s v="900-903"/>
    <m/>
    <m/>
    <m/>
    <m/>
    <m/>
    <m/>
    <s v="M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PASA ASSOCIATES PRIVATE LIMITED"/>
  </r>
  <r>
    <n v="744"/>
    <d v="2025-08-26T00:00:00"/>
    <s v="ZBTO"/>
    <n v="9519050617"/>
    <n v="4"/>
    <s v="9519050617-4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55.999000000000002"/>
    <n v="45.59"/>
    <n v="10.409000000000001"/>
    <n v="8.4290000000000003"/>
    <n v="21.215"/>
    <n v="0"/>
    <n v="0"/>
    <n v="0"/>
    <n v="0"/>
    <n v="0"/>
    <n v="0"/>
    <n v="0"/>
    <n v="1.98"/>
    <n v="0"/>
    <n v="0"/>
    <n v="0"/>
    <n v="0"/>
    <n v="0"/>
    <n v="0"/>
    <n v="0"/>
    <n v="0"/>
    <n v="5.1050000000000004"/>
    <n v="0"/>
    <n v="7.0850000000000009"/>
    <n v="5.1050000000000004"/>
    <n v="1.9800000000000004"/>
    <n v="0"/>
    <n v="5.3040000000000003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5"/>
    <s v="9519050617-5"/>
    <s v="Sep'25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6011 TSL 1810"/>
    <n v="1.5"/>
    <n v="5.0999999999999996"/>
    <n v="27.998999999999999"/>
    <n v="7.9649999999999999"/>
    <n v="20.033999999999999"/>
    <n v="-4.431"/>
    <n v="7.9649999999999999"/>
    <n v="0"/>
    <n v="0"/>
    <n v="0"/>
    <n v="0"/>
    <n v="23.48"/>
    <n v="0"/>
    <n v="0"/>
    <n v="0"/>
    <n v="0"/>
    <n v="0"/>
    <n v="0"/>
    <n v="0"/>
    <n v="0"/>
    <n v="0"/>
    <n v="0"/>
    <n v="0"/>
    <n v="0"/>
    <n v="0"/>
    <n v="23.48"/>
    <n v="0"/>
    <n v="23.48"/>
    <n v="0"/>
    <n v="20.033999999999999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6"/>
    <s v="9519050617-6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12"/>
    <n v="97.12"/>
    <n v="14.879"/>
    <n v="14.879"/>
    <n v="16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79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7"/>
    <s v="9519050617-7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7015 TSL 1805"/>
    <n v="3"/>
    <n v="5"/>
    <n v="28"/>
    <n v="20.11"/>
    <n v="7.89"/>
    <n v="7.89"/>
    <n v="2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9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8"/>
    <s v="9519050617-8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5012 TSL 1802"/>
    <n v="3"/>
    <n v="5"/>
    <n v="56"/>
    <n v="50.484999999999999"/>
    <n v="5.5149999999999997"/>
    <n v="3.16"/>
    <n v="32.130000000000003"/>
    <n v="0"/>
    <n v="0"/>
    <n v="0"/>
    <n v="0"/>
    <n v="0"/>
    <n v="0"/>
    <n v="0"/>
    <n v="2.355"/>
    <n v="0"/>
    <n v="0"/>
    <n v="0"/>
    <n v="0"/>
    <n v="0"/>
    <n v="0"/>
    <n v="0"/>
    <n v="0"/>
    <n v="0"/>
    <n v="0"/>
    <n v="2.355"/>
    <n v="0"/>
    <n v="2.355"/>
    <n v="0"/>
    <n v="5.5149999999999997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9"/>
    <s v="9519050617-9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BRICK RED TSL 1803"/>
    <n v="3"/>
    <n v="5"/>
    <n v="28"/>
    <n v="26.84"/>
    <n v="1.159"/>
    <n v="-2.601"/>
    <n v="26.84"/>
    <n v="0"/>
    <n v="0"/>
    <n v="0"/>
    <n v="0"/>
    <n v="0"/>
    <n v="0"/>
    <n v="0"/>
    <n v="3.7600000000000002"/>
    <n v="0"/>
    <n v="0"/>
    <n v="0"/>
    <n v="0"/>
    <n v="0"/>
    <n v="0"/>
    <n v="0"/>
    <n v="0"/>
    <n v="0"/>
    <n v="0"/>
    <n v="3.7600000000000002"/>
    <n v="0"/>
    <n v="3.7600000000000002"/>
    <n v="0"/>
    <n v="1.159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13"/>
    <s v="9519050617-13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9002 TSL 1801"/>
    <n v="3"/>
    <n v="5"/>
    <n v="84"/>
    <n v="73.819999999999993"/>
    <n v="10.18"/>
    <n v="1.46"/>
    <n v="73.819999999999993"/>
    <n v="0"/>
    <n v="0"/>
    <n v="0"/>
    <n v="0"/>
    <n v="0"/>
    <n v="0"/>
    <n v="8.7200000000000006"/>
    <n v="0"/>
    <n v="0"/>
    <n v="0"/>
    <n v="0"/>
    <n v="0"/>
    <n v="0"/>
    <n v="0"/>
    <n v="0"/>
    <n v="0"/>
    <n v="0"/>
    <n v="3.99"/>
    <n v="12.71"/>
    <n v="3.99"/>
    <n v="8.7200000000000006"/>
    <n v="0"/>
    <n v="6.1899999999999995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14"/>
    <s v="9519050617-14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7024 TSL 1806"/>
    <n v="3"/>
    <n v="5"/>
    <n v="28"/>
    <n v="26.765000000000001"/>
    <n v="1.2350000000000001"/>
    <n v="1.2350000000000001"/>
    <n v="26.76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50000000000001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6T00:00:00"/>
    <s v="ZBTO"/>
    <n v="9519050617"/>
    <n v="15"/>
    <s v="9519050617-15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OYAL BLUE TSL 1815"/>
    <n v="3"/>
    <n v="5"/>
    <n v="56"/>
    <n v="55.234999999999999"/>
    <n v="0.76500000000000001"/>
    <n v="-3.24"/>
    <n v="55.235000000000014"/>
    <n v="0"/>
    <n v="0"/>
    <n v="0"/>
    <n v="0"/>
    <n v="0"/>
    <n v="0"/>
    <n v="0"/>
    <n v="4.0049999999999999"/>
    <n v="0"/>
    <n v="0"/>
    <n v="0"/>
    <n v="0"/>
    <n v="0"/>
    <n v="0"/>
    <n v="0"/>
    <n v="0"/>
    <n v="0"/>
    <n v="0"/>
    <n v="4.0049999999999999"/>
    <n v="0"/>
    <n v="4.0049999999999999"/>
    <n v="0"/>
    <n v="0.76500000000000001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2"/>
    <d v="2025-08-01T00:00:00"/>
    <s v="ZBTO"/>
    <n v="9518986243"/>
    <n v="4"/>
    <s v="9518986243-4"/>
    <s v="No Priority"/>
    <s v="Released"/>
    <x v="0"/>
    <s v="CR02"/>
    <s v="ACRM CRCA CRS"/>
    <m/>
    <x v="0"/>
    <x v="15"/>
    <m/>
    <n v="2000"/>
    <s v="West"/>
    <s v="AHMEDABAD"/>
    <s v="AMED"/>
    <n v="854773"/>
    <s v="ANM ISPAT PVT LTD"/>
    <n v="2420516"/>
    <s v="CRCA COIL TATXXD AH03 0.900X1250"/>
    <s v="C01"/>
    <s v="TATXXD"/>
    <s v="AH03"/>
    <n v="0.9"/>
    <n v="1250"/>
    <n v="0"/>
    <s v="T2 DONE"/>
    <s v=" "/>
    <s v=""/>
    <n v="13"/>
    <n v="24"/>
    <n v="58"/>
    <n v="45.04"/>
    <n v="12.96"/>
    <n v="12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6"/>
    <s v="0.88-0.92"/>
    <s v="1250-1252"/>
    <m/>
    <m/>
    <m/>
    <m/>
    <m/>
    <m/>
    <s v="R"/>
    <s v="NA"/>
    <s v="C01-AH03-0.9-1250"/>
    <s v="367-SH67-2.8-1250"/>
    <n v="367"/>
    <s v="TSH067"/>
    <s v="SH67"/>
    <s v="C14A"/>
    <n v="2.8"/>
    <n v="1250"/>
    <n v="3921722"/>
    <m/>
    <m/>
    <m/>
    <m/>
    <m/>
    <m/>
    <m/>
    <m/>
    <m/>
    <m/>
    <m/>
    <m/>
    <m/>
    <m/>
    <m/>
    <m/>
    <m/>
    <m/>
    <m/>
    <s v="ANM ISPAT PVT LTD"/>
  </r>
  <r>
    <n v="744"/>
    <d v="2025-08-30T00:00:00"/>
    <s v="ZBTO"/>
    <n v="9519065717"/>
    <n v="1"/>
    <s v="9519065717-1"/>
    <s v="Stocks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80"/>
    <n v="272.73"/>
    <n v="7.27"/>
    <n v="7.27"/>
    <n v="4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4.4800000000000004"/>
    <n v="4.4800000000000004"/>
    <n v="4.4800000000000004"/>
    <n v="0"/>
    <n v="0"/>
    <n v="2.7899999999999991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4"/>
    <d v="2025-08-30T00:00:00"/>
    <s v="ZBTO"/>
    <n v="9519065717"/>
    <n v="2"/>
    <s v="9519065717-2"/>
    <s v="No Priority"/>
    <s v="Released"/>
    <x v="0"/>
    <s v="GL02"/>
    <s v="ACRM GP#2 TBSPL PPGL"/>
    <m/>
    <x v="3"/>
    <x v="3"/>
    <m/>
    <n v="1000"/>
    <s v="TBSPL"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24"/>
    <n v="220.23"/>
    <n v="3.77"/>
    <n v="-0.75"/>
    <n v="0"/>
    <n v="0"/>
    <n v="0"/>
    <n v="0"/>
    <n v="0"/>
    <n v="0"/>
    <n v="0"/>
    <n v="0"/>
    <n v="4.5200000000000005"/>
    <n v="0"/>
    <n v="0"/>
    <n v="0"/>
    <n v="0"/>
    <n v="0"/>
    <n v="0"/>
    <n v="0"/>
    <n v="0"/>
    <n v="0"/>
    <n v="0"/>
    <n v="4.5200000000000005"/>
    <n v="0"/>
    <n v="4.5200000000000005"/>
    <n v="0"/>
    <n v="3.77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2"/>
    <d v="2025-08-18T00:00:00"/>
    <s v="ZBTO"/>
    <n v="9519025593"/>
    <n v="1"/>
    <s v="9519025593-1"/>
    <s v="Oct'25"/>
    <s v="Released"/>
    <x v="1"/>
    <s v="CR01"/>
    <s v="ACRM CRCA CTL"/>
    <m/>
    <x v="0"/>
    <x v="5"/>
    <m/>
    <n v="2000"/>
    <s v="North"/>
    <s v="VARANASI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0"/>
    <n v="0"/>
    <n v="29"/>
    <n v="0"/>
    <n v="29"/>
    <n v="1.26"/>
    <n v="0"/>
    <n v="0"/>
    <n v="0"/>
    <n v="0"/>
    <n v="0"/>
    <n v="0"/>
    <n v="0"/>
    <n v="0"/>
    <n v="0"/>
    <n v="0"/>
    <n v="27.740000000000002"/>
    <n v="0"/>
    <n v="0"/>
    <n v="0"/>
    <n v="0"/>
    <n v="0"/>
    <n v="0"/>
    <n v="0"/>
    <n v="0"/>
    <n v="27.740000000000002"/>
    <n v="0"/>
    <n v="27.740000000000002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O.V.S. ISPAT UDYOG"/>
  </r>
  <r>
    <n v="744"/>
    <d v="2025-08-20T00:00:00"/>
    <s v="ZBTO"/>
    <n v="9519032766"/>
    <n v="3"/>
    <s v="9519032766-3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ROYAL BLUE TSL 1815"/>
    <n v="3"/>
    <n v="5"/>
    <n v="28"/>
    <n v="24.22"/>
    <n v="3.7789999999999999"/>
    <n v="3.7789999999999999"/>
    <n v="24.22"/>
    <n v="0"/>
    <n v="0"/>
    <n v="0"/>
    <n v="0"/>
    <n v="0"/>
    <n v="0"/>
    <n v="0"/>
    <n v="0"/>
    <n v="0"/>
    <n v="0"/>
    <n v="0"/>
    <n v="0"/>
    <n v="0"/>
    <n v="0"/>
    <n v="0"/>
    <n v="0"/>
    <n v="0"/>
    <n v="4.9350000000000005"/>
    <n v="4.9350000000000005"/>
    <n v="4.9350000000000005"/>
    <n v="0"/>
    <n v="0"/>
    <n v="-1.1560000000000006"/>
    <s v="0.43-0.47"/>
    <s v="1220-1222"/>
    <m/>
    <m/>
    <m/>
    <m/>
    <m/>
    <m/>
    <s v="M"/>
    <s v="GP02_PPGL"/>
    <s v="B18-D0C9-0.4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2"/>
    <s v="9519042679-2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15 TSL 1805"/>
    <n v="3"/>
    <n v="5"/>
    <n v="56"/>
    <n v="45.295000000000002"/>
    <n v="10.705"/>
    <n v="6.19"/>
    <n v="21.325000000000003"/>
    <n v="0"/>
    <n v="0"/>
    <n v="0"/>
    <n v="0"/>
    <n v="0"/>
    <n v="0"/>
    <n v="0"/>
    <n v="4.5150000000000006"/>
    <n v="0"/>
    <n v="0"/>
    <n v="0"/>
    <n v="0"/>
    <n v="0"/>
    <n v="0"/>
    <n v="0"/>
    <n v="0"/>
    <n v="0"/>
    <n v="0"/>
    <n v="4.5150000000000006"/>
    <n v="0"/>
    <n v="4.5150000000000006"/>
    <n v="0"/>
    <n v="10.705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4"/>
    <s v="9519042679-4"/>
    <s v="Sep'25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12"/>
    <n v="85.37"/>
    <n v="26.63"/>
    <n v="3.78"/>
    <n v="23.599999999999998"/>
    <n v="0"/>
    <n v="0"/>
    <n v="0"/>
    <n v="0"/>
    <n v="0"/>
    <n v="0"/>
    <n v="0"/>
    <n v="6.085"/>
    <n v="0"/>
    <n v="0"/>
    <n v="0"/>
    <n v="0"/>
    <n v="0"/>
    <n v="0"/>
    <n v="0"/>
    <n v="16.765000000000001"/>
    <n v="0"/>
    <n v="8.74"/>
    <n v="31.590000000000003"/>
    <n v="8.74"/>
    <n v="22.85"/>
    <n v="0"/>
    <n v="17.89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5"/>
    <s v="9519042679-5"/>
    <s v="Sep'25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68"/>
    <n v="140.71"/>
    <n v="27.289000000000001"/>
    <n v="13.353999999999999"/>
    <n v="63.22"/>
    <n v="0"/>
    <n v="0"/>
    <n v="0"/>
    <n v="0"/>
    <n v="0"/>
    <n v="0"/>
    <n v="0"/>
    <n v="13.935"/>
    <n v="0"/>
    <n v="0"/>
    <n v="0"/>
    <n v="0"/>
    <n v="0"/>
    <n v="0"/>
    <n v="0"/>
    <n v="0"/>
    <n v="0"/>
    <n v="15.935"/>
    <n v="29.87"/>
    <n v="15.935"/>
    <n v="13.935"/>
    <n v="0"/>
    <n v="11.3540000000000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6"/>
    <s v="9519042679-6"/>
    <s v="Sep'25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84"/>
    <n v="42.765000000000001"/>
    <n v="41.234000000000002"/>
    <n v="-7.5659999999999998"/>
    <n v="18.490000000000002"/>
    <n v="0"/>
    <n v="0"/>
    <n v="0"/>
    <n v="0"/>
    <n v="24.560000000000002"/>
    <n v="0"/>
    <n v="0"/>
    <n v="23.13"/>
    <n v="0"/>
    <n v="0"/>
    <n v="0"/>
    <n v="0"/>
    <n v="0"/>
    <n v="0"/>
    <n v="0"/>
    <n v="0"/>
    <n v="0"/>
    <n v="7.97"/>
    <n v="55.66"/>
    <n v="7.97"/>
    <n v="47.69"/>
    <n v="0"/>
    <n v="33.264000000000003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7"/>
    <s v="9519042679-7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12"/>
    <n v="109.985"/>
    <n v="2.0139999999999998"/>
    <n v="-2.206"/>
    <n v="28.07"/>
    <n v="0"/>
    <n v="0"/>
    <n v="0"/>
    <n v="0"/>
    <n v="0"/>
    <n v="0"/>
    <n v="0"/>
    <n v="4.22"/>
    <n v="0"/>
    <n v="0"/>
    <n v="0"/>
    <n v="0"/>
    <n v="0"/>
    <n v="0"/>
    <n v="0"/>
    <n v="0"/>
    <n v="0"/>
    <n v="7.8100000000000005"/>
    <n v="12.030000000000001"/>
    <n v="7.8100000000000005"/>
    <n v="4.2200000000000006"/>
    <n v="0"/>
    <n v="-5.7960000000000012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4"/>
    <d v="2025-08-23T00:00:00"/>
    <s v="ZBTO"/>
    <n v="9519042679"/>
    <n v="8"/>
    <s v="9519042679-8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68"/>
    <n v="157.04"/>
    <n v="10.959"/>
    <n v="-4.2859999999999996"/>
    <n v="45.08"/>
    <n v="0"/>
    <n v="0"/>
    <n v="0"/>
    <n v="0"/>
    <n v="0"/>
    <n v="0"/>
    <n v="0"/>
    <n v="10.355"/>
    <n v="0"/>
    <n v="0"/>
    <n v="0"/>
    <n v="0"/>
    <n v="0"/>
    <n v="0"/>
    <n v="0"/>
    <n v="0"/>
    <n v="0"/>
    <n v="12.815000000000001"/>
    <n v="23.17"/>
    <n v="12.815000000000001"/>
    <n v="10.355"/>
    <n v="0"/>
    <n v="-1.8560000000000016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2"/>
    <d v="2025-08-29T00:00:00"/>
    <s v="ZBTO"/>
    <n v="9519062631"/>
    <n v="13"/>
    <s v="9519062631-13"/>
    <s v="No Priority"/>
    <s v="Released"/>
    <x v="0"/>
    <s v="CR01"/>
    <s v="ACRM CRCA CTL"/>
    <m/>
    <x v="0"/>
    <x v="5"/>
    <m/>
    <n v="2000"/>
    <s v="North"/>
    <s v="VARANASI"/>
    <s v="FBAD"/>
    <n v="931525"/>
    <s v="INDIA STEEL INDUSTRIES"/>
    <n v="3239548"/>
    <s v="CRCA SHEET TATCRC SR16 0.400X900X2500"/>
    <s v="C06"/>
    <s v="TATCRC"/>
    <s v="SR16"/>
    <n v="0.4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8-0.42"/>
    <s v="900-904"/>
    <m/>
    <m/>
    <m/>
    <m/>
    <m/>
    <m/>
    <s v="M"/>
    <s v="CRCA_SUPR"/>
    <s v="C06-SR16-0.4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s v="INDIA STEEL INDUSTRIES"/>
  </r>
  <r>
    <n v="742"/>
    <d v="2025-08-29T00:00:00"/>
    <s v="ZBTO"/>
    <n v="9519062631"/>
    <n v="10"/>
    <s v="9519062631-10"/>
    <s v="Oct'25"/>
    <s v="Released"/>
    <x v="1"/>
    <s v="CR01"/>
    <s v="ACRM CRCA CTL"/>
    <m/>
    <x v="0"/>
    <x v="5"/>
    <m/>
    <n v="2000"/>
    <s v="North"/>
    <s v="VARANASI"/>
    <s v="FBAD"/>
    <n v="931525"/>
    <s v="INDIA STEEL INDUSTRIES"/>
    <n v="3437524"/>
    <s v="CRCA SHEET TATCRC SR16 0.400X1250X2030"/>
    <s v="C06"/>
    <s v="TATCRC"/>
    <s v="SR16"/>
    <n v="0.4"/>
    <n v="1250"/>
    <n v="203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INDIA STEEL INDUSTRIES"/>
  </r>
  <r>
    <n v="742"/>
    <d v="2025-08-29T00:00:00"/>
    <s v="ZBTO"/>
    <n v="9519062631"/>
    <n v="11"/>
    <s v="9519062631-11"/>
    <s v="Oct'25"/>
    <s v="Released"/>
    <x v="1"/>
    <s v="CR01"/>
    <s v="ACRM CRCA CTL"/>
    <m/>
    <x v="0"/>
    <x v="5"/>
    <m/>
    <n v="2000"/>
    <s v="North"/>
    <s v="VARANASI"/>
    <s v="FBAD"/>
    <n v="931525"/>
    <s v="INDIA STEEL INDUSTRIES"/>
    <n v="3444592"/>
    <s v="CRCA SHEET TATCRC SR16 0.450X1250X2030"/>
    <s v="C06"/>
    <s v="TATCRC"/>
    <s v="SR16"/>
    <n v="0.45"/>
    <n v="1250"/>
    <n v="203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3-0.47"/>
    <s v="1250-1254"/>
    <m/>
    <m/>
    <m/>
    <m/>
    <m/>
    <m/>
    <s v="M"/>
    <s v="CRCA_SUPR"/>
    <s v="C06-SR16-0.45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INDIA STEEL INDUSTRIES"/>
  </r>
  <r>
    <n v="742"/>
    <d v="2025-08-21T00:00:00"/>
    <s v="ZBTO"/>
    <n v="9519036272"/>
    <n v="6"/>
    <s v="9519036272-6"/>
    <s v="Oct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5"/>
    <n v="3.2"/>
    <n v="138"/>
    <n v="0"/>
    <n v="138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"/>
    <s v="0.43-0.47"/>
    <s v="1000-1002"/>
    <m/>
    <m/>
    <m/>
    <m/>
    <m/>
    <m/>
    <s v="R"/>
    <s v="CRCA_SUPR"/>
    <s v="C06-SR16-0.45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Shree Bajrang Steel Udyog"/>
  </r>
  <r>
    <n v="742"/>
    <d v="2025-08-21T00:00:00"/>
    <s v="ZBTO"/>
    <n v="9519036388"/>
    <n v="4"/>
    <s v="9519036388-4"/>
    <s v="Oct'25"/>
    <s v="Released"/>
    <x v="1"/>
    <s v="CR01"/>
    <s v="ACRM CRCA CTL"/>
    <m/>
    <x v="0"/>
    <x v="5"/>
    <m/>
    <n v="2000"/>
    <s v="East"/>
    <s v="Jharkhand"/>
    <s v="JAMS"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s v=""/>
    <n v="2.5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6-0.5"/>
    <s v="1250-1252"/>
    <m/>
    <m/>
    <m/>
    <m/>
    <m/>
    <m/>
    <s v="R"/>
    <s v="NA"/>
    <s v="C06-SR16-0.48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R. S. BOKARO METAL (P) LTD."/>
  </r>
  <r>
    <n v="742"/>
    <d v="2025-08-28T00:00:00"/>
    <s v="ZBTO"/>
    <n v="9519056703"/>
    <n v="1"/>
    <s v="9519056703-1"/>
    <s v="No Priority"/>
    <s v="Released"/>
    <x v="0"/>
    <s v="CR01"/>
    <s v="ACRM CRCA CTL"/>
    <m/>
    <x v="0"/>
    <x v="5"/>
    <m/>
    <n v="2000"/>
    <s v="North"/>
    <s v="VARANASI"/>
    <s v="FBAD"/>
    <n v="931525"/>
    <s v="INDIA STEEL INDUSTRIES"/>
    <n v="3239567"/>
    <s v="CRCA SHEET TATCRC SR16 0.450X1000X2500"/>
    <s v="C06"/>
    <s v="TATCRC"/>
    <s v="SR16"/>
    <n v="0.45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4"/>
    <m/>
    <m/>
    <m/>
    <m/>
    <m/>
    <m/>
    <s v="M"/>
    <s v="CRCA_SUPR"/>
    <s v="C06-SR16-0.45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INDIA STEEL INDUSTRIES"/>
  </r>
  <r>
    <n v="742"/>
    <d v="2025-08-18T00:00:00"/>
    <s v="ZBTO"/>
    <n v="9519025593"/>
    <n v="2"/>
    <s v="9519025593-2"/>
    <s v="Oct'25"/>
    <s v="Released"/>
    <x v="1"/>
    <s v="CR01"/>
    <s v="ACRM CRCA CTL"/>
    <m/>
    <x v="0"/>
    <x v="5"/>
    <m/>
    <n v="2000"/>
    <s v="North"/>
    <s v="VARANASI"/>
    <s v="KANP"/>
    <n v="115841"/>
    <s v="O.V.S. ISPAT UDYOG"/>
    <n v="3444592"/>
    <s v="CRCA SHEET TATCRC SR16 0.450X1250X2030"/>
    <s v="C06"/>
    <s v="TATCRC"/>
    <s v="SR16"/>
    <n v="0.45"/>
    <n v="1250"/>
    <n v="203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3-0.47"/>
    <s v="1250-1254"/>
    <m/>
    <m/>
    <m/>
    <m/>
    <m/>
    <m/>
    <s v="M"/>
    <s v="CRCA_SUPR"/>
    <s v="C06-SR16-0.45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O.V.S. ISPAT UDYOG"/>
  </r>
  <r>
    <n v="742"/>
    <d v="2025-08-20T00:00:00"/>
    <s v="ZBTO"/>
    <n v="9519032508"/>
    <n v="8"/>
    <s v="9519032508-8"/>
    <s v="Oct'25"/>
    <s v="Released"/>
    <x v="1"/>
    <s v="CR02"/>
    <s v="ACRM CRCA CRS"/>
    <m/>
    <x v="0"/>
    <x v="0"/>
    <m/>
    <n v="2000"/>
    <s v="South"/>
    <s v="VISHAKHAPATNAM"/>
    <s v="SBAD"/>
    <n v="946077"/>
    <s v="SITARAM IRON AND STEEL PVT LTD"/>
    <n v="2378013"/>
    <s v="CRCA COIL TATXXD AU03 1X1120"/>
    <s v="C01"/>
    <s v="TATXXD"/>
    <s v="AU03"/>
    <n v="1"/>
    <n v="1120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97-1.03"/>
    <s v="1120-1125"/>
    <m/>
    <m/>
    <m/>
    <m/>
    <m/>
    <m/>
    <s v="C"/>
    <n v="0"/>
    <s v="C01-AU03-1-1120"/>
    <s v="B69-SH08-2.8-1130"/>
    <s v="B69"/>
    <s v="T01320"/>
    <s v="SH08"/>
    <s v="C16D"/>
    <n v="2.8"/>
    <n v="1130"/>
    <n v="3926348"/>
    <m/>
    <m/>
    <m/>
    <m/>
    <m/>
    <m/>
    <m/>
    <m/>
    <m/>
    <m/>
    <m/>
    <m/>
    <m/>
    <m/>
    <m/>
    <m/>
    <m/>
    <m/>
    <m/>
    <s v="SITARAM IRON AND STEEL PVT LTD"/>
  </r>
  <r>
    <n v="742"/>
    <d v="2025-08-02T00:00:00"/>
    <s v="ZBTO"/>
    <n v="9518988277"/>
    <n v="1"/>
    <s v="9518988277-1"/>
    <s v="No Priority"/>
    <s v="Released"/>
    <x v="0"/>
    <e v="#N/A"/>
    <e v="#N/A"/>
    <m/>
    <x v="0"/>
    <x v="0"/>
    <m/>
    <n v="2000"/>
    <s v="North"/>
    <s v="ZOSOLA"/>
    <s v="GBAD"/>
    <n v="184986"/>
    <s v="SWASTIK STEEL PROCESSOR LLP"/>
    <n v="1800890"/>
    <s v="CRCA COIL-TATXXD-AU03-0.35X1250"/>
    <s v="C01"/>
    <s v="TATXXD"/>
    <s v="AU03"/>
    <n v="0.35"/>
    <n v="1250"/>
    <n v="0"/>
    <s v="T2 DONE"/>
    <s v=" "/>
    <s v=""/>
    <n v="15"/>
    <n v="29"/>
    <n v="116"/>
    <n v="0"/>
    <n v="116"/>
    <n v="103.295"/>
    <n v="0"/>
    <n v="0"/>
    <n v="0"/>
    <n v="0"/>
    <n v="0"/>
    <n v="0"/>
    <n v="0"/>
    <n v="12.705"/>
    <n v="0"/>
    <n v="0"/>
    <n v="0"/>
    <n v="0"/>
    <n v="0"/>
    <n v="0"/>
    <n v="0"/>
    <n v="0"/>
    <n v="0"/>
    <n v="0"/>
    <n v="0"/>
    <n v="12.705"/>
    <n v="12.705"/>
    <n v="0"/>
    <n v="0"/>
    <n v="103.295"/>
    <s v="0.32-0.36"/>
    <s v="1250-1262"/>
    <m/>
    <m/>
    <m/>
    <m/>
    <m/>
    <m/>
    <s v="U"/>
    <s v="CRCA_STLM"/>
    <s v="C01-AU03-0.35-1250"/>
    <s v="367-SH08-2-1275"/>
    <n v="367"/>
    <s v="T01320"/>
    <s v="SH08"/>
    <s v="C16D"/>
    <n v="2"/>
    <n v="1275"/>
    <n v="3636910"/>
    <m/>
    <m/>
    <m/>
    <m/>
    <m/>
    <m/>
    <m/>
    <m/>
    <m/>
    <m/>
    <m/>
    <m/>
    <m/>
    <m/>
    <m/>
    <m/>
    <m/>
    <m/>
    <m/>
    <s v="SWASTIK STEEL PROCESSOR LLP"/>
  </r>
  <r>
    <n v="742"/>
    <d v="2025-09-02T00:00:00"/>
    <s v="ZBTO"/>
    <n v="9519073326"/>
    <n v="1"/>
    <s v="9519073326-1"/>
    <s v="Oct'25"/>
    <s v="Released"/>
    <x v="1"/>
    <s v="CR02"/>
    <s v="ACRM CRCA CRS"/>
    <m/>
    <x v="0"/>
    <x v="0"/>
    <m/>
    <n v="2000"/>
    <s v="North"/>
    <s v="ZOSOLA"/>
    <s v="GBAD"/>
    <n v="184986"/>
    <s v="SWASTIK STEEL PROCESSOR LLP"/>
    <n v="259534"/>
    <s v="CR COIL-ICF  DQ TATXXD AU03 0.35 X 1250"/>
    <s v="C01"/>
    <s v="TATXXD"/>
    <s v="AU03"/>
    <n v="0.35"/>
    <n v="1250"/>
    <n v="0"/>
    <s v="T2 DONE"/>
    <s v=" "/>
    <s v=""/>
    <n v="15"/>
    <n v="29"/>
    <n v="116"/>
    <n v="0"/>
    <n v="116"/>
    <n v="32.979999999999997"/>
    <n v="0"/>
    <n v="0"/>
    <n v="0"/>
    <n v="0"/>
    <n v="0"/>
    <n v="0"/>
    <n v="0"/>
    <n v="0"/>
    <n v="0"/>
    <n v="55.68"/>
    <n v="0"/>
    <n v="0"/>
    <n v="0"/>
    <n v="0"/>
    <n v="0"/>
    <n v="0"/>
    <n v="0"/>
    <n v="0"/>
    <n v="0"/>
    <n v="55.68"/>
    <n v="0"/>
    <n v="55.68"/>
    <n v="0"/>
    <n v="116"/>
    <s v="0.32-0.36"/>
    <s v="1250-1262"/>
    <m/>
    <m/>
    <m/>
    <m/>
    <m/>
    <s v="4000519244-1"/>
    <s v="U"/>
    <s v="CRCA_STLM"/>
    <s v="C01-AU03-0.35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SWASTIK STEEL PROCESSOR LLP"/>
  </r>
  <r>
    <n v="742"/>
    <d v="2025-08-22T00:00:00"/>
    <s v="ZBTO"/>
    <n v="9519040022"/>
    <n v="2"/>
    <s v="9519040022-2"/>
    <s v="Sep'25"/>
    <s v="Released"/>
    <x v="1"/>
    <s v="CR02"/>
    <s v="ACRM CRCA CRS"/>
    <m/>
    <x v="0"/>
    <x v="4"/>
    <m/>
    <n v="1000"/>
    <s v="West"/>
    <s v="VADODARA"/>
    <s v="NPUR"/>
    <n v="189022"/>
    <s v="Balmer Lawrie And Company Limited"/>
    <n v="2164800"/>
    <s v="CRCA COIL TATXXD BT02 0.970X913"/>
    <s v="C01"/>
    <s v="TATXXD"/>
    <s v="BT02"/>
    <n v="0.97"/>
    <n v="913"/>
    <n v="0"/>
    <s v="T2 DONE"/>
    <s v=" "/>
    <s v=""/>
    <n v="6"/>
    <n v="10"/>
    <n v="63"/>
    <n v="47.435000000000002"/>
    <n v="15.565"/>
    <n v="-5.7350000000000003"/>
    <n v="22.07"/>
    <n v="0"/>
    <n v="0"/>
    <n v="0"/>
    <n v="0"/>
    <n v="0"/>
    <n v="0"/>
    <n v="0"/>
    <n v="0"/>
    <n v="0"/>
    <n v="0"/>
    <n v="0"/>
    <n v="0"/>
    <n v="0"/>
    <n v="0"/>
    <n v="0"/>
    <n v="40.42"/>
    <n v="0"/>
    <n v="14.98"/>
    <n v="55.400000000000006"/>
    <n v="14.98"/>
    <n v="40.42"/>
    <n v="0"/>
    <n v="0.58499999999999908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s v="Balmer Lawrie And Company Limited"/>
  </r>
  <r>
    <n v="742"/>
    <d v="2025-07-18T00:00:00"/>
    <s v="ZBTO"/>
    <n v="9518939375"/>
    <n v="2"/>
    <s v="9518939375-2"/>
    <s v="No Priority"/>
    <s v="Released"/>
    <x v="0"/>
    <e v="#N/A"/>
    <e v="#N/A"/>
    <m/>
    <x v="0"/>
    <x v="15"/>
    <m/>
    <n v="2000"/>
    <s v="East"/>
    <s v="JSR"/>
    <s v="CALS"/>
    <n v="155536"/>
    <s v="TATA STEEL DOWNSTREAM PRODUCTS LIMI"/>
    <n v="2420525"/>
    <s v="CRCA COIL TATXXD AH03 2X1250"/>
    <s v="C01"/>
    <s v="TATXXD"/>
    <s v="AH03"/>
    <n v="2"/>
    <n v="1250"/>
    <n v="0"/>
    <s v="T2 DONE"/>
    <s v=" "/>
    <s v=""/>
    <n v="13"/>
    <n v="29"/>
    <n v="185"/>
    <n v="156.89500000000001"/>
    <n v="28.105"/>
    <n v="0.53500000000000003"/>
    <n v="0"/>
    <n v="0"/>
    <n v="0"/>
    <n v="0"/>
    <n v="0"/>
    <n v="0"/>
    <n v="0"/>
    <n v="0"/>
    <n v="0"/>
    <n v="0"/>
    <n v="0"/>
    <n v="0"/>
    <n v="27.57"/>
    <n v="0"/>
    <n v="0"/>
    <n v="0"/>
    <n v="0"/>
    <n v="0"/>
    <n v="0"/>
    <n v="27.57"/>
    <n v="27.57"/>
    <n v="0"/>
    <n v="0"/>
    <n v="0.53500000000000014"/>
    <s v="1.97-2"/>
    <s v="1250-1270"/>
    <m/>
    <m/>
    <m/>
    <m/>
    <m/>
    <m/>
    <s v="U"/>
    <s v="CRCA_ME"/>
    <s v="C01-AH03-2-1250"/>
    <s v="367-SH67-4-1250"/>
    <n v="367"/>
    <s v="TSH067"/>
    <s v="SH67"/>
    <s v="C14A"/>
    <n v="4"/>
    <n v="1250"/>
    <n v="3920740"/>
    <m/>
    <m/>
    <m/>
    <m/>
    <m/>
    <m/>
    <m/>
    <m/>
    <m/>
    <m/>
    <m/>
    <m/>
    <m/>
    <m/>
    <m/>
    <m/>
    <m/>
    <m/>
    <m/>
    <s v="TATA STEEL DOWNSTREAM PRODUCTS LIMI"/>
  </r>
  <r>
    <n v="742"/>
    <d v="2025-07-18T00:00:00"/>
    <s v="ZBTO"/>
    <n v="9518938765"/>
    <n v="12"/>
    <s v="9518938765-12"/>
    <s v="No Priority"/>
    <s v="Released"/>
    <x v="0"/>
    <s v="CR01"/>
    <s v="ACRM CRCA CTL"/>
    <m/>
    <x v="0"/>
    <x v="5"/>
    <m/>
    <n v="2000"/>
    <s v="East"/>
    <s v="PATNA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0"/>
    <n v="0"/>
    <n v="22.998999999999999"/>
    <n v="19.234999999999999"/>
    <n v="3.7639999999999998"/>
    <n v="3.76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639999999999998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BMW VENTURES LIMITED"/>
  </r>
  <r>
    <n v="742"/>
    <d v="2025-08-21T00:00:00"/>
    <s v="ZBTO"/>
    <n v="9519036272"/>
    <n v="3"/>
    <s v="9519036272-3"/>
    <s v="Oct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2441002"/>
    <s v="CRCA SHEET TATCRC SR16 0.380X1250X2500"/>
    <s v="C06"/>
    <s v="TATCRC"/>
    <s v="SR16"/>
    <n v="0.38"/>
    <n v="1250"/>
    <n v="2500"/>
    <s v="T2 DONE"/>
    <s v=" "/>
    <s v=""/>
    <n v="2.5"/>
    <n v="3.2"/>
    <n v="58"/>
    <n v="0"/>
    <n v="58"/>
    <n v="30.23"/>
    <n v="0"/>
    <n v="0"/>
    <n v="0"/>
    <n v="0"/>
    <n v="0"/>
    <n v="0"/>
    <n v="0"/>
    <n v="0"/>
    <n v="0"/>
    <n v="27.77"/>
    <n v="0"/>
    <n v="0"/>
    <n v="0"/>
    <n v="0"/>
    <n v="0"/>
    <n v="0"/>
    <n v="0"/>
    <n v="0"/>
    <n v="0"/>
    <n v="27.77"/>
    <n v="0"/>
    <n v="27.77"/>
    <n v="0"/>
    <n v="58"/>
    <s v="0.36-0.4"/>
    <s v="1250-1252"/>
    <m/>
    <m/>
    <m/>
    <m/>
    <m/>
    <m/>
    <s v="R"/>
    <s v="CRCA_SUPR"/>
    <s v="C06-SR16-0.38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s v="Shree Bajrang Steel Udyog"/>
  </r>
  <r>
    <n v="742"/>
    <d v="2025-08-28T00:00:00"/>
    <s v="ZBTO"/>
    <n v="9519056703"/>
    <n v="2"/>
    <s v="9519056703-2"/>
    <s v="No Priority"/>
    <s v="Released"/>
    <x v="0"/>
    <s v="CR01"/>
    <s v="ACRM CRCA CTL"/>
    <m/>
    <x v="0"/>
    <x v="5"/>
    <m/>
    <n v="2000"/>
    <s v="North"/>
    <s v="VARANASI"/>
    <s v="FBAD"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INDIA STEEL INDUSTRIES"/>
  </r>
  <r>
    <n v="742"/>
    <d v="2025-07-25T00:00:00"/>
    <s v="ZBTO"/>
    <n v="9518957749"/>
    <n v="1"/>
    <s v="9518957749-1"/>
    <s v="Oct'25"/>
    <s v="Released"/>
    <x v="1"/>
    <s v="CR02"/>
    <s v="ACRM CRCA CRS"/>
    <m/>
    <x v="0"/>
    <x v="0"/>
    <m/>
    <n v="2000"/>
    <s v="South"/>
    <s v="YESHWANTHPURA"/>
    <s v="BANG"/>
    <n v="932244"/>
    <s v="DURGA TRADERS"/>
    <n v="1804772"/>
    <s v="CRCA COIL TATXXD AU03 0.4X1250"/>
    <s v="C01"/>
    <s v="TATXXD"/>
    <s v="AU03"/>
    <n v="0.4"/>
    <n v="1250"/>
    <n v="0"/>
    <s v="T2 DONE"/>
    <s v=" "/>
    <s v=""/>
    <n v="10"/>
    <n v="28"/>
    <n v="116"/>
    <n v="25.045000000000002"/>
    <n v="90.954999999999998"/>
    <n v="10.615"/>
    <n v="0"/>
    <n v="0"/>
    <n v="0"/>
    <n v="0"/>
    <n v="0"/>
    <n v="0"/>
    <n v="0"/>
    <n v="0"/>
    <n v="0"/>
    <n v="53.905000000000001"/>
    <n v="0"/>
    <n v="0"/>
    <n v="0"/>
    <n v="0"/>
    <n v="0"/>
    <n v="0"/>
    <n v="0"/>
    <n v="0"/>
    <n v="0"/>
    <n v="53.905000000000001"/>
    <n v="0"/>
    <n v="53.905000000000001"/>
    <n v="0"/>
    <n v="90.954999999999998"/>
    <s v="0.37-0.4"/>
    <s v="1250-1262"/>
    <m/>
    <m/>
    <m/>
    <m/>
    <m/>
    <s v="4000519244-1"/>
    <s v="U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DURGA TRADERS"/>
  </r>
  <r>
    <n v="742"/>
    <d v="2025-07-24T00:00:00"/>
    <s v="ZBTO"/>
    <n v="9518954637"/>
    <n v="1"/>
    <s v="9518954637-1"/>
    <s v="Sep'25"/>
    <s v="Released"/>
    <x v="1"/>
    <s v="CR02"/>
    <s v="ACRM CRCA CRS"/>
    <m/>
    <x v="0"/>
    <x v="0"/>
    <m/>
    <n v="2000"/>
    <s v="East"/>
    <s v="TATANAGAR"/>
    <s v="JAMS"/>
    <n v="165053"/>
    <s v="SUDISA ENTERPRISES (P) LTD."/>
    <n v="1804772"/>
    <s v="CRCA COIL TATXXD AU03 0.4X1250"/>
    <s v="C01"/>
    <s v="TATXXD"/>
    <s v="AU03"/>
    <n v="0.4"/>
    <n v="1250"/>
    <n v="0"/>
    <s v="T2 DONE"/>
    <s v=" "/>
    <s v=""/>
    <n v="20"/>
    <n v="29"/>
    <n v="58"/>
    <n v="0"/>
    <n v="58"/>
    <n v="58"/>
    <n v="0"/>
    <n v="0"/>
    <n v="0"/>
    <n v="0"/>
    <n v="0"/>
    <n v="0"/>
    <n v="0"/>
    <n v="0"/>
    <n v="0"/>
    <n v="27.92"/>
    <n v="0"/>
    <n v="0"/>
    <n v="0"/>
    <n v="0"/>
    <n v="0"/>
    <n v="0"/>
    <n v="0"/>
    <n v="0"/>
    <n v="0"/>
    <n v="27.92"/>
    <n v="0"/>
    <n v="27.92"/>
    <n v="0"/>
    <n v="58"/>
    <s v="0.38-0.42"/>
    <s v="1250-1252"/>
    <m/>
    <m/>
    <m/>
    <m/>
    <m/>
    <m/>
    <s v="R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SUDISA ENTERPRISES (P) LTD."/>
  </r>
  <r>
    <n v="742"/>
    <d v="2025-07-18T00:00:00"/>
    <s v="ZBTO"/>
    <n v="9518939680"/>
    <n v="23"/>
    <s v="9518939680-23"/>
    <s v="No Priority"/>
    <s v="Released"/>
    <x v="0"/>
    <s v="CR02"/>
    <s v="ACRM CRCA CRS"/>
    <m/>
    <x v="0"/>
    <x v="0"/>
    <m/>
    <n v="2000"/>
    <s v="South"/>
    <s v="CHENNAI"/>
    <s v="MADS"/>
    <n v="938550"/>
    <s v="BASEER AND CO"/>
    <n v="1801159"/>
    <s v="CRCA COIL-TATXXD-AU03-0.5X1000"/>
    <s v="C01"/>
    <s v="TATXXD"/>
    <s v="AU03"/>
    <n v="0.5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8-0.52"/>
    <s v="1000-1004"/>
    <m/>
    <m/>
    <m/>
    <m/>
    <m/>
    <m/>
    <s v="R"/>
    <s v="CRCA_STLM"/>
    <s v="C01-AU03-0.5-100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25"/>
    <s v="9518939680-25"/>
    <s v="Sep'25"/>
    <s v="Released"/>
    <x v="1"/>
    <s v="CR02"/>
    <s v="ACRM CRCA CRS"/>
    <m/>
    <x v="0"/>
    <x v="0"/>
    <m/>
    <n v="2000"/>
    <s v="South"/>
    <s v="CHENNAI"/>
    <s v="MADS"/>
    <n v="938550"/>
    <s v="BASEER AND CO"/>
    <n v="1801562"/>
    <s v="CRCA COIL-TATXXD-AU03-0.8X1000"/>
    <s v="C01"/>
    <s v="TATXXD"/>
    <s v="AU03"/>
    <n v="0.8"/>
    <n v="1000"/>
    <n v="0"/>
    <s v="T2 DONE"/>
    <s v=" "/>
    <s v=""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8-0.82"/>
    <s v="1000-1004"/>
    <m/>
    <m/>
    <m/>
    <m/>
    <m/>
    <m/>
    <s v="R"/>
    <s v="CRCA_STLM"/>
    <s v="C01-AU03-0.8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BASEER AND CO"/>
  </r>
  <r>
    <n v="742"/>
    <d v="2025-07-18T00:00:00"/>
    <s v="ZBTO"/>
    <n v="9518939680"/>
    <n v="30"/>
    <s v="9518939680-30"/>
    <s v="Sep'25"/>
    <s v="Released"/>
    <x v="1"/>
    <s v="CR02"/>
    <s v="ACRM CRCA CRS"/>
    <m/>
    <x v="0"/>
    <x v="0"/>
    <m/>
    <n v="2000"/>
    <s v="South"/>
    <s v="CHENNAI"/>
    <s v="MADS"/>
    <n v="938550"/>
    <s v="BASEER AND CO"/>
    <n v="185672"/>
    <s v="CR COIL-ICF  DQ TATXXD AU03 0.50X1000"/>
    <s v="C01"/>
    <s v="TATXXD"/>
    <s v="AU03"/>
    <n v="0.5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8-0.52"/>
    <s v="1000-1004"/>
    <m/>
    <m/>
    <m/>
    <m/>
    <m/>
    <m/>
    <s v="R"/>
    <s v="CRCA_STLM"/>
    <s v="C01-AU03-0.5-100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BASEER AND CO"/>
  </r>
  <r>
    <n v="742"/>
    <d v="2025-07-25T00:00:00"/>
    <s v="ZBTO"/>
    <n v="9518958168"/>
    <n v="1"/>
    <s v="9518958168-1"/>
    <s v="Sep'25"/>
    <s v="Released"/>
    <x v="1"/>
    <s v="CR02"/>
    <s v="ACRM CRCA CRS"/>
    <m/>
    <x v="0"/>
    <x v="0"/>
    <m/>
    <n v="2000"/>
    <s v="South"/>
    <s v="YESHWANTHPURA"/>
    <s v="BANG"/>
    <n v="165992"/>
    <s v="G.K.ISPAT PVT.LTD"/>
    <n v="1804772"/>
    <s v="CRCA COIL TATXXD AU03 0.4X1250"/>
    <s v="C01"/>
    <s v="TATXXD"/>
    <s v="AU03"/>
    <n v="0.4"/>
    <n v="1250"/>
    <n v="0"/>
    <s v="T2 DONE"/>
    <s v=" "/>
    <s v=""/>
    <n v="10"/>
    <n v="28"/>
    <n v="116"/>
    <n v="25.215"/>
    <n v="90.784999999999997"/>
    <n v="9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784999999999997"/>
    <s v="0.37-0.4"/>
    <s v="1250-1262"/>
    <m/>
    <m/>
    <m/>
    <m/>
    <m/>
    <s v="4000519244-1"/>
    <s v="U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G.K.ISPAT PVT.LTD"/>
  </r>
  <r>
    <n v="742"/>
    <d v="2025-07-18T00:00:00"/>
    <s v="ZBTO"/>
    <n v="9518939324"/>
    <n v="1"/>
    <s v="9518939324-1"/>
    <s v="Oct'25"/>
    <s v="Released"/>
    <x v="1"/>
    <s v="CR02"/>
    <s v="ACRM CRCA CRS"/>
    <m/>
    <x v="0"/>
    <x v="0"/>
    <m/>
    <n v="2000"/>
    <s v="East"/>
    <s v="HOWRAH"/>
    <s v="CALS"/>
    <n v="154464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3"/>
    <n v="29"/>
    <n v="58"/>
    <n v="0"/>
    <n v="58"/>
    <n v="29.97"/>
    <n v="0"/>
    <n v="0"/>
    <n v="0"/>
    <n v="0"/>
    <n v="0"/>
    <n v="0"/>
    <n v="0"/>
    <n v="0"/>
    <n v="0"/>
    <n v="0"/>
    <n v="0"/>
    <n v="0"/>
    <n v="26.900000000000002"/>
    <n v="0"/>
    <n v="0"/>
    <n v="0"/>
    <n v="0"/>
    <n v="0"/>
    <n v="0"/>
    <n v="26.900000000000002"/>
    <n v="26.900000000000002"/>
    <n v="0"/>
    <n v="0"/>
    <n v="31.099999999999998"/>
    <s v="0.47-0.5"/>
    <s v="1250-1270"/>
    <m/>
    <m/>
    <m/>
    <m/>
    <m/>
    <s v="4000519244-5"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TATA STEEL DOWNSTREAM PRODUCTS LIMI"/>
  </r>
  <r>
    <n v="742"/>
    <d v="2025-06-11T00:00:00"/>
    <s v="ZBTO"/>
    <n v="9518842271"/>
    <n v="5"/>
    <s v="9518842271-5"/>
    <s v="No Priority"/>
    <s v="Released"/>
    <x v="0"/>
    <s v="CR02"/>
    <s v="ACRM CRCA CRS"/>
    <m/>
    <x v="0"/>
    <x v="0"/>
    <m/>
    <n v="2000"/>
    <s v="South"/>
    <s v="VISHAKHAPATNAM"/>
    <s v="SBAD"/>
    <n v="946077"/>
    <s v="SITARAM IRON AND STEEL PVT LTD"/>
    <n v="1801798"/>
    <s v="CRCA COIL-TATXXD-AU03-1X900"/>
    <s v="C01"/>
    <s v="TATXXD"/>
    <s v="AU03"/>
    <n v="1"/>
    <n v="9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3"/>
    <s v="900-902"/>
    <m/>
    <m/>
    <m/>
    <m/>
    <m/>
    <m/>
    <s v="C"/>
    <s v="CRCA_STLM"/>
    <s v="C01-AU03-1-900"/>
    <s v="B69-SH08-2.8-925"/>
    <s v="B69"/>
    <s v="T01320"/>
    <s v="SH08"/>
    <s v="C16D"/>
    <n v="2.8"/>
    <n v="925"/>
    <n v="3918705"/>
    <m/>
    <m/>
    <m/>
    <m/>
    <m/>
    <m/>
    <m/>
    <m/>
    <m/>
    <m/>
    <m/>
    <m/>
    <m/>
    <m/>
    <m/>
    <m/>
    <m/>
    <m/>
    <m/>
    <s v="SITARAM IRON AND STEEL PVT LTD"/>
  </r>
  <r>
    <n v="742"/>
    <d v="2025-07-25T00:00:00"/>
    <s v="ZBTO"/>
    <n v="9518959342"/>
    <n v="1"/>
    <s v="9518959342-1"/>
    <s v="Oct'25"/>
    <s v="Released"/>
    <x v="1"/>
    <s v="CR02"/>
    <s v="ACRM CRCA CRS"/>
    <m/>
    <x v="0"/>
    <x v="0"/>
    <m/>
    <n v="2200"/>
    <s v="South"/>
    <s v="GUMMIDIPOONDI"/>
    <s v="MADS"/>
    <n v="822271"/>
    <s v="TATA STEEL DOWNSTREAM PRODUCTS LIMI"/>
    <n v="1801290"/>
    <s v="CRCA COIL-TATXXD-AU03-0.6X1250"/>
    <s v="C01"/>
    <s v="TATXXD"/>
    <s v="AU03"/>
    <n v="0.6"/>
    <n v="1250"/>
    <n v="0"/>
    <s v="T2 DONE"/>
    <s v=" "/>
    <s v=""/>
    <n v="5"/>
    <n v="29"/>
    <n v="116"/>
    <n v="58.215000000000003"/>
    <n v="57.784999999999997"/>
    <n v="5.9850000000000003"/>
    <n v="0"/>
    <n v="0"/>
    <n v="0"/>
    <n v="0"/>
    <n v="0"/>
    <n v="0"/>
    <n v="0"/>
    <n v="0"/>
    <n v="0"/>
    <n v="0"/>
    <n v="0"/>
    <n v="0"/>
    <n v="26.25"/>
    <n v="0"/>
    <n v="0"/>
    <n v="0"/>
    <n v="0"/>
    <n v="0"/>
    <n v="0"/>
    <n v="26.25"/>
    <n v="26.25"/>
    <n v="0"/>
    <n v="0"/>
    <n v="31.534999999999997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TATA STEEL DOWNSTREAM PRODUCTS LIMI"/>
  </r>
  <r>
    <n v="744"/>
    <d v="2025-08-08T00:00:00"/>
    <s v="ZBTO"/>
    <n v="9519003169"/>
    <n v="3"/>
    <s v="9519003169-3"/>
    <s v="Stocks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7.998999999999999"/>
    <n v="15.57"/>
    <n v="12.429"/>
    <n v="12.429"/>
    <n v="4.24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29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3"/>
    <d v="2025-08-21T00:00:00"/>
    <s v="ZBTO"/>
    <n v="9519036122"/>
    <n v="6"/>
    <s v="9519036122-6"/>
    <s v="Stocks"/>
    <s v="Released"/>
    <x v="1"/>
    <s v="GL01"/>
    <s v="ACRM GP#2 TBSPL BGL"/>
    <m/>
    <x v="4"/>
    <x v="3"/>
    <m/>
    <n v="1000"/>
    <s v="TBSPL"/>
    <s v="TATANAGAR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80"/>
    <n v="275.62"/>
    <n v="4.38"/>
    <n v="4.38"/>
    <n v="182.61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RIVATE LIMITE"/>
  </r>
  <r>
    <n v="743"/>
    <d v="2025-08-21T00:00:00"/>
    <s v="ZBTO"/>
    <n v="9519036122"/>
    <n v="8"/>
    <s v="9519036122-8"/>
    <s v="Sep'25"/>
    <s v="Released"/>
    <x v="1"/>
    <s v="GL01"/>
    <s v="ACRM GP#2 TBSPL BGL"/>
    <m/>
    <x v="4"/>
    <x v="3"/>
    <m/>
    <n v="1000"/>
    <s v="TBSPL"/>
    <s v="TATANAGAR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24"/>
    <n v="164.33"/>
    <n v="59.67"/>
    <n v="4.4749999999999996"/>
    <n v="117.99000000000001"/>
    <n v="0"/>
    <n v="0"/>
    <n v="0"/>
    <n v="0"/>
    <n v="0"/>
    <n v="0"/>
    <n v="55.195"/>
    <n v="0"/>
    <n v="0"/>
    <n v="0"/>
    <n v="0"/>
    <n v="0"/>
    <n v="0"/>
    <n v="0"/>
    <n v="0"/>
    <n v="0"/>
    <n v="0"/>
    <n v="4.4050000000000002"/>
    <n v="59.6"/>
    <n v="4.4050000000000002"/>
    <n v="55.195"/>
    <n v="0"/>
    <n v="55.265000000000001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RIVATE LIMITE"/>
  </r>
  <r>
    <n v="742"/>
    <d v="2025-07-22T00:00:00"/>
    <s v="ZBTO"/>
    <n v="9518948157"/>
    <n v="1"/>
    <s v="9518948157-1"/>
    <s v="Sep'25"/>
    <s v="Released"/>
    <x v="1"/>
    <s v="CR01"/>
    <s v="ACRM CRCA CTL"/>
    <m/>
    <x v="0"/>
    <x v="5"/>
    <m/>
    <n v="2000"/>
    <s v="East"/>
    <s v="TATANAGAR"/>
    <s v="JAMS"/>
    <n v="165053"/>
    <s v="SUDISA ENTERPRISES (P) LTD."/>
    <n v="2427612"/>
    <s v="CRCA SHEET TATCRC SR16 0.300X900X2500"/>
    <s v="C06"/>
    <s v="TATCRC"/>
    <s v="SR16"/>
    <n v="0.3"/>
    <n v="900"/>
    <n v="2500"/>
    <s v="T2 DONE"/>
    <s v=" "/>
    <s v=""/>
    <n v="2.4"/>
    <n v="3.2"/>
    <n v="21"/>
    <n v="0"/>
    <n v="21"/>
    <n v="0.67"/>
    <n v="0"/>
    <n v="0"/>
    <n v="0"/>
    <n v="0"/>
    <n v="0"/>
    <n v="0"/>
    <n v="0"/>
    <n v="0"/>
    <n v="0"/>
    <n v="0"/>
    <n v="0"/>
    <n v="0"/>
    <n v="20.330000000000002"/>
    <n v="0"/>
    <n v="0"/>
    <n v="0"/>
    <n v="0"/>
    <n v="0"/>
    <n v="0"/>
    <n v="20.330000000000002"/>
    <n v="0"/>
    <n v="20.330000000000002"/>
    <n v="0"/>
    <n v="21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SUDISA ENTERPRISES (P) LTD."/>
  </r>
  <r>
    <n v="742"/>
    <d v="2025-08-12T00:00:00"/>
    <s v="ZBTO"/>
    <n v="9519011539"/>
    <n v="1"/>
    <s v="9519011539-1"/>
    <s v="No Priority"/>
    <s v="Released"/>
    <x v="0"/>
    <s v="CR01"/>
    <s v="ACRM CRCA CTL"/>
    <m/>
    <x v="0"/>
    <x v="5"/>
    <m/>
    <n v="2000"/>
    <s v="North"/>
    <s v="GORAKHPUR"/>
    <s v="KANP"/>
    <n v="115841"/>
    <s v="O.V.S. ISPAT UDYOG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O.V.S. ISPAT UDYOG"/>
  </r>
  <r>
    <n v="742"/>
    <d v="2025-09-02T00:00:00"/>
    <s v="ZBTO"/>
    <n v="9519072720"/>
    <n v="3"/>
    <s v="9519072720-3"/>
    <s v="No Priority"/>
    <s v="Released"/>
    <x v="0"/>
    <e v="#N/A"/>
    <e v="#N/A"/>
    <m/>
    <x v="1"/>
    <x v="1"/>
    <m/>
    <n v="3000"/>
    <s v="South"/>
    <s v="CHENNAI"/>
    <s v="BANG"/>
    <n v="157491"/>
    <s v="TATA STEEL DOWNSTREAM PRODUCTS LIMI"/>
    <n v="1305542"/>
    <s v="HR COILS-PO IS 1079-HR2 2.50X1250"/>
    <n v="768"/>
    <s v="THA058"/>
    <s v="HA58"/>
    <n v="2.5"/>
    <n v="1250"/>
    <n v="0"/>
    <s v="T2 DONE"/>
    <s v=" "/>
    <s v=""/>
    <n v="20"/>
    <n v="31"/>
    <n v="290"/>
    <n v="110.02"/>
    <n v="179.98"/>
    <n v="179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.98"/>
    <s v=""/>
    <s v=""/>
    <m/>
    <m/>
    <m/>
    <m/>
    <m/>
    <m/>
    <s v="U"/>
    <s v="HRO_AUTO"/>
    <s v="768-HA58-2.5-1250"/>
    <s v="367-HA58-2.5-1250"/>
    <n v="367"/>
    <s v="THA058"/>
    <s v="HA58"/>
    <s v="A13A"/>
    <n v="2.5"/>
    <n v="1250"/>
    <n v="1304662"/>
    <m/>
    <m/>
    <m/>
    <m/>
    <m/>
    <m/>
    <m/>
    <m/>
    <m/>
    <m/>
    <m/>
    <m/>
    <m/>
    <m/>
    <m/>
    <m/>
    <m/>
    <m/>
    <m/>
    <s v="TATA STEEL DOWNSTREAM PRODUCTS LIMI"/>
  </r>
  <r>
    <n v="742"/>
    <d v="2025-09-02T00:00:00"/>
    <s v="ZBTO"/>
    <n v="9519072720"/>
    <n v="4"/>
    <s v="9519072720-4"/>
    <s v="Stocks"/>
    <s v="Released"/>
    <x v="0"/>
    <e v="#N/A"/>
    <e v="#N/A"/>
    <m/>
    <x v="1"/>
    <x v="1"/>
    <m/>
    <n v="3000"/>
    <s v="South"/>
    <s v="CHENNAI"/>
    <s v="BANG"/>
    <n v="157491"/>
    <s v="TATA STEEL DOWNSTREAM PRODUCTS LIMI"/>
    <n v="1309819"/>
    <s v="HR COILS-PO IS 1079-HR2 3X1250"/>
    <n v="768"/>
    <s v="THA058"/>
    <s v="HA58"/>
    <n v="3"/>
    <n v="1250"/>
    <n v="0"/>
    <s v="T2 DONE"/>
    <s v=" "/>
    <s v=""/>
    <n v="20"/>
    <n v="31"/>
    <n v="145"/>
    <n v="43.98"/>
    <n v="101.02"/>
    <n v="101.02"/>
    <n v="22.06"/>
    <n v="0"/>
    <n v="22.14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n v="0"/>
    <n v="0"/>
    <n v="78.88"/>
    <s v=""/>
    <s v=""/>
    <m/>
    <m/>
    <m/>
    <m/>
    <m/>
    <m/>
    <s v="U"/>
    <s v="HRO_AUTO"/>
    <s v="768-HA58-3-1250"/>
    <s v="367-HA58-3-1250"/>
    <n v="367"/>
    <s v="THA058"/>
    <s v="HA58"/>
    <s v="A13A"/>
    <n v="3"/>
    <n v="1250"/>
    <n v="1304733"/>
    <m/>
    <m/>
    <m/>
    <m/>
    <m/>
    <m/>
    <m/>
    <m/>
    <m/>
    <m/>
    <m/>
    <m/>
    <m/>
    <m/>
    <m/>
    <m/>
    <m/>
    <m/>
    <m/>
    <s v="TATA STEEL DOWNSTREAM PRODUCTS LIMI"/>
  </r>
  <r>
    <n v="742"/>
    <d v="2025-09-02T00:00:00"/>
    <s v="ZBTO"/>
    <n v="9519072720"/>
    <n v="5"/>
    <s v="9519072720-5"/>
    <s v="No Priority"/>
    <s v="Released"/>
    <x v="0"/>
    <e v="#N/A"/>
    <e v="#N/A"/>
    <m/>
    <x v="1"/>
    <x v="1"/>
    <m/>
    <n v="3000"/>
    <s v="South"/>
    <s v="CHENNAI"/>
    <s v="BANG"/>
    <n v="157491"/>
    <s v="TATA STEEL DOWNSTREAM PRODUCTS LIMI"/>
    <n v="1309702"/>
    <s v="HR COILS-PO IS 1079-HR2 5X1250"/>
    <n v="768"/>
    <s v="THA058"/>
    <s v="HA58"/>
    <n v="5"/>
    <n v="1250"/>
    <n v="0"/>
    <s v="T2 DONE"/>
    <s v=" "/>
    <s v=""/>
    <n v="20"/>
    <n v="31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m/>
    <m/>
    <m/>
    <m/>
    <m/>
    <m/>
    <s v="U"/>
    <s v="NA"/>
    <s v="768-HA58-5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TATA STEEL DOWNSTREAM PRODUCTS LIMI"/>
  </r>
  <r>
    <n v="742"/>
    <d v="2025-08-29T00:00:00"/>
    <s v="ZBTO"/>
    <n v="9519062652"/>
    <n v="1"/>
    <s v="9519062652-1"/>
    <s v="No Priority"/>
    <s v="Released"/>
    <x v="0"/>
    <e v="#N/A"/>
    <e v="#N/A"/>
    <m/>
    <x v="1"/>
    <x v="2"/>
    <m/>
    <n v="2000"/>
    <s v="South"/>
    <s v="CHENNAI"/>
    <s v="MADS"/>
    <n v="116465"/>
    <s v="SRI BALAJI STEEL TRADERS"/>
    <n v="1294719"/>
    <s v="HR COILS-POIS 1079 HR2  2.90X1250"/>
    <n v="768"/>
    <s v="THR099"/>
    <s v="HR99"/>
    <n v="2.9"/>
    <n v="1250"/>
    <n v="0"/>
    <s v="T2 DONE"/>
    <s v=" "/>
    <s v=""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"/>
    <s v=""/>
    <m/>
    <m/>
    <m/>
    <m/>
    <m/>
    <m/>
    <s v="U"/>
    <s v="HRPO_HOSUR"/>
    <s v="768-HR99-2.9-1250"/>
    <s v="367-HR99-2.9-1250"/>
    <n v="367"/>
    <s v="THR099"/>
    <s v="HR99"/>
    <s v="D06A"/>
    <n v="2.9"/>
    <n v="1250"/>
    <n v="1199396"/>
    <m/>
    <m/>
    <m/>
    <m/>
    <m/>
    <m/>
    <m/>
    <m/>
    <m/>
    <m/>
    <m/>
    <m/>
    <m/>
    <m/>
    <m/>
    <m/>
    <m/>
    <m/>
    <m/>
    <s v="SRI BALAJI STEEL TRADERS"/>
  </r>
  <r>
    <n v="743"/>
    <d v="2025-08-31T00:00:00"/>
    <s v="ZBTO"/>
    <n v="9519068924"/>
    <n v="1"/>
    <s v="9519068924-1"/>
    <s v="No Priority"/>
    <s v="Released"/>
    <x v="0"/>
    <s v="GL01"/>
    <s v="ACRM GP#2 TBSPL BGL"/>
    <m/>
    <x v="4"/>
    <x v="3"/>
    <m/>
    <n v="1000"/>
    <s v="TBSPL"/>
    <s v="Jharkhand"/>
    <s v="BOMB"/>
    <n v="942283"/>
    <s v="TATA BLUESCOPE STEEL PRIVATE LIMITE"/>
    <n v="1881988"/>
    <s v="GL C YS550 H6GL 0.50BMT(0.55TCT)X1220"/>
    <s v="B04"/>
    <s v="Y550GL"/>
    <s v="H6GL"/>
    <n v="0.5"/>
    <n v="1220"/>
    <n v="0"/>
    <s v="T2 DONE"/>
    <s v="aZ150"/>
    <s v=""/>
    <n v="3"/>
    <n v="5"/>
    <n v="28"/>
    <n v="27.245000000000001"/>
    <n v="0.755"/>
    <n v="0.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5"/>
    <s v="0.48-0.52"/>
    <s v="1220-1222"/>
    <m/>
    <m/>
    <m/>
    <m/>
    <m/>
    <m/>
    <s v="R"/>
    <s v="GP02_BGL"/>
    <s v="B04-H6GL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3"/>
    <d v="2025-09-02T00:00:00"/>
    <s v="ZBTO"/>
    <n v="9519072913"/>
    <n v="4"/>
    <s v="9519072913-4"/>
    <s v="Sep'25"/>
    <s v="Released"/>
    <x v="1"/>
    <s v="GP03"/>
    <s v="ACRM GP#3 NARROW"/>
    <n v="8000"/>
    <x v="2"/>
    <x v="6"/>
    <n v="7100"/>
    <n v="2000"/>
    <s v="East"/>
    <s v="Jharkhand"/>
    <s v="JAMS"/>
    <n v="121328"/>
    <s v="R. S. BOKARO METAL (P) LTD."/>
    <n v="1854413"/>
    <s v="GP COIL SOFT-TATXGP-GK09-0.45X900"/>
    <s v="C02"/>
    <s v="TATXGP"/>
    <s v="GK09"/>
    <n v="0.45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3-0.47"/>
    <s v="900-904"/>
    <m/>
    <m/>
    <m/>
    <m/>
    <m/>
    <m/>
    <s v="S"/>
    <s v="GP03_KOSH"/>
    <s v="C02-GK09-0.4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R. S. BOKARO METAL (P) LTD."/>
  </r>
  <r>
    <n v="743"/>
    <d v="2025-09-02T00:00:00"/>
    <s v="ZBTO"/>
    <n v="9519072913"/>
    <n v="6"/>
    <s v="9519072913-6"/>
    <s v="Sep'25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4"/>
    <m/>
    <m/>
    <m/>
    <m/>
    <m/>
    <m/>
    <s v="S"/>
    <s v="GP03_KOSH"/>
    <s v="C02-GK09-0.63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R. S. BOKARO METAL (P) LTD."/>
  </r>
  <r>
    <n v="743"/>
    <d v="2025-09-07T00:00:00"/>
    <s v="ZBTO"/>
    <n v="9519084425"/>
    <n v="1"/>
    <s v="9519084425-1"/>
    <s v="Oct'25"/>
    <s v="Released"/>
    <x v="1"/>
    <s v="GL03"/>
    <s v="ACRM GP#2 NON TBSPL"/>
    <m/>
    <x v="4"/>
    <x v="12"/>
    <m/>
    <n v="1000"/>
    <s v="West"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49.999"/>
    <n v="0"/>
    <n v="249.999"/>
    <n v="8.0990000000000002"/>
    <n v="0"/>
    <n v="0"/>
    <n v="111.625"/>
    <n v="133.19"/>
    <n v="0"/>
    <n v="0"/>
    <n v="0"/>
    <n v="0"/>
    <n v="0"/>
    <n v="0"/>
    <n v="0"/>
    <n v="0"/>
    <n v="0"/>
    <n v="0"/>
    <n v="0"/>
    <n v="0"/>
    <n v="0"/>
    <n v="0"/>
    <n v="0"/>
    <n v="244.815"/>
    <n v="0"/>
    <n v="244.815"/>
    <n v="0"/>
    <n v="249.999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RAYDEAN ENTERPRISES PRIVATE LIMITED"/>
  </r>
  <r>
    <n v="743"/>
    <d v="2025-09-07T00:00:00"/>
    <s v="ZBTO"/>
    <n v="9519084425"/>
    <n v="2"/>
    <s v="9519084425-2"/>
    <s v="No Priority"/>
    <s v="Released"/>
    <x v="0"/>
    <s v="GL03"/>
    <s v="ACRM GP#2 NON TBSPL"/>
    <m/>
    <x v="4"/>
    <x v="12"/>
    <m/>
    <n v="1000"/>
    <s v="West"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52.999"/>
    <n v="0"/>
    <n v="252.999"/>
    <n v="-7.051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.999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RAYDEAN ENTERPRISES PRIVATE LIMITED"/>
  </r>
  <r>
    <n v="743"/>
    <d v="2025-09-07T00:00:00"/>
    <s v="ZBTO"/>
    <n v="9519084425"/>
    <n v="3"/>
    <s v="9519084425-3"/>
    <s v="Oct'25"/>
    <s v="Released"/>
    <x v="1"/>
    <s v="GL03"/>
    <s v="ACRM GP#2 NON TBSPL"/>
    <m/>
    <x v="4"/>
    <x v="12"/>
    <m/>
    <n v="1000"/>
    <s v="West"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52.999"/>
    <n v="0"/>
    <n v="252.999"/>
    <n v="11.61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.999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RAYDEAN ENTERPRISES PRIVATE LIMITED"/>
  </r>
  <r>
    <n v="743"/>
    <d v="2025-09-07T00:00:00"/>
    <s v="ZBTO"/>
    <n v="9519084425"/>
    <n v="4"/>
    <s v="9519084425-4"/>
    <s v="Oct'25"/>
    <s v="Released"/>
    <x v="1"/>
    <s v="GL03"/>
    <s v="ACRM GP#2 NON TBSPL"/>
    <m/>
    <x v="4"/>
    <x v="12"/>
    <m/>
    <n v="1000"/>
    <s v="West"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52.999"/>
    <n v="0"/>
    <n v="252.999"/>
    <n v="-3.45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.999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RAYDEAN ENTERPRISES PRIVATE LIMITED"/>
  </r>
  <r>
    <n v="743"/>
    <d v="2025-09-07T00:00:00"/>
    <s v="ZBTO"/>
    <n v="9519084425"/>
    <n v="5"/>
    <s v="9519084425-5"/>
    <s v="Oct'25"/>
    <s v="Released"/>
    <x v="1"/>
    <s v="GL03"/>
    <s v="ACRM GP#2 NON TBSPL"/>
    <m/>
    <x v="4"/>
    <x v="12"/>
    <m/>
    <n v="1000"/>
    <s v="West"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52.999"/>
    <n v="0"/>
    <n v="252.999"/>
    <n v="252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.999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RAYDEAN ENTERPRISES PRIVATE LIMITED"/>
  </r>
  <r>
    <n v="742"/>
    <d v="2025-09-03T00:00:00"/>
    <s v="ZBTO"/>
    <n v="9519077019"/>
    <n v="2"/>
    <s v="9519077019-2"/>
    <s v="Oct'25"/>
    <s v="Released"/>
    <x v="1"/>
    <s v="CR03"/>
    <s v="ACRM CRCA SPM"/>
    <m/>
    <x v="0"/>
    <x v="0"/>
    <m/>
    <n v="2000"/>
    <s v="South"/>
    <s v="YESHWANTHPURA"/>
    <s v="BANG"/>
    <n v="939268"/>
    <s v="TATA STEEL DOWNSTREAM PRODUCTS LIMI"/>
    <n v="1804814"/>
    <s v="CRCA COIL TATXXD AU03 0.8X1250"/>
    <s v="C01"/>
    <s v="TATXXD"/>
    <s v="AU03"/>
    <n v="0.8"/>
    <n v="1250"/>
    <n v="0"/>
    <s v="T2 DONE"/>
    <s v=" "/>
    <s v=""/>
    <n v="7"/>
    <n v="29"/>
    <n v="87"/>
    <n v="79.344999999999999"/>
    <n v="7.5"/>
    <n v="-4.8899999999999997"/>
    <n v="35.299999999999997"/>
    <n v="0"/>
    <n v="0"/>
    <n v="0"/>
    <n v="0"/>
    <n v="0"/>
    <n v="0"/>
    <n v="0"/>
    <n v="0"/>
    <n v="0"/>
    <n v="0"/>
    <n v="0"/>
    <n v="0"/>
    <n v="0"/>
    <n v="0"/>
    <n v="0"/>
    <n v="22.895"/>
    <n v="0"/>
    <n v="0"/>
    <n v="22.895"/>
    <n v="0"/>
    <n v="22.895"/>
    <n v="0"/>
    <n v="7.5"/>
    <s v="0.75-0.8"/>
    <s v="1250-125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m/>
    <m/>
    <m/>
    <m/>
    <m/>
    <m/>
    <m/>
    <m/>
    <m/>
    <m/>
    <m/>
    <m/>
    <m/>
    <m/>
    <s v="TATA STEEL DOWNSTREAM PRODUCTS LIMI"/>
  </r>
  <r>
    <n v="742"/>
    <d v="2025-07-07T00:00:00"/>
    <s v="ZBTO"/>
    <n v="9518911415"/>
    <n v="6"/>
    <s v="9518911415-6"/>
    <s v="Stocks"/>
    <s v="Released"/>
    <x v="1"/>
    <s v="CR01"/>
    <s v="ACRM CRCA CTL"/>
    <m/>
    <x v="0"/>
    <x v="5"/>
    <m/>
    <n v="2000"/>
    <s v="North"/>
    <s v="VARANASI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s v=""/>
    <n v="2.5"/>
    <n v="3"/>
    <n v="45.999000000000002"/>
    <n v="40.765000000000001"/>
    <n v="5.234"/>
    <n v="5.234"/>
    <n v="2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34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m/>
    <m/>
    <m/>
    <m/>
    <m/>
    <m/>
    <m/>
    <m/>
    <m/>
    <m/>
    <m/>
    <m/>
    <m/>
    <m/>
    <s v="INDIA STEEL INDUSTRIES"/>
  </r>
  <r>
    <n v="742"/>
    <d v="2025-08-26T00:00:00"/>
    <s v="ZBTO"/>
    <n v="9519049599"/>
    <n v="2"/>
    <s v="9519049599-2"/>
    <s v="No Priority"/>
    <s v="Released"/>
    <x v="0"/>
    <s v="FHCR"/>
    <e v="#N/A"/>
    <m/>
    <x v="5"/>
    <x v="4"/>
    <m/>
    <n v="1000"/>
    <s v="West"/>
    <s v="VILLAGE-PRAGPAR"/>
    <s v="AMED"/>
    <n v="189108"/>
    <s v="Manaksia Coated Metals &amp; Industries"/>
    <n v="2320878"/>
    <s v="CRFH COIL TATFHC TR10 0.360X1250"/>
    <s v="C09"/>
    <s v="TATFHC"/>
    <s v="TR10"/>
    <n v="0.36"/>
    <n v="1250"/>
    <n v="0"/>
    <s v="T2 DONE"/>
    <s v=" "/>
    <s v=""/>
    <n v="10"/>
    <n v="2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s v="0.345-0.37"/>
    <s v="1250-1253"/>
    <m/>
    <m/>
    <m/>
    <m/>
    <m/>
    <m/>
    <s v="T"/>
    <s v="CRFH_MKTG"/>
    <s v="C09-TR10-0.36-1250"/>
    <s v="367-HG02-2.25-1250"/>
    <n v="367"/>
    <s v="T01576"/>
    <s v="HG02"/>
    <s v="C06A"/>
    <n v="2.25"/>
    <n v="1250"/>
    <n v="444494"/>
    <m/>
    <m/>
    <m/>
    <m/>
    <m/>
    <m/>
    <m/>
    <m/>
    <m/>
    <m/>
    <m/>
    <m/>
    <m/>
    <m/>
    <m/>
    <m/>
    <m/>
    <m/>
    <m/>
    <s v="Manaksia Coated Metals &amp; Industries"/>
  </r>
  <r>
    <n v="744"/>
    <d v="2025-08-31T00:00:00"/>
    <s v="ZBTO"/>
    <n v="9519069645"/>
    <n v="1"/>
    <s v="9519069645-1"/>
    <s v="Sep'25"/>
    <s v="Released"/>
    <x v="1"/>
    <s v="GL02"/>
    <s v="ACRM GP#2 TBSPL PPGL"/>
    <m/>
    <x v="3"/>
    <x v="3"/>
    <m/>
    <n v="1000"/>
    <s v="TBSPL"/>
    <s v="Jharkhand"/>
    <s v="BOMB"/>
    <n v="941597"/>
    <s v="TATA BLUESCOPE STEEL PRIVATE LIMITE"/>
    <n v="4111268"/>
    <s v="PPGL C HARD Y550PL HPL9 0.750X1220"/>
    <s v="B18"/>
    <s v="Y550PL"/>
    <s v="HPL9"/>
    <n v="0.75"/>
    <n v="1220"/>
    <n v="0"/>
    <s v="T2 DONE"/>
    <s v="AZ200"/>
    <s v="ELITE STONE BLUE TSL 1688"/>
    <n v="3"/>
    <n v="5"/>
    <n v="196"/>
    <n v="0"/>
    <n v="196"/>
    <n v="-5.6310000000000002"/>
    <n v="0"/>
    <n v="28.77"/>
    <n v="0"/>
    <n v="0"/>
    <n v="0"/>
    <n v="0"/>
    <n v="0"/>
    <n v="0"/>
    <n v="97.47"/>
    <n v="0"/>
    <n v="0"/>
    <n v="0"/>
    <n v="0"/>
    <n v="0"/>
    <n v="0"/>
    <n v="0"/>
    <n v="79.715000000000003"/>
    <n v="0"/>
    <n v="0"/>
    <n v="205.95499999999998"/>
    <n v="0"/>
    <n v="205.95499999999998"/>
    <n v="0"/>
    <n v="196"/>
    <s v="0.73-0.77"/>
    <s v="1220-1222"/>
    <m/>
    <m/>
    <m/>
    <m/>
    <m/>
    <m/>
    <s v="M"/>
    <s v="GP02_PPGL"/>
    <s v="B18-HPL9-0.75-1220"/>
    <s v="367-SF93-2.8-1235"/>
    <n v="367"/>
    <s v="S02149"/>
    <s v="SF93"/>
    <s v="C07A"/>
    <n v="2.8"/>
    <n v="1235"/>
    <n v="363212"/>
    <m/>
    <m/>
    <m/>
    <m/>
    <m/>
    <m/>
    <m/>
    <m/>
    <m/>
    <m/>
    <m/>
    <m/>
    <m/>
    <m/>
    <m/>
    <m/>
    <m/>
    <m/>
    <m/>
    <s v="TATA BLUESCOPE STEEL PRIVATE LIMITE"/>
  </r>
  <r>
    <n v="743"/>
    <d v="2025-09-12T00:00:00"/>
    <s v="ZBTO"/>
    <n v="9519098404"/>
    <n v="1"/>
    <s v="9519098404-1"/>
    <s v="No Priority"/>
    <s v="Released"/>
    <x v="0"/>
    <s v="GP03"/>
    <s v="ACRM GP#3 NARROW"/>
    <m/>
    <x v="2"/>
    <x v="6"/>
    <m/>
    <n v="2000"/>
    <s v="West"/>
    <s v="JAIPUR"/>
    <s v="JPUR"/>
    <n v="117583"/>
    <s v="BIHANI ENTERPRISES"/>
    <n v="1326486"/>
    <s v="GP COIL SOFT-TATXGP-GK09-0.3X1000"/>
    <s v="C02"/>
    <s v="TATXGP"/>
    <s v="GK09"/>
    <n v="0.3"/>
    <n v="1000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7-0.3"/>
    <s v="1000-1002"/>
    <m/>
    <m/>
    <m/>
    <m/>
    <m/>
    <m/>
    <s v="R"/>
    <s v="GP03_KOSH"/>
    <s v="C02-GK09-0.3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BIHANI ENTERPRISES"/>
  </r>
  <r>
    <n v="742"/>
    <d v="2025-07-18T00:00:00"/>
    <s v="ZBTO"/>
    <n v="9518938766"/>
    <n v="2"/>
    <s v="9518938766-2"/>
    <s v="No Priority"/>
    <s v="Released"/>
    <x v="0"/>
    <s v="CR01"/>
    <s v="ACRM CRCA CTL"/>
    <m/>
    <x v="0"/>
    <x v="5"/>
    <m/>
    <n v="2000"/>
    <s v="East"/>
    <s v="PURNIA"/>
    <s v="PATN"/>
    <n v="103227"/>
    <s v="BMW VENTURES LIMITED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-0.33"/>
    <s v="900-902"/>
    <m/>
    <m/>
    <m/>
    <m/>
    <m/>
    <m/>
    <s v="T"/>
    <s v="CRCA_SUPR"/>
    <s v="C06-SR16-0.3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7-25T00:00:00"/>
    <s v="ZBTO"/>
    <n v="9518957825"/>
    <n v="2"/>
    <s v="9518957825-2"/>
    <s v="Stocks"/>
    <s v="Released"/>
    <x v="1"/>
    <s v="CR01"/>
    <s v="ACRM CRCA CTL"/>
    <m/>
    <x v="0"/>
    <x v="5"/>
    <m/>
    <n v="2000"/>
    <s v="East"/>
    <s v="HOWRAH"/>
    <s v="CALS"/>
    <n v="925093"/>
    <s v="PSPL STEEL PROCESSORS PRIVATE LIMIT"/>
    <n v="3239548"/>
    <s v="CRCA SHEET TATCRC SR16 0.400X900X2500"/>
    <s v="C06"/>
    <s v="TATCRC"/>
    <s v="SR16"/>
    <n v="0.4"/>
    <n v="900"/>
    <n v="2500"/>
    <s v="T2 DONE"/>
    <s v=" "/>
    <s v=""/>
    <n v="2"/>
    <n v="3"/>
    <n v="41.999000000000002"/>
    <n v="29.155000000000001"/>
    <n v="12.843999999999999"/>
    <n v="3.7040000000000002"/>
    <n v="11"/>
    <n v="0"/>
    <n v="0"/>
    <n v="0"/>
    <n v="0"/>
    <n v="0"/>
    <n v="0"/>
    <n v="0"/>
    <n v="0"/>
    <n v="0"/>
    <n v="0"/>
    <n v="0"/>
    <n v="9.14"/>
    <n v="0"/>
    <n v="0"/>
    <n v="0"/>
    <n v="0"/>
    <n v="0"/>
    <n v="0"/>
    <n v="9.14"/>
    <n v="0"/>
    <n v="9.14"/>
    <n v="0"/>
    <n v="12.843999999999999"/>
    <s v="0.37-0.4"/>
    <s v="900-902"/>
    <m/>
    <m/>
    <m/>
    <m/>
    <m/>
    <m/>
    <s v="T"/>
    <s v="CRCA_SUPR"/>
    <s v="C06-SR16-0.4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s v="PSPL STEEL PROCESSORS PRIVATE LIMIT"/>
  </r>
  <r>
    <n v="743"/>
    <d v="2025-09-03T00:00:00"/>
    <s v="ZBTF"/>
    <n v="9519074568"/>
    <n v="1"/>
    <s v="9519074568-1"/>
    <s v="Stocks"/>
    <s v="Released"/>
    <x v="1"/>
    <s v="GP03"/>
    <s v="ACRM GP#3 NARROW"/>
    <m/>
    <x v="2"/>
    <x v="6"/>
    <m/>
    <n v="2000"/>
    <s v="East"/>
    <s v="JAMSHEDPUR"/>
    <s v="COMD"/>
    <n v="600250"/>
    <s v="TATA CENTER"/>
    <n v="1191955"/>
    <s v="GP COIL SOFT-TATXGP-GK09-0.3X900"/>
    <s v="C02"/>
    <s v="TATXGP"/>
    <s v="GK09"/>
    <n v="0.3"/>
    <n v="900"/>
    <n v="0"/>
    <s v="T2 DONE"/>
    <s v="Z80"/>
    <s v=""/>
    <n v="8"/>
    <n v="15"/>
    <n v="63"/>
    <n v="60.064999999999998"/>
    <n v="2.9350000000000001"/>
    <n v="2.9350000000000001"/>
    <n v="10.035"/>
    <n v="0"/>
    <n v="0"/>
    <n v="0"/>
    <n v="0"/>
    <n v="0"/>
    <n v="0"/>
    <n v="0"/>
    <n v="0"/>
    <n v="0"/>
    <n v="0"/>
    <n v="0"/>
    <n v="0"/>
    <n v="0"/>
    <n v="0"/>
    <n v="0"/>
    <n v="0"/>
    <n v="0"/>
    <n v="10.09"/>
    <n v="10.09"/>
    <n v="10.09"/>
    <n v="0"/>
    <n v="0"/>
    <n v="-7.1549999999999994"/>
    <s v="0.28-0.32"/>
    <s v="900-903"/>
    <m/>
    <m/>
    <m/>
    <m/>
    <m/>
    <m/>
    <s v="U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TATA CENTER"/>
  </r>
  <r>
    <n v="743"/>
    <d v="2025-09-03T00:00:00"/>
    <s v="ZBTF"/>
    <n v="9519074568"/>
    <n v="2"/>
    <s v="9519074568-2"/>
    <s v="No Priority"/>
    <s v="Released"/>
    <x v="0"/>
    <s v="GP03"/>
    <s v="ACRM GP#3 NARROW"/>
    <m/>
    <x v="2"/>
    <x v="6"/>
    <m/>
    <n v="2000"/>
    <s v="East"/>
    <s v="JAMSHEDPUR"/>
    <s v="COMD"/>
    <n v="600250"/>
    <s v="TATA CENTER"/>
    <n v="1191956"/>
    <s v="GP COIL SOFT-TATXGP-GK09-0.35X900"/>
    <s v="C02"/>
    <s v="TATXGP"/>
    <s v="GK09"/>
    <n v="0.35"/>
    <n v="900"/>
    <n v="0"/>
    <s v="T2 DONE"/>
    <s v="Z80"/>
    <s v=""/>
    <n v="8"/>
    <n v="15"/>
    <n v="147"/>
    <n v="113.58"/>
    <n v="33.42"/>
    <n v="12.045"/>
    <n v="0"/>
    <n v="0"/>
    <n v="0"/>
    <n v="0"/>
    <n v="0"/>
    <n v="0"/>
    <n v="37.54"/>
    <n v="0"/>
    <n v="0"/>
    <n v="0"/>
    <n v="0"/>
    <n v="0"/>
    <n v="0"/>
    <n v="0"/>
    <n v="0"/>
    <n v="4.5750000000000002"/>
    <n v="0"/>
    <n v="0"/>
    <n v="0"/>
    <n v="42.115000000000002"/>
    <n v="42.115000000000002"/>
    <n v="0"/>
    <n v="0"/>
    <n v="-8.6950000000000003"/>
    <s v="0.33-0.37"/>
    <s v="900-903"/>
    <m/>
    <m/>
    <m/>
    <m/>
    <m/>
    <m/>
    <s v="U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TATA CENTER"/>
  </r>
  <r>
    <n v="743"/>
    <d v="2025-09-03T00:00:00"/>
    <s v="ZBTF"/>
    <n v="9519074568"/>
    <n v="3"/>
    <s v="9519074568-3"/>
    <s v="Stocks"/>
    <s v="Released"/>
    <x v="1"/>
    <s v="GP03"/>
    <s v="ACRM GP#3 NARROW"/>
    <m/>
    <x v="2"/>
    <x v="6"/>
    <m/>
    <n v="2000"/>
    <s v="East"/>
    <s v="JAMSHEDPUR"/>
    <s v="COMD"/>
    <n v="600250"/>
    <s v="TATA CENTER"/>
    <n v="1178439"/>
    <s v="GP COIL SOFT-TATXGP-GK09-0.4X900"/>
    <s v="C02"/>
    <s v="TATXGP"/>
    <s v="GK09"/>
    <n v="0.4"/>
    <n v="900"/>
    <n v="0"/>
    <s v="T2 DONE"/>
    <s v="Z80"/>
    <s v=""/>
    <n v="8"/>
    <n v="15"/>
    <n v="126"/>
    <n v="107.37"/>
    <n v="18.63"/>
    <n v="6.49"/>
    <n v="67.74499999999999"/>
    <n v="0"/>
    <n v="0"/>
    <n v="0"/>
    <n v="0"/>
    <n v="0"/>
    <n v="59.065000000000005"/>
    <n v="0"/>
    <n v="0"/>
    <n v="0"/>
    <n v="0"/>
    <n v="0"/>
    <n v="0"/>
    <n v="0"/>
    <n v="0"/>
    <n v="0"/>
    <n v="0"/>
    <n v="0"/>
    <n v="0"/>
    <n v="59.065000000000005"/>
    <n v="59.065000000000005"/>
    <n v="0"/>
    <n v="0"/>
    <n v="-40.435000000000002"/>
    <s v="0.38-0.42"/>
    <s v="900-903"/>
    <m/>
    <m/>
    <m/>
    <m/>
    <m/>
    <m/>
    <s v="U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TATA CENTER"/>
  </r>
  <r>
    <n v="743"/>
    <d v="2025-09-03T00:00:00"/>
    <s v="ZBTF"/>
    <n v="9519074568"/>
    <n v="4"/>
    <s v="9519074568-4"/>
    <s v="Stocks"/>
    <s v="Released"/>
    <x v="1"/>
    <s v="GP03"/>
    <s v="ACRM GP#3 NARROW"/>
    <m/>
    <x v="2"/>
    <x v="6"/>
    <m/>
    <n v="2000"/>
    <s v="East"/>
    <s v="JAMSHEDPUR"/>
    <s v="COMD"/>
    <n v="600250"/>
    <s v="TATA CENTER"/>
    <n v="1854418"/>
    <s v="GP COIL SOFT-TATXGP-GK09-0.5X900"/>
    <s v="C02"/>
    <s v="TATXGP"/>
    <s v="GK09"/>
    <n v="0.5"/>
    <n v="900"/>
    <n v="0"/>
    <s v="T2 DONE"/>
    <s v="Z80"/>
    <s v=""/>
    <n v="8"/>
    <n v="15"/>
    <n v="168"/>
    <n v="159.66999999999999"/>
    <n v="8.33"/>
    <n v="8.33"/>
    <n v="139.70500000000001"/>
    <n v="0"/>
    <n v="0"/>
    <n v="0"/>
    <n v="0"/>
    <n v="0"/>
    <n v="118.01"/>
    <n v="0"/>
    <n v="0"/>
    <n v="0"/>
    <n v="0"/>
    <n v="0"/>
    <n v="0"/>
    <n v="0"/>
    <n v="0"/>
    <n v="0"/>
    <n v="0"/>
    <n v="0"/>
    <n v="0"/>
    <n v="118.01"/>
    <n v="118.01"/>
    <n v="0"/>
    <n v="0"/>
    <n v="-109.68"/>
    <s v="0.48-0.52"/>
    <s v="900-903"/>
    <m/>
    <m/>
    <m/>
    <m/>
    <m/>
    <m/>
    <s v="U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TATA CENTER"/>
  </r>
  <r>
    <n v="743"/>
    <d v="2025-09-03T00:00:00"/>
    <s v="ZBTF"/>
    <n v="9519074568"/>
    <n v="5"/>
    <s v="9519074568-5"/>
    <s v="Stocks"/>
    <s v="Released"/>
    <x v="1"/>
    <s v="GP03"/>
    <s v="ACRM GP#3 NARROW"/>
    <m/>
    <x v="2"/>
    <x v="6"/>
    <m/>
    <n v="2000"/>
    <s v="East"/>
    <s v="JAMSHEDPUR"/>
    <s v="COMD"/>
    <n v="600250"/>
    <s v="TATA CENTER"/>
    <n v="1854424"/>
    <s v="GP COIL SOFT-TATXGP-GK09-0.6X900"/>
    <s v="C02"/>
    <s v="TATXGP"/>
    <s v="GK09"/>
    <n v="0.6"/>
    <n v="900"/>
    <n v="0"/>
    <s v="T2 DONE"/>
    <s v="Z80"/>
    <s v=""/>
    <n v="8"/>
    <n v="15"/>
    <n v="105"/>
    <n v="87.254999999999995"/>
    <n v="17.745000000000001"/>
    <n v="-2.09"/>
    <n v="48.805"/>
    <n v="0"/>
    <n v="0"/>
    <n v="0"/>
    <n v="0"/>
    <n v="0"/>
    <n v="58.07"/>
    <n v="0"/>
    <n v="0"/>
    <n v="0"/>
    <n v="0"/>
    <n v="0"/>
    <n v="0"/>
    <n v="0"/>
    <n v="0"/>
    <n v="0"/>
    <n v="0"/>
    <n v="0"/>
    <n v="9.75"/>
    <n v="67.819999999999993"/>
    <n v="67.819999999999993"/>
    <n v="0"/>
    <n v="0"/>
    <n v="-50.074999999999989"/>
    <s v="0.58-0.62"/>
    <s v="900-903"/>
    <m/>
    <m/>
    <m/>
    <m/>
    <m/>
    <m/>
    <s v="U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TATA CENTER"/>
  </r>
  <r>
    <n v="742"/>
    <d v="2025-08-05T00:00:00"/>
    <s v="ZBTO"/>
    <n v="9518995069"/>
    <n v="2"/>
    <s v="9518995069-2"/>
    <s v="No Priority"/>
    <s v="Released"/>
    <x v="0"/>
    <s v="CR01"/>
    <s v="ACRM CRCA CTL"/>
    <m/>
    <x v="0"/>
    <x v="5"/>
    <m/>
    <n v="2000"/>
    <s v="North"/>
    <s v="KANPUR"/>
    <s v="FBAD"/>
    <n v="933952"/>
    <s v="AGARWAL STEEL TRADERS"/>
    <n v="3240781"/>
    <s v="CRCA SHEET TSBCRC SR15 0.600X1250X2030"/>
    <s v="C06"/>
    <s v="TSBCRC"/>
    <s v="SR15"/>
    <n v="0.6"/>
    <n v="1250"/>
    <n v="2030"/>
    <s v="T2 DONE"/>
    <s v=" "/>
    <s v=""/>
    <n v="0"/>
    <n v="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m/>
    <m/>
    <m/>
    <m/>
    <m/>
    <m/>
    <m/>
    <m/>
    <m/>
    <m/>
    <m/>
    <m/>
    <m/>
    <m/>
    <s v="AGARWAL STEEL TRADERS"/>
  </r>
  <r>
    <n v="743"/>
    <d v="2025-09-15T00:00:00"/>
    <s v="ZBTO"/>
    <n v="9519105231"/>
    <n v="2"/>
    <s v="9519105231-2"/>
    <s v="Oct'25"/>
    <s v="Released"/>
    <x v="1"/>
    <s v="GP03"/>
    <s v="ACRM GP#3 NARROW"/>
    <m/>
    <x v="2"/>
    <x v="6"/>
    <m/>
    <n v="2000"/>
    <s v="North"/>
    <s v="VARANASI"/>
    <s v="KANP"/>
    <n v="931525"/>
    <s v="INDIA STEEL INDUSTRIES"/>
    <n v="1191956"/>
    <s v="GP COIL SOFT-TATXGP-GK09-0.35X900"/>
    <s v="C02"/>
    <s v="TATXGP"/>
    <s v="GK09"/>
    <n v="0.35"/>
    <n v="900"/>
    <n v="0"/>
    <s v="T2 DONE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1-0.39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INDIA STEEL INDUSTRIES"/>
  </r>
  <r>
    <n v="743"/>
    <d v="2025-09-16T00:00:00"/>
    <s v="ZBTO"/>
    <n v="9519107755"/>
    <n v="4"/>
    <s v="9519107755-4"/>
    <s v="No Priority"/>
    <s v="Released"/>
    <x v="0"/>
    <s v="GP02"/>
    <s v="ACRM GP#3 WIDER SOFT"/>
    <m/>
    <x v="2"/>
    <x v="13"/>
    <m/>
    <n v="2000"/>
    <s v="North"/>
    <s v="UTTARKASHI"/>
    <s v="JPUR"/>
    <n v="150962"/>
    <s v="BIHANI INTERNATIONAL PVT LTD.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26.914999999999999"/>
    <n v="0"/>
    <n v="-13.755000000000001"/>
    <n v="0"/>
    <n v="0"/>
    <n v="0"/>
    <n v="0"/>
    <n v="0"/>
    <n v="0"/>
    <n v="13.755000000000001"/>
    <n v="0"/>
    <n v="0"/>
    <n v="0"/>
    <n v="0"/>
    <n v="0"/>
    <n v="0"/>
    <n v="0"/>
    <n v="0"/>
    <n v="0"/>
    <n v="0"/>
    <n v="0"/>
    <n v="0"/>
    <n v="13.755000000000001"/>
    <n v="0"/>
    <n v="13.755000000000001"/>
    <n v="0"/>
    <n v="0"/>
    <s v="0.37-0.4"/>
    <s v="1220-1222"/>
    <m/>
    <m/>
    <m/>
    <m/>
    <m/>
    <m/>
    <s v="R"/>
    <s v="GP03_KOSH"/>
    <s v="C02-GK09-0.4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BIHANI INTERNATIONAL PVT LTD."/>
  </r>
  <r>
    <n v="743"/>
    <d v="2025-09-16T00:00:00"/>
    <s v="ZBTO"/>
    <n v="9519109370"/>
    <n v="1"/>
    <s v="9519109370-1"/>
    <s v="No Priority"/>
    <s v="Released"/>
    <x v="0"/>
    <s v="GP02"/>
    <s v="ACRM GP#3 WIDER SOFT"/>
    <m/>
    <x v="2"/>
    <x v="13"/>
    <m/>
    <n v="2000"/>
    <s v="East"/>
    <s v="KOLKATA"/>
    <s v="CALS"/>
    <n v="100922"/>
    <s v="BUBNA COMMERCIAL COMPANY"/>
    <n v="1851101"/>
    <s v="GP COIL SOFT-TATXGP-GK09-0.5X1220"/>
    <s v="C02"/>
    <s v="TATXGP"/>
    <s v="GK09"/>
    <n v="0.5"/>
    <n v="1220"/>
    <n v="0"/>
    <s v="T2 DONE"/>
    <s v="Z80"/>
    <s v=""/>
    <n v="5"/>
    <n v="15"/>
    <n v="28"/>
    <n v="26.774999999999999"/>
    <n v="1.2250000000000001"/>
    <n v="-24.535"/>
    <n v="0"/>
    <n v="0"/>
    <n v="0"/>
    <n v="0"/>
    <n v="0"/>
    <n v="0"/>
    <n v="25.76"/>
    <n v="0"/>
    <n v="0"/>
    <n v="0"/>
    <n v="0"/>
    <n v="0"/>
    <n v="0"/>
    <n v="0"/>
    <n v="0"/>
    <n v="0"/>
    <n v="0"/>
    <n v="5.13"/>
    <n v="16.240000000000002"/>
    <n v="47.13"/>
    <n v="21.37"/>
    <n v="25.76"/>
    <n v="0"/>
    <n v="-20.145"/>
    <s v="0.47-0.5"/>
    <s v="1220-1222"/>
    <m/>
    <m/>
    <m/>
    <m/>
    <m/>
    <m/>
    <s v="R"/>
    <s v="GP03_KOSH"/>
    <s v="C02-GK09-0.5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s v="BUBNA COMMERCIAL COMPANY"/>
  </r>
  <r>
    <n v="742"/>
    <d v="2025-07-25T00:00:00"/>
    <s v="ZBTO"/>
    <n v="9518959342"/>
    <n v="2"/>
    <s v="9518959342-2"/>
    <s v="Oct'25"/>
    <s v="Released"/>
    <x v="1"/>
    <s v="CR02"/>
    <s v="ACRM CRCA CRS"/>
    <m/>
    <x v="0"/>
    <x v="0"/>
    <m/>
    <n v="2200"/>
    <s v="South"/>
    <s v="GUMMIDIPOONDI"/>
    <s v="MADS"/>
    <n v="822271"/>
    <s v="TATA STEEL DOWNSTREAM PRODUCTS LIMI"/>
    <n v="1801290"/>
    <s v="CRCA COIL-TATXXD-AU03-0.6X1250"/>
    <s v="C01"/>
    <s v="TATXXD"/>
    <s v="AU03"/>
    <n v="0.6"/>
    <n v="1250"/>
    <n v="0"/>
    <s v="T2 DONE"/>
    <s v=" "/>
    <s v=""/>
    <n v="5"/>
    <n v="29"/>
    <n v="116"/>
    <n v="0"/>
    <n v="116"/>
    <n v="5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TATA STEEL DOWNSTREAM PRODUCTS LIMI"/>
  </r>
  <r>
    <n v="742"/>
    <d v="2025-08-19T00:00:00"/>
    <s v="ZBTO"/>
    <n v="9519027787"/>
    <n v="4"/>
    <s v="9519027787-4"/>
    <s v="Stocks"/>
    <s v="Released"/>
    <x v="1"/>
    <s v="CR01"/>
    <s v="ACRM CRCA CTL"/>
    <m/>
    <x v="0"/>
    <x v="5"/>
    <m/>
    <n v="2000"/>
    <s v="South"/>
    <s v="VISHAKHAPATNAM"/>
    <s v="SBAD"/>
    <n v="946077"/>
    <s v="SITARAM IRON AND STEEL PVT LTD"/>
    <n v="3240759"/>
    <s v="CRCA SHEET TSBCRC SR15 0.500X1000X2440"/>
    <s v="C06"/>
    <s v="TSBCRC"/>
    <s v="SR15"/>
    <n v="0.5"/>
    <n v="1000"/>
    <n v="2440"/>
    <s v="T2 DONE"/>
    <s v=" "/>
    <s v=""/>
    <n v="2"/>
    <n v="3"/>
    <n v="22.998999999999999"/>
    <n v="27.914999999999999"/>
    <n v="-4.9160000000000004"/>
    <n v="-4.9160000000000004"/>
    <n v="2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4.9160000000000004"/>
    <s v="0.48-0.52"/>
    <s v="1000-1004"/>
    <m/>
    <m/>
    <m/>
    <m/>
    <m/>
    <m/>
    <s v="M"/>
    <s v="CRCA_SUPR"/>
    <s v="C06-SR15-0.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s v="SITARAM IRON AND STEEL PVT LTD"/>
  </r>
  <r>
    <n v="742"/>
    <d v="2025-08-19T00:00:00"/>
    <s v="ZBTO"/>
    <n v="9519027787"/>
    <n v="9"/>
    <s v="9519027787-9"/>
    <s v="No Priority"/>
    <s v="Released"/>
    <x v="0"/>
    <s v="CR01"/>
    <s v="ACRM CRCA CTL"/>
    <m/>
    <x v="0"/>
    <x v="5"/>
    <m/>
    <n v="2000"/>
    <s v="South"/>
    <s v="VISHAKHAPATNAM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s v=" "/>
    <s v=""/>
    <n v="2"/>
    <n v="3"/>
    <n v="22.998999999999999"/>
    <n v="19.940000000000001"/>
    <n v="3.0590000000000002"/>
    <n v="3.059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90000000000002"/>
    <s v="0.73-0.77"/>
    <s v="1000-1004"/>
    <m/>
    <m/>
    <m/>
    <m/>
    <m/>
    <m/>
    <s v="M"/>
    <n v="0"/>
    <s v="C06-SR15-0.75-1000"/>
    <s v="B69-SH69-2.8-1025"/>
    <s v="B69"/>
    <s v="T01069"/>
    <s v="SH69"/>
    <s v="R12A"/>
    <n v="2.8"/>
    <n v="1025"/>
    <n v="3918221"/>
    <m/>
    <m/>
    <m/>
    <m/>
    <m/>
    <m/>
    <m/>
    <m/>
    <m/>
    <m/>
    <m/>
    <m/>
    <m/>
    <m/>
    <m/>
    <m/>
    <m/>
    <m/>
    <m/>
    <s v="SITARAM IRON AND STEEL PVT LTD"/>
  </r>
  <r>
    <n v="743"/>
    <d v="2025-08-02T00:00:00"/>
    <s v="ZBTO"/>
    <n v="9518988805"/>
    <n v="1"/>
    <s v="9518988805-1"/>
    <s v="Sep'25"/>
    <s v="Released"/>
    <x v="1"/>
    <s v="GP03"/>
    <s v="ACRM GP#3 NARROW"/>
    <m/>
    <x v="2"/>
    <x v="6"/>
    <m/>
    <n v="2000"/>
    <s v="East"/>
    <s v="GUWAHATI"/>
    <s v="GWAH"/>
    <n v="116649"/>
    <s v="SAGAR STEELS"/>
    <n v="1854363"/>
    <s v="GP COIL SOFT-TATXGP-GLK1-0.22X900"/>
    <s v="C02"/>
    <s v="TATXGP"/>
    <s v="GLK1"/>
    <n v="0.22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19-0.22"/>
    <s v="900-920"/>
    <m/>
    <m/>
    <m/>
    <m/>
    <m/>
    <m/>
    <s v="R"/>
    <s v="GP03_KOSH"/>
    <s v="C02-GLK1-0.22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SAGAR STEELS"/>
  </r>
  <r>
    <n v="743"/>
    <d v="2025-08-02T00:00:00"/>
    <s v="ZBTO"/>
    <n v="9518988805"/>
    <n v="2"/>
    <s v="9518988805-2"/>
    <s v="Sep'25"/>
    <s v="Released"/>
    <x v="1"/>
    <s v="GP03"/>
    <s v="ACRM GP#3 NARROW"/>
    <m/>
    <x v="2"/>
    <x v="6"/>
    <m/>
    <n v="2000"/>
    <s v="East"/>
    <s v="GUWAHATI"/>
    <s v="GWAH"/>
    <n v="116649"/>
    <s v="SAGAR STEELS"/>
    <n v="1319275"/>
    <s v="GP COIL SOFT-TATXGP-GLK1-0.2X900"/>
    <s v="C02"/>
    <s v="TATXGP"/>
    <s v="GLK1"/>
    <n v="0.2"/>
    <n v="900"/>
    <n v="0"/>
    <s v="T2 DONE"/>
    <s v="Z80"/>
    <s v=""/>
    <n v="6"/>
    <n v="2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17-0.2"/>
    <s v="900-920"/>
    <m/>
    <m/>
    <m/>
    <m/>
    <m/>
    <m/>
    <s v="R"/>
    <s v="GP03_KOSH"/>
    <s v="C02-GLK1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SAGAR STEELS"/>
  </r>
  <r>
    <n v="743"/>
    <d v="2025-09-05T00:00:00"/>
    <s v="ZBTF"/>
    <n v="9519081794"/>
    <n v="1"/>
    <s v="9519081794-1"/>
    <s v="No Priority"/>
    <s v="Released"/>
    <x v="0"/>
    <s v="GP03"/>
    <s v="ACRM GP#3 NARROW"/>
    <m/>
    <x v="2"/>
    <x v="11"/>
    <m/>
    <n v="2000"/>
    <s v="East"/>
    <s v="GAMHARIA"/>
    <s v="COMD"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1"/>
    <n v="24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33-0.35"/>
    <s v="1015-1017"/>
    <m/>
    <m/>
    <m/>
    <m/>
    <m/>
    <m/>
    <s v="U"/>
    <s v="GP03_SHKT"/>
    <s v="C05-GP02-0.35-1015"/>
    <s v="B69-SF93-2.25-1035"/>
    <s v="B69"/>
    <s v="S02149"/>
    <s v="SF93"/>
    <s v="C07A"/>
    <n v="2.25"/>
    <n v="1035"/>
    <n v="3834674"/>
    <m/>
    <m/>
    <m/>
    <m/>
    <m/>
    <m/>
    <m/>
    <m/>
    <m/>
    <m/>
    <m/>
    <m/>
    <m/>
    <m/>
    <m/>
    <m/>
    <m/>
    <m/>
    <m/>
    <s v="ANGUL GALVANIZING PLANT"/>
  </r>
  <r>
    <n v="743"/>
    <d v="2025-09-12T00:00:00"/>
    <s v="ZBTO"/>
    <n v="9519097824"/>
    <n v="1"/>
    <s v="9519097824-1"/>
    <s v="Stocks"/>
    <s v="Released"/>
    <x v="1"/>
    <s v="GL01"/>
    <s v="ACRM GP#2 TBSPL BGL"/>
    <m/>
    <x v="4"/>
    <x v="3"/>
    <m/>
    <n v="1000"/>
    <s v="TBSPL"/>
    <s v="Jharkhand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280"/>
    <n v="274.23"/>
    <n v="5.77"/>
    <n v="2.0550000000000002"/>
    <n v="99.10499999999999"/>
    <n v="0"/>
    <n v="0"/>
    <n v="0"/>
    <n v="0"/>
    <n v="0"/>
    <n v="0"/>
    <n v="0"/>
    <n v="0"/>
    <n v="0"/>
    <n v="0"/>
    <n v="0"/>
    <n v="0"/>
    <n v="0"/>
    <n v="0"/>
    <n v="3.7150000000000003"/>
    <n v="0"/>
    <n v="0"/>
    <n v="0"/>
    <n v="3.7150000000000003"/>
    <n v="3.7150000000000003"/>
    <n v="0"/>
    <n v="0"/>
    <n v="2.0549999999999993"/>
    <s v="0.43-0.47"/>
    <s v="1220-1222"/>
    <m/>
    <m/>
    <m/>
    <m/>
    <m/>
    <m/>
    <s v="R"/>
    <s v="NA"/>
    <s v="B04-H6GL-0.4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RIVATE LIMITE"/>
  </r>
  <r>
    <n v="743"/>
    <d v="2025-09-12T00:00:00"/>
    <s v="ZBTO"/>
    <n v="9519097824"/>
    <n v="2"/>
    <s v="9519097824-2"/>
    <s v="Oct'25"/>
    <s v="Released"/>
    <x v="1"/>
    <s v="GL01"/>
    <s v="ACRM GP#2 TBSPL BGL"/>
    <m/>
    <x v="4"/>
    <x v="3"/>
    <m/>
    <n v="1000"/>
    <s v="TBSPL"/>
    <s v="Jharkhand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84"/>
    <n v="56.524999999999999"/>
    <n v="27.475000000000001"/>
    <n v="13.475"/>
    <n v="43.645000000000003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14"/>
    <n v="0"/>
    <n v="14"/>
    <n v="0"/>
    <n v="27.475000000000001"/>
    <s v="0.43-0.47"/>
    <s v="1220-1222"/>
    <m/>
    <m/>
    <m/>
    <m/>
    <m/>
    <m/>
    <s v="R"/>
    <s v="NA"/>
    <s v="B04-H6GL-0.4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RIVATE LIMITE"/>
  </r>
  <r>
    <n v="743"/>
    <d v="2025-09-12T00:00:00"/>
    <s v="ZBTO"/>
    <n v="9519097824"/>
    <n v="3"/>
    <s v="9519097824-3"/>
    <s v="Oct'25"/>
    <s v="Released"/>
    <x v="1"/>
    <s v="GL01"/>
    <s v="ACRM GP#2 TBSPL BGL"/>
    <m/>
    <x v="4"/>
    <x v="3"/>
    <m/>
    <n v="1000"/>
    <s v="TBSPL"/>
    <s v="Jharkhand"/>
    <s v="BOMB"/>
    <n v="942283"/>
    <s v="TATA BLUESCOPE STEEL PRIVATE LIMITE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140"/>
    <n v="108.96"/>
    <n v="31.04"/>
    <n v="3.71"/>
    <n v="90.804999999999993"/>
    <n v="0"/>
    <n v="0"/>
    <n v="0"/>
    <n v="0"/>
    <n v="27.580000000000002"/>
    <n v="0"/>
    <n v="0"/>
    <n v="0"/>
    <n v="0"/>
    <n v="0"/>
    <n v="0"/>
    <n v="0"/>
    <n v="0"/>
    <n v="0"/>
    <n v="4.3150000000000004"/>
    <n v="0"/>
    <n v="0"/>
    <n v="40.43"/>
    <n v="72.325000000000003"/>
    <n v="44.744999999999997"/>
    <n v="27.580000000000005"/>
    <n v="0"/>
    <n v="-13.704999999999998"/>
    <s v="0.53-0.57"/>
    <s v="1220-1222"/>
    <m/>
    <m/>
    <m/>
    <m/>
    <m/>
    <m/>
    <s v="R"/>
    <s v="GP02_BGL"/>
    <s v="B04-H6GL-0.5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2"/>
    <d v="2025-09-09T00:00:00"/>
    <s v="ZBTO"/>
    <n v="9519088655"/>
    <n v="9"/>
    <s v="9519088655-9"/>
    <s v="Oct'25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40799"/>
    <s v="CRCA SHEET TSBCRC SR15 0.750X1250X2500"/>
    <s v="C06"/>
    <s v="TSBCRC"/>
    <s v="SR15"/>
    <n v="0.75"/>
    <n v="1250"/>
    <n v="2500"/>
    <s v="T2 DONE"/>
    <s v=" "/>
    <s v=""/>
    <n v="0.1"/>
    <n v="5"/>
    <n v="29"/>
    <n v="0"/>
    <n v="29"/>
    <n v="-22.954999999999998"/>
    <n v="0"/>
    <n v="0"/>
    <n v="0"/>
    <n v="0"/>
    <n v="0"/>
    <n v="0"/>
    <n v="0"/>
    <n v="0"/>
    <n v="0"/>
    <n v="0"/>
    <n v="0"/>
    <n v="0"/>
    <n v="52.77"/>
    <n v="0"/>
    <n v="0"/>
    <n v="0"/>
    <n v="0"/>
    <n v="0"/>
    <n v="0"/>
    <n v="52.77"/>
    <n v="0"/>
    <n v="52.77"/>
    <n v="0"/>
    <n v="29"/>
    <s v="0.72-0.75"/>
    <s v="1250-1251"/>
    <m/>
    <m/>
    <m/>
    <m/>
    <m/>
    <m/>
    <s v="T"/>
    <s v="CRCA_SUPR"/>
    <s v="C06-SR15-0.75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s v="BHARTIA  DISTRIBUTORS PVT. LTD."/>
  </r>
  <r>
    <n v="742"/>
    <d v="2025-09-09T00:00:00"/>
    <s v="ZBTO"/>
    <n v="9519088655"/>
    <n v="13"/>
    <s v="9519088655-13"/>
    <s v="Oct'25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40851"/>
    <s v="CRCA SHEET TSBCRC SR15 1.200X1250X2500"/>
    <s v="C06"/>
    <s v="TSBCRC"/>
    <s v="SR15"/>
    <n v="1.2"/>
    <n v="1250"/>
    <n v="2500"/>
    <s v="T2 DONE"/>
    <s v=" "/>
    <s v=""/>
    <n v="0.1"/>
    <n v="5"/>
    <n v="58"/>
    <n v="16.585000000000001"/>
    <n v="41.414999999999999"/>
    <n v="41.414999999999999"/>
    <n v="16.585000000000001"/>
    <n v="0"/>
    <n v="0"/>
    <n v="0"/>
    <n v="0"/>
    <n v="0"/>
    <n v="0"/>
    <n v="0"/>
    <n v="0"/>
    <n v="0"/>
    <n v="0"/>
    <n v="0"/>
    <n v="0"/>
    <n v="0"/>
    <n v="0.55000000000000004"/>
    <n v="2.81"/>
    <n v="22.055"/>
    <n v="0"/>
    <n v="0"/>
    <n v="25.414999999999999"/>
    <n v="0"/>
    <n v="25.414999999999999"/>
    <n v="0"/>
    <n v="41.414999999999999"/>
    <s v="1.16-1.2"/>
    <s v="1250-1251"/>
    <m/>
    <m/>
    <m/>
    <m/>
    <m/>
    <m/>
    <s v="T"/>
    <s v="CRCA_SUPR"/>
    <s v="C06-SR15-1.2-1250"/>
    <s v="367-SH69-3.2-1260"/>
    <n v="367"/>
    <s v="T01069"/>
    <s v="SH69"/>
    <s v="R12A"/>
    <n v="3.2"/>
    <n v="1260"/>
    <n v="3919021"/>
    <m/>
    <m/>
    <m/>
    <m/>
    <m/>
    <m/>
    <m/>
    <m/>
    <m/>
    <m/>
    <m/>
    <m/>
    <m/>
    <m/>
    <m/>
    <m/>
    <m/>
    <m/>
    <m/>
    <s v="BHARTIA  DISTRIBUTORS PVT. LTD."/>
  </r>
  <r>
    <n v="743"/>
    <d v="2025-09-08T00:00:00"/>
    <s v="ZBTO"/>
    <n v="9519086148"/>
    <n v="3"/>
    <s v="9519086148-3"/>
    <s v="No Priority"/>
    <s v="Released"/>
    <x v="0"/>
    <s v="GP03"/>
    <s v="ACRM GP#3 NARROW"/>
    <m/>
    <x v="2"/>
    <x v="6"/>
    <m/>
    <n v="2000"/>
    <s v="East"/>
    <s v="KOLKATA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BUBNA COMMERCIAL COMPANY"/>
  </r>
  <r>
    <n v="743"/>
    <d v="2025-09-12T00:00:00"/>
    <s v="ZBTO"/>
    <n v="9519099563"/>
    <n v="1"/>
    <s v="9519099563-1"/>
    <s v="No Priority"/>
    <s v="Released"/>
    <x v="0"/>
    <s v="GP03"/>
    <s v="ACRM GP#3 NARROW"/>
    <m/>
    <x v="2"/>
    <x v="6"/>
    <m/>
    <n v="2000"/>
    <s v="East"/>
    <s v="WEST BOKARO"/>
    <s v="JAMS"/>
    <n v="185794"/>
    <s v="Shree Bajrang Steel Udyog"/>
    <n v="1851065"/>
    <s v="GP COIL SOFT-TATXGP-GK09-0.25X900"/>
    <s v="C02"/>
    <s v="TATXGP"/>
    <s v="GK09"/>
    <n v="0.25"/>
    <n v="900"/>
    <n v="0"/>
    <s v="T2 DONE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Shree Bajrang Steel Udyog"/>
  </r>
  <r>
    <n v="742"/>
    <d v="2025-07-11T00:00:00"/>
    <s v="ZBTO"/>
    <n v="9518921586"/>
    <n v="5"/>
    <s v="9518921586-5"/>
    <s v="Oct'25"/>
    <s v="Released"/>
    <x v="1"/>
    <s v="CR02"/>
    <s v="ACRM CRCA CRS"/>
    <m/>
    <x v="0"/>
    <x v="0"/>
    <m/>
    <n v="2000"/>
    <s v="South"/>
    <s v="PATTANCHERY"/>
    <s v="SBAD"/>
    <n v="939422"/>
    <s v="VIJAY VENKAT STEELS PRIVATE LIMITED"/>
    <n v="1801456"/>
    <s v="CRCA COIL-TATXXD-AU03-0.7X1250"/>
    <s v="C01"/>
    <s v="TATXXD"/>
    <s v="AU03"/>
    <n v="0.7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62"/>
    <m/>
    <m/>
    <m/>
    <m/>
    <m/>
    <m/>
    <s v="U"/>
    <s v="CRCA_STLM"/>
    <s v="C01-AU03-0.7-1250"/>
    <s v="367-SH08-2.8-1250"/>
    <n v="367"/>
    <s v="T01320"/>
    <s v="SH08"/>
    <s v="C16D"/>
    <n v="2.8"/>
    <n v="1250"/>
    <n v="1154953"/>
    <m/>
    <m/>
    <m/>
    <m/>
    <m/>
    <m/>
    <m/>
    <m/>
    <m/>
    <m/>
    <m/>
    <m/>
    <m/>
    <m/>
    <m/>
    <m/>
    <m/>
    <m/>
    <m/>
    <s v="VIJAY VENKAT STEELS PRIVATE LIMITED"/>
  </r>
  <r>
    <n v="742"/>
    <d v="2025-07-18T00:00:00"/>
    <s v="ZBTO"/>
    <n v="9518939324"/>
    <n v="3"/>
    <s v="9518939324-3"/>
    <s v="No Priority"/>
    <s v="Released"/>
    <x v="0"/>
    <e v="#N/A"/>
    <e v="#N/A"/>
    <m/>
    <x v="0"/>
    <x v="15"/>
    <m/>
    <n v="2000"/>
    <s v="East"/>
    <s v="HOWRAH"/>
    <s v="CALS"/>
    <n v="154464"/>
    <s v="TATA STEEL DOWNSTREAM PRODUCTS LIMI"/>
    <n v="3853362"/>
    <s v="CR COIL TATXXD AH03 1.100X1320"/>
    <s v="C01"/>
    <s v="TATXXD"/>
    <s v="AH03"/>
    <n v="1.1000000000000001"/>
    <n v="1320"/>
    <n v="0"/>
    <s v="T2 DONE"/>
    <s v=" "/>
    <s v=""/>
    <n v="13"/>
    <n v="29"/>
    <n v="60"/>
    <n v="28.45"/>
    <n v="31.55"/>
    <n v="2.29"/>
    <n v="0"/>
    <n v="0"/>
    <n v="0"/>
    <n v="0"/>
    <n v="0"/>
    <n v="0"/>
    <n v="0"/>
    <n v="0"/>
    <n v="0"/>
    <n v="0"/>
    <n v="0"/>
    <n v="0"/>
    <n v="29.26"/>
    <n v="0"/>
    <n v="0"/>
    <n v="0"/>
    <n v="0"/>
    <n v="0"/>
    <n v="0"/>
    <n v="29.26"/>
    <n v="29.26"/>
    <n v="0"/>
    <n v="0"/>
    <n v="2.2899999999999991"/>
    <s v="0.98-1.1"/>
    <s v="1320-1340"/>
    <m/>
    <m/>
    <m/>
    <m/>
    <m/>
    <m/>
    <s v="U"/>
    <s v="CRCA_ME"/>
    <s v="C01-AH03-1.1-1320"/>
    <s v="367-SH67-3.2-1320"/>
    <n v="367"/>
    <s v="TSH067"/>
    <s v="SH67"/>
    <s v="C14A"/>
    <n v="3.2"/>
    <n v="1320"/>
    <n v="3920737"/>
    <m/>
    <m/>
    <m/>
    <m/>
    <m/>
    <m/>
    <m/>
    <m/>
    <m/>
    <m/>
    <m/>
    <m/>
    <m/>
    <m/>
    <m/>
    <m/>
    <m/>
    <m/>
    <m/>
    <s v="TATA STEEL DOWNSTREAM PRODUCTS LIMI"/>
  </r>
  <r>
    <n v="742"/>
    <d v="2025-08-12T00:00:00"/>
    <s v="ZBTO"/>
    <n v="9519011538"/>
    <n v="5"/>
    <s v="9519011538-5"/>
    <s v="Oct'25"/>
    <s v="Released"/>
    <x v="1"/>
    <s v="CR01"/>
    <s v="ACRM CRCA CTL"/>
    <m/>
    <x v="0"/>
    <x v="5"/>
    <m/>
    <n v="2000"/>
    <s v="North"/>
    <s v="VARANASI"/>
    <s v="KANP"/>
    <n v="115841"/>
    <s v="O.V.S. ISPAT UDYOG"/>
    <n v="3765561"/>
    <s v="CRCA SHEET TSBCRC SR15 0.700X1000X1930"/>
    <s v="C06"/>
    <s v="TSBCRC"/>
    <s v="SR15"/>
    <n v="0.7"/>
    <n v="1000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m/>
    <m/>
    <m/>
    <m/>
    <m/>
    <m/>
    <m/>
    <m/>
    <m/>
    <m/>
    <m/>
    <m/>
    <m/>
    <m/>
    <s v="O.V.S. ISPAT UDYOG"/>
  </r>
  <r>
    <n v="742"/>
    <d v="2025-08-19T00:00:00"/>
    <s v="ZBTO"/>
    <n v="9519028293"/>
    <n v="1"/>
    <s v="9519028293-1"/>
    <s v="Oct'25"/>
    <s v="Released"/>
    <x v="1"/>
    <s v="CR01"/>
    <s v="ACRM CRCA CTL"/>
    <m/>
    <x v="0"/>
    <x v="5"/>
    <m/>
    <n v="2000"/>
    <s v="South"/>
    <s v="CHENNAI"/>
    <s v="MADS"/>
    <n v="938550"/>
    <s v="BASEER AND CO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ASEER AND CO"/>
  </r>
  <r>
    <n v="742"/>
    <d v="2025-08-05T00:00:00"/>
    <s v="ZBTO"/>
    <n v="9518995069"/>
    <n v="1"/>
    <s v="9518995069-1"/>
    <s v="No Priority"/>
    <s v="Released"/>
    <x v="0"/>
    <s v="CR01"/>
    <s v="ACRM CRCA CTL"/>
    <m/>
    <x v="0"/>
    <x v="5"/>
    <m/>
    <n v="2000"/>
    <s v="North"/>
    <s v="KANPUR"/>
    <s v="FBAD"/>
    <n v="933952"/>
    <s v="AGARWAL STEEL TRADERS"/>
    <n v="3240761"/>
    <s v="CRCA SHEET TSBCRC SR15 0.500X1250X2030"/>
    <s v="C06"/>
    <s v="TSBCRC"/>
    <s v="SR15"/>
    <n v="0.5"/>
    <n v="1250"/>
    <n v="2030"/>
    <s v="T2 DONE"/>
    <s v=" "/>
    <s v=""/>
    <n v="0"/>
    <n v="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AGARWAL STEEL TRADERS"/>
  </r>
  <r>
    <n v="742"/>
    <d v="2025-08-19T00:00:00"/>
    <s v="ZBTO"/>
    <n v="9519028231"/>
    <n v="4"/>
    <s v="9519028231-4"/>
    <s v="No Priority"/>
    <s v="Released"/>
    <x v="0"/>
    <s v="CR02"/>
    <s v="ACRM CRCA CRS"/>
    <m/>
    <x v="0"/>
    <x v="0"/>
    <m/>
    <n v="2000"/>
    <s v="South"/>
    <s v="CHENNAI"/>
    <s v="MADS"/>
    <n v="938550"/>
    <s v="BASEER AND CO"/>
    <n v="1801562"/>
    <s v="CRCA COIL-TATXXD-AU03-0.8X1000"/>
    <s v="C01"/>
    <s v="TATXXD"/>
    <s v="AU03"/>
    <n v="0.8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78-0.82"/>
    <s v="1000-1004"/>
    <m/>
    <m/>
    <m/>
    <m/>
    <m/>
    <m/>
    <s v="R"/>
    <s v="CRCA_STLM"/>
    <s v="C01-AU03-0.8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BASEER AND CO"/>
  </r>
  <r>
    <n v="743"/>
    <d v="2025-09-08T00:00:00"/>
    <s v="ZBTO"/>
    <n v="9519085802"/>
    <n v="1"/>
    <s v="9519085802-1"/>
    <s v="No Priority"/>
    <s v="Released"/>
    <x v="0"/>
    <s v="GP02"/>
    <s v="ACRM GP#3 WIDER SOFT"/>
    <m/>
    <x v="2"/>
    <x v="13"/>
    <m/>
    <n v="2000"/>
    <s v="East"/>
    <s v="SIYAGANJ"/>
    <s v="INDR"/>
    <n v="944695"/>
    <s v="ANM ISPAT PRIVATE LIMITED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26.594999999999999"/>
    <n v="2.4049999999999998"/>
    <n v="2.40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049999999999998"/>
    <s v="0.57-0.6"/>
    <s v="1250-1254"/>
    <m/>
    <m/>
    <m/>
    <m/>
    <m/>
    <m/>
    <s v="M"/>
    <s v="GP03_KOSH"/>
    <s v="C02-GK09-0.6-1250"/>
    <s v="367-HG02-2.5-1265"/>
    <n v="367"/>
    <s v="T01576"/>
    <s v="HG02"/>
    <s v="C06A"/>
    <n v="2.5"/>
    <n v="1265"/>
    <n v="424360"/>
    <m/>
    <m/>
    <m/>
    <m/>
    <m/>
    <m/>
    <m/>
    <m/>
    <m/>
    <m/>
    <m/>
    <m/>
    <m/>
    <m/>
    <m/>
    <m/>
    <m/>
    <m/>
    <m/>
    <s v="ANM ISPAT PRIVATE LIMITED"/>
  </r>
  <r>
    <n v="742"/>
    <d v="2025-08-22T00:00:00"/>
    <s v="ZBTO"/>
    <n v="9519040245"/>
    <n v="4"/>
    <s v="9519040245-4"/>
    <s v="Sep'25"/>
    <s v="Released"/>
    <x v="1"/>
    <s v="CR02"/>
    <s v="ACRM CRCA CRS"/>
    <m/>
    <x v="0"/>
    <x v="4"/>
    <m/>
    <n v="1000"/>
    <s v="South"/>
    <s v="CHENNAI"/>
    <s v="NPUR"/>
    <n v="187214"/>
    <s v="BALMER LAWRIE &amp; CO. LIMITED.."/>
    <n v="3701960"/>
    <s v="CR COIL TATXXD BT01 1.200X1310"/>
    <s v="C01"/>
    <s v="TATXXD"/>
    <s v="BT01"/>
    <n v="1.2"/>
    <n v="1310"/>
    <n v="0"/>
    <s v="T2 DONE"/>
    <s v=" "/>
    <s v=""/>
    <n v="8"/>
    <n v="12"/>
    <n v="30"/>
    <n v="27.184999999999999"/>
    <n v="2.8149999999999999"/>
    <n v="2.8149999999999999"/>
    <n v="27.185000000000002"/>
    <n v="0"/>
    <n v="0"/>
    <n v="0"/>
    <n v="0"/>
    <n v="0"/>
    <n v="0"/>
    <n v="0"/>
    <n v="0"/>
    <n v="0"/>
    <n v="0"/>
    <n v="0"/>
    <n v="29.67"/>
    <n v="0"/>
    <n v="0"/>
    <n v="0"/>
    <n v="0"/>
    <n v="0"/>
    <n v="0"/>
    <n v="29.67"/>
    <n v="0"/>
    <n v="29.67"/>
    <n v="0"/>
    <n v="2.8149999999999999"/>
    <s v="1.18-1.22"/>
    <s v="1310-1311"/>
    <m/>
    <m/>
    <m/>
    <m/>
    <m/>
    <m/>
    <s v="T"/>
    <s v="CRCA_D&amp;B"/>
    <s v="C01-BT01-1.2-1310"/>
    <s v="367-SH67-3.2-1330"/>
    <n v="367"/>
    <s v="TSH067"/>
    <s v="SH67"/>
    <s v="C14A"/>
    <n v="3.2"/>
    <n v="1330"/>
    <n v="3920739"/>
    <m/>
    <m/>
    <m/>
    <m/>
    <m/>
    <m/>
    <m/>
    <m/>
    <m/>
    <m/>
    <m/>
    <m/>
    <m/>
    <m/>
    <m/>
    <m/>
    <m/>
    <m/>
    <m/>
    <s v="BALMER LAWRIE &amp; CO. LIMITED.."/>
  </r>
  <r>
    <n v="742"/>
    <d v="2025-08-01T00:00:00"/>
    <s v="ZBTO"/>
    <n v="9518986243"/>
    <n v="1"/>
    <s v="9518986243-1"/>
    <s v="No Priority"/>
    <s v="Released"/>
    <x v="0"/>
    <s v="CR02"/>
    <s v="ACRM CRCA CRS"/>
    <m/>
    <x v="0"/>
    <x v="15"/>
    <m/>
    <n v="2000"/>
    <s v="West"/>
    <s v="AHMEDABAD"/>
    <s v="AMED"/>
    <n v="854773"/>
    <s v="ANM ISPAT PVT LTD"/>
    <n v="3532322"/>
    <s v="CR COIL TATXXD AH03 1X1320"/>
    <s v="C01"/>
    <s v="TATXXD"/>
    <s v="AH03"/>
    <n v="1"/>
    <n v="1320"/>
    <n v="0"/>
    <s v="T2 DONE"/>
    <s v=" "/>
    <s v=""/>
    <n v="13"/>
    <n v="24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0.98-1.02"/>
    <s v="1320-1325"/>
    <m/>
    <m/>
    <m/>
    <m/>
    <m/>
    <m/>
    <s v="R"/>
    <s v="NA"/>
    <s v="C01-AH03-1-1320"/>
    <s v="367-SH67-3.2-1320"/>
    <n v="367"/>
    <s v="TSH067"/>
    <s v="SH67"/>
    <s v="C14A"/>
    <n v="3.2"/>
    <n v="1320"/>
    <n v="3920737"/>
    <m/>
    <m/>
    <m/>
    <m/>
    <m/>
    <m/>
    <m/>
    <m/>
    <m/>
    <m/>
    <m/>
    <m/>
    <m/>
    <m/>
    <m/>
    <m/>
    <m/>
    <m/>
    <m/>
    <s v="ANM ISPAT PVT LTD"/>
  </r>
  <r>
    <n v="742"/>
    <d v="2025-08-18T00:00:00"/>
    <s v="ZBTO"/>
    <n v="9519025430"/>
    <n v="4"/>
    <s v="9519025430-4"/>
    <s v="No Priority"/>
    <s v="Released"/>
    <x v="0"/>
    <s v="CR01"/>
    <s v="ACRM CRCA CTL"/>
    <m/>
    <x v="0"/>
    <x v="5"/>
    <m/>
    <n v="2000"/>
    <s v="South"/>
    <s v="SALEM"/>
    <s v="MADS"/>
    <n v="116465"/>
    <s v="SRI BALAJI STEEL TRADERS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3-0.37"/>
    <s v="900-904"/>
    <m/>
    <m/>
    <m/>
    <m/>
    <m/>
    <m/>
    <s v="U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5430"/>
    <n v="5"/>
    <s v="9519025430-5"/>
    <s v="No Priority"/>
    <s v="Released"/>
    <x v="0"/>
    <s v="CR01"/>
    <s v="ACRM CRCA CTL"/>
    <m/>
    <x v="0"/>
    <x v="5"/>
    <m/>
    <n v="2000"/>
    <s v="South"/>
    <s v="SALEM"/>
    <s v="MADS"/>
    <n v="116465"/>
    <s v="SRI BALAJI STEEL TRADERS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  <s v="CRCA_SUPR"/>
    <s v="C06-SR16-0.35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SRI BALAJI STEEL TRADERS"/>
  </r>
  <r>
    <n v="742"/>
    <d v="2025-07-25T00:00:00"/>
    <s v="ZBTO"/>
    <n v="9518959342"/>
    <n v="3"/>
    <s v="9518959342-3"/>
    <s v="Oct'25"/>
    <s v="Released"/>
    <x v="1"/>
    <s v="CR02"/>
    <s v="ACRM CRCA CRS"/>
    <m/>
    <x v="0"/>
    <x v="0"/>
    <m/>
    <n v="2200"/>
    <s v="South"/>
    <s v="GUMMIDIPOONDI"/>
    <s v="MADS"/>
    <n v="822271"/>
    <s v="TATA STEEL DOWNSTREAM PRODUCTS LIMI"/>
    <n v="1801290"/>
    <s v="CRCA COIL-TATXXD-AU03-0.6X1250"/>
    <s v="C01"/>
    <s v="TATXXD"/>
    <s v="AU03"/>
    <n v="0.6"/>
    <n v="1250"/>
    <n v="0"/>
    <s v="T2 DONE"/>
    <s v=" "/>
    <s v=""/>
    <n v="5"/>
    <n v="29"/>
    <n v="87"/>
    <n v="0"/>
    <n v="87"/>
    <n v="6.57"/>
    <n v="0"/>
    <n v="0"/>
    <n v="0"/>
    <n v="0"/>
    <n v="0"/>
    <n v="0"/>
    <n v="0"/>
    <n v="0"/>
    <n v="0"/>
    <n v="0"/>
    <n v="27.23"/>
    <n v="0"/>
    <n v="0"/>
    <n v="0"/>
    <n v="0"/>
    <n v="0"/>
    <n v="0"/>
    <n v="0"/>
    <n v="0"/>
    <n v="27.23"/>
    <n v="0"/>
    <n v="27.23"/>
    <n v="0"/>
    <n v="87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TATA STEEL DOWNSTREAM PRODUCTS LIMI"/>
  </r>
  <r>
    <n v="742"/>
    <d v="2025-08-29T00:00:00"/>
    <s v="ZBTF"/>
    <n v="9519061304"/>
    <n v="1"/>
    <s v="9519061304-1"/>
    <s v="No Priority"/>
    <s v="Released"/>
    <x v="0"/>
    <s v="CR03"/>
    <s v="ACRM CRCA SPM"/>
    <m/>
    <x v="0"/>
    <x v="4"/>
    <m/>
    <n v="1000"/>
    <s v="North"/>
    <s v="SANHEWAL"/>
    <s v="CDGH"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90"/>
    <n v="0"/>
    <n v="290"/>
    <n v="-13.84"/>
    <n v="0"/>
    <n v="0"/>
    <n v="0"/>
    <n v="0"/>
    <n v="0"/>
    <n v="0"/>
    <n v="0"/>
    <n v="0"/>
    <n v="0"/>
    <n v="0"/>
    <n v="27.55"/>
    <n v="0"/>
    <n v="276.37"/>
    <n v="0"/>
    <n v="0"/>
    <n v="0"/>
    <n v="0"/>
    <n v="0"/>
    <n v="0"/>
    <n v="303.92"/>
    <n v="276.37"/>
    <n v="27.550000000000011"/>
    <n v="0"/>
    <n v="13.629999999999995"/>
    <s v="1.45-1.55"/>
    <s v="1250-1270"/>
    <m/>
    <m/>
    <m/>
    <m/>
    <m/>
    <s v="4000519245-4"/>
    <s v="U"/>
    <s v="CRCA_TPI"/>
    <s v="C01-TU97-1.5-1250"/>
    <s v="367-SH70-4-1250"/>
    <n v="367"/>
    <s v="TSH070"/>
    <s v="SH70"/>
    <s v="R10A"/>
    <n v="4"/>
    <n v="1250"/>
    <n v="4096819"/>
    <m/>
    <m/>
    <m/>
    <m/>
    <m/>
    <m/>
    <m/>
    <m/>
    <m/>
    <m/>
    <m/>
    <m/>
    <m/>
    <m/>
    <m/>
    <m/>
    <m/>
    <m/>
    <m/>
    <s v="TUBE INVESTMENTS OF INDIA LIMITED"/>
  </r>
  <r>
    <n v="742"/>
    <d v="2025-08-26T00:00:00"/>
    <s v="ZBTO"/>
    <n v="9519049724"/>
    <n v="1"/>
    <s v="9519049724-1"/>
    <s v="No Priority"/>
    <s v="Released"/>
    <x v="0"/>
    <e v="#N/A"/>
    <e v="#N/A"/>
    <m/>
    <x v="5"/>
    <x v="4"/>
    <m/>
    <n v="1000"/>
    <s v="West"/>
    <s v="VILLAGE-PRAGPAR"/>
    <s v="AMED"/>
    <n v="189108"/>
    <s v="Manaksia Coated Metals &amp; Industries"/>
    <n v="3577912"/>
    <s v="CR COIL TATFHC TR10 0.360X1320"/>
    <s v="C09"/>
    <s v="TATFHC"/>
    <s v="TR10"/>
    <n v="0.36"/>
    <n v="1320"/>
    <n v="0"/>
    <s v="T2 DONE"/>
    <s v=" "/>
    <s v=""/>
    <n v="10"/>
    <n v="22"/>
    <n v="269.99900000000002"/>
    <n v="0"/>
    <n v="269.99900000000002"/>
    <n v="-0.46100000000000002"/>
    <n v="0"/>
    <n v="0"/>
    <n v="28.88"/>
    <n v="244.79"/>
    <n v="0"/>
    <n v="0"/>
    <n v="0"/>
    <n v="0"/>
    <n v="0"/>
    <n v="0"/>
    <n v="0"/>
    <n v="0"/>
    <n v="0"/>
    <n v="0"/>
    <n v="0"/>
    <n v="0"/>
    <n v="0"/>
    <n v="0"/>
    <n v="0"/>
    <n v="273.67"/>
    <n v="273.67"/>
    <n v="0"/>
    <n v="0"/>
    <n v="-3.6709999999999923"/>
    <s v="0.345-0.37"/>
    <s v="1320-1323"/>
    <m/>
    <m/>
    <m/>
    <m/>
    <m/>
    <m/>
    <s v="T"/>
    <s v="CRFH_IPP"/>
    <s v="C09-TR10-0.36-1320"/>
    <s v="367-HG02-2.25-1250"/>
    <n v="367"/>
    <s v="T01576"/>
    <s v="HG02"/>
    <s v="C06A"/>
    <n v="2.25"/>
    <n v="1250"/>
    <n v="444494"/>
    <m/>
    <m/>
    <m/>
    <m/>
    <m/>
    <m/>
    <m/>
    <m/>
    <m/>
    <m/>
    <m/>
    <m/>
    <m/>
    <m/>
    <m/>
    <m/>
    <m/>
    <m/>
    <m/>
    <s v="Manaksia Coated Metals &amp; Industries"/>
  </r>
  <r>
    <n v="742"/>
    <d v="2025-08-26T00:00:00"/>
    <s v="ZBTO"/>
    <n v="9519050808"/>
    <n v="1"/>
    <s v="9519050808-1"/>
    <s v="Stocks"/>
    <s v="Released"/>
    <x v="1"/>
    <s v="CR02"/>
    <s v="ACRM CRCA CRS"/>
    <m/>
    <x v="0"/>
    <x v="4"/>
    <m/>
    <n v="1000"/>
    <s v="West"/>
    <s v="VILLAGE DADRA"/>
    <s v="NPUR"/>
    <n v="187157"/>
    <s v="T &amp; D GALIAKOT CONTAINERS PVT LTD"/>
    <n v="2170008"/>
    <s v="CRCA COIL TATXXD BT01 0.970X1220"/>
    <s v="C01"/>
    <s v="TATXXD"/>
    <s v="BT01"/>
    <n v="0.97"/>
    <n v="1220"/>
    <n v="0"/>
    <s v="T2 DONE"/>
    <s v=" "/>
    <s v=""/>
    <n v="6.87"/>
    <n v="11"/>
    <n v="83.99"/>
    <n v="72.22"/>
    <n v="11.77"/>
    <n v="11.77"/>
    <n v="25.21"/>
    <n v="0"/>
    <n v="0"/>
    <n v="0"/>
    <n v="0"/>
    <n v="0"/>
    <n v="0"/>
    <n v="0"/>
    <n v="0"/>
    <n v="0"/>
    <n v="0"/>
    <n v="0"/>
    <n v="0"/>
    <n v="0"/>
    <n v="0"/>
    <n v="25.21"/>
    <n v="0"/>
    <n v="0"/>
    <n v="0"/>
    <n v="25.21"/>
    <n v="25.21"/>
    <n v="0"/>
    <n v="0"/>
    <n v="-13.440000000000001"/>
    <s v="0.95-0.99"/>
    <s v="1220-1221"/>
    <m/>
    <m/>
    <m/>
    <m/>
    <m/>
    <m/>
    <s v="M"/>
    <s v="NA"/>
    <s v="C01-BT01-0.97-12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T &amp; D GALIAKOT CONTAINERS PVT LTD"/>
  </r>
  <r>
    <n v="743"/>
    <d v="2025-09-02T00:00:00"/>
    <s v="ZBTO"/>
    <n v="9519072913"/>
    <n v="2"/>
    <s v="9519072913-2"/>
    <s v="Sep'25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R. S. BOKARO METAL (P) LTD."/>
  </r>
  <r>
    <n v="742"/>
    <d v="2025-09-12T00:00:00"/>
    <s v="ZBTO"/>
    <n v="9519097690"/>
    <n v="2"/>
    <s v="9519097690-2"/>
    <s v="No Priority"/>
    <s v="Released"/>
    <x v="0"/>
    <e v="#N/A"/>
    <e v="#N/A"/>
    <m/>
    <x v="0"/>
    <x v="0"/>
    <m/>
    <n v="2000"/>
    <s v="South"/>
    <s v="YESHWANTHPURA"/>
    <s v="BANG"/>
    <n v="939268"/>
    <s v="TATA STEEL DOWNSTREAM PRODUCTS LIMI"/>
    <n v="1801804"/>
    <s v="CRCA COIL-TATXXD-AU03-1X1250"/>
    <s v="C01"/>
    <s v="TATXXD"/>
    <s v="AU03"/>
    <n v="1"/>
    <n v="1250"/>
    <n v="0"/>
    <s v="T2 DONE"/>
    <s v=" "/>
    <s v=""/>
    <n v="10"/>
    <n v="28"/>
    <n v="144.99"/>
    <n v="138.43"/>
    <n v="6.56"/>
    <n v="6.56"/>
    <n v="0"/>
    <n v="0"/>
    <n v="0"/>
    <n v="0"/>
    <n v="0"/>
    <n v="0"/>
    <n v="0"/>
    <n v="0"/>
    <n v="0"/>
    <n v="0"/>
    <n v="0"/>
    <n v="0"/>
    <n v="0"/>
    <n v="0"/>
    <n v="0"/>
    <n v="0"/>
    <n v="23.78"/>
    <n v="0"/>
    <n v="0"/>
    <n v="23.78"/>
    <n v="0"/>
    <n v="23.78"/>
    <n v="0"/>
    <n v="6.56"/>
    <s v="0.95-1"/>
    <s v="1250-1262"/>
    <m/>
    <m/>
    <m/>
    <m/>
    <m/>
    <m/>
    <s v="U"/>
    <s v="CRCA_STLM"/>
    <s v="C01-AU03-1-1250"/>
    <s v="367-SH08-2.8-1250"/>
    <n v="367"/>
    <s v="T01320"/>
    <s v="SH08"/>
    <s v="C16D"/>
    <n v="2.8"/>
    <n v="1250"/>
    <n v="1154953"/>
    <m/>
    <m/>
    <m/>
    <m/>
    <m/>
    <m/>
    <m/>
    <m/>
    <m/>
    <m/>
    <m/>
    <m/>
    <m/>
    <m/>
    <m/>
    <m/>
    <m/>
    <m/>
    <m/>
    <s v="TATA STEEL DOWNSTREAM PRODUCTS LIMI"/>
  </r>
  <r>
    <n v="743"/>
    <d v="2025-09-15T00:00:00"/>
    <s v="ZBTO"/>
    <n v="9519105231"/>
    <n v="1"/>
    <s v="9519105231-1"/>
    <s v="Oct'25"/>
    <s v="Released"/>
    <x v="1"/>
    <s v="GP03"/>
    <s v="ACRM GP#3 NARROW"/>
    <m/>
    <x v="2"/>
    <x v="6"/>
    <m/>
    <n v="2000"/>
    <s v="North"/>
    <s v="VARANASI"/>
    <s v="KANP"/>
    <n v="931525"/>
    <s v="INDIA STEEL INDUSTRIES"/>
    <n v="1191955"/>
    <s v="GP COIL SOFT-TATXGP-GK09-0.3X900"/>
    <s v="C02"/>
    <s v="TATXGP"/>
    <s v="GK09"/>
    <n v="0.3"/>
    <n v="900"/>
    <n v="0"/>
    <s v="T2 DONE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26-0.34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INDIA STEEL INDUSTRIES"/>
  </r>
  <r>
    <n v="743"/>
    <d v="2025-09-16T00:00:00"/>
    <s v="ZBTO"/>
    <n v="9519107755"/>
    <n v="1"/>
    <s v="9519107755-1"/>
    <s v="No Priority"/>
    <s v="Released"/>
    <x v="0"/>
    <s v="GP03"/>
    <s v="ACRM GP#3 NARROW"/>
    <m/>
    <x v="2"/>
    <x v="6"/>
    <m/>
    <n v="2000"/>
    <s v="North"/>
    <s v="UTTARKASHI"/>
    <s v="JPUR"/>
    <n v="150962"/>
    <s v="BIHANI INTERNATIONAL PVT LTD."/>
    <n v="1851065"/>
    <s v="GP COIL SOFT-TATXGP-GK09-0.25X900"/>
    <s v="C02"/>
    <s v="TATXGP"/>
    <s v="GK09"/>
    <n v="0.25"/>
    <n v="900"/>
    <n v="0"/>
    <s v="T2 DONE"/>
    <s v="Z80"/>
    <s v=""/>
    <n v="4"/>
    <n v="7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2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BIHANI INTERNATIONAL PVT LTD."/>
  </r>
  <r>
    <n v="743"/>
    <d v="2025-09-12T00:00:00"/>
    <s v="ZBTO"/>
    <n v="9519098404"/>
    <n v="3"/>
    <s v="9519098404-3"/>
    <s v="Stocks"/>
    <s v="Released"/>
    <x v="1"/>
    <s v="GP02"/>
    <s v="ACRM GP#3 WIDER SOFT"/>
    <m/>
    <x v="2"/>
    <x v="13"/>
    <m/>
    <n v="2000"/>
    <s v="West"/>
    <s v="JAIPUR"/>
    <s v="JPUR"/>
    <n v="117583"/>
    <s v="BIHANI ENTERPRISES"/>
    <n v="1854399"/>
    <s v="GP COIL SOFT-TATXGP-GK09-0.35X1220"/>
    <s v="C02"/>
    <s v="TATXGP"/>
    <s v="GK09"/>
    <n v="0.35"/>
    <n v="1220"/>
    <n v="0"/>
    <s v="T2 DONE"/>
    <s v="Z80"/>
    <s v=""/>
    <n v="5"/>
    <n v="7"/>
    <n v="56"/>
    <n v="53.02"/>
    <n v="2.98"/>
    <n v="2.98"/>
    <n v="6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8"/>
    <s v="0.32-0.35"/>
    <s v="1220-1222"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BIHANI ENTERPRISES"/>
  </r>
  <r>
    <n v="743"/>
    <d v="2025-08-21T00:00:00"/>
    <s v="ZBTF"/>
    <n v="9519036337"/>
    <n v="1"/>
    <s v="9519036337-1"/>
    <s v="No Priority"/>
    <s v="Released"/>
    <x v="0"/>
    <s v="GP01"/>
    <s v="ACRM GP#3 WIDER HARD"/>
    <m/>
    <x v="2"/>
    <x v="10"/>
    <m/>
    <n v="2000"/>
    <s v="East"/>
    <s v="GAMHARIA"/>
    <s v="COMD"/>
    <n v="650743"/>
    <s v="ANGUL GALVANIZING PLANT"/>
    <n v="3767015"/>
    <s v="GP COIL TATGPH GP02 0.600X1350"/>
    <s v="C05"/>
    <s v="TATGPH"/>
    <s v="GP02"/>
    <n v="0.6"/>
    <n v="1350"/>
    <n v="0"/>
    <s v="T2 DONE"/>
    <s v="Z120"/>
    <s v=""/>
    <n v="11"/>
    <n v="24"/>
    <n v="247.999"/>
    <n v="235.99"/>
    <n v="12.009"/>
    <n v="12.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09"/>
    <s v="0.58-0.6"/>
    <s v="1350-1352"/>
    <m/>
    <m/>
    <m/>
    <m/>
    <m/>
    <m/>
    <s v="U"/>
    <s v="GP03_SHKT"/>
    <s v="C05-GP02-0.6-1350"/>
    <s v="367-SF93-2.5-1365"/>
    <n v="367"/>
    <s v="S02149"/>
    <s v="SF93"/>
    <s v="C07A"/>
    <n v="2.5"/>
    <n v="1365"/>
    <n v="1700901"/>
    <m/>
    <m/>
    <m/>
    <m/>
    <m/>
    <m/>
    <m/>
    <m/>
    <m/>
    <m/>
    <m/>
    <m/>
    <m/>
    <m/>
    <m/>
    <m/>
    <m/>
    <m/>
    <m/>
    <s v="ANGUL GALVANIZING PLANT"/>
  </r>
  <r>
    <n v="743"/>
    <d v="2025-08-21T00:00:00"/>
    <s v="ZBTO"/>
    <n v="9519035790"/>
    <n v="6"/>
    <s v="9519035790-6"/>
    <s v="No Priority"/>
    <s v="Released"/>
    <x v="0"/>
    <s v="GP03"/>
    <s v="ACRM GP#3 NARROW"/>
    <m/>
    <x v="2"/>
    <x v="6"/>
    <m/>
    <n v="2000"/>
    <s v="East"/>
    <s v="Jharkhand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19.02500000000001"/>
    <n v="6.9749999999999996"/>
    <n v="6.9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749999999999996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R. S. BOKARO METAL (P) LTD."/>
  </r>
  <r>
    <n v="743"/>
    <d v="2025-08-21T00:00:00"/>
    <s v="ZBTO"/>
    <n v="9519035790"/>
    <n v="3"/>
    <s v="9519035790-3"/>
    <s v="No Priority"/>
    <s v="Released"/>
    <x v="0"/>
    <s v="GP03"/>
    <s v="ACRM GP#3 NARROW"/>
    <m/>
    <x v="2"/>
    <x v="6"/>
    <m/>
    <n v="2000"/>
    <s v="East"/>
    <s v="Jharkhand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4"/>
    <n v="12"/>
    <n v="168"/>
    <n v="155.97"/>
    <n v="12.03"/>
    <n v="12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3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R. S. BOKARO METAL (P) LTD."/>
  </r>
  <r>
    <n v="743"/>
    <d v="2025-08-27T00:00:00"/>
    <s v="ZBTO"/>
    <n v="9519054625"/>
    <n v="4"/>
    <s v="9519054625-4"/>
    <s v="Oct'25"/>
    <s v="Released"/>
    <x v="1"/>
    <s v="GP03"/>
    <s v="ACRM GP#3 NARROW"/>
    <m/>
    <x v="2"/>
    <x v="6"/>
    <m/>
    <n v="2000"/>
    <s v="East"/>
    <s v="GUWAHATI"/>
    <s v="GWAH"/>
    <n v="116649"/>
    <s v="SAGAR STEELS"/>
    <n v="1142414"/>
    <s v="GP COIL SOFT-TATXGP-GLK1-0.45X900"/>
    <s v="C02"/>
    <s v="TATXGP"/>
    <s v="GLK1"/>
    <n v="0.4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3-0.45"/>
    <s v="900-920"/>
    <m/>
    <m/>
    <m/>
    <m/>
    <m/>
    <m/>
    <s v="R"/>
    <s v="GP03_KOSH"/>
    <s v="C02-GLK1-0.4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AGAR STEELS"/>
  </r>
  <r>
    <n v="742"/>
    <d v="2025-08-18T00:00:00"/>
    <s v="ZBTO"/>
    <n v="9519025430"/>
    <n v="7"/>
    <s v="9519025430-7"/>
    <s v="No Priority"/>
    <s v="Released"/>
    <x v="0"/>
    <s v="CR01"/>
    <s v="ACRM CRCA CTL"/>
    <m/>
    <x v="0"/>
    <x v="5"/>
    <m/>
    <n v="2000"/>
    <s v="South"/>
    <s v="SALEM"/>
    <s v="MADS"/>
    <n v="116465"/>
    <s v="SRI BALAJI STEEL TRADERS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  <s v="CRCA_SUPR"/>
    <s v="C06-SR16-0.4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5430"/>
    <n v="8"/>
    <s v="9519025430-8"/>
    <s v="Oct'25"/>
    <s v="Released"/>
    <x v="1"/>
    <s v="CR01"/>
    <s v="ACRM CRCA CTL"/>
    <m/>
    <x v="0"/>
    <x v="5"/>
    <m/>
    <n v="2000"/>
    <s v="South"/>
    <s v="SALEM"/>
    <s v="MADS"/>
    <n v="116465"/>
    <s v="SRI BALAJI STEEL TRADERS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U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SRI BALAJI STEEL TRADERS"/>
  </r>
  <r>
    <n v="742"/>
    <d v="2025-09-10T00:00:00"/>
    <s v="ZBTO"/>
    <n v="9519093436"/>
    <n v="1"/>
    <s v="9519093436-1"/>
    <s v="Oct'25"/>
    <s v="Released"/>
    <x v="1"/>
    <s v="CR03"/>
    <s v="ACRM CRCA SPM"/>
    <m/>
    <x v="0"/>
    <x v="5"/>
    <m/>
    <n v="2000"/>
    <s v="East"/>
    <s v="GUWAHATI"/>
    <s v="GWAH"/>
    <n v="116649"/>
    <s v="SAGAR STEELS"/>
    <n v="3727343"/>
    <s v="CR COIL TSBCRC SR25 0.430X1250"/>
    <s v="C01"/>
    <s v="TSBCRC"/>
    <s v="SR25"/>
    <n v="0.43"/>
    <n v="125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  <s v="NA"/>
    <s v="C01-SR25-0.43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SAGAR STEELS"/>
  </r>
  <r>
    <n v="742"/>
    <d v="2025-07-03T00:00:00"/>
    <s v="ZBTO"/>
    <n v="9518903517"/>
    <n v="6"/>
    <s v="9518903517-6"/>
    <s v="No Priority"/>
    <s v="Released"/>
    <x v="0"/>
    <e v="#N/A"/>
    <e v="#N/A"/>
    <m/>
    <x v="0"/>
    <x v="2"/>
    <m/>
    <n v="2000"/>
    <s v="South"/>
    <s v="YESHWANTHPURA"/>
    <s v="BANG"/>
    <n v="939268"/>
    <s v="TATA STEEL DOWNSTREAM PRODUCTS LIMI"/>
    <n v="27608"/>
    <s v=" CRCOIL C01 DQ TATXXD AU14 0.80 X 1250"/>
    <s v="C01"/>
    <s v="TATXXD"/>
    <s v="AU14"/>
    <n v="0.8"/>
    <n v="1250"/>
    <n v="0"/>
    <s v="T2 DONE"/>
    <s v=" "/>
    <s v=""/>
    <n v="7"/>
    <n v="29"/>
    <n v="87"/>
    <n v="86.27"/>
    <n v="0.73"/>
    <n v="0.03"/>
    <n v="0"/>
    <n v="0"/>
    <n v="0"/>
    <n v="0"/>
    <n v="0"/>
    <n v="0"/>
    <n v="0"/>
    <n v="0"/>
    <n v="0"/>
    <n v="0"/>
    <n v="0"/>
    <n v="0"/>
    <n v="0.70000000000000007"/>
    <n v="0"/>
    <n v="0"/>
    <n v="0"/>
    <n v="0"/>
    <n v="0"/>
    <n v="0"/>
    <n v="0.70000000000000007"/>
    <n v="0"/>
    <n v="0.70000000000000007"/>
    <n v="0"/>
    <n v="0.73"/>
    <s v="0.76-0.8"/>
    <s v="1250-1262"/>
    <m/>
    <m/>
    <m/>
    <m/>
    <m/>
    <m/>
    <s v="U"/>
    <s v="NA"/>
    <s v="C01-AU14-0.8-1250"/>
    <s v="367-SH67-2.8-1250"/>
    <n v="367"/>
    <s v="TSH067"/>
    <s v="SH67"/>
    <s v="C14A"/>
    <n v="2.8"/>
    <n v="1250"/>
    <n v="3921722"/>
    <m/>
    <m/>
    <m/>
    <m/>
    <m/>
    <m/>
    <m/>
    <m/>
    <m/>
    <m/>
    <m/>
    <m/>
    <m/>
    <m/>
    <m/>
    <m/>
    <m/>
    <m/>
    <m/>
    <s v="TATA STEEL DOWNSTREAM PRODUCTS LIMI"/>
  </r>
  <r>
    <n v="742"/>
    <d v="2025-08-19T00:00:00"/>
    <s v="ZBTO"/>
    <n v="9519029782"/>
    <n v="7"/>
    <s v="9519029782-7"/>
    <s v="Oct'25"/>
    <s v="Released"/>
    <x v="1"/>
    <s v="CR01"/>
    <s v="ACRM CRCA CTL"/>
    <m/>
    <x v="0"/>
    <x v="5"/>
    <m/>
    <n v="2000"/>
    <s v="East"/>
    <s v="PATNA"/>
    <s v="PATN"/>
    <n v="103227"/>
    <s v="BMW VENTURES LIMITED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0"/>
    <n v="29"/>
    <n v="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m/>
    <m/>
    <m/>
    <m/>
    <m/>
    <m/>
    <s v="T"/>
    <s v="CRCA_SUPR"/>
    <s v="C06-SR16-0.45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BMW VENTURES LIMITED"/>
  </r>
  <r>
    <n v="742"/>
    <d v="2025-08-04T00:00:00"/>
    <s v="ZBTO"/>
    <n v="9518992530"/>
    <n v="1"/>
    <s v="9518992530-1"/>
    <s v="Sep'25"/>
    <s v="Released"/>
    <x v="1"/>
    <s v="CR02"/>
    <s v="ACRM CRCA CRS"/>
    <m/>
    <x v="0"/>
    <x v="0"/>
    <m/>
    <n v="2000"/>
    <s v="South"/>
    <s v="SANGAREDDY"/>
    <s v="SBAD"/>
    <n v="947126"/>
    <s v="RAVINDRA IRON WORKS"/>
    <n v="1801562"/>
    <s v="CRCA COIL-TATXXD-AU03-0.8X1000"/>
    <s v="C01"/>
    <s v="TATXXD"/>
    <s v="AU03"/>
    <n v="0.8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000-1004"/>
    <m/>
    <m/>
    <m/>
    <m/>
    <m/>
    <m/>
    <s v="C"/>
    <s v="CRCA_STLM"/>
    <s v="C01-AU03-0.8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RAVINDRA IRON WORKS"/>
  </r>
  <r>
    <n v="742"/>
    <d v="2025-08-04T00:00:00"/>
    <s v="ZBTO"/>
    <n v="9518992530"/>
    <n v="3"/>
    <s v="9518992530-3"/>
    <s v="Sep'25"/>
    <s v="Released"/>
    <x v="1"/>
    <s v="CR02"/>
    <s v="ACRM CRCA CRS"/>
    <m/>
    <x v="0"/>
    <x v="0"/>
    <m/>
    <n v="2000"/>
    <s v="South"/>
    <s v="SANGAREDDY"/>
    <s v="SBAD"/>
    <n v="947126"/>
    <s v="RAVINDRA IRON WORKS"/>
    <n v="1804852"/>
    <s v="CRCA COIL-TATXXD-AU03-1.2X1000"/>
    <s v="C01"/>
    <s v="TATXXD"/>
    <s v="AU03"/>
    <n v="1.2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1.17-1.2"/>
    <s v="1000-1004"/>
    <m/>
    <m/>
    <m/>
    <m/>
    <m/>
    <m/>
    <s v="C"/>
    <s v="CRCA_STLM"/>
    <s v="C01-AU03-1.2-1000"/>
    <s v="B69-SH08-3.2-1025"/>
    <s v="B69"/>
    <s v="T01320"/>
    <s v="SH08"/>
    <s v="C16D"/>
    <n v="3.2"/>
    <n v="1025"/>
    <n v="3917268"/>
    <m/>
    <m/>
    <m/>
    <m/>
    <m/>
    <m/>
    <m/>
    <m/>
    <m/>
    <m/>
    <m/>
    <m/>
    <m/>
    <m/>
    <m/>
    <m/>
    <m/>
    <m/>
    <m/>
    <s v="RAVINDRA IRON WORKS"/>
  </r>
  <r>
    <n v="743"/>
    <d v="2025-08-20T00:00:00"/>
    <s v="ZBTO"/>
    <n v="9519032510"/>
    <n v="6"/>
    <s v="9519032510-6"/>
    <s v="No Priority"/>
    <s v="Released"/>
    <x v="0"/>
    <s v="GP03"/>
    <s v="ACRM GP#3 NARROW"/>
    <m/>
    <x v="2"/>
    <x v="6"/>
    <m/>
    <n v="2000"/>
    <s v="East"/>
    <s v="PATNA"/>
    <s v="PATN"/>
    <n v="103227"/>
    <s v="BMW VENTURES LIMITED"/>
    <n v="1854424"/>
    <s v="GP COIL SOFT-TATXGP-GK09-0.6X900"/>
    <s v="C02"/>
    <s v="TATXGP"/>
    <s v="GK09"/>
    <n v="0.6"/>
    <n v="900"/>
    <n v="0"/>
    <s v="T2 DONE"/>
    <s v="Z80"/>
    <s v=""/>
    <n v="2"/>
    <n v="6"/>
    <n v="105"/>
    <n v="95.405000000000001"/>
    <n v="9.5950000000000006"/>
    <n v="9.595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50000000000006"/>
    <s v="0.58-0.61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BMW VENTURES LIMITED"/>
  </r>
  <r>
    <n v="743"/>
    <d v="2025-09-01T00:00:00"/>
    <s v="ZBTF"/>
    <n v="9519071537"/>
    <n v="3"/>
    <s v="9519071537-3"/>
    <s v="No Priority"/>
    <s v="Released"/>
    <x v="0"/>
    <s v="GP03"/>
    <s v="ACRM GP#3 NARROW"/>
    <m/>
    <x v="2"/>
    <x v="11"/>
    <m/>
    <n v="2000"/>
    <s v="East"/>
    <s v="GAMHARIA"/>
    <s v="COMD"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m/>
    <m/>
    <m/>
    <m/>
    <m/>
    <m/>
    <m/>
    <m/>
    <m/>
    <m/>
    <m/>
    <m/>
    <m/>
    <m/>
    <s v="ANGUL GALVANIZING PLANT"/>
  </r>
  <r>
    <n v="743"/>
    <d v="2025-09-01T00:00:00"/>
    <s v="ZBTF"/>
    <n v="9519071537"/>
    <n v="4"/>
    <s v="9519071537-4"/>
    <s v="No Priority"/>
    <s v="Released"/>
    <x v="0"/>
    <s v="GP01"/>
    <s v="ACRM GP#3 WIDER HARD"/>
    <m/>
    <x v="2"/>
    <x v="10"/>
    <m/>
    <n v="2000"/>
    <s v="East"/>
    <s v="GAMHARIA"/>
    <s v="COMD"/>
    <n v="650743"/>
    <s v="ANGUL GALVANIZING PLANT"/>
    <n v="3767015"/>
    <s v="GP COIL TATGPH GP02 0.600X1350"/>
    <s v="C05"/>
    <s v="TATGPH"/>
    <s v="GP02"/>
    <n v="0.6"/>
    <n v="1350"/>
    <n v="0"/>
    <s v="T2 DONE"/>
    <s v="Z120"/>
    <s v=""/>
    <n v="11"/>
    <n v="24"/>
    <n v="92.998999999999995"/>
    <n v="90.99"/>
    <n v="2.0089999999999999"/>
    <n v="2.00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89999999999999"/>
    <s v="0.58-0.6"/>
    <s v="1350-1352"/>
    <m/>
    <m/>
    <m/>
    <m/>
    <m/>
    <m/>
    <s v="U"/>
    <s v="GP03_SHKT"/>
    <s v="C05-GP02-0.6-1350"/>
    <s v="367-SF93-2.5-1365"/>
    <n v="367"/>
    <s v="S02149"/>
    <s v="SF93"/>
    <s v="C07A"/>
    <n v="2.5"/>
    <n v="1365"/>
    <n v="1700901"/>
    <m/>
    <m/>
    <m/>
    <m/>
    <m/>
    <m/>
    <m/>
    <m/>
    <m/>
    <m/>
    <m/>
    <m/>
    <m/>
    <m/>
    <m/>
    <m/>
    <m/>
    <m/>
    <m/>
    <s v="ANGUL GALVANIZING PLANT"/>
  </r>
  <r>
    <n v="743"/>
    <d v="2025-09-15T00:00:00"/>
    <s v="ZBTO"/>
    <n v="9519105662"/>
    <n v="2"/>
    <s v="9519105662-2"/>
    <s v="Oct'25"/>
    <s v="Released"/>
    <x v="1"/>
    <s v="GP03"/>
    <s v="ACRM GP#3 NARROW"/>
    <m/>
    <x v="2"/>
    <x v="6"/>
    <m/>
    <n v="2000"/>
    <s v="East"/>
    <s v="PATNA"/>
    <s v="PATN"/>
    <n v="103227"/>
    <s v="BMW VENTURES LIMITED"/>
    <n v="1191955"/>
    <s v="GP COIL SOFT-TATXGP-GK09-0.3X900"/>
    <s v="C02"/>
    <s v="TATXGP"/>
    <s v="GK09"/>
    <n v="0.3"/>
    <n v="900"/>
    <n v="0"/>
    <s v="T2 DONE"/>
    <s v="Z80"/>
    <s v=""/>
    <n v="2"/>
    <n v="6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s v="0.28-0.31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3"/>
    <s v="9519105662-3"/>
    <s v="Oct'25"/>
    <s v="Released"/>
    <x v="1"/>
    <s v="GP03"/>
    <s v="ACRM GP#3 NARROW"/>
    <m/>
    <x v="2"/>
    <x v="6"/>
    <m/>
    <n v="2000"/>
    <s v="East"/>
    <s v="PATNA"/>
    <s v="PATN"/>
    <n v="103227"/>
    <s v="BMW VENTURES LIMITED"/>
    <n v="1191956"/>
    <s v="GP COIL SOFT-TATXGP-GK09-0.35X900"/>
    <s v="C02"/>
    <s v="TATXGP"/>
    <s v="GK09"/>
    <n v="0.35"/>
    <n v="900"/>
    <n v="0"/>
    <s v="T2 DONE"/>
    <s v="Z80"/>
    <s v=""/>
    <n v="2"/>
    <n v="6"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s v="0.325-0.36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4"/>
    <s v="9519105662-4"/>
    <s v="Oct'25"/>
    <s v="Released"/>
    <x v="1"/>
    <s v="GP03"/>
    <s v="ACRM GP#3 NARROW"/>
    <m/>
    <x v="2"/>
    <x v="6"/>
    <m/>
    <n v="2000"/>
    <s v="East"/>
    <s v="PATNA"/>
    <s v="PATN"/>
    <n v="103227"/>
    <s v="BMW VENTURES LIMITED"/>
    <n v="1178439"/>
    <s v="GP COIL SOFT-TATXGP-GK09-0.4X900"/>
    <s v="C02"/>
    <s v="TATXGP"/>
    <s v="GK09"/>
    <n v="0.4"/>
    <n v="900"/>
    <n v="0"/>
    <s v="T2 DONE"/>
    <s v="Z80"/>
    <s v=""/>
    <n v="2"/>
    <n v="6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s v="0.38-0.41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5"/>
    <s v="9519105662-5"/>
    <s v="Oct'25"/>
    <s v="Released"/>
    <x v="1"/>
    <s v="GP03"/>
    <s v="ACRM GP#3 NARROW"/>
    <m/>
    <x v="2"/>
    <x v="6"/>
    <m/>
    <n v="2000"/>
    <s v="East"/>
    <s v="PATNA"/>
    <s v="PATN"/>
    <n v="103227"/>
    <s v="BMW VENTURES LIMITED"/>
    <n v="1854418"/>
    <s v="GP COIL SOFT-TATXGP-GK09-0.5X900"/>
    <s v="C02"/>
    <s v="TATXGP"/>
    <s v="GK09"/>
    <n v="0.5"/>
    <n v="900"/>
    <n v="0"/>
    <s v="T2 DONE"/>
    <s v="Z80"/>
    <s v=""/>
    <n v="2"/>
    <n v="6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s v="0.48-0.51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6"/>
    <s v="9519105662-6"/>
    <s v="Oct'25"/>
    <s v="Released"/>
    <x v="1"/>
    <s v="GP03"/>
    <s v="ACRM GP#3 NARROW"/>
    <m/>
    <x v="2"/>
    <x v="6"/>
    <m/>
    <n v="2000"/>
    <s v="East"/>
    <s v="PATNA"/>
    <s v="PATN"/>
    <n v="103227"/>
    <s v="BMW VENTURES LIMITED"/>
    <n v="1854424"/>
    <s v="GP COIL SOFT-TATXGP-GK09-0.6X900"/>
    <s v="C02"/>
    <s v="TATXGP"/>
    <s v="GK09"/>
    <n v="0.6"/>
    <n v="900"/>
    <n v="0"/>
    <s v="T2 DONE"/>
    <s v="Z80"/>
    <s v=""/>
    <n v="2"/>
    <n v="6"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s v="0.58-0.61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9"/>
    <s v="9519105662-9"/>
    <s v="No Priority"/>
    <s v="Released"/>
    <x v="0"/>
    <s v="GP02"/>
    <s v="ACRM GP#3 WIDER SOFT"/>
    <m/>
    <x v="2"/>
    <x v="13"/>
    <m/>
    <n v="2000"/>
    <s v="East"/>
    <s v="PATNA"/>
    <s v="PATN"/>
    <n v="103227"/>
    <s v="BMW VENTURES LIMITED"/>
    <n v="1854410"/>
    <s v="GP COIL SOFT-TATXGP-GK09-0.4X1220"/>
    <s v="C02"/>
    <s v="TATXGP"/>
    <s v="GK09"/>
    <n v="0.4"/>
    <n v="1220"/>
    <n v="0"/>
    <s v="T2 DONE"/>
    <s v="Z80"/>
    <s v=""/>
    <n v="2"/>
    <n v="6"/>
    <n v="56"/>
    <n v="53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8-0.41"/>
    <s v="1220-1224"/>
    <m/>
    <m/>
    <m/>
    <m/>
    <m/>
    <m/>
    <s v="S"/>
    <s v="GP03_KOSH"/>
    <s v="C02-GK09-0.4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11"/>
    <s v="9519105662-11"/>
    <s v="Stocks"/>
    <s v="Released"/>
    <x v="1"/>
    <s v="GP02"/>
    <s v="ACRM GP#3 WIDER SOFT"/>
    <m/>
    <x v="2"/>
    <x v="13"/>
    <m/>
    <n v="2000"/>
    <s v="East"/>
    <s v="PATNA"/>
    <s v="PATN"/>
    <n v="103227"/>
    <s v="BMW VENTURES LIMITED"/>
    <n v="1334725"/>
    <s v="GP COIL SOFT-TATXGP-GK09-0.6X1220"/>
    <s v="C02"/>
    <s v="TATXGP"/>
    <s v="GK09"/>
    <n v="0.6"/>
    <n v="1220"/>
    <n v="0"/>
    <s v="T2 DONE"/>
    <s v="Z80"/>
    <s v=""/>
    <n v="2"/>
    <n v="6"/>
    <n v="84"/>
    <n v="82.85"/>
    <n v="0"/>
    <n v="0"/>
    <n v="3.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1220-1224"/>
    <m/>
    <m/>
    <m/>
    <m/>
    <m/>
    <m/>
    <s v="S"/>
    <s v="GP03_KOSH"/>
    <s v="C02-GK09-0.6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s v="BMW VENTURES LIMITED"/>
  </r>
  <r>
    <n v="743"/>
    <d v="2025-09-15T00:00:00"/>
    <s v="ZBTO"/>
    <n v="9519105662"/>
    <n v="7"/>
    <s v="9519105662-7"/>
    <s v="Oct'25"/>
    <s v="Released"/>
    <x v="1"/>
    <s v="GP03"/>
    <s v="ACRM GP#3 NARROW"/>
    <m/>
    <x v="2"/>
    <x v="6"/>
    <m/>
    <n v="2000"/>
    <s v="East"/>
    <s v="PATNA"/>
    <s v="PATN"/>
    <n v="103227"/>
    <s v="BMW VENTURES LIMITED"/>
    <n v="1854429"/>
    <s v="GP COIL SOFT-TATXGP-GK09-0.63X900"/>
    <s v="C02"/>
    <s v="TATXGP"/>
    <s v="GK09"/>
    <n v="0.63"/>
    <n v="900"/>
    <n v="0"/>
    <s v="T2 DONE"/>
    <s v="Z80"/>
    <s v=""/>
    <n v="2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6-0.64"/>
    <s v="900-904"/>
    <m/>
    <m/>
    <m/>
    <m/>
    <m/>
    <m/>
    <s v="S"/>
    <s v="GP03_KOSH"/>
    <s v="C02-GK09-0.63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BMW VENTURES LIMITED"/>
  </r>
  <r>
    <n v="742"/>
    <d v="2025-09-12T00:00:00"/>
    <s v="ZBTO"/>
    <n v="9519097662"/>
    <n v="3"/>
    <s v="9519097662-3"/>
    <s v="Oct'25"/>
    <s v="Released"/>
    <x v="1"/>
    <s v="CR03"/>
    <s v="ACRM CRCA SPM"/>
    <m/>
    <x v="0"/>
    <x v="0"/>
    <m/>
    <n v="2000"/>
    <s v="South"/>
    <s v="YESHWANTHPURA"/>
    <s v="BANG"/>
    <n v="932244"/>
    <s v="DURGA TRADERS"/>
    <n v="2334995"/>
    <s v="CRCA COIL TATXXD AU03 1.500X1250"/>
    <s v="C01"/>
    <s v="TATXXD"/>
    <s v="AU03"/>
    <n v="1.5"/>
    <n v="1250"/>
    <n v="0"/>
    <s v="T2 DONE"/>
    <s v=" "/>
    <s v=""/>
    <n v="10"/>
    <n v="28"/>
    <n v="87"/>
    <n v="64.930000000000007"/>
    <n v="22.07"/>
    <n v="-3.82"/>
    <n v="10.81"/>
    <n v="0"/>
    <n v="26.84"/>
    <n v="0"/>
    <n v="0"/>
    <n v="0"/>
    <n v="0"/>
    <n v="0"/>
    <n v="0"/>
    <n v="0"/>
    <n v="0"/>
    <n v="0"/>
    <n v="0"/>
    <n v="0"/>
    <n v="0"/>
    <n v="0"/>
    <n v="0"/>
    <n v="0"/>
    <n v="0"/>
    <n v="26.84"/>
    <n v="0"/>
    <n v="26.84"/>
    <n v="0"/>
    <n v="22.07"/>
    <s v="1.45-1.5"/>
    <s v="1250-1262"/>
    <m/>
    <m/>
    <m/>
    <m/>
    <m/>
    <m/>
    <s v="U"/>
    <s v="CRCA_STLM"/>
    <s v="C01-AU03-1.5-1250"/>
    <s v="367-SH08-4-1260"/>
    <n v="367"/>
    <s v="T01320"/>
    <s v="SH08"/>
    <s v="C16D"/>
    <n v="4"/>
    <n v="1260"/>
    <n v="2442357"/>
    <m/>
    <m/>
    <m/>
    <m/>
    <m/>
    <m/>
    <m/>
    <m/>
    <m/>
    <m/>
    <m/>
    <m/>
    <m/>
    <m/>
    <m/>
    <m/>
    <m/>
    <m/>
    <m/>
    <s v="DURGA TRADERS"/>
  </r>
  <r>
    <n v="742"/>
    <d v="2025-09-12T00:00:00"/>
    <s v="ZBTO"/>
    <n v="9519097690"/>
    <n v="1"/>
    <s v="9519097690-1"/>
    <s v="No Priority"/>
    <s v="Released"/>
    <x v="0"/>
    <e v="#N/A"/>
    <e v="#N/A"/>
    <m/>
    <x v="0"/>
    <x v="0"/>
    <m/>
    <n v="2000"/>
    <s v="South"/>
    <s v="YESHWANTHPURA"/>
    <s v="BANG"/>
    <n v="939268"/>
    <s v="TATA STEEL DOWNSTREAM PRODUCTS LIMI"/>
    <n v="1804814"/>
    <s v="CRCA COIL TATXXD AU03 0.8X1250"/>
    <s v="C01"/>
    <s v="TATXXD"/>
    <s v="AU03"/>
    <n v="0.8"/>
    <n v="1250"/>
    <n v="0"/>
    <s v="T2 DONE"/>
    <s v=" "/>
    <s v=""/>
    <n v="10"/>
    <n v="28"/>
    <n v="58"/>
    <n v="57.81"/>
    <n v="0.19"/>
    <n v="0.19"/>
    <n v="0"/>
    <n v="0"/>
    <n v="0"/>
    <n v="0"/>
    <n v="0"/>
    <n v="0"/>
    <n v="0"/>
    <n v="0"/>
    <n v="0"/>
    <n v="0"/>
    <n v="0"/>
    <n v="0"/>
    <n v="26.740000000000002"/>
    <n v="0"/>
    <n v="0"/>
    <n v="0"/>
    <n v="0"/>
    <n v="0"/>
    <n v="0"/>
    <n v="26.740000000000002"/>
    <n v="26.740000000000002"/>
    <n v="0"/>
    <n v="0"/>
    <n v="-26.55"/>
    <s v="0.76-0.8"/>
    <s v="1250-126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m/>
    <m/>
    <m/>
    <m/>
    <m/>
    <m/>
    <m/>
    <m/>
    <m/>
    <m/>
    <m/>
    <m/>
    <m/>
    <m/>
    <s v="TATA STEEL DOWNSTREAM PRODUCTS LIMI"/>
  </r>
  <r>
    <n v="742"/>
    <d v="2025-09-12T00:00:00"/>
    <s v="ZBTO"/>
    <n v="9519097690"/>
    <n v="3"/>
    <s v="9519097690-3"/>
    <s v="No Priority"/>
    <s v="Released"/>
    <x v="0"/>
    <e v="#N/A"/>
    <e v="#N/A"/>
    <m/>
    <x v="0"/>
    <x v="0"/>
    <m/>
    <n v="2000"/>
    <s v="South"/>
    <s v="YESHWANTHPURA"/>
    <s v="BANG"/>
    <n v="939268"/>
    <s v="TATA STEEL DOWNSTREAM PRODUCTS LIMI"/>
    <n v="2334995"/>
    <s v="CRCA COIL TATXXD AU03 1.500X1250"/>
    <s v="C01"/>
    <s v="TATXXD"/>
    <s v="AU03"/>
    <n v="1.5"/>
    <n v="1250"/>
    <n v="0"/>
    <s v="T2 DONE"/>
    <s v=" "/>
    <s v=""/>
    <n v="10"/>
    <n v="28"/>
    <n v="87"/>
    <n v="86.484999999999999"/>
    <n v="0.51500000000000001"/>
    <n v="-22.765000000000001"/>
    <n v="0"/>
    <n v="0"/>
    <n v="0"/>
    <n v="0"/>
    <n v="0"/>
    <n v="0"/>
    <n v="0"/>
    <n v="0"/>
    <n v="0"/>
    <n v="0"/>
    <n v="0"/>
    <n v="0"/>
    <n v="23.28"/>
    <n v="0"/>
    <n v="0"/>
    <n v="0"/>
    <n v="0"/>
    <n v="0"/>
    <n v="0"/>
    <n v="23.28"/>
    <n v="23.28"/>
    <n v="0"/>
    <n v="0"/>
    <n v="-22.765000000000001"/>
    <s v="1.45-1.5"/>
    <s v="1250-1262"/>
    <m/>
    <m/>
    <m/>
    <m/>
    <m/>
    <m/>
    <s v="U"/>
    <s v="CRCA_STLM"/>
    <s v="C01-AU03-1.5-1250"/>
    <s v="367-SH08-4-1260"/>
    <n v="367"/>
    <s v="T01320"/>
    <s v="SH08"/>
    <s v="C16D"/>
    <n v="4"/>
    <n v="1260"/>
    <n v="2442357"/>
    <m/>
    <m/>
    <m/>
    <m/>
    <m/>
    <m/>
    <m/>
    <m/>
    <m/>
    <m/>
    <m/>
    <m/>
    <m/>
    <m/>
    <m/>
    <m/>
    <m/>
    <m/>
    <m/>
    <s v="TATA STEEL DOWNSTREAM PRODUCTS LIMI"/>
  </r>
  <r>
    <n v="743"/>
    <d v="2025-09-15T00:00:00"/>
    <s v="ZBTO"/>
    <n v="9519105231"/>
    <n v="3"/>
    <s v="9519105231-3"/>
    <s v="Oct'25"/>
    <s v="Released"/>
    <x v="1"/>
    <s v="GP03"/>
    <s v="ACRM GP#3 NARROW"/>
    <m/>
    <x v="2"/>
    <x v="6"/>
    <m/>
    <n v="2000"/>
    <s v="North"/>
    <s v="VARANASI"/>
    <s v="KANP"/>
    <n v="931525"/>
    <s v="INDIA STEEL INDUSTRIES"/>
    <n v="1178439"/>
    <s v="GP COIL SOFT-TATXGP-GK09-0.4X900"/>
    <s v="C02"/>
    <s v="TATXGP"/>
    <s v="GK09"/>
    <n v="0.4"/>
    <n v="900"/>
    <n v="0"/>
    <s v="T2 DONE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6-0.44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INDIA STEEL INDUSTRIES"/>
  </r>
  <r>
    <n v="743"/>
    <d v="2025-09-15T00:00:00"/>
    <s v="ZBTO"/>
    <n v="9519105231"/>
    <n v="5"/>
    <s v="9519105231-5"/>
    <s v="Oct'25"/>
    <s v="Released"/>
    <x v="1"/>
    <s v="GP03"/>
    <s v="ACRM GP#3 NARROW"/>
    <m/>
    <x v="2"/>
    <x v="6"/>
    <m/>
    <n v="2000"/>
    <s v="North"/>
    <s v="VARANASI"/>
    <s v="KANP"/>
    <n v="931525"/>
    <s v="INDIA STEEL INDUSTRIES"/>
    <n v="1854424"/>
    <s v="GP COIL SOFT-TATXGP-GK09-0.6X900"/>
    <s v="C02"/>
    <s v="TATXGP"/>
    <s v="GK09"/>
    <n v="0.6"/>
    <n v="900"/>
    <n v="0"/>
    <s v="T2 DONE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6-0.64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INDIA STEEL INDUSTRIES"/>
  </r>
  <r>
    <n v="742"/>
    <d v="2025-08-19T00:00:00"/>
    <s v="ZBTO"/>
    <n v="9519029800"/>
    <n v="7"/>
    <s v="9519029800-7"/>
    <s v="Oct'25"/>
    <s v="Released"/>
    <x v="1"/>
    <s v="CR01"/>
    <s v="ACRM CRCA CTL"/>
    <m/>
    <x v="0"/>
    <x v="5"/>
    <m/>
    <n v="2000"/>
    <s v="East"/>
    <s v="PURNIA"/>
    <s v="PATN"/>
    <n v="103227"/>
    <s v="BMW VENTURES LIMITED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0"/>
    <n v="29"/>
    <n v="1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m/>
    <m/>
    <m/>
    <m/>
    <m/>
    <m/>
    <s v="T"/>
    <s v="CRCA_SUPR"/>
    <s v="C06-SR16-0.45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BMW VENTURES LIMITED"/>
  </r>
  <r>
    <n v="743"/>
    <d v="2025-07-19T00:00:00"/>
    <s v="ZBTO"/>
    <n v="9518941653"/>
    <n v="1"/>
    <s v="9518941653-1"/>
    <s v="No Priority"/>
    <s v="Released"/>
    <x v="0"/>
    <s v="GP02"/>
    <s v="ACRM GP#3 WIDER SOFT"/>
    <m/>
    <x v="2"/>
    <x v="13"/>
    <m/>
    <n v="2000"/>
    <s v="East"/>
    <s v="GUWAHATI"/>
    <s v="GWAH"/>
    <n v="116649"/>
    <s v="SAGAR STEELS"/>
    <n v="1300230"/>
    <s v="GP COIL SOFT-TATXGP-GLK1-0.3X1220"/>
    <s v="C02"/>
    <s v="TATXGP"/>
    <s v="GLK1"/>
    <n v="0.3"/>
    <n v="1220"/>
    <n v="0"/>
    <s v="T2 DONE"/>
    <s v="Z80"/>
    <s v=""/>
    <n v="6"/>
    <n v="24"/>
    <n v="112"/>
    <n v="101.80500000000001"/>
    <n v="11.195"/>
    <n v="11.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95"/>
    <s v="0.27-0.3"/>
    <s v="1220-1242"/>
    <m/>
    <m/>
    <m/>
    <m/>
    <m/>
    <m/>
    <s v="R"/>
    <s v="GP03_KOSH"/>
    <s v="C02-GLK1-0.3-1220"/>
    <s v="367-HG02-2-1235"/>
    <n v="367"/>
    <s v="T01576"/>
    <s v="HG02"/>
    <s v="C06A"/>
    <n v="2"/>
    <n v="1235"/>
    <n v="414088"/>
    <m/>
    <m/>
    <m/>
    <m/>
    <m/>
    <m/>
    <m/>
    <m/>
    <m/>
    <m/>
    <m/>
    <m/>
    <m/>
    <m/>
    <m/>
    <m/>
    <m/>
    <m/>
    <m/>
    <s v="SAGAR STEELS"/>
  </r>
  <r>
    <n v="743"/>
    <d v="2025-08-22T00:00:00"/>
    <s v="ZBTO"/>
    <n v="9519038273"/>
    <n v="4"/>
    <s v="9519038273-4"/>
    <s v="Stocks"/>
    <s v="Released"/>
    <x v="1"/>
    <s v="GP01"/>
    <s v="ACRM GP#3 WIDER HARD"/>
    <m/>
    <x v="2"/>
    <x v="10"/>
    <m/>
    <n v="2000"/>
    <s v="East"/>
    <s v="PURNIA"/>
    <s v="PATN"/>
    <n v="931671"/>
    <s v="BMW VENTURES LIMITED"/>
    <n v="3708868"/>
    <s v="GP COIL TATGPH GP02 0.500X1350"/>
    <s v="C05"/>
    <s v="TATGPH"/>
    <s v="GP02"/>
    <n v="0.5"/>
    <n v="1350"/>
    <n v="0"/>
    <s v="T2 DONE"/>
    <s v="Z120"/>
    <s v=""/>
    <n v="1"/>
    <n v="5.59"/>
    <n v="93"/>
    <n v="89.905000000000001"/>
    <n v="3.0950000000000002"/>
    <n v="3.0950000000000002"/>
    <n v="6.994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950000000000002"/>
    <s v="0.49-0.52"/>
    <s v="1350-1370"/>
    <m/>
    <m/>
    <m/>
    <m/>
    <m/>
    <m/>
    <s v="M"/>
    <s v="GP03_SHKT"/>
    <s v="C05-GP02-0.5-1350"/>
    <s v="367-SF93-2.5-1365"/>
    <n v="367"/>
    <s v="S02149"/>
    <s v="SF93"/>
    <s v="C07A"/>
    <n v="2.5"/>
    <n v="1365"/>
    <n v="1700901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4"/>
    <s v="9519029782-4"/>
    <s v="No Priority"/>
    <s v="Released"/>
    <x v="0"/>
    <s v="CR01"/>
    <s v="ACRM CRCA CTL"/>
    <m/>
    <x v="0"/>
    <x v="5"/>
    <m/>
    <n v="2000"/>
    <s v="East"/>
    <s v="PATNA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  <s v="CRCA_SUPR"/>
    <s v="C06-SR16-0.38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6"/>
    <s v="9519029782-6"/>
    <s v="Oct'25"/>
    <s v="Released"/>
    <x v="1"/>
    <s v="CR01"/>
    <s v="ACRM CRCA CTL"/>
    <m/>
    <x v="0"/>
    <x v="5"/>
    <m/>
    <n v="2000"/>
    <s v="East"/>
    <s v="PATNA"/>
    <s v="PATN"/>
    <n v="103227"/>
    <s v="BMW VENTURES LIMITED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1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BMW VENTURES LIMITED"/>
  </r>
  <r>
    <n v="742"/>
    <d v="2025-08-06T00:00:00"/>
    <s v="ZBTF"/>
    <n v="9518998049"/>
    <n v="1"/>
    <s v="9518998049-1"/>
    <s v="Sep'25"/>
    <s v="Released"/>
    <x v="1"/>
    <s v="CR04"/>
    <s v="ACRM CRCA TLL"/>
    <m/>
    <x v="0"/>
    <x v="8"/>
    <m/>
    <n v="1000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146.72"/>
    <n v="150.28"/>
    <n v="73.03"/>
    <n v="36.865000000000002"/>
    <n v="0"/>
    <n v="0"/>
    <n v="0"/>
    <n v="0"/>
    <n v="0"/>
    <n v="0"/>
    <n v="25.7"/>
    <n v="0"/>
    <n v="0"/>
    <n v="0"/>
    <n v="0"/>
    <n v="103.64"/>
    <n v="0"/>
    <n v="0"/>
    <n v="0"/>
    <n v="0"/>
    <n v="0"/>
    <n v="24.525000000000002"/>
    <n v="153.86500000000001"/>
    <n v="50.225000000000001"/>
    <n v="103.64000000000001"/>
    <n v="0"/>
    <n v="100.05500000000001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s v="TATA CENTER"/>
  </r>
  <r>
    <n v="742"/>
    <d v="2025-08-06T00:00:00"/>
    <s v="ZBTF"/>
    <n v="9518998049"/>
    <n v="2"/>
    <s v="9518998049-2"/>
    <s v="Sep'25"/>
    <s v="Released"/>
    <x v="1"/>
    <s v="CR04"/>
    <s v="ACRM CRCA TLL"/>
    <m/>
    <x v="0"/>
    <x v="8"/>
    <m/>
    <n v="1000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69.67"/>
    <n v="27.33"/>
    <n v="27.33"/>
    <n v="135.245"/>
    <n v="0"/>
    <n v="0"/>
    <n v="0"/>
    <n v="0"/>
    <n v="0"/>
    <n v="0"/>
    <n v="104.62"/>
    <n v="0"/>
    <n v="0"/>
    <n v="0"/>
    <n v="0"/>
    <n v="26.29"/>
    <n v="0"/>
    <n v="0"/>
    <n v="50.705000000000005"/>
    <n v="1.1500000000000001"/>
    <n v="0"/>
    <n v="24.435000000000002"/>
    <n v="207.20000000000002"/>
    <n v="179.76000000000002"/>
    <n v="27.439999999999998"/>
    <n v="0"/>
    <n v="-152.43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s v="TATA CENTER"/>
  </r>
  <r>
    <n v="742"/>
    <d v="2025-08-06T00:00:00"/>
    <s v="ZBTF"/>
    <n v="9518998049"/>
    <n v="3"/>
    <s v="9518998049-3"/>
    <s v="Sep'25"/>
    <s v="Released"/>
    <x v="1"/>
    <s v="CR04"/>
    <s v="ACRM CRCA TLL"/>
    <n v="3500"/>
    <x v="0"/>
    <x v="8"/>
    <m/>
    <n v="1000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44.79499999999999"/>
    <n v="52.204999999999998"/>
    <n v="1.135"/>
    <n v="146.53"/>
    <n v="0"/>
    <n v="0"/>
    <n v="0"/>
    <n v="0"/>
    <n v="0"/>
    <n v="0"/>
    <n v="103.96000000000001"/>
    <n v="0"/>
    <n v="0"/>
    <n v="0"/>
    <n v="0"/>
    <n v="26.16"/>
    <n v="0"/>
    <n v="0"/>
    <n v="48.96"/>
    <n v="1.35"/>
    <n v="0"/>
    <n v="36.51"/>
    <n v="216.94"/>
    <n v="189.43"/>
    <n v="27.509999999999991"/>
    <n v="0"/>
    <n v="-137.22500000000002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s v="TATA CENTER"/>
  </r>
  <r>
    <n v="742"/>
    <d v="2025-08-06T00:00:00"/>
    <s v="ZBTF"/>
    <n v="9518998049"/>
    <n v="4"/>
    <s v="9518998049-4"/>
    <s v="Sep'25"/>
    <s v="Released"/>
    <x v="1"/>
    <s v="CR04"/>
    <s v="ACRM CRCA TLL"/>
    <m/>
    <x v="0"/>
    <x v="8"/>
    <m/>
    <n v="1000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08.45500000000001"/>
    <n v="88.545000000000002"/>
    <n v="24.114999999999998"/>
    <n v="135.09000000000003"/>
    <n v="0"/>
    <n v="0"/>
    <n v="0"/>
    <n v="0"/>
    <n v="0"/>
    <n v="0"/>
    <n v="0"/>
    <n v="0"/>
    <n v="0"/>
    <n v="0"/>
    <n v="0"/>
    <n v="183.68"/>
    <n v="0"/>
    <n v="0"/>
    <n v="51.870000000000005"/>
    <n v="0"/>
    <n v="0"/>
    <n v="12.120000000000001"/>
    <n v="247.67000000000002"/>
    <n v="63.990000000000009"/>
    <n v="183.68"/>
    <n v="0"/>
    <n v="24.554999999999993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s v="TATA CENTER"/>
  </r>
  <r>
    <n v="742"/>
    <d v="2025-08-29T00:00:00"/>
    <s v="ZBTO"/>
    <n v="9519062631"/>
    <n v="8"/>
    <s v="9519062631-8"/>
    <s v="No Priority"/>
    <s v="Released"/>
    <x v="0"/>
    <s v="CR01"/>
    <s v="ACRM CRCA CTL"/>
    <m/>
    <x v="0"/>
    <x v="5"/>
    <m/>
    <n v="2000"/>
    <s v="North"/>
    <s v="VARANASI"/>
    <s v="FBAD"/>
    <n v="931525"/>
    <s v="INDIA STEEL INDUSTRIES"/>
    <n v="3912457"/>
    <s v="CRCA SHEET TATCRC SR16 0.400X1250X2020"/>
    <s v="C06"/>
    <s v="TATCRC"/>
    <s v="SR16"/>
    <n v="0.4"/>
    <n v="1250"/>
    <n v="202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INDIA STEEL INDUSTRIES"/>
  </r>
  <r>
    <n v="743"/>
    <d v="2025-09-03T00:00:00"/>
    <s v="ZBTO"/>
    <n v="9519075232"/>
    <n v="1"/>
    <s v="9519075232-1"/>
    <s v="No Priority"/>
    <s v="Released"/>
    <x v="0"/>
    <s v="GL03"/>
    <s v="ACRM GP#2 NON TBSPL"/>
    <m/>
    <x v="4"/>
    <x v="12"/>
    <m/>
    <n v="1000"/>
    <s v="South"/>
    <s v="SIKANDRABAD"/>
    <s v="DELI"/>
    <n v="898099"/>
    <s v="GOODLUCK INDIA LIMITED"/>
    <n v="4112281"/>
    <s v="GL COIL HARD  Y550GL HGL7 0.800X1040"/>
    <s v="B04"/>
    <s v="Y550GL"/>
    <s v="HGL7"/>
    <n v="0.8"/>
    <n v="1040"/>
    <n v="0"/>
    <s v="T2 DONE"/>
    <s v="AZ200"/>
    <s v=""/>
    <n v="10"/>
    <n v="24"/>
    <n v="240"/>
    <n v="237.68"/>
    <n v="2.31"/>
    <n v="-7.2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350000000000001"/>
    <n v="9.5350000000000001"/>
    <n v="9.5350000000000001"/>
    <n v="0"/>
    <n v="0"/>
    <n v="-7.2249999999999996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m/>
    <m/>
    <m/>
    <m/>
    <m/>
    <m/>
    <m/>
    <m/>
    <m/>
    <m/>
    <m/>
    <m/>
    <m/>
    <m/>
    <s v="GOODLUCK INDIA LIMITED"/>
  </r>
  <r>
    <n v="743"/>
    <d v="2025-09-03T00:00:00"/>
    <s v="ZBTO"/>
    <n v="9519075102"/>
    <n v="1"/>
    <s v="9519075102-1"/>
    <s v="No Priority"/>
    <s v="Released"/>
    <x v="0"/>
    <s v="GL03"/>
    <s v="ACRM GP#2 NON TBSPL"/>
    <m/>
    <x v="4"/>
    <x v="12"/>
    <m/>
    <n v="1000"/>
    <s v="South"/>
    <s v="SIKANDRABAD"/>
    <s v="DELI"/>
    <n v="898099"/>
    <s v="GOODLUCK INDIA LIMITED"/>
    <n v="4112281"/>
    <s v="GL COIL HARD  Y550GL HGL7 0.800X1040"/>
    <s v="B04"/>
    <s v="Y550GL"/>
    <s v="HGL7"/>
    <n v="0.8"/>
    <n v="1040"/>
    <n v="0"/>
    <s v="T2 DONE"/>
    <s v="AZ200"/>
    <s v=""/>
    <n v="10"/>
    <n v="24"/>
    <n v="288"/>
    <n v="287.83499999999998"/>
    <n v="0.155"/>
    <n v="-31.594999999999999"/>
    <n v="0"/>
    <n v="0"/>
    <n v="0"/>
    <n v="0"/>
    <n v="0"/>
    <n v="22.7"/>
    <n v="0"/>
    <n v="0"/>
    <n v="0"/>
    <n v="0"/>
    <n v="0"/>
    <n v="0"/>
    <n v="0"/>
    <n v="0"/>
    <n v="0"/>
    <n v="0"/>
    <n v="0"/>
    <n v="0"/>
    <n v="9.0500000000000007"/>
    <n v="31.75"/>
    <n v="31.75"/>
    <n v="0"/>
    <n v="0"/>
    <n v="-31.594999999999999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m/>
    <m/>
    <m/>
    <m/>
    <m/>
    <m/>
    <m/>
    <m/>
    <m/>
    <m/>
    <m/>
    <m/>
    <m/>
    <m/>
    <s v="GOODLUCK INDIA LIMITED"/>
  </r>
  <r>
    <n v="743"/>
    <d v="2025-09-03T00:00:00"/>
    <s v="ZBTO"/>
    <n v="9519075191"/>
    <n v="1"/>
    <s v="9519075191-1"/>
    <s v="No Priority"/>
    <s v="Released"/>
    <x v="0"/>
    <s v="GL03"/>
    <s v="ACRM GP#2 NON TBSPL"/>
    <m/>
    <x v="4"/>
    <x v="12"/>
    <m/>
    <n v="1000"/>
    <s v="South"/>
    <s v="SIKANDRABAD"/>
    <s v="DELI"/>
    <n v="898099"/>
    <s v="GOODLUCK INDIA LIMITED"/>
    <n v="4112281"/>
    <s v="GL COIL HARD  Y550GL HGL7 0.800X1040"/>
    <s v="B04"/>
    <s v="Y550GL"/>
    <s v="HGL7"/>
    <n v="0.8"/>
    <n v="1040"/>
    <n v="0"/>
    <s v="T2 DONE"/>
    <s v="AZ200"/>
    <s v=""/>
    <n v="10"/>
    <n v="24"/>
    <n v="288"/>
    <n v="282.97500000000002"/>
    <n v="5.0149999999999997"/>
    <n v="-4.42"/>
    <n v="0"/>
    <n v="0"/>
    <n v="0"/>
    <n v="0"/>
    <n v="0"/>
    <n v="0"/>
    <n v="0"/>
    <n v="0"/>
    <n v="0"/>
    <n v="0"/>
    <n v="0"/>
    <n v="0"/>
    <n v="0"/>
    <n v="0"/>
    <n v="0"/>
    <n v="0"/>
    <n v="0"/>
    <n v="22.78"/>
    <n v="9.4350000000000005"/>
    <n v="32.215000000000003"/>
    <n v="32.215000000000003"/>
    <n v="0"/>
    <n v="0"/>
    <n v="-27.200000000000003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m/>
    <m/>
    <m/>
    <m/>
    <m/>
    <m/>
    <m/>
    <m/>
    <m/>
    <m/>
    <m/>
    <m/>
    <m/>
    <m/>
    <s v="GOODLUCK INDIA LIMITED"/>
  </r>
  <r>
    <n v="743"/>
    <d v="2025-09-03T00:00:00"/>
    <s v="ZBTO"/>
    <n v="9519075227"/>
    <n v="1"/>
    <s v="9519075227-1"/>
    <s v="No Priority"/>
    <s v="Released"/>
    <x v="0"/>
    <s v="GL03"/>
    <s v="ACRM GP#2 NON TBSPL"/>
    <m/>
    <x v="4"/>
    <x v="12"/>
    <m/>
    <n v="1000"/>
    <s v="South"/>
    <s v="SIKANDRABAD"/>
    <s v="DELI"/>
    <n v="898099"/>
    <s v="GOODLUCK INDIA LIMITED"/>
    <n v="4112281"/>
    <s v="GL COIL HARD  Y550GL HGL7 0.800X1040"/>
    <s v="B04"/>
    <s v="Y550GL"/>
    <s v="HGL7"/>
    <n v="0.8"/>
    <n v="1040"/>
    <n v="0"/>
    <s v="T2 DONE"/>
    <s v="AZ200"/>
    <s v=""/>
    <n v="10"/>
    <n v="24"/>
    <n v="288"/>
    <n v="282.815"/>
    <n v="5.1749999999999998"/>
    <n v="-5.98"/>
    <n v="0"/>
    <n v="0"/>
    <n v="0"/>
    <n v="0"/>
    <n v="0"/>
    <n v="0"/>
    <n v="0"/>
    <n v="0"/>
    <n v="0"/>
    <n v="0"/>
    <n v="0"/>
    <n v="0"/>
    <n v="0"/>
    <n v="0"/>
    <n v="0"/>
    <n v="0"/>
    <n v="0"/>
    <n v="12.455"/>
    <n v="11.155000000000001"/>
    <n v="23.61"/>
    <n v="23.61"/>
    <n v="0"/>
    <n v="0"/>
    <n v="-18.434999999999999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m/>
    <m/>
    <m/>
    <m/>
    <m/>
    <m/>
    <m/>
    <m/>
    <m/>
    <m/>
    <m/>
    <m/>
    <m/>
    <m/>
    <s v="GOODLUCK INDIA LIMITED"/>
  </r>
  <r>
    <n v="742"/>
    <d v="2025-08-29T00:00:00"/>
    <s v="ZBTO"/>
    <n v="9519062631"/>
    <n v="5"/>
    <s v="9519062631-5"/>
    <s v="No Priority"/>
    <s v="Released"/>
    <x v="0"/>
    <s v="CR01"/>
    <s v="ACRM CRCA CTL"/>
    <m/>
    <x v="0"/>
    <x v="5"/>
    <m/>
    <n v="2000"/>
    <s v="North"/>
    <s v="VARANASI"/>
    <s v="FBAD"/>
    <n v="931525"/>
    <s v="INDIA STEEL INDUSTRIES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INDIA STEEL INDUSTRIES"/>
  </r>
  <r>
    <n v="743"/>
    <d v="2025-09-12T00:00:00"/>
    <s v="ZBTO"/>
    <n v="9519099563"/>
    <n v="15"/>
    <s v="9519099563-15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0"/>
    <n v="126"/>
    <n v="126"/>
    <n v="0"/>
    <n v="32.57"/>
    <n v="0"/>
    <n v="0"/>
    <n v="0"/>
    <n v="0"/>
    <n v="0"/>
    <n v="0"/>
    <n v="0"/>
    <n v="0"/>
    <n v="0"/>
    <n v="0"/>
    <n v="0"/>
    <n v="0"/>
    <n v="0"/>
    <n v="0"/>
    <n v="0"/>
    <n v="0"/>
    <n v="0"/>
    <n v="32.57"/>
    <n v="0"/>
    <n v="32.57"/>
    <n v="0"/>
    <n v="126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hree Bajrang Steel Udyog"/>
  </r>
  <r>
    <n v="743"/>
    <d v="2025-09-15T00:00:00"/>
    <s v="ZBTO"/>
    <n v="9519105231"/>
    <n v="4"/>
    <s v="9519105231-4"/>
    <s v="Oct'25"/>
    <s v="Released"/>
    <x v="1"/>
    <s v="GP03"/>
    <s v="ACRM GP#3 NARROW"/>
    <m/>
    <x v="2"/>
    <x v="6"/>
    <m/>
    <n v="2000"/>
    <s v="North"/>
    <s v="VARANASI"/>
    <s v="KANP"/>
    <n v="931525"/>
    <s v="INDIA STEEL INDUSTRIES"/>
    <n v="1854418"/>
    <s v="GP COIL SOFT-TATXGP-GK09-0.5X900"/>
    <s v="C02"/>
    <s v="TATXGP"/>
    <s v="GK09"/>
    <n v="0.5"/>
    <n v="900"/>
    <n v="0"/>
    <s v="T2 DONE"/>
    <s v="Z80"/>
    <s v=""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s v="0.46-0.54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INDIA STEEL INDUSTRIES"/>
  </r>
  <r>
    <n v="742"/>
    <d v="2025-08-19T00:00:00"/>
    <s v="ZBTO"/>
    <n v="9519029782"/>
    <n v="3"/>
    <s v="9519029782-3"/>
    <s v="Oct'25"/>
    <s v="Released"/>
    <x v="1"/>
    <s v="CR01"/>
    <s v="ACRM CRCA CTL"/>
    <m/>
    <x v="0"/>
    <x v="5"/>
    <m/>
    <n v="2000"/>
    <s v="East"/>
    <s v="PATNA"/>
    <s v="PATN"/>
    <n v="103227"/>
    <s v="BMW VENTURES LIMITED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5"/>
    <s v="9519029782-5"/>
    <s v="Oct'25"/>
    <s v="Released"/>
    <x v="1"/>
    <s v="CR01"/>
    <s v="ACRM CRCA CTL"/>
    <m/>
    <x v="0"/>
    <x v="5"/>
    <m/>
    <n v="2000"/>
    <s v="East"/>
    <s v="PATNA"/>
    <s v="PATN"/>
    <n v="103227"/>
    <s v="BMW VENTURES LIMITED"/>
    <n v="2441002"/>
    <s v="CRCA SHEET TATCRC SR16 0.380X1250X2500"/>
    <s v="C06"/>
    <s v="TATCRC"/>
    <s v="SR16"/>
    <n v="0.38"/>
    <n v="1250"/>
    <n v="2500"/>
    <s v="T2 DONE"/>
    <s v=" "/>
    <s v=""/>
    <n v="0"/>
    <n v="0"/>
    <n v="29"/>
    <n v="0"/>
    <n v="29"/>
    <n v="1.93"/>
    <n v="0"/>
    <n v="0"/>
    <n v="0"/>
    <n v="0"/>
    <n v="0"/>
    <n v="0"/>
    <n v="0"/>
    <n v="0"/>
    <n v="0"/>
    <n v="27.705000000000002"/>
    <n v="0"/>
    <n v="0"/>
    <n v="0"/>
    <n v="0"/>
    <n v="0"/>
    <n v="0"/>
    <n v="0"/>
    <n v="0"/>
    <n v="0"/>
    <n v="27.705000000000002"/>
    <n v="0"/>
    <n v="27.705000000000002"/>
    <n v="0"/>
    <n v="29"/>
    <s v="0.35-0.38"/>
    <s v="1250-1252"/>
    <m/>
    <m/>
    <m/>
    <m/>
    <m/>
    <m/>
    <s v="T"/>
    <s v="CRCA_SUPR"/>
    <s v="C06-SR16-0.38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800"/>
    <n v="3"/>
    <s v="9519029800-3"/>
    <s v="Oct'25"/>
    <s v="Released"/>
    <x v="1"/>
    <s v="CR01"/>
    <s v="ACRM CRCA CTL"/>
    <m/>
    <x v="0"/>
    <x v="5"/>
    <m/>
    <n v="2000"/>
    <s v="East"/>
    <s v="PURNIA"/>
    <s v="PATN"/>
    <n v="103227"/>
    <s v="BMW VENTURES LIMITED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800"/>
    <n v="5"/>
    <s v="9519029800-5"/>
    <s v="Oct'25"/>
    <s v="Released"/>
    <x v="1"/>
    <s v="CR01"/>
    <s v="ACRM CRCA CTL"/>
    <m/>
    <x v="0"/>
    <x v="5"/>
    <m/>
    <n v="2000"/>
    <s v="East"/>
    <s v="PURNIA"/>
    <s v="PATN"/>
    <n v="103227"/>
    <s v="BMW VENTURES LIMITED"/>
    <n v="2441002"/>
    <s v="CRCA SHEET TATCRC SR16 0.380X1250X2500"/>
    <s v="C06"/>
    <s v="TATCRC"/>
    <s v="SR16"/>
    <n v="0.38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5-0.38"/>
    <s v="1250-1252"/>
    <m/>
    <m/>
    <m/>
    <m/>
    <m/>
    <m/>
    <s v="T"/>
    <s v="CRCA_SUPR"/>
    <s v="C06-SR16-0.38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s v="BMW VENTURES LIMITED"/>
  </r>
  <r>
    <n v="742"/>
    <d v="2025-08-12T00:00:00"/>
    <s v="ZBTO"/>
    <n v="9519011585"/>
    <n v="1"/>
    <s v="9519011585-1"/>
    <s v="Oct'25"/>
    <s v="Released"/>
    <x v="1"/>
    <s v="CR02"/>
    <s v="ACRM CRCA CRS"/>
    <m/>
    <x v="0"/>
    <x v="0"/>
    <m/>
    <n v="2000"/>
    <s v="West"/>
    <s v="LONI"/>
    <s v="GBAD"/>
    <n v="116734"/>
    <s v="R.S. STEELS "/>
    <n v="1804772"/>
    <s v="CRCA COIL TATXXD AU03 0.4X1250"/>
    <s v="C01"/>
    <s v="TATXXD"/>
    <s v="AU03"/>
    <n v="0.4"/>
    <n v="1250"/>
    <n v="0"/>
    <s v="T2 DONE"/>
    <s v=" "/>
    <s v=""/>
    <n v="8"/>
    <n v="15"/>
    <n v="58"/>
    <n v="0"/>
    <n v="58"/>
    <n v="2.47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6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R.S. STEELS "/>
  </r>
  <r>
    <n v="742"/>
    <d v="2025-08-27T00:00:00"/>
    <s v="ZBTO"/>
    <n v="9519054316"/>
    <n v="2"/>
    <s v="9519054316-2"/>
    <s v="No Priority"/>
    <s v="Released"/>
    <x v="0"/>
    <s v="CR02"/>
    <s v="ACRM CRCA CRS"/>
    <m/>
    <x v="0"/>
    <x v="2"/>
    <m/>
    <n v="2000"/>
    <s v="East"/>
    <s v="TATANAGAR"/>
    <s v="JAMS"/>
    <n v="165053"/>
    <s v="SUDISA ENTERPRISES (P) LTD."/>
    <n v="3755738"/>
    <s v="CR COIL TSBHSQ CH03 1.200X1250"/>
    <s v="C01"/>
    <s v="TSBHSQ"/>
    <s v="CH03"/>
    <n v="1.2"/>
    <n v="1250"/>
    <n v="0"/>
    <s v="T2 DONE"/>
    <s v=" "/>
    <s v=""/>
    <n v="12"/>
    <n v="28"/>
    <n v="116"/>
    <n v="0"/>
    <n v="115.999"/>
    <n v="115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9"/>
    <s v="1.17-1.21"/>
    <s v="1250-1253"/>
    <m/>
    <m/>
    <m/>
    <m/>
    <m/>
    <m/>
    <s v="T"/>
    <s v="NA"/>
    <s v="C01-CH03-1.2-1250"/>
    <s v="367-JC43-3.2-1250"/>
    <n v="367"/>
    <s v="JC0043"/>
    <s v="JC43"/>
    <s v="C39A"/>
    <n v="3.2"/>
    <n v="1250"/>
    <n v="3774101"/>
    <m/>
    <m/>
    <m/>
    <m/>
    <m/>
    <m/>
    <m/>
    <m/>
    <m/>
    <m/>
    <m/>
    <m/>
    <m/>
    <m/>
    <m/>
    <m/>
    <m/>
    <m/>
    <m/>
    <s v="SUDISA ENTERPRISES (P) LTD."/>
  </r>
  <r>
    <n v="742"/>
    <d v="2025-08-26T00:00:00"/>
    <s v="ZBTO"/>
    <n v="9519049758"/>
    <n v="2"/>
    <s v="9519049758-2"/>
    <s v="Oct'25"/>
    <s v="Released"/>
    <x v="1"/>
    <s v="CR02"/>
    <s v="ACRM CRCA CRS"/>
    <m/>
    <x v="0"/>
    <x v="0"/>
    <m/>
    <n v="2000"/>
    <s v="South"/>
    <s v="GUMMIDIPOONDI"/>
    <s v="MADS"/>
    <n v="822271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0.48-0.52"/>
    <s v="1250-1254"/>
    <m/>
    <m/>
    <m/>
    <m/>
    <m/>
    <m/>
    <s v="C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TATA STEEL DOWNSTREAM PRODUCTS LIMI"/>
  </r>
  <r>
    <n v="742"/>
    <d v="2025-07-21T00:00:00"/>
    <s v="ZBTO"/>
    <n v="9518945221"/>
    <n v="2"/>
    <s v="9518945221-2"/>
    <s v="No Priority"/>
    <s v="Released"/>
    <x v="0"/>
    <e v="#N/A"/>
    <e v="#N/A"/>
    <m/>
    <x v="0"/>
    <x v="0"/>
    <m/>
    <n v="2000"/>
    <s v="South"/>
    <s v="GUMMIDIPOONDI"/>
    <s v="MADS"/>
    <n v="822271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5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8-0.42"/>
    <s v="1250-1262"/>
    <m/>
    <m/>
    <m/>
    <m/>
    <m/>
    <m/>
    <s v="U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TATA STEEL DOWNSTREAM PRODUCTS LIMI"/>
  </r>
  <r>
    <n v="742"/>
    <d v="2025-09-02T00:00:00"/>
    <s v="ZBTO"/>
    <n v="9519073114"/>
    <n v="1"/>
    <s v="9519073114-1"/>
    <s v="No Priority"/>
    <s v="Released"/>
    <x v="0"/>
    <e v="#N/A"/>
    <e v="#N/A"/>
    <m/>
    <x v="1"/>
    <x v="2"/>
    <m/>
    <n v="2000"/>
    <s v="East"/>
    <s v="HOWRAH"/>
    <s v="CALS"/>
    <n v="154464"/>
    <s v="TATA STEEL DOWNSTREAM PRODUCTS LIMI"/>
    <n v="1179966"/>
    <s v="HR COILS-PO IS 10748 GR 1 2X1250"/>
    <n v="768"/>
    <s v="I09497"/>
    <s v="HG01"/>
    <n v="2"/>
    <n v="1250"/>
    <n v="0"/>
    <s v="T2 DONE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"/>
    <s v=""/>
    <m/>
    <m/>
    <m/>
    <m/>
    <m/>
    <m/>
    <s v="U"/>
    <s v="HRPO_BPRS"/>
    <s v="768-HG01-2-1250"/>
    <s v="367-HG01-2-1250"/>
    <n v="367"/>
    <s v="I09497"/>
    <s v="HG01"/>
    <s v="T01"/>
    <n v="2"/>
    <n v="1250"/>
    <n v="1108668"/>
    <m/>
    <m/>
    <m/>
    <m/>
    <m/>
    <m/>
    <m/>
    <m/>
    <m/>
    <m/>
    <m/>
    <m/>
    <m/>
    <m/>
    <m/>
    <m/>
    <m/>
    <m/>
    <m/>
    <s v="TATA STEEL DOWNSTREAM PRODUCTS LIMI"/>
  </r>
  <r>
    <n v="744"/>
    <d v="2025-07-26T00:00:00"/>
    <s v="ZBTO"/>
    <n v="9518962673"/>
    <n v="5"/>
    <s v="9518962673-5"/>
    <s v="Stocks"/>
    <s v="Released"/>
    <x v="1"/>
    <s v="GL02"/>
    <s v="ACRM GP#2 TBSPL PPGL"/>
    <m/>
    <x v="3"/>
    <x v="3"/>
    <m/>
    <n v="1000"/>
    <s v="TBSPL"/>
    <m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8"/>
    <n v="5.0999999999999996"/>
    <n v="251.99600000000001"/>
    <n v="247.62"/>
    <n v="4.3760000000000003"/>
    <n v="0.34599999999999997"/>
    <n v="9.129999999999999"/>
    <n v="0"/>
    <n v="0"/>
    <n v="0"/>
    <n v="0"/>
    <n v="0"/>
    <n v="0"/>
    <n v="0"/>
    <n v="4.03"/>
    <n v="0"/>
    <n v="0"/>
    <n v="0"/>
    <n v="0"/>
    <n v="0"/>
    <n v="0"/>
    <n v="0"/>
    <n v="0"/>
    <n v="0"/>
    <n v="0"/>
    <n v="4.03"/>
    <n v="0"/>
    <n v="4.03"/>
    <n v="0"/>
    <n v="4.3760000000000003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s v="TATA BLUESCOPE STEEL PRIVATE LIMITE"/>
  </r>
  <r>
    <n v="742"/>
    <d v="2025-08-19T00:00:00"/>
    <s v="ZBTO"/>
    <n v="9519029800"/>
    <n v="6"/>
    <s v="9519029800-6"/>
    <s v="Oct'25"/>
    <s v="Released"/>
    <x v="1"/>
    <s v="CR01"/>
    <s v="ACRM CRCA CTL"/>
    <m/>
    <x v="0"/>
    <x v="5"/>
    <m/>
    <n v="2000"/>
    <s v="East"/>
    <s v="PURNIA"/>
    <s v="PATN"/>
    <n v="103227"/>
    <s v="BMW VENTURES LIMITED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BMW VENTURES LIMITED"/>
  </r>
  <r>
    <n v="742"/>
    <d v="2025-08-21T00:00:00"/>
    <s v="ZBTO"/>
    <n v="9519036272"/>
    <n v="2"/>
    <s v="9519036272-2"/>
    <s v="Oct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2"/>
    <m/>
    <m/>
    <m/>
    <m/>
    <m/>
    <m/>
    <s v="R"/>
    <s v="CRCA_SUPR"/>
    <s v="C06-SR16-0.35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Shree Bajrang Steel Udyog"/>
  </r>
  <r>
    <n v="743"/>
    <d v="2025-07-29T00:00:00"/>
    <s v="ZBTO"/>
    <n v="9518972366"/>
    <n v="1"/>
    <s v="9518972366-1"/>
    <s v="No Priority"/>
    <s v="Released"/>
    <x v="0"/>
    <s v="GP03"/>
    <s v="ACRM GP#3 NARROW"/>
    <m/>
    <x v="2"/>
    <x v="6"/>
    <m/>
    <n v="2000"/>
    <s v="West"/>
    <s v="LONI"/>
    <s v="GBAD"/>
    <n v="931235"/>
    <s v="K D J P STEELS PVT LTD"/>
    <n v="1851054"/>
    <s v="GP COIL SOFT-TATXGP-GK09-0.2X900"/>
    <s v="C02"/>
    <s v="TATXGP"/>
    <s v="GK09"/>
    <n v="0.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7-0.2"/>
    <s v="900-903"/>
    <m/>
    <m/>
    <m/>
    <m/>
    <m/>
    <m/>
    <s v="R"/>
    <s v="GP03_KOSH"/>
    <s v="C02-GK09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K D J P STEELS PVT LTD"/>
  </r>
  <r>
    <n v="743"/>
    <d v="2025-07-29T00:00:00"/>
    <s v="ZBTO"/>
    <n v="9518972366"/>
    <n v="2"/>
    <s v="9518972366-2"/>
    <s v="No Priority"/>
    <s v="Released"/>
    <x v="0"/>
    <s v="GP03"/>
    <s v="ACRM GP#3 NARROW"/>
    <m/>
    <x v="2"/>
    <x v="6"/>
    <m/>
    <n v="2000"/>
    <s v="West"/>
    <s v="LONI"/>
    <s v="GBAD"/>
    <n v="931235"/>
    <s v="K D J P STEELS PVT LTD"/>
    <n v="1851065"/>
    <s v="GP COIL SOFT-TATXGP-GK09-0.25X900"/>
    <s v="C02"/>
    <s v="TATXGP"/>
    <s v="GK09"/>
    <n v="0.2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3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K D J P STEELS PVT LTD"/>
  </r>
  <r>
    <n v="743"/>
    <d v="2025-07-29T00:00:00"/>
    <s v="ZBTO"/>
    <n v="9518972366"/>
    <n v="3"/>
    <s v="9518972366-3"/>
    <s v="No Priority"/>
    <s v="Released"/>
    <x v="0"/>
    <s v="GP03"/>
    <s v="ACRM GP#3 NARROW"/>
    <m/>
    <x v="2"/>
    <x v="6"/>
    <m/>
    <n v="2000"/>
    <s v="West"/>
    <s v="LONI"/>
    <s v="GBAD"/>
    <n v="931235"/>
    <s v="K D J P STEELS PVT LTD"/>
    <n v="1191955"/>
    <s v="GP COIL SOFT-TATXGP-GK09-0.3X900"/>
    <s v="C02"/>
    <s v="TATXGP"/>
    <s v="GK09"/>
    <n v="0.3"/>
    <n v="900"/>
    <n v="0"/>
    <s v="T2 DONE"/>
    <s v="Z80"/>
    <s v=""/>
    <n v="4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27-0.3"/>
    <s v="900-903"/>
    <m/>
    <m/>
    <m/>
    <m/>
    <m/>
    <m/>
    <s v="R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K D J P STEELS PVT LTD"/>
  </r>
  <r>
    <n v="742"/>
    <d v="2025-08-19T00:00:00"/>
    <s v="ZBTO"/>
    <n v="9519029800"/>
    <n v="4"/>
    <s v="9519029800-4"/>
    <s v="No Priority"/>
    <s v="Released"/>
    <x v="0"/>
    <s v="CR01"/>
    <s v="ACRM CRCA CTL"/>
    <m/>
    <x v="0"/>
    <x v="5"/>
    <m/>
    <n v="2000"/>
    <s v="East"/>
    <s v="PURNIA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  <s v="CRCA_SUPR"/>
    <s v="C06-SR16-0.38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BMW VENTURES LIMITED"/>
  </r>
  <r>
    <n v="742"/>
    <d v="2025-07-29T00:00:00"/>
    <s v="ZBTO"/>
    <n v="9518972719"/>
    <n v="12"/>
    <s v="9518972719-12"/>
    <s v="No Priority"/>
    <s v="Released"/>
    <x v="0"/>
    <s v="CR01"/>
    <s v="ACRM CRCA CTL"/>
    <m/>
    <x v="0"/>
    <x v="0"/>
    <m/>
    <n v="2000"/>
    <s v="South"/>
    <s v="VALPARAI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98-2.02"/>
    <s v="1250-1254"/>
    <m/>
    <m/>
    <m/>
    <m/>
    <m/>
    <m/>
    <s v="U"/>
    <s v="CRCA_STLM"/>
    <s v="C06-AU03-2-1250"/>
    <s v="367-SH08-4.5-1260"/>
    <n v="367"/>
    <s v="T01320"/>
    <s v="SH08"/>
    <s v="C16D"/>
    <n v="4.5"/>
    <n v="1260"/>
    <n v="3655817"/>
    <m/>
    <m/>
    <m/>
    <m/>
    <m/>
    <m/>
    <m/>
    <m/>
    <m/>
    <m/>
    <m/>
    <m/>
    <m/>
    <m/>
    <m/>
    <m/>
    <m/>
    <m/>
    <m/>
    <s v="SRI BALAJI STEEL TRADERS"/>
  </r>
  <r>
    <n v="742"/>
    <d v="2025-07-18T00:00:00"/>
    <s v="ZBTO"/>
    <n v="9518939680"/>
    <n v="33"/>
    <s v="9518939680-33"/>
    <s v="Oct'25"/>
    <s v="Released"/>
    <x v="1"/>
    <s v="CR02"/>
    <s v="ACRM CRCA CRS"/>
    <m/>
    <x v="0"/>
    <x v="0"/>
    <m/>
    <n v="2000"/>
    <s v="South"/>
    <s v="CHENNAI"/>
    <s v="MADS"/>
    <n v="938550"/>
    <s v="BASEER AND CO"/>
    <n v="1804917"/>
    <s v="CRCA COIL TATCRC TR15 0.6X1250"/>
    <s v="C01"/>
    <s v="TATCRC"/>
    <s v="TR15"/>
    <n v="0.6"/>
    <n v="1250"/>
    <n v="0"/>
    <s v="T2 DONE"/>
    <s v=" "/>
    <s v=""/>
    <n v="6"/>
    <n v="18"/>
    <n v="87"/>
    <n v="0"/>
    <n v="87"/>
    <n v="31.56"/>
    <n v="0"/>
    <n v="0"/>
    <n v="0"/>
    <n v="0"/>
    <n v="0"/>
    <n v="0"/>
    <n v="0"/>
    <n v="0"/>
    <n v="0"/>
    <n v="0"/>
    <n v="55.44"/>
    <n v="0"/>
    <n v="0"/>
    <n v="0"/>
    <n v="0"/>
    <n v="0"/>
    <n v="0"/>
    <n v="0"/>
    <n v="0"/>
    <n v="55.44"/>
    <n v="0"/>
    <n v="55.44"/>
    <n v="0"/>
    <n v="87"/>
    <s v="0.58-0.62"/>
    <s v="1250-1254"/>
    <m/>
    <m/>
    <m/>
    <m/>
    <m/>
    <m/>
    <s v="R"/>
    <s v="CRCA_STLM"/>
    <s v="C01-TR15-0.6-1250"/>
    <s v="367-SF98-2.5-1250"/>
    <n v="367"/>
    <s v="S02150"/>
    <s v="SF98"/>
    <s v="C29A"/>
    <n v="2.5"/>
    <n v="1250"/>
    <e v="#N/A"/>
    <m/>
    <m/>
    <m/>
    <m/>
    <m/>
    <m/>
    <m/>
    <m/>
    <m/>
    <m/>
    <m/>
    <m/>
    <m/>
    <m/>
    <m/>
    <m/>
    <m/>
    <m/>
    <m/>
    <s v="BASEER AND CO"/>
  </r>
  <r>
    <n v="742"/>
    <d v="2025-08-05T00:00:00"/>
    <s v="ZBTO"/>
    <n v="9518995071"/>
    <n v="4"/>
    <s v="9518995071-4"/>
    <s v="Stocks"/>
    <s v="Released"/>
    <x v="1"/>
    <e v="#N/A"/>
    <e v="#N/A"/>
    <m/>
    <x v="0"/>
    <x v="0"/>
    <m/>
    <n v="2000"/>
    <s v="North"/>
    <s v="KANPUR"/>
    <s v="FBAD"/>
    <n v="933952"/>
    <s v="AGARWAL STEEL TRADERS"/>
    <n v="1804854"/>
    <s v="CRCA COIL-TATXXD-AU03-1.2X1250"/>
    <s v="C01"/>
    <s v="TATXXD"/>
    <s v="AU03"/>
    <n v="1.2"/>
    <n v="1250"/>
    <n v="0"/>
    <s v="T2 DONE"/>
    <s v=" "/>
    <s v=""/>
    <n v="7"/>
    <n v="28"/>
    <n v="29"/>
    <n v="23.9"/>
    <n v="5.0999999999999996"/>
    <n v="-18.98"/>
    <n v="23.9"/>
    <n v="0"/>
    <n v="0"/>
    <n v="0"/>
    <n v="0"/>
    <n v="0"/>
    <n v="0"/>
    <n v="0"/>
    <n v="0"/>
    <n v="24.09"/>
    <n v="0"/>
    <n v="0"/>
    <n v="0"/>
    <n v="0"/>
    <n v="0"/>
    <n v="0"/>
    <n v="0"/>
    <n v="0"/>
    <n v="0"/>
    <n v="24.09"/>
    <n v="0"/>
    <n v="24.09"/>
    <n v="0"/>
    <n v="5.0999999999999996"/>
    <s v="1.16-1.24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m/>
    <m/>
    <m/>
    <m/>
    <m/>
    <m/>
    <m/>
    <m/>
    <m/>
    <m/>
    <m/>
    <m/>
    <m/>
    <m/>
    <s v="AGARWAL STEEL TRADERS"/>
  </r>
  <r>
    <n v="743"/>
    <d v="2025-08-22T00:00:00"/>
    <s v="ZBTO"/>
    <n v="9519038643"/>
    <n v="2"/>
    <s v="9519038643-2"/>
    <s v="Oct'25"/>
    <s v="Released"/>
    <x v="1"/>
    <s v="GP03"/>
    <s v="ACRM GP#3 NARROW"/>
    <m/>
    <x v="2"/>
    <x v="6"/>
    <m/>
    <n v="2000"/>
    <s v="East"/>
    <s v="WEST BENGAL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BUBNA COMMERCIAL COMPANY"/>
  </r>
  <r>
    <n v="742"/>
    <d v="2025-08-18T00:00:00"/>
    <s v="ZBTF"/>
    <n v="9519023959"/>
    <n v="1"/>
    <s v="9519023959-1"/>
    <s v="Oct'25"/>
    <s v="Released"/>
    <x v="1"/>
    <s v="CR02"/>
    <s v="ACRM CRCA CRS"/>
    <m/>
    <x v="0"/>
    <x v="8"/>
    <m/>
    <n v="1000"/>
    <s v="South"/>
    <s v="THIRUVALLUR"/>
    <s v="MADS"/>
    <n v="600250"/>
    <s v="TATA CENTER"/>
    <n v="3659268"/>
    <s v="CR COIL TSBSTA EL03 0.500X1217"/>
    <s v="C01"/>
    <s v="TSBSTA"/>
    <s v="EL03"/>
    <n v="0.5"/>
    <n v="1217"/>
    <n v="0"/>
    <s v="T2 DONE"/>
    <s v=" "/>
    <s v=""/>
    <n v="7.2"/>
    <n v="11"/>
    <n v="280"/>
    <n v="0"/>
    <n v="280"/>
    <n v="280"/>
    <n v="0"/>
    <n v="0"/>
    <n v="0"/>
    <n v="56.92"/>
    <n v="0"/>
    <n v="0"/>
    <n v="0"/>
    <n v="0"/>
    <n v="0"/>
    <n v="0"/>
    <n v="0"/>
    <n v="0"/>
    <n v="0"/>
    <n v="0"/>
    <n v="0"/>
    <n v="0"/>
    <n v="0"/>
    <n v="0"/>
    <n v="0"/>
    <n v="56.92"/>
    <n v="0"/>
    <n v="56.92"/>
    <n v="0"/>
    <n v="280"/>
    <s v="0.49-0.51"/>
    <s v="1217-1220"/>
    <m/>
    <m/>
    <m/>
    <m/>
    <m/>
    <m/>
    <s v="R"/>
    <s v="CRCA_STMP"/>
    <s v="C01-EL03-0.5-1217"/>
    <s v="367-SH67-2.5-1235"/>
    <n v="367"/>
    <s v="TSH067"/>
    <s v="SH67"/>
    <s v="C14A"/>
    <n v="2.5"/>
    <n v="1235"/>
    <n v="3901654"/>
    <m/>
    <m/>
    <m/>
    <m/>
    <m/>
    <m/>
    <m/>
    <m/>
    <m/>
    <m/>
    <m/>
    <m/>
    <m/>
    <m/>
    <m/>
    <m/>
    <m/>
    <m/>
    <m/>
    <s v="TATA CENTER"/>
  </r>
  <r>
    <n v="742"/>
    <d v="2025-08-18T00:00:00"/>
    <s v="ZBTF"/>
    <n v="9519023959"/>
    <n v="2"/>
    <s v="9519023959-2"/>
    <s v="Oct'25"/>
    <s v="Released"/>
    <x v="1"/>
    <s v="CR02"/>
    <s v="ACRM CRCA CRS"/>
    <m/>
    <x v="0"/>
    <x v="8"/>
    <m/>
    <n v="1000"/>
    <s v="South"/>
    <s v="THIRUVALLUR"/>
    <s v="MADS"/>
    <n v="600250"/>
    <s v="TATA CENTER"/>
    <n v="3704262"/>
    <s v="CR COIL TSBSTA EL03 1X1250"/>
    <s v="C01"/>
    <s v="TSBSTA"/>
    <s v="EL03"/>
    <n v="1"/>
    <n v="1250"/>
    <n v="0"/>
    <s v="T2 DONE"/>
    <s v=" "/>
    <s v=""/>
    <n v="8"/>
    <n v="11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98-1.02"/>
    <s v="1250-1253"/>
    <m/>
    <m/>
    <m/>
    <m/>
    <m/>
    <m/>
    <s v="R"/>
    <n v="0"/>
    <s v="C01-EL03-1-1250"/>
    <s v="367-SH67-2.8-1260"/>
    <n v="367"/>
    <s v="TSH067"/>
    <s v="SH67"/>
    <s v="C14A"/>
    <n v="2.8"/>
    <n v="1260"/>
    <n v="3901841"/>
    <m/>
    <m/>
    <m/>
    <m/>
    <m/>
    <m/>
    <m/>
    <m/>
    <m/>
    <m/>
    <m/>
    <m/>
    <m/>
    <m/>
    <m/>
    <m/>
    <m/>
    <m/>
    <m/>
    <s v="TATA CENTER"/>
  </r>
  <r>
    <n v="743"/>
    <d v="2025-09-02T00:00:00"/>
    <s v="ZBTO"/>
    <n v="9519073218"/>
    <n v="2"/>
    <s v="9519073218-2"/>
    <s v="Sep'25"/>
    <s v="Released"/>
    <x v="1"/>
    <s v="GP02"/>
    <s v="ACRM GP#3 WIDER SOFT"/>
    <m/>
    <x v="2"/>
    <x v="13"/>
    <m/>
    <n v="2000"/>
    <s v="North"/>
    <s v="KANPUR"/>
    <s v="KANP"/>
    <n v="933952"/>
    <s v="AGARWAL STEEL TRADERS"/>
    <n v="2332906"/>
    <s v="GP COIL SOFT TATXGP GK09 0.300X1250"/>
    <s v="C02"/>
    <s v="TATXGP"/>
    <s v="GK09"/>
    <n v="0.3"/>
    <n v="125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  <s v="GP03_KOSH"/>
    <s v="C02-GK09-0.3-1250"/>
    <s v="0-0-0-0"/>
    <n v="0"/>
    <n v="0"/>
    <n v="0"/>
    <n v="0"/>
    <n v="0"/>
    <n v="0"/>
    <e v="#N/A"/>
    <m/>
    <m/>
    <m/>
    <m/>
    <m/>
    <m/>
    <m/>
    <m/>
    <m/>
    <m/>
    <m/>
    <m/>
    <m/>
    <m/>
    <m/>
    <m/>
    <m/>
    <m/>
    <m/>
    <s v="AGARWAL STEEL TRADERS"/>
  </r>
  <r>
    <n v="742"/>
    <d v="2025-07-21T00:00:00"/>
    <s v="ZBTO"/>
    <n v="9518945284"/>
    <n v="1"/>
    <s v="9518945284-1"/>
    <s v="No Priority"/>
    <s v="Released"/>
    <x v="0"/>
    <e v="#N/A"/>
    <e v="#N/A"/>
    <m/>
    <x v="0"/>
    <x v="0"/>
    <m/>
    <n v="2000"/>
    <s v="South"/>
    <s v="CHENNAI"/>
    <s v="MADS"/>
    <n v="822271"/>
    <s v="TATA STEEL DOWNSTREAM PRODUCTS LIMI"/>
    <n v="1884117"/>
    <s v="CRCA COIL-TATXXD-AU03-2X1250"/>
    <s v="C01"/>
    <s v="TATXXD"/>
    <s v="AU03"/>
    <n v="2"/>
    <n v="1250"/>
    <n v="0"/>
    <s v="T2 DONE"/>
    <s v=" "/>
    <s v=""/>
    <n v="5"/>
    <n v="29"/>
    <n v="58"/>
    <n v="31.07"/>
    <n v="26.93"/>
    <n v="-0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3"/>
    <s v="1.98-2.02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m/>
    <m/>
    <m/>
    <m/>
    <m/>
    <m/>
    <m/>
    <m/>
    <m/>
    <m/>
    <m/>
    <m/>
    <m/>
    <m/>
    <s v="TATA STEEL DOWNSTREAM PRODUCTS LIMI"/>
  </r>
  <r>
    <n v="742"/>
    <d v="2025-07-21T00:00:00"/>
    <s v="ZBTO"/>
    <n v="9518946840"/>
    <n v="1"/>
    <s v="9518946840-1"/>
    <s v="No Priority"/>
    <s v="Released"/>
    <x v="0"/>
    <e v="#N/A"/>
    <e v="#N/A"/>
    <m/>
    <x v="0"/>
    <x v="0"/>
    <m/>
    <n v="2000"/>
    <s v="West"/>
    <s v="LONI"/>
    <s v="FBAD"/>
    <n v="123052"/>
    <s v="G R GUPTA &amp; BROS"/>
    <n v="1801290"/>
    <s v="CRCA COIL-TATXXD-AU03-0.6X1250"/>
    <s v="C01"/>
    <s v="TATXXD"/>
    <s v="AU03"/>
    <n v="0.6"/>
    <n v="1250"/>
    <n v="0"/>
    <s v="T2 DONE"/>
    <s v=" "/>
    <s v=""/>
    <n v="10"/>
    <n v="30"/>
    <n v="58"/>
    <n v="0"/>
    <n v="57.999000000000002"/>
    <n v="4.139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9000000000002"/>
    <s v="0.57-0.61"/>
    <s v="1250-125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m/>
    <m/>
    <m/>
    <m/>
    <m/>
    <m/>
    <m/>
    <m/>
    <m/>
    <m/>
    <m/>
    <m/>
    <m/>
    <m/>
    <s v="G R GUPTA &amp; BROS"/>
  </r>
  <r>
    <n v="742"/>
    <d v="2025-07-21T00:00:00"/>
    <s v="ZBTO"/>
    <n v="9518946840"/>
    <n v="2"/>
    <s v="9518946840-2"/>
    <s v="Stocks"/>
    <s v="Released"/>
    <x v="1"/>
    <e v="#N/A"/>
    <e v="#N/A"/>
    <m/>
    <x v="0"/>
    <x v="0"/>
    <m/>
    <n v="2000"/>
    <s v="West"/>
    <s v="LONI"/>
    <s v="FBAD"/>
    <n v="123052"/>
    <s v="G R GUPTA &amp; BROS"/>
    <n v="1804814"/>
    <s v="CRCA COIL TATXXD AU03 0.8X1250"/>
    <s v="C01"/>
    <s v="TATXXD"/>
    <s v="AU03"/>
    <n v="0.8"/>
    <n v="1250"/>
    <n v="0"/>
    <s v="T2 DONE"/>
    <s v=" "/>
    <s v=""/>
    <n v="10"/>
    <n v="30"/>
    <n v="58"/>
    <n v="56.265000000000001"/>
    <n v="1.734"/>
    <n v="1.734"/>
    <n v="11.07"/>
    <n v="0"/>
    <n v="0"/>
    <n v="0"/>
    <n v="0"/>
    <n v="0"/>
    <n v="0"/>
    <n v="0"/>
    <n v="0"/>
    <n v="0"/>
    <n v="0"/>
    <n v="0"/>
    <n v="0"/>
    <n v="0"/>
    <n v="0"/>
    <n v="0"/>
    <n v="24.345000000000002"/>
    <n v="0"/>
    <n v="0"/>
    <n v="24.345000000000002"/>
    <n v="0"/>
    <n v="24.345000000000002"/>
    <n v="0"/>
    <n v="1.734"/>
    <s v="0.77-0.82"/>
    <s v="1250-125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m/>
    <m/>
    <m/>
    <m/>
    <m/>
    <m/>
    <m/>
    <m/>
    <m/>
    <m/>
    <m/>
    <m/>
    <m/>
    <m/>
    <s v="G R GUPTA &amp; BROS"/>
  </r>
  <r>
    <n v="742"/>
    <d v="2025-08-25T00:00:00"/>
    <s v="ZBTO"/>
    <n v="9519047269"/>
    <n v="1"/>
    <s v="9519047269-1"/>
    <s v="Oct'25"/>
    <s v="Released"/>
    <x v="1"/>
    <s v="CR02"/>
    <s v="ACRM CRCA CRS"/>
    <m/>
    <x v="0"/>
    <x v="4"/>
    <m/>
    <n v="1000"/>
    <s v="West"/>
    <s v="RANJANGAON"/>
    <s v="BOMB"/>
    <n v="188928"/>
    <s v="TATA STEEL DOWNSTREAM PRODUCTS LTD."/>
    <n v="28507"/>
    <s v="CRCOIL C01 DQ TATXXD AU14 0.50 X 1250"/>
    <s v="C01"/>
    <s v="TATXXD"/>
    <s v="AU14"/>
    <n v="0.5"/>
    <n v="1250"/>
    <n v="0"/>
    <s v="T2 DONE"/>
    <s v=" "/>
    <s v=""/>
    <n v="10"/>
    <n v="26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s v="0.47-0.505"/>
    <s v="1250-1251"/>
    <m/>
    <m/>
    <m/>
    <m/>
    <m/>
    <m/>
    <s v="C"/>
    <s v="NA"/>
    <s v="C01-AU14-0.5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TATA STEEL DOWNSTREAM PRODUCTS LTD."/>
  </r>
  <r>
    <n v="742"/>
    <d v="2025-07-18T00:00:00"/>
    <s v="ZBTO"/>
    <n v="9518939588"/>
    <n v="2"/>
    <s v="9518939588-2"/>
    <s v="No Priority"/>
    <s v="Released"/>
    <x v="0"/>
    <s v="CR02"/>
    <s v="ACRM CRCA CRS"/>
    <m/>
    <x v="0"/>
    <x v="0"/>
    <m/>
    <n v="2000"/>
    <s v="West"/>
    <s v="LONI"/>
    <s v="DELI"/>
    <n v="101499"/>
    <s v="G.R. GUPTA &amp; BROS."/>
    <n v="1800890"/>
    <s v="CRCA COIL-TATXXD-AU03-0.35X1250"/>
    <s v="C01"/>
    <s v="TATXXD"/>
    <s v="AU03"/>
    <n v="0.35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2-0.36"/>
    <s v="1250-1262"/>
    <m/>
    <m/>
    <m/>
    <m/>
    <m/>
    <m/>
    <s v="M"/>
    <s v="CRCA_STLM"/>
    <s v="C01-AU03-0.35-1250"/>
    <s v="367-SH08-2-1275"/>
    <n v="367"/>
    <s v="T01320"/>
    <s v="SH08"/>
    <s v="C16D"/>
    <n v="2"/>
    <n v="1275"/>
    <n v="3636910"/>
    <m/>
    <m/>
    <m/>
    <m/>
    <m/>
    <m/>
    <m/>
    <m/>
    <m/>
    <m/>
    <m/>
    <m/>
    <m/>
    <m/>
    <m/>
    <m/>
    <m/>
    <m/>
    <m/>
    <s v="G.R. GUPTA &amp; BROS."/>
  </r>
  <r>
    <n v="743"/>
    <d v="2025-09-12T00:00:00"/>
    <s v="ZBTO"/>
    <n v="9519099563"/>
    <n v="2"/>
    <s v="9519099563-2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Shree Bajrang Steel Udyog"/>
  </r>
  <r>
    <n v="742"/>
    <d v="2025-08-19T00:00:00"/>
    <s v="ZBTO"/>
    <n v="9519028240"/>
    <n v="1"/>
    <s v="9519028240-1"/>
    <s v="Sep'25"/>
    <s v="Released"/>
    <x v="1"/>
    <s v="CR02"/>
    <s v="ACRM CRCA CRS"/>
    <m/>
    <x v="0"/>
    <x v="4"/>
    <m/>
    <n v="1000"/>
    <s v="South"/>
    <s v="VISHAKHAPATNAM"/>
    <s v="SBAD"/>
    <n v="186001"/>
    <s v="BABA CONTAINER MANUFACTURERS"/>
    <n v="3867646"/>
    <s v="CR COIL TATXXD BT04 0.600X900"/>
    <s v="C01"/>
    <s v="TATXXD"/>
    <s v="BT04"/>
    <n v="0.6"/>
    <n v="900"/>
    <n v="0"/>
    <s v="T2 DONE"/>
    <s v=" "/>
    <s v=""/>
    <n v="4"/>
    <n v="8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58-0.6"/>
    <s v="900-902"/>
    <m/>
    <m/>
    <m/>
    <m/>
    <m/>
    <m/>
    <s v="M"/>
    <s v="CRCA_D&amp;B"/>
    <s v="C01-BT04-0.6-900"/>
    <s v="B69-SH67-2.5-925"/>
    <s v="B69"/>
    <s v="TSH067"/>
    <s v="SH67"/>
    <s v="C14A"/>
    <n v="2.5"/>
    <n v="925"/>
    <n v="3923414"/>
    <m/>
    <m/>
    <m/>
    <m/>
    <m/>
    <m/>
    <m/>
    <m/>
    <m/>
    <m/>
    <m/>
    <m/>
    <m/>
    <m/>
    <m/>
    <m/>
    <m/>
    <m/>
    <m/>
    <s v="BABA CONTAINER MANUFACTURERS"/>
  </r>
  <r>
    <n v="743"/>
    <d v="2025-08-20T00:00:00"/>
    <s v="ZBTO"/>
    <n v="9519031555"/>
    <n v="1"/>
    <s v="9519031555-1"/>
    <s v="No Priority"/>
    <s v="Released"/>
    <x v="0"/>
    <s v="GL03"/>
    <s v="ACRM GP#2 NON TBSPL"/>
    <m/>
    <x v="4"/>
    <x v="12"/>
    <m/>
    <n v="1000"/>
    <s v="West"/>
    <s v="SANAND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s v="aZ150"/>
    <s v=""/>
    <n v="10"/>
    <n v="18"/>
    <n v="290"/>
    <n v="320.17500000000001"/>
    <n v="19.824999999999999"/>
    <n v="19.8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824999999999999"/>
    <s v="0.9-0.94"/>
    <s v="1249-1253"/>
    <m/>
    <m/>
    <m/>
    <m/>
    <m/>
    <m/>
    <s v="R"/>
    <s v="GP02_SOLAR"/>
    <s v="B04-H0GL-0.9-1249"/>
    <s v="367-HG02-2.8-1265"/>
    <n v="367"/>
    <s v="T01576"/>
    <s v="HG02"/>
    <s v="C06A"/>
    <n v="2.8"/>
    <n v="1265"/>
    <n v="435174"/>
    <m/>
    <m/>
    <m/>
    <m/>
    <m/>
    <m/>
    <m/>
    <m/>
    <m/>
    <m/>
    <m/>
    <m/>
    <m/>
    <m/>
    <m/>
    <m/>
    <m/>
    <m/>
    <m/>
    <s v="PURSHOTAM PROFILES PRIVATE LIMITED"/>
  </r>
  <r>
    <n v="742"/>
    <d v="2025-07-18T00:00:00"/>
    <s v="ZBTO"/>
    <n v="9518939588"/>
    <n v="4"/>
    <s v="9518939588-4"/>
    <s v="No Priority"/>
    <s v="Released"/>
    <x v="0"/>
    <e v="#N/A"/>
    <e v="#N/A"/>
    <m/>
    <x v="0"/>
    <x v="0"/>
    <m/>
    <n v="2000"/>
    <s v="West"/>
    <s v="LONI"/>
    <s v="DELI"/>
    <n v="101499"/>
    <s v="G.R. GUPTA &amp; BROS.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0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7-0.61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m/>
    <m/>
    <m/>
    <m/>
    <m/>
    <m/>
    <m/>
    <m/>
    <m/>
    <m/>
    <m/>
    <m/>
    <m/>
    <m/>
    <s v="G.R. GUPTA &amp; BROS."/>
  </r>
  <r>
    <n v="742"/>
    <d v="2025-07-18T00:00:00"/>
    <s v="ZBTO"/>
    <n v="9518939588"/>
    <n v="5"/>
    <s v="9518939588-5"/>
    <s v="No Priority"/>
    <s v="Released"/>
    <x v="0"/>
    <e v="#N/A"/>
    <e v="#N/A"/>
    <m/>
    <x v="0"/>
    <x v="0"/>
    <m/>
    <n v="2000"/>
    <s v="West"/>
    <s v="LONI"/>
    <s v="DELI"/>
    <n v="101499"/>
    <s v="G.R. GUPTA &amp; BROS."/>
    <n v="1801456"/>
    <s v="CRCA COIL-TATXXD-AU03-0.7X1250"/>
    <s v="C01"/>
    <s v="TATXXD"/>
    <s v="AU03"/>
    <n v="0.7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1"/>
    <s v="1250-1262"/>
    <m/>
    <m/>
    <m/>
    <m/>
    <m/>
    <m/>
    <s v="U"/>
    <s v="CRCA_STLM"/>
    <s v="C01-AU03-0.7-1250"/>
    <s v="367-SH08-2.8-1250"/>
    <n v="367"/>
    <s v="T01320"/>
    <s v="SH08"/>
    <s v="C16D"/>
    <n v="2.8"/>
    <n v="1250"/>
    <n v="1154953"/>
    <m/>
    <m/>
    <m/>
    <m/>
    <m/>
    <m/>
    <m/>
    <m/>
    <m/>
    <m/>
    <m/>
    <m/>
    <m/>
    <m/>
    <m/>
    <m/>
    <m/>
    <m/>
    <m/>
    <s v="G.R. GUPTA &amp; BROS."/>
  </r>
  <r>
    <n v="743"/>
    <d v="2025-08-28T00:00:00"/>
    <s v="ZBTO"/>
    <n v="9519058218"/>
    <n v="1"/>
    <s v="9519058218-1"/>
    <s v="No Priority"/>
    <s v="Released"/>
    <x v="0"/>
    <s v="GP03"/>
    <s v="ACRM GP#3 NARROW"/>
    <m/>
    <x v="2"/>
    <x v="6"/>
    <m/>
    <n v="2000"/>
    <s v="West"/>
    <s v="LONI"/>
    <s v="GBAD"/>
    <n v="931235"/>
    <s v="K D J P STEELS PVT LTD"/>
    <n v="1851065"/>
    <s v="GP COIL SOFT-TATXGP-GK09-0.25X900"/>
    <s v="C02"/>
    <s v="TATXGP"/>
    <s v="GK09"/>
    <n v="0.2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3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K D J P STEELS PVT LTD"/>
  </r>
  <r>
    <n v="742"/>
    <d v="2025-08-26T00:00:00"/>
    <s v="ZBTO"/>
    <n v="9519051350"/>
    <n v="1"/>
    <s v="9519051350-1"/>
    <s v="No Priority"/>
    <s v="Released"/>
    <x v="0"/>
    <s v="CR01"/>
    <s v="ACRM CRCA CTL"/>
    <m/>
    <x v="0"/>
    <x v="5"/>
    <m/>
    <n v="2000"/>
    <s v="North"/>
    <s v="GORAKHPUR"/>
    <s v="KANP"/>
    <n v="115841"/>
    <s v="O.V.S. ISPAT UDYOG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O.V.S. ISPAT UDYOG"/>
  </r>
  <r>
    <n v="742"/>
    <d v="2025-08-18T00:00:00"/>
    <s v="ZBTO"/>
    <n v="9519024305"/>
    <n v="3"/>
    <s v="9519024305-3"/>
    <s v="Oct'25"/>
    <s v="Released"/>
    <x v="1"/>
    <s v="CR01"/>
    <s v="ACRM CRCA CTL"/>
    <m/>
    <x v="0"/>
    <x v="5"/>
    <m/>
    <n v="2000"/>
    <s v="East"/>
    <s v="HOWRAH"/>
    <s v="CALS"/>
    <n v="925093"/>
    <s v="PSPL STEEL PROCESSORS PRIVATE LIMIT"/>
    <n v="3239548"/>
    <s v="CRCA SHEET TATCRC SR16 0.400X900X2500"/>
    <s v="C06"/>
    <s v="TATCRC"/>
    <s v="SR16"/>
    <n v="0.4"/>
    <n v="900"/>
    <n v="2500"/>
    <s v="T2 DONE"/>
    <s v=" "/>
    <s v=""/>
    <n v="0"/>
    <n v="0"/>
    <n v="63"/>
    <n v="18.545000000000002"/>
    <n v="44.454999999999998"/>
    <n v="3.355"/>
    <n v="8.8000000000000007"/>
    <n v="0"/>
    <n v="0"/>
    <n v="0"/>
    <n v="0"/>
    <n v="0"/>
    <n v="0"/>
    <n v="0"/>
    <n v="0"/>
    <n v="20.7"/>
    <n v="0"/>
    <n v="0"/>
    <n v="40.590000000000003"/>
    <n v="0"/>
    <n v="0"/>
    <n v="0"/>
    <n v="0"/>
    <n v="0"/>
    <n v="0"/>
    <n v="61.290000000000006"/>
    <n v="0"/>
    <n v="61.290000000000006"/>
    <n v="0"/>
    <n v="44.454999999999998"/>
    <s v="0.37-0.4"/>
    <s v="900-902"/>
    <m/>
    <m/>
    <m/>
    <m/>
    <m/>
    <m/>
    <s v="T"/>
    <s v="CRCA_SUPR"/>
    <s v="C06-SR16-0.4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s v="PSPL STEEL PROCESSORS PRIVATE LIMIT"/>
  </r>
  <r>
    <n v="742"/>
    <d v="2025-08-18T00:00:00"/>
    <s v="ZBTO"/>
    <n v="9519024914"/>
    <n v="6"/>
    <s v="9519024914-6"/>
    <s v="No Priority"/>
    <s v="Released"/>
    <x v="0"/>
    <s v="CR01"/>
    <s v="ACRM CRCA CTL"/>
    <m/>
    <x v="0"/>
    <x v="5"/>
    <m/>
    <n v="2000"/>
    <s v="South"/>
    <s v="CHENNAI"/>
    <s v="MADS"/>
    <n v="116465"/>
    <s v="SRI BALAJI STEEL TRADERS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  <s v="CRCA_SUPR"/>
    <s v="C06-SR16-0.4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4914"/>
    <n v="7"/>
    <s v="9519024914-7"/>
    <s v="Oct'25"/>
    <s v="Released"/>
    <x v="1"/>
    <s v="CR01"/>
    <s v="ACRM CRCA CTL"/>
    <m/>
    <x v="0"/>
    <x v="5"/>
    <m/>
    <n v="2000"/>
    <s v="South"/>
    <s v="CHENNAI"/>
    <s v="MADS"/>
    <n v="116465"/>
    <s v="SRI BALAJI STEEL TRADERS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U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SRI BALAJI STEEL TRADERS"/>
  </r>
  <r>
    <n v="742"/>
    <d v="2025-08-20T00:00:00"/>
    <s v="ZBTO"/>
    <n v="9519031476"/>
    <n v="2"/>
    <s v="9519031476-2"/>
    <s v="Oct'25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39554"/>
    <s v="CRCA SHEET TATCRC SR16 0.400X1000X2500"/>
    <s v="C06"/>
    <s v="TATCRC"/>
    <s v="SR16"/>
    <n v="0.4"/>
    <n v="1000"/>
    <n v="2500"/>
    <s v="T2 DONE"/>
    <s v=" "/>
    <s v=""/>
    <n v="0.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37-0.4"/>
    <s v="1000-1002"/>
    <m/>
    <m/>
    <m/>
    <m/>
    <m/>
    <m/>
    <s v="T"/>
    <s v="CRCA_SUPR"/>
    <s v="C06-SR16-0.4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BHARTIA  DISTRIBUTORS PVT. LTD."/>
  </r>
  <r>
    <n v="742"/>
    <d v="2025-08-26T00:00:00"/>
    <s v="ZBTO"/>
    <n v="9519051346"/>
    <n v="1"/>
    <s v="9519051346-1"/>
    <s v="No Priority"/>
    <s v="Released"/>
    <x v="0"/>
    <s v="CR01"/>
    <s v="ACRM CRCA CTL"/>
    <m/>
    <x v="0"/>
    <x v="5"/>
    <m/>
    <n v="2000"/>
    <s v="North"/>
    <s v="VARANASI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O.V.S. ISPAT UDYOG"/>
  </r>
  <r>
    <n v="742"/>
    <d v="2025-09-09T00:00:00"/>
    <s v="ZBTO"/>
    <n v="9519089585"/>
    <n v="1"/>
    <s v="9519089585-1"/>
    <s v="No Priority"/>
    <s v="Released"/>
    <x v="0"/>
    <e v="#N/A"/>
    <e v="#N/A"/>
    <m/>
    <x v="1"/>
    <x v="2"/>
    <m/>
    <n v="2200"/>
    <s v="South"/>
    <s v="KOLAR"/>
    <s v="BANG"/>
    <n v="801611"/>
    <s v="SHIVA FERRIC PVT LTD"/>
    <n v="3187346"/>
    <s v="HR COILS-PO I09497 2.01X1250"/>
    <n v="768"/>
    <s v="I09497"/>
    <s v="HG01"/>
    <n v="2.0099999999999998"/>
    <n v="1250"/>
    <n v="0"/>
    <s v="T2 DONE"/>
    <s v=" "/>
    <s v=""/>
    <n v="15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m/>
    <m/>
    <m/>
    <m/>
    <m/>
    <m/>
    <s v="U"/>
    <s v="HRPO_BPRS"/>
    <s v="768-HG01-2.01-1250"/>
    <s v="367-HG01-2.01-1250"/>
    <n v="367"/>
    <s v="I09497"/>
    <s v="HG01"/>
    <s v="T01"/>
    <n v="2.0099999999999998"/>
    <n v="1250"/>
    <n v="1247827"/>
    <m/>
    <m/>
    <m/>
    <m/>
    <m/>
    <m/>
    <m/>
    <m/>
    <m/>
    <m/>
    <m/>
    <m/>
    <m/>
    <m/>
    <m/>
    <m/>
    <m/>
    <m/>
    <m/>
    <s v="SHIVA FERRIC PVT LTD"/>
  </r>
  <r>
    <n v="742"/>
    <d v="2025-09-08T00:00:00"/>
    <s v="ZBTO"/>
    <n v="9519085406"/>
    <n v="1"/>
    <s v="9519085406-1"/>
    <s v="No Priority"/>
    <s v="Released"/>
    <x v="0"/>
    <e v="#N/A"/>
    <e v="#N/A"/>
    <m/>
    <x v="1"/>
    <x v="2"/>
    <m/>
    <n v="2200"/>
    <s v="South"/>
    <s v="KOLAR"/>
    <s v="BANG"/>
    <n v="801611"/>
    <s v="SHIVA FERRIC PVT LTD"/>
    <n v="1179966"/>
    <s v="HR COILS-PO IS 10748 GR 1 2X1250"/>
    <n v="768"/>
    <s v="I09497"/>
    <s v="HG01"/>
    <n v="2"/>
    <n v="1250"/>
    <n v="0"/>
    <s v="T2 DONE"/>
    <s v=" "/>
    <s v=""/>
    <n v="17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"/>
    <s v=""/>
    <m/>
    <m/>
    <m/>
    <m/>
    <m/>
    <m/>
    <s v="U"/>
    <s v="HRPO_BPRS"/>
    <s v="768-HG01-2-1250"/>
    <s v="367-HG01-2-1250"/>
    <n v="367"/>
    <s v="I09497"/>
    <s v="HG01"/>
    <s v="T01"/>
    <n v="2"/>
    <n v="1250"/>
    <n v="1108668"/>
    <m/>
    <m/>
    <m/>
    <m/>
    <m/>
    <m/>
    <m/>
    <m/>
    <m/>
    <m/>
    <m/>
    <m/>
    <m/>
    <m/>
    <m/>
    <m/>
    <m/>
    <m/>
    <m/>
    <s v="SHIVA FERRIC PVT LTD"/>
  </r>
  <r>
    <n v="742"/>
    <d v="2025-09-08T00:00:00"/>
    <s v="ZBTO"/>
    <n v="9519085406"/>
    <n v="2"/>
    <s v="9519085406-2"/>
    <s v="No Priority"/>
    <s v="Released"/>
    <x v="0"/>
    <e v="#N/A"/>
    <e v="#N/A"/>
    <m/>
    <x v="1"/>
    <x v="2"/>
    <m/>
    <n v="2200"/>
    <s v="South"/>
    <s v="KOLAR"/>
    <s v="BANG"/>
    <n v="801611"/>
    <s v="SHIVA FERRIC PVT LTD"/>
    <n v="1179967"/>
    <s v="HR COILS-PO IS 10748 GR 1 2.50X1250"/>
    <n v="768"/>
    <s v="I09497"/>
    <s v="HG01"/>
    <n v="2.5"/>
    <n v="1250"/>
    <n v="0"/>
    <s v="T2 DONE"/>
    <s v=" "/>
    <s v=""/>
    <n v="17"/>
    <n v="25"/>
    <n v="58"/>
    <n v="57.115000000000002"/>
    <n v="0.88400000000000001"/>
    <n v="0.884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400000000000001"/>
    <s v=""/>
    <s v=""/>
    <m/>
    <m/>
    <m/>
    <m/>
    <m/>
    <m/>
    <s v="U"/>
    <s v="HRPO_BPRS"/>
    <s v="768-HG01-2.5-1250"/>
    <s v="367-HG01-2.5-1250"/>
    <n v="367"/>
    <s v="I09497"/>
    <s v="HG01"/>
    <s v="T01"/>
    <n v="2.5"/>
    <n v="1250"/>
    <n v="1109051"/>
    <m/>
    <m/>
    <m/>
    <m/>
    <m/>
    <m/>
    <m/>
    <m/>
    <m/>
    <m/>
    <m/>
    <m/>
    <m/>
    <m/>
    <m/>
    <m/>
    <m/>
    <m/>
    <m/>
    <s v="SHIVA FERRIC PVT LTD"/>
  </r>
  <r>
    <n v="742"/>
    <d v="2025-09-08T00:00:00"/>
    <s v="ZBTO"/>
    <n v="9519085406"/>
    <n v="3"/>
    <s v="9519085406-3"/>
    <s v="No Priority"/>
    <s v="Released"/>
    <x v="0"/>
    <e v="#N/A"/>
    <e v="#N/A"/>
    <m/>
    <x v="1"/>
    <x v="2"/>
    <m/>
    <n v="2200"/>
    <s v="South"/>
    <s v="KOLAR"/>
    <s v="BANG"/>
    <n v="801611"/>
    <s v="SHIVA FERRIC PVT LTD"/>
    <n v="3187348"/>
    <s v="HR COILS-PO I09497 4X1250"/>
    <n v="768"/>
    <s v="I09497"/>
    <s v="HG01"/>
    <n v="4"/>
    <n v="1250"/>
    <n v="0"/>
    <s v="T2 DONE"/>
    <s v=" "/>
    <s v=""/>
    <n v="17"/>
    <n v="25"/>
    <n v="29"/>
    <n v="27.53"/>
    <n v="1.4690000000000001"/>
    <n v="1.46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690000000000001"/>
    <s v=""/>
    <s v=""/>
    <m/>
    <m/>
    <m/>
    <m/>
    <m/>
    <m/>
    <s v="U"/>
    <s v="HRPO_BPRS"/>
    <s v="768-HG01-4-1250"/>
    <s v="367-HG01-4-1250"/>
    <n v="367"/>
    <s v="I09497"/>
    <s v="HG01"/>
    <s v="T01"/>
    <n v="4"/>
    <n v="1250"/>
    <n v="521576"/>
    <m/>
    <m/>
    <m/>
    <m/>
    <m/>
    <m/>
    <m/>
    <m/>
    <m/>
    <m/>
    <m/>
    <m/>
    <m/>
    <m/>
    <m/>
    <m/>
    <m/>
    <m/>
    <m/>
    <s v="SHIVA FERRIC PVT LTD"/>
  </r>
  <r>
    <n v="743"/>
    <d v="2025-07-08T00:00:00"/>
    <s v="ZBTO"/>
    <n v="9518914709"/>
    <n v="4"/>
    <s v="9518914709-4"/>
    <s v="No Priority"/>
    <s v="Released"/>
    <x v="0"/>
    <s v="GP03"/>
    <s v="ACRM GP#3 NARROW"/>
    <m/>
    <x v="2"/>
    <x v="6"/>
    <m/>
    <n v="2000"/>
    <s v="West"/>
    <s v="LONI"/>
    <s v="GBAD"/>
    <n v="183259"/>
    <s v="Rakesh Steel Inds.(P) Ltd."/>
    <n v="2399771"/>
    <s v="GP COIL SOFT TATXGP GK09 0.220X900"/>
    <s v="C02"/>
    <s v="TATXGP"/>
    <s v="GK09"/>
    <n v="0.2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-0.22"/>
    <s v="900-903"/>
    <m/>
    <m/>
    <m/>
    <m/>
    <m/>
    <m/>
    <s v="R"/>
    <s v="GP03_KOSH"/>
    <s v="C02-GK09-0.22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Rakesh Steel Inds.(P) Ltd."/>
  </r>
  <r>
    <n v="743"/>
    <d v="2025-07-08T00:00:00"/>
    <s v="ZBTO"/>
    <n v="9518914709"/>
    <n v="5"/>
    <s v="9518914709-5"/>
    <s v="No Priority"/>
    <s v="Released"/>
    <x v="0"/>
    <s v="GP03"/>
    <s v="ACRM GP#3 NARROW"/>
    <m/>
    <x v="2"/>
    <x v="6"/>
    <m/>
    <n v="2000"/>
    <s v="West"/>
    <s v="LONI"/>
    <s v="GBAD"/>
    <n v="183259"/>
    <s v="Rakesh Steel Inds.(P) Ltd."/>
    <n v="1851054"/>
    <s v="GP COIL SOFT-TATXGP-GK09-0.2X900"/>
    <s v="C02"/>
    <s v="TATXGP"/>
    <s v="GK09"/>
    <n v="0.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7-0.2"/>
    <s v="900-902"/>
    <m/>
    <m/>
    <m/>
    <m/>
    <m/>
    <m/>
    <s v="R"/>
    <s v="GP03_KOSH"/>
    <s v="C02-GK09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Rakesh Steel Inds.(P) Ltd."/>
  </r>
  <r>
    <n v="742"/>
    <d v="2025-08-21T00:00:00"/>
    <s v="ZBTO"/>
    <n v="9519036272"/>
    <n v="5"/>
    <s v="9519036272-5"/>
    <s v="Oct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5"/>
    <n v="3.2"/>
    <n v="92"/>
    <n v="40.44"/>
    <n v="51.56"/>
    <n v="5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56"/>
    <s v="0.38-0.42"/>
    <s v="1000-1002"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Shree Bajrang Steel Udyog"/>
  </r>
  <r>
    <n v="743"/>
    <d v="2025-07-08T00:00:00"/>
    <s v="ZBTO"/>
    <n v="9518915062"/>
    <n v="5"/>
    <s v="9518915062-5"/>
    <s v="No Priority"/>
    <s v="Released"/>
    <x v="0"/>
    <s v="GP03"/>
    <s v="ACRM GP#3 NARROW"/>
    <m/>
    <x v="2"/>
    <x v="6"/>
    <m/>
    <n v="2000"/>
    <s v="West"/>
    <s v="LONI"/>
    <s v="GBAD"/>
    <n v="931235"/>
    <s v="K D J P STEELS PVT LTD"/>
    <n v="1851054"/>
    <s v="GP COIL SOFT-TATXGP-GK09-0.2X900"/>
    <s v="C02"/>
    <s v="TATXGP"/>
    <s v="GK09"/>
    <n v="0.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7-0.2"/>
    <s v="900-902"/>
    <m/>
    <m/>
    <m/>
    <m/>
    <m/>
    <m/>
    <s v="R"/>
    <s v="GP03_KOSH"/>
    <s v="C02-GK09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K D J P STEELS PVT LTD"/>
  </r>
  <r>
    <n v="743"/>
    <d v="2025-07-19T00:00:00"/>
    <s v="ZBTO"/>
    <n v="9518941556"/>
    <n v="1"/>
    <s v="9518941556-1"/>
    <s v="Sep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s v="T2 DONE"/>
    <s v="Z80"/>
    <s v=""/>
    <n v="4"/>
    <n v="12"/>
    <n v="210"/>
    <n v="7.97"/>
    <n v="202.03"/>
    <n v="142.22"/>
    <n v="7.97"/>
    <n v="0"/>
    <n v="20.079999999999998"/>
    <n v="0"/>
    <n v="41.68"/>
    <n v="0"/>
    <n v="0"/>
    <n v="0"/>
    <n v="0"/>
    <n v="0"/>
    <n v="0"/>
    <n v="0"/>
    <n v="0"/>
    <n v="0"/>
    <n v="0"/>
    <n v="0"/>
    <n v="0"/>
    <n v="0"/>
    <n v="0"/>
    <n v="61.76"/>
    <n v="0"/>
    <n v="61.76"/>
    <n v="0"/>
    <n v="202.03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Shree Bajrang Steel Udyog"/>
  </r>
  <r>
    <n v="742"/>
    <d v="2025-08-04T00:00:00"/>
    <s v="ZBTO"/>
    <n v="9518992530"/>
    <n v="2"/>
    <s v="9518992530-2"/>
    <s v="Sep'25"/>
    <s v="Released"/>
    <x v="1"/>
    <s v="CR02"/>
    <s v="ACRM CRCA CRS"/>
    <m/>
    <x v="0"/>
    <x v="0"/>
    <m/>
    <n v="2000"/>
    <s v="South"/>
    <s v="SANGAREDDY"/>
    <s v="SBAD"/>
    <n v="947126"/>
    <s v="RAVINDRA IRON WORKS"/>
    <n v="1804842"/>
    <s v="CRCA COIL-TATXXD-AU03-1X1000"/>
    <s v="C01"/>
    <s v="TATXXD"/>
    <s v="AU03"/>
    <n v="1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"/>
    <s v="1000-1004"/>
    <m/>
    <m/>
    <m/>
    <m/>
    <m/>
    <m/>
    <s v="C"/>
    <s v="CRCA_STLM"/>
    <s v="C01-AU03-1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RAVINDRA IRON WORKS"/>
  </r>
  <r>
    <n v="742"/>
    <d v="2025-07-10T00:00:00"/>
    <s v="ZBTO"/>
    <n v="9518919888"/>
    <n v="2"/>
    <s v="9518919888-2"/>
    <s v="No Priority"/>
    <s v="Released"/>
    <x v="0"/>
    <s v="CR01"/>
    <s v="ACRM CRCA CTL"/>
    <m/>
    <x v="0"/>
    <x v="5"/>
    <m/>
    <n v="2000"/>
    <s v="North"/>
    <s v="GORAKHPUR"/>
    <s v="FBAD"/>
    <n v="115841"/>
    <s v="O.V.S. ISPAT UDYOG"/>
    <n v="3239567"/>
    <s v="CRCA SHEET TATCRC SR16 0.450X1000X2500"/>
    <s v="C06"/>
    <s v="TATCRC"/>
    <s v="SR16"/>
    <n v="0.45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4"/>
    <m/>
    <m/>
    <m/>
    <m/>
    <m/>
    <m/>
    <s v="M"/>
    <s v="CRCA_SUPR"/>
    <s v="C06-SR16-0.45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O.V.S. ISPAT UDYOG"/>
  </r>
  <r>
    <n v="742"/>
    <d v="2025-07-20T00:00:00"/>
    <s v="ZBTO"/>
    <n v="9518944236"/>
    <n v="1"/>
    <s v="9518944236-1"/>
    <s v="Sep'25"/>
    <s v="Released"/>
    <x v="1"/>
    <s v="CR01"/>
    <s v="ACRM CRCA CTL"/>
    <m/>
    <x v="0"/>
    <x v="5"/>
    <m/>
    <n v="2000"/>
    <s v="South"/>
    <s v="VISHAKHAPATNAM"/>
    <s v="SBAD"/>
    <n v="946077"/>
    <s v="SITARAM IRON AND STEEL PVT LTD"/>
    <n v="3239535"/>
    <s v="CRCA SHEET TATCRC SR16 0.350X900X2440"/>
    <s v="C06"/>
    <s v="TATCRC"/>
    <s v="SR16"/>
    <n v="0.35"/>
    <n v="900"/>
    <n v="2440"/>
    <s v="T2 DONE"/>
    <s v=" "/>
    <s v=""/>
    <n v="2"/>
    <n v="3"/>
    <n v="41.999000000000002"/>
    <n v="38.145000000000003"/>
    <n v="3.8540000000000001"/>
    <n v="3.444"/>
    <n v="5.4050000000000002"/>
    <n v="0"/>
    <n v="0"/>
    <n v="0"/>
    <n v="0"/>
    <n v="0"/>
    <n v="0"/>
    <n v="0"/>
    <n v="0"/>
    <n v="0"/>
    <n v="0"/>
    <n v="0"/>
    <n v="40.14"/>
    <n v="0"/>
    <n v="0"/>
    <n v="0"/>
    <n v="0"/>
    <n v="0"/>
    <n v="0"/>
    <n v="40.14"/>
    <n v="0"/>
    <n v="40.14"/>
    <n v="0"/>
    <n v="3.8540000000000001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SITARAM IRON AND STEEL PVT LTD"/>
  </r>
  <r>
    <n v="742"/>
    <d v="2025-07-20T00:00:00"/>
    <s v="ZBTO"/>
    <n v="9518944236"/>
    <n v="4"/>
    <s v="9518944236-4"/>
    <s v="Aug'25"/>
    <s v="Released"/>
    <x v="1"/>
    <s v="CR01"/>
    <s v="ACRM CRCA CTL"/>
    <m/>
    <x v="0"/>
    <x v="5"/>
    <m/>
    <n v="2000"/>
    <s v="South"/>
    <s v="VISHAKHAPATNAM"/>
    <s v="SBAD"/>
    <n v="946077"/>
    <s v="SITARAM IRON AND STEEL PVT LTD"/>
    <n v="3239566"/>
    <s v="CRCA SHEET TATCRC SR16 0.450X1000X2440"/>
    <s v="C06"/>
    <s v="TATCRC"/>
    <s v="SR16"/>
    <n v="0.45"/>
    <n v="1000"/>
    <n v="2440"/>
    <s v="T2 DONE"/>
    <s v=" "/>
    <s v=""/>
    <n v="2"/>
    <n v="3.1"/>
    <n v="44.99"/>
    <n v="22.425000000000001"/>
    <n v="22.565000000000001"/>
    <n v="22.5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565000000000001"/>
    <s v="0.42-0.45"/>
    <s v="1000-1004"/>
    <m/>
    <m/>
    <m/>
    <m/>
    <m/>
    <m/>
    <s v="M"/>
    <s v="CRCA_SUPR"/>
    <s v="C06-SR16-0.45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s v="SITARAM IRON AND STEEL PVT LTD"/>
  </r>
  <r>
    <n v="742"/>
    <d v="2025-07-20T00:00:00"/>
    <s v="ZBTO"/>
    <n v="9518944236"/>
    <n v="5"/>
    <s v="9518944236-5"/>
    <s v="Stocks"/>
    <s v="Released"/>
    <x v="1"/>
    <s v="CR01"/>
    <s v="ACRM CRCA CTL"/>
    <m/>
    <x v="0"/>
    <x v="5"/>
    <m/>
    <n v="2000"/>
    <s v="South"/>
    <s v="VISHAKHAPATNAM"/>
    <s v="SBAD"/>
    <n v="946077"/>
    <s v="SITARAM IRON AND STEEL PVT LTD"/>
    <n v="3240759"/>
    <s v="CRCA SHEET TSBCRC SR15 0.500X1000X2440"/>
    <s v="C06"/>
    <s v="TSBCRC"/>
    <s v="SR15"/>
    <n v="0.5"/>
    <n v="1000"/>
    <n v="2440"/>
    <s v="T2 DONE"/>
    <s v=" "/>
    <s v=""/>
    <n v="2"/>
    <n v="3"/>
    <n v="23.998999999999999"/>
    <n v="12.54"/>
    <n v="11.459"/>
    <n v="11.459"/>
    <n v="7.15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59"/>
    <s v="0.47-0.5"/>
    <s v="1000-1004"/>
    <m/>
    <m/>
    <m/>
    <m/>
    <m/>
    <m/>
    <s v="M"/>
    <s v="CRCA_SUPR"/>
    <s v="C06-SR15-0.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s v="SITARAM IRON AND STEEL PVT LTD"/>
  </r>
  <r>
    <n v="743"/>
    <d v="2025-08-21T00:00:00"/>
    <s v="ZBTO"/>
    <n v="9519036143"/>
    <n v="10"/>
    <s v="9519036143-10"/>
    <s v="No Priority"/>
    <s v="Released"/>
    <x v="0"/>
    <s v="GP03"/>
    <s v="ACRM GP#3 NARROW"/>
    <m/>
    <x v="2"/>
    <x v="6"/>
    <m/>
    <n v="2000"/>
    <s v="East"/>
    <s v="WEST BOKARO"/>
    <s v="JAMS"/>
    <n v="185794"/>
    <s v="Shree Bajrang Steel Udyog"/>
    <n v="1854424"/>
    <s v="GP COIL SOFT-TATXGP-GK09-0.6X900"/>
    <s v="C02"/>
    <s v="TATXGP"/>
    <s v="GK09"/>
    <n v="0.6"/>
    <n v="900"/>
    <n v="0"/>
    <s v="T2 DONE"/>
    <s v="Z80"/>
    <s v=""/>
    <n v="4"/>
    <n v="12"/>
    <n v="105"/>
    <n v="94.15"/>
    <n v="10.85"/>
    <n v="1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5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hree Bajrang Steel Udyog"/>
  </r>
  <r>
    <n v="742"/>
    <d v="2025-07-20T00:00:00"/>
    <s v="ZBTO"/>
    <n v="9518944249"/>
    <n v="1"/>
    <s v="9518944249-1"/>
    <s v="Sep'25"/>
    <s v="Released"/>
    <x v="1"/>
    <s v="CR02"/>
    <s v="ACRM CRCA CRS"/>
    <m/>
    <x v="0"/>
    <x v="0"/>
    <m/>
    <n v="2000"/>
    <s v="South"/>
    <s v="VISHAKHAPATNAM"/>
    <s v="SBAD"/>
    <n v="946077"/>
    <s v="SITARAM IRON AND STEEL PVT LTD"/>
    <n v="2430219"/>
    <s v="CRCA COIL TATXXD AU03 0.800X900"/>
    <s v="C01"/>
    <s v="TATXXD"/>
    <s v="AU03"/>
    <n v="0.8"/>
    <n v="900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77-0.8"/>
    <s v="900-904"/>
    <m/>
    <m/>
    <m/>
    <m/>
    <m/>
    <m/>
    <s v="C"/>
    <s v="CRCA_STLM"/>
    <s v="C01-AU03-0.8-900"/>
    <s v="B69-SH08-2.8-925"/>
    <s v="B69"/>
    <s v="T01320"/>
    <s v="SH08"/>
    <s v="C16D"/>
    <n v="2.8"/>
    <n v="925"/>
    <n v="3918705"/>
    <m/>
    <m/>
    <m/>
    <m/>
    <m/>
    <m/>
    <m/>
    <m/>
    <m/>
    <m/>
    <m/>
    <m/>
    <m/>
    <m/>
    <m/>
    <m/>
    <m/>
    <m/>
    <m/>
    <s v="SITARAM IRON AND STEEL PVT LTD"/>
  </r>
  <r>
    <n v="742"/>
    <d v="2025-07-20T00:00:00"/>
    <s v="ZBTO"/>
    <n v="9518944249"/>
    <n v="2"/>
    <s v="9518944249-2"/>
    <s v="Sep'25"/>
    <s v="Released"/>
    <x v="1"/>
    <s v="CR02"/>
    <s v="ACRM CRCA CRS"/>
    <m/>
    <x v="0"/>
    <x v="0"/>
    <m/>
    <n v="2000"/>
    <s v="South"/>
    <s v="VISHAKHAPATNAM"/>
    <s v="SBAD"/>
    <n v="946077"/>
    <s v="SITARAM IRON AND STEEL PVT LTD"/>
    <n v="1801562"/>
    <s v="CRCA COIL-TATXXD-AU03-0.8X1000"/>
    <s v="C01"/>
    <s v="TATXXD"/>
    <s v="AU03"/>
    <n v="0.8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000-1004"/>
    <m/>
    <m/>
    <m/>
    <m/>
    <m/>
    <m/>
    <s v="C"/>
    <s v="CRCA_STLM"/>
    <s v="C01-AU03-0.8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SITARAM IRON AND STEEL PVT LTD"/>
  </r>
  <r>
    <n v="742"/>
    <d v="2025-08-18T00:00:00"/>
    <s v="ZBTO"/>
    <n v="9519024914"/>
    <n v="3"/>
    <s v="9519024914-3"/>
    <s v="Oct'25"/>
    <s v="Released"/>
    <x v="1"/>
    <s v="CR01"/>
    <s v="ACRM CRCA CTL"/>
    <m/>
    <x v="0"/>
    <x v="5"/>
    <m/>
    <n v="2000"/>
    <s v="South"/>
    <s v="CHENNAI"/>
    <s v="MADS"/>
    <n v="116465"/>
    <s v="SRI BALAJI STEEL TRADERS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U"/>
    <s v="CRCA_SUPR"/>
    <s v="C06-SR16-0.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SRI BALAJI STEEL TRADERS"/>
  </r>
  <r>
    <n v="742"/>
    <d v="2025-07-10T00:00:00"/>
    <s v="ZBTO"/>
    <n v="9518920175"/>
    <n v="1"/>
    <s v="9518920175-1"/>
    <s v="Oct'25"/>
    <s v="Released"/>
    <x v="1"/>
    <s v="CR03"/>
    <s v="ACRM CRCA SPM"/>
    <m/>
    <x v="0"/>
    <x v="15"/>
    <m/>
    <n v="2000"/>
    <s v="North"/>
    <s v="FARIDABAD"/>
    <s v="FBAD"/>
    <n v="116735"/>
    <s v="RAKESH STEELS"/>
    <n v="2420508"/>
    <s v="CRCA COIL TATXXD AH03 0.500X1250"/>
    <s v="C01"/>
    <s v="TATXXD"/>
    <s v="AH03"/>
    <n v="0.5"/>
    <n v="1250"/>
    <n v="0"/>
    <s v="T2 DONE"/>
    <s v=" "/>
    <s v=""/>
    <n v="10"/>
    <n v="30"/>
    <n v="58"/>
    <n v="53.55"/>
    <n v="4.45"/>
    <n v="3.165"/>
    <n v="35.004999999999995"/>
    <n v="0"/>
    <n v="0"/>
    <n v="0"/>
    <n v="0"/>
    <n v="0"/>
    <n v="0"/>
    <n v="0"/>
    <n v="0"/>
    <n v="0"/>
    <n v="0"/>
    <n v="0"/>
    <n v="1.2850000000000001"/>
    <n v="0"/>
    <n v="0"/>
    <n v="0"/>
    <n v="22.205000000000002"/>
    <n v="0"/>
    <n v="0"/>
    <n v="23.490000000000002"/>
    <n v="0"/>
    <n v="23.490000000000002"/>
    <n v="0"/>
    <n v="4.45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s v="RAKESH STEELS"/>
  </r>
  <r>
    <n v="743"/>
    <d v="2025-09-02T00:00:00"/>
    <s v="ZBTO"/>
    <n v="9519072526"/>
    <n v="2"/>
    <s v="9519072526-2"/>
    <s v="Stocks"/>
    <s v="Released"/>
    <x v="1"/>
    <s v="GP01"/>
    <s v="ACRM GP#3 WIDER HARD"/>
    <m/>
    <x v="2"/>
    <x v="10"/>
    <m/>
    <n v="2000"/>
    <s v="East"/>
    <s v="PURNIA"/>
    <s v="PATN"/>
    <n v="931671"/>
    <s v="BMW VENTURES LIMITED"/>
    <n v="3907468"/>
    <s v="GP COIL TATXGP GP02 0.350X1350"/>
    <s v="C05"/>
    <s v="TATXGP"/>
    <s v="GP02"/>
    <n v="0.35"/>
    <n v="1350"/>
    <n v="0"/>
    <s v="T2 DONE"/>
    <s v="Z120"/>
    <s v=""/>
    <n v="1"/>
    <n v="5"/>
    <n v="62"/>
    <n v="9.02"/>
    <n v="0"/>
    <n v="-59.78"/>
    <n v="9.02"/>
    <n v="0"/>
    <n v="0"/>
    <n v="0"/>
    <n v="0"/>
    <n v="0"/>
    <n v="59.78"/>
    <n v="0"/>
    <n v="0"/>
    <n v="0"/>
    <n v="0"/>
    <n v="0"/>
    <n v="0"/>
    <n v="0"/>
    <n v="0"/>
    <n v="0"/>
    <n v="0"/>
    <n v="0"/>
    <n v="0"/>
    <n v="59.78"/>
    <n v="0"/>
    <n v="59.78"/>
    <n v="0"/>
    <n v="0"/>
    <s v="0.32-0.365"/>
    <s v="1350-1370"/>
    <m/>
    <m/>
    <m/>
    <m/>
    <m/>
    <m/>
    <s v="M"/>
    <s v="GP03_SHKT"/>
    <s v="C05-GP02-0.35-1350"/>
    <s v="367-SF93-2-1365"/>
    <n v="367"/>
    <s v="S02149"/>
    <s v="SF93"/>
    <s v="C07A"/>
    <n v="2"/>
    <n v="1365"/>
    <n v="1700890"/>
    <m/>
    <m/>
    <m/>
    <m/>
    <m/>
    <m/>
    <m/>
    <m/>
    <m/>
    <m/>
    <m/>
    <m/>
    <m/>
    <m/>
    <m/>
    <m/>
    <m/>
    <m/>
    <m/>
    <s v="BMW VENTURES LIMITED"/>
  </r>
  <r>
    <n v="743"/>
    <d v="2025-09-02T00:00:00"/>
    <s v="ZBTO"/>
    <n v="9519072526"/>
    <n v="3"/>
    <s v="9519072526-3"/>
    <s v="Oct'25"/>
    <s v="Released"/>
    <x v="1"/>
    <s v="GP01"/>
    <s v="ACRM GP#3 WIDER HARD"/>
    <m/>
    <x v="2"/>
    <x v="10"/>
    <m/>
    <n v="2000"/>
    <s v="East"/>
    <s v="PURNIA"/>
    <s v="PATN"/>
    <n v="931671"/>
    <s v="BMW VENTURES LIMITED"/>
    <n v="3767014"/>
    <s v="GP COIL TATGPH GP02 0.400X1350"/>
    <s v="C05"/>
    <s v="TATGPH"/>
    <s v="GP02"/>
    <n v="0.4"/>
    <n v="1350"/>
    <n v="0"/>
    <s v="T2 DONE"/>
    <s v="Z120"/>
    <s v=""/>
    <n v="1"/>
    <n v="5"/>
    <n v="93"/>
    <n v="0"/>
    <n v="93"/>
    <n v="3.48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s v="0.38-0.425"/>
    <s v="1350-1370"/>
    <m/>
    <m/>
    <m/>
    <m/>
    <m/>
    <m/>
    <s v="M"/>
    <s v="GP03_SHKT"/>
    <s v="C05-GP02-0.4-1350"/>
    <s v="367-SF93-2.25-1365"/>
    <n v="367"/>
    <s v="S02149"/>
    <s v="SF93"/>
    <s v="C07A"/>
    <n v="2.25"/>
    <n v="1365"/>
    <n v="2229976"/>
    <m/>
    <m/>
    <m/>
    <m/>
    <m/>
    <m/>
    <m/>
    <m/>
    <m/>
    <m/>
    <m/>
    <m/>
    <m/>
    <m/>
    <m/>
    <m/>
    <m/>
    <m/>
    <m/>
    <s v="BMW VENTURES LIMITED"/>
  </r>
  <r>
    <n v="743"/>
    <d v="2025-09-12T00:00:00"/>
    <s v="ZBTO"/>
    <n v="9519099563"/>
    <n v="5"/>
    <s v="9519099563-5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hree Bajrang Steel Udyog"/>
  </r>
  <r>
    <n v="743"/>
    <d v="2025-09-12T00:00:00"/>
    <s v="ZBTO"/>
    <n v="9519099563"/>
    <n v="10"/>
    <s v="9519099563-10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hree Bajrang Steel Udyog"/>
  </r>
  <r>
    <n v="743"/>
    <d v="2025-09-12T00:00:00"/>
    <s v="ZBTO"/>
    <n v="9519099563"/>
    <n v="11"/>
    <s v="9519099563-11"/>
    <s v="Oct'25"/>
    <s v="Released"/>
    <x v="0"/>
    <s v="GP03"/>
    <s v="ACRM GP#3 NARROW"/>
    <m/>
    <x v="2"/>
    <x v="6"/>
    <m/>
    <n v="2000"/>
    <s v="East"/>
    <s v="WEST BOKARO"/>
    <s v="JAMS"/>
    <n v="185794"/>
    <s v="Shree Bajrang Steel Udyog"/>
    <n v="1854413"/>
    <s v="GP COIL SOFT-TATXGP-GK09-0.45X900"/>
    <s v="C02"/>
    <s v="TATXGP"/>
    <s v="GK09"/>
    <n v="0.45"/>
    <n v="900"/>
    <n v="0"/>
    <s v="T2 DONE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3-0.47"/>
    <s v="900-904"/>
    <m/>
    <m/>
    <m/>
    <m/>
    <m/>
    <m/>
    <s v="S"/>
    <s v="GP03_KOSH"/>
    <s v="C02-GK09-0.4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hree Bajrang Steel Udyog"/>
  </r>
  <r>
    <n v="744"/>
    <d v="2025-09-16T00:00:00"/>
    <s v="ZBTO"/>
    <n v="9519107996"/>
    <n v="1"/>
    <s v="9519107996-1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996225"/>
    <s v="PPGL C Y550 HPL6 0.40BMT(0.47TPT)X1220"/>
    <s v="B18"/>
    <s v="Y550PL"/>
    <s v="HPL6"/>
    <n v="0.4"/>
    <n v="1220"/>
    <n v="0"/>
    <s v="T2 DONE"/>
    <s v="aZ150"/>
    <s v="NUVO BLUE TSL 1903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s v="0.38-0.42"/>
    <s v="1220-1222"/>
    <m/>
    <m/>
    <m/>
    <m/>
    <m/>
    <m/>
    <s v="M"/>
    <s v="GP02_PPGL"/>
    <s v="B18-HPL6-0.4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2"/>
    <d v="2025-07-10T00:00:00"/>
    <s v="ZBTO"/>
    <n v="9518920185"/>
    <n v="1"/>
    <s v="9518920185-1"/>
    <s v="Oct'25"/>
    <s v="Released"/>
    <x v="1"/>
    <s v="CR03"/>
    <s v="ACRM CRCA SPM"/>
    <m/>
    <x v="0"/>
    <x v="15"/>
    <m/>
    <n v="2000"/>
    <s v="North"/>
    <s v="FARIDABAD"/>
    <s v="FBAD"/>
    <n v="116735"/>
    <s v="RAKESH STEELS"/>
    <n v="2420510"/>
    <s v="CRCA COIL TATXXD AH03 0.600X1250"/>
    <s v="C01"/>
    <s v="TATXXD"/>
    <s v="AH03"/>
    <n v="0.6"/>
    <n v="1250"/>
    <n v="0"/>
    <s v="T2 DONE"/>
    <s v=" "/>
    <s v=""/>
    <n v="10"/>
    <n v="30"/>
    <n v="58"/>
    <n v="49.75"/>
    <n v="8.25"/>
    <n v="7.52"/>
    <n v="24.22"/>
    <n v="0"/>
    <n v="0"/>
    <n v="0"/>
    <n v="0"/>
    <n v="0"/>
    <n v="0"/>
    <n v="0"/>
    <n v="0"/>
    <n v="0"/>
    <n v="0"/>
    <n v="0"/>
    <n v="0.73"/>
    <n v="0"/>
    <n v="0"/>
    <n v="0"/>
    <n v="11.97"/>
    <n v="0"/>
    <n v="0"/>
    <n v="12.700000000000001"/>
    <n v="0"/>
    <n v="12.700000000000001"/>
    <n v="0"/>
    <n v="8.25"/>
    <s v="0.57-0.61"/>
    <s v="1250-1270"/>
    <m/>
    <m/>
    <m/>
    <m/>
    <m/>
    <m/>
    <s v="U"/>
    <s v="CRCA_ME"/>
    <s v="C01-AH03-0.6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s v="RAKESH STEELS"/>
  </r>
  <r>
    <n v="742"/>
    <d v="2025-08-19T00:00:00"/>
    <s v="ZBTO"/>
    <n v="9519028090"/>
    <n v="3"/>
    <s v="9519028090-3"/>
    <s v="Oct'25"/>
    <s v="Released"/>
    <x v="1"/>
    <s v="CR03"/>
    <s v="ACRM CRCA SPM"/>
    <n v="3500"/>
    <x v="0"/>
    <x v="15"/>
    <m/>
    <n v="2000"/>
    <s v="East"/>
    <s v="JSR"/>
    <s v="CALS"/>
    <n v="155536"/>
    <s v="TATA STEEL DOWNSTREAM PRODUCTS LIMI"/>
    <n v="2420609"/>
    <s v="CRCA COIL TATXXD AH03 1.900X1250"/>
    <s v="C01"/>
    <s v="TATXXD"/>
    <s v="AH03"/>
    <n v="1.9"/>
    <n v="1250"/>
    <n v="0"/>
    <s v="T2 DONE"/>
    <s v=" "/>
    <s v=""/>
    <n v="13"/>
    <n v="29"/>
    <n v="58"/>
    <n v="0"/>
    <n v="58"/>
    <n v="2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7-1.9"/>
    <s v="1250-1270"/>
    <m/>
    <m/>
    <m/>
    <m/>
    <m/>
    <m/>
    <s v="U"/>
    <n v="0"/>
    <s v="C01-AH03-1.9-1250"/>
    <s v="367-SH67-4-1250"/>
    <n v="367"/>
    <s v="TSH067"/>
    <s v="SH67"/>
    <s v="C14A"/>
    <n v="4"/>
    <n v="1250"/>
    <n v="3920740"/>
    <m/>
    <m/>
    <m/>
    <m/>
    <m/>
    <m/>
    <m/>
    <m/>
    <m/>
    <m/>
    <m/>
    <m/>
    <m/>
    <m/>
    <m/>
    <m/>
    <m/>
    <m/>
    <m/>
    <s v="TATA STEEL DOWNSTREAM PRODUCTS LIMI"/>
  </r>
  <r>
    <n v="742"/>
    <d v="2025-08-06T00:00:00"/>
    <s v="ZBTO"/>
    <n v="9518997362"/>
    <n v="3"/>
    <s v="9518997362-3"/>
    <s v="Sep'25"/>
    <s v="Released"/>
    <x v="1"/>
    <s v="CR03"/>
    <s v="ACRM CRCA SPM"/>
    <m/>
    <x v="0"/>
    <x v="0"/>
    <m/>
    <n v="2000"/>
    <s v="North"/>
    <s v="RAILAPUR"/>
    <s v="SBAD"/>
    <n v="949570"/>
    <s v="G K ISPAT PRIVATE LIMITED"/>
    <n v="189861"/>
    <s v="CR COIL TATXXD AU03 1.150X1250"/>
    <s v="C01"/>
    <s v="TATXXD"/>
    <s v="AU03"/>
    <n v="1.1499999999999999"/>
    <n v="1250"/>
    <n v="0"/>
    <s v="T2 DONE"/>
    <s v=" "/>
    <s v=""/>
    <n v="12.6"/>
    <n v="25"/>
    <n v="57.999000000000002"/>
    <n v="37.795000000000002"/>
    <n v="20.202999999999999"/>
    <n v="20.202999999999999"/>
    <n v="12.17"/>
    <n v="0"/>
    <n v="0"/>
    <n v="0"/>
    <n v="0"/>
    <n v="0"/>
    <n v="0"/>
    <n v="0"/>
    <n v="0"/>
    <n v="0"/>
    <n v="0"/>
    <n v="0"/>
    <n v="0"/>
    <n v="0"/>
    <n v="0"/>
    <n v="0"/>
    <n v="12.575000000000001"/>
    <n v="0"/>
    <n v="12.17"/>
    <n v="24.745000000000001"/>
    <n v="12.17"/>
    <n v="12.575000000000001"/>
    <n v="0"/>
    <n v="8.0329999999999995"/>
    <s v="1.12-1.15"/>
    <s v="1250-1262"/>
    <m/>
    <m/>
    <m/>
    <m/>
    <m/>
    <m/>
    <s v="U"/>
    <s v="CRCA_STLM"/>
    <s v="C01-AU03-1.15-1250"/>
    <s v="367-SH08-3.2-1250"/>
    <n v="367"/>
    <s v="T01320"/>
    <s v="SH08"/>
    <s v="C16D"/>
    <n v="3.2"/>
    <n v="1250"/>
    <n v="406487"/>
    <m/>
    <m/>
    <m/>
    <m/>
    <m/>
    <m/>
    <m/>
    <m/>
    <m/>
    <m/>
    <m/>
    <m/>
    <m/>
    <m/>
    <m/>
    <m/>
    <m/>
    <m/>
    <m/>
    <s v="G K ISPAT PRIVATE LIMITED"/>
  </r>
  <r>
    <n v="742"/>
    <d v="2025-07-20T00:00:00"/>
    <s v="ZBTO"/>
    <n v="9518944233"/>
    <n v="2"/>
    <s v="9518944233-2"/>
    <s v="No Priority"/>
    <s v="Released"/>
    <x v="0"/>
    <s v="CR02"/>
    <s v="ACRM CRCA CRS"/>
    <m/>
    <x v="0"/>
    <x v="0"/>
    <m/>
    <n v="2000"/>
    <s v="South"/>
    <s v="VISHAKHAPATNAM"/>
    <s v="SBAD"/>
    <n v="946077"/>
    <s v="SITARAM IRON AND STEEL PVT LTD"/>
    <n v="1801798"/>
    <s v="CRCA COIL-TATXXD-AU03-1X900"/>
    <s v="C01"/>
    <s v="TATXXD"/>
    <s v="AU03"/>
    <n v="1"/>
    <n v="900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97-1"/>
    <s v="900-904"/>
    <m/>
    <m/>
    <m/>
    <m/>
    <m/>
    <m/>
    <s v="C"/>
    <s v="CRCA_STLM"/>
    <s v="C01-AU03-1-900"/>
    <s v="B69-SH08-2.8-925"/>
    <s v="B69"/>
    <s v="T01320"/>
    <s v="SH08"/>
    <s v="C16D"/>
    <n v="2.8"/>
    <n v="925"/>
    <n v="3918705"/>
    <m/>
    <m/>
    <m/>
    <m/>
    <m/>
    <m/>
    <m/>
    <m/>
    <m/>
    <m/>
    <m/>
    <m/>
    <m/>
    <m/>
    <m/>
    <m/>
    <m/>
    <m/>
    <m/>
    <s v="SITARAM IRON AND STEEL PVT LTD"/>
  </r>
  <r>
    <n v="742"/>
    <d v="2025-07-20T00:00:00"/>
    <s v="ZBTO"/>
    <n v="9518944233"/>
    <n v="3"/>
    <s v="9518944233-3"/>
    <s v="Sep'25"/>
    <s v="Released"/>
    <x v="1"/>
    <s v="CR02"/>
    <s v="ACRM CRCA CRS"/>
    <m/>
    <x v="0"/>
    <x v="0"/>
    <m/>
    <n v="2000"/>
    <s v="South"/>
    <s v="VISHAKHAPATNAM"/>
    <s v="SBAD"/>
    <n v="946077"/>
    <s v="SITARAM IRON AND STEEL PVT LTD"/>
    <n v="1804842"/>
    <s v="CRCA COIL-TATXXD-AU03-1X1000"/>
    <s v="C01"/>
    <s v="TATXXD"/>
    <s v="AU03"/>
    <n v="1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"/>
    <s v="1000-1004"/>
    <m/>
    <m/>
    <m/>
    <m/>
    <m/>
    <m/>
    <s v="C"/>
    <s v="CRCA_STLM"/>
    <s v="C01-AU03-1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SITARAM IRON AND STEEL PVT LTD"/>
  </r>
  <r>
    <n v="743"/>
    <d v="2025-08-21T00:00:00"/>
    <s v="ZBTO"/>
    <n v="9519035728"/>
    <n v="1"/>
    <s v="9519035728-1"/>
    <s v="Oct'25"/>
    <s v="Released"/>
    <x v="1"/>
    <s v="GL01"/>
    <s v="ACRM GP#2 TBSPL BGL"/>
    <m/>
    <x v="4"/>
    <x v="3"/>
    <m/>
    <n v="1000"/>
    <s v="TBSPL"/>
    <s v="TATANAGAR"/>
    <s v="BOMB"/>
    <n v="942284"/>
    <s v="TATA BLUESCOPE STEEL PRIVATE LIMITE"/>
    <n v="3856036"/>
    <s v="GL C YS550 M306 0.30BMT(0.32TCT)X900"/>
    <s v="B04"/>
    <s v="Y550GL"/>
    <s v="M306"/>
    <n v="0.3"/>
    <n v="900"/>
    <n v="0"/>
    <s v="T2 DONE"/>
    <s v="aZ70"/>
    <s v=""/>
    <n v="3"/>
    <n v="5"/>
    <n v="147"/>
    <n v="3.68"/>
    <n v="143.32"/>
    <n v="143.32"/>
    <n v="3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s v="0.28-0.32"/>
    <s v="900-902"/>
    <m/>
    <m/>
    <m/>
    <m/>
    <m/>
    <m/>
    <s v="R"/>
    <n v="0"/>
    <s v="B04-M306-0.3-900"/>
    <s v="727-SF93-2-903"/>
    <n v="727"/>
    <s v="S02149"/>
    <s v="SF93"/>
    <s v="C07A"/>
    <n v="2"/>
    <n v="903"/>
    <n v="4059596"/>
    <m/>
    <m/>
    <m/>
    <m/>
    <m/>
    <m/>
    <m/>
    <m/>
    <m/>
    <m/>
    <m/>
    <m/>
    <m/>
    <m/>
    <m/>
    <m/>
    <m/>
    <m/>
    <m/>
    <s v="TATA BLUESCOPE STEEL PRIVATE LIMITE"/>
  </r>
  <r>
    <n v="744"/>
    <d v="2025-08-21T00:00:00"/>
    <s v="ZBTO"/>
    <n v="9519035613"/>
    <n v="1"/>
    <s v="9519035613-1"/>
    <s v="Sep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248.19"/>
    <n v="31.809000000000001"/>
    <n v="3.7389999999999999"/>
    <n v="229.68000000000004"/>
    <n v="0"/>
    <n v="0"/>
    <n v="0"/>
    <n v="0"/>
    <n v="0"/>
    <n v="0"/>
    <n v="0"/>
    <n v="22.07"/>
    <n v="0"/>
    <n v="0"/>
    <n v="0"/>
    <n v="0"/>
    <n v="0"/>
    <n v="0"/>
    <n v="0"/>
    <n v="8.3350000000000009"/>
    <n v="0"/>
    <n v="44.365000000000002"/>
    <n v="74.77000000000001"/>
    <n v="44.365000000000002"/>
    <n v="30.405000000000008"/>
    <n v="0"/>
    <n v="-12.556000000000001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2"/>
    <d v="2025-08-20T00:00:00"/>
    <s v="ZBTO"/>
    <n v="9519031476"/>
    <n v="5"/>
    <s v="9519031476-5"/>
    <s v="Oct'25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40790"/>
    <s v="CRCA SHEET TSBCRC SR15 0.700X1000X2500"/>
    <s v="C06"/>
    <s v="TSBCRC"/>
    <s v="SR15"/>
    <n v="0.7"/>
    <n v="1000"/>
    <n v="2500"/>
    <s v="T2 DONE"/>
    <s v=" "/>
    <s v=""/>
    <n v="0.1"/>
    <n v="5"/>
    <n v="23"/>
    <n v="0"/>
    <n v="23"/>
    <n v="1.91"/>
    <n v="0"/>
    <n v="0"/>
    <n v="0"/>
    <n v="0"/>
    <n v="0"/>
    <n v="0"/>
    <n v="0"/>
    <n v="0"/>
    <n v="0"/>
    <n v="0"/>
    <n v="0"/>
    <n v="0"/>
    <n v="21.09"/>
    <n v="0"/>
    <n v="0"/>
    <n v="0"/>
    <n v="0"/>
    <n v="0"/>
    <n v="0"/>
    <n v="21.09"/>
    <n v="0"/>
    <n v="21.09"/>
    <n v="0"/>
    <n v="23"/>
    <s v="0.67-0.7"/>
    <s v="1000-1002"/>
    <m/>
    <m/>
    <m/>
    <m/>
    <m/>
    <m/>
    <s v="T"/>
    <s v="CRCA_SUPR"/>
    <s v="C06-SR15-0.7-1000"/>
    <s v="B69-SH69-2.8-1025"/>
    <s v="B69"/>
    <s v="T01069"/>
    <s v="SH69"/>
    <s v="R12A"/>
    <n v="2.8"/>
    <n v="1025"/>
    <n v="3918221"/>
    <m/>
    <m/>
    <m/>
    <m/>
    <m/>
    <m/>
    <m/>
    <m/>
    <m/>
    <m/>
    <m/>
    <m/>
    <m/>
    <m/>
    <m/>
    <m/>
    <m/>
    <m/>
    <m/>
    <s v="BHARTIA  DISTRIBUTORS PVT. LTD."/>
  </r>
  <r>
    <n v="742"/>
    <d v="2025-08-20T00:00:00"/>
    <s v="ZBTO"/>
    <n v="9519031476"/>
    <n v="6"/>
    <s v="9519031476-6"/>
    <s v="Stocks"/>
    <s v="Released"/>
    <x v="1"/>
    <s v="CR01"/>
    <s v="ACRM CRCA CTL"/>
    <m/>
    <x v="0"/>
    <x v="5"/>
    <m/>
    <n v="2000"/>
    <s v="East"/>
    <s v="TANGI"/>
    <s v="BHUB"/>
    <n v="117061"/>
    <s v="BHARTIA  DISTRIBUTORS PVT. LTD."/>
    <n v="3240799"/>
    <s v="CRCA SHEET TSBCRC SR15 0.750X1250X2500"/>
    <s v="C06"/>
    <s v="TSBCRC"/>
    <s v="SR15"/>
    <n v="0.75"/>
    <n v="1250"/>
    <n v="2500"/>
    <s v="T2 DONE"/>
    <s v=" "/>
    <s v=""/>
    <n v="0.1"/>
    <n v="5"/>
    <n v="29"/>
    <n v="7.96"/>
    <n v="21.04"/>
    <n v="21.04"/>
    <n v="5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04"/>
    <s v="0.72-0.75"/>
    <s v="1250-1251"/>
    <m/>
    <m/>
    <m/>
    <m/>
    <m/>
    <m/>
    <s v="T"/>
    <s v="CRCA_SUPR"/>
    <s v="C06-SR15-0.75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s v="BHARTIA  DISTRIBUTORS PVT. LTD."/>
  </r>
  <r>
    <n v="742"/>
    <d v="2025-07-21T00:00:00"/>
    <s v="ZBTO"/>
    <n v="9518946807"/>
    <n v="2"/>
    <s v="9518946807-2"/>
    <s v="No Priority"/>
    <s v="Released"/>
    <x v="0"/>
    <s v="CR02"/>
    <s v="ACRM CRCA CRS"/>
    <m/>
    <x v="0"/>
    <x v="0"/>
    <m/>
    <n v="2000"/>
    <s v="North"/>
    <s v="ZOSOLA"/>
    <s v="FBAD"/>
    <n v="101499"/>
    <s v="G.R. GUPTA &amp; BROS."/>
    <n v="1804772"/>
    <s v="CRCA COIL TATXXD AU03 0.4X1250"/>
    <s v="C01"/>
    <s v="TATXXD"/>
    <s v="AU03"/>
    <n v="0.4"/>
    <n v="1250"/>
    <n v="0"/>
    <s v="T2 DONE"/>
    <s v=" "/>
    <s v=""/>
    <n v="10"/>
    <n v="30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7-0.41"/>
    <s v="1250-1252"/>
    <m/>
    <m/>
    <m/>
    <m/>
    <m/>
    <m/>
    <s v="M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G.R. GUPTA &amp; BROS."/>
  </r>
  <r>
    <n v="742"/>
    <d v="2025-07-21T00:00:00"/>
    <s v="ZBTO"/>
    <n v="9518946807"/>
    <n v="3"/>
    <s v="9518946807-3"/>
    <s v="No Priority"/>
    <s v="Released"/>
    <x v="0"/>
    <s v="CR02"/>
    <s v="ACRM CRCA CRS"/>
    <m/>
    <x v="0"/>
    <x v="0"/>
    <m/>
    <n v="2000"/>
    <s v="North"/>
    <s v="ZOSOLA"/>
    <s v="FBAD"/>
    <n v="101499"/>
    <s v="G.R. GUPTA &amp; BROS."/>
    <n v="1801022"/>
    <s v="CRCA COIL-TATXXD-AU03-0.45X1250"/>
    <s v="C01"/>
    <s v="TATXXD"/>
    <s v="AU03"/>
    <n v="0.45"/>
    <n v="1250"/>
    <n v="0"/>
    <s v="T2 DONE"/>
    <s v=" "/>
    <s v=""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2-0.46"/>
    <s v="1250-1252"/>
    <m/>
    <m/>
    <m/>
    <m/>
    <m/>
    <m/>
    <s v="M"/>
    <s v="CRCA_STLM"/>
    <s v="C01-AU03-0.45-1250"/>
    <s v="367-SH08-2.25-1250"/>
    <n v="367"/>
    <s v="T01320"/>
    <s v="SH08"/>
    <s v="C16D"/>
    <n v="2.25"/>
    <n v="1250"/>
    <n v="1387018"/>
    <m/>
    <m/>
    <m/>
    <m/>
    <m/>
    <m/>
    <m/>
    <m/>
    <m/>
    <m/>
    <m/>
    <m/>
    <m/>
    <m/>
    <m/>
    <m/>
    <m/>
    <m/>
    <m/>
    <s v="G.R. GUPTA &amp; BROS."/>
  </r>
  <r>
    <n v="742"/>
    <d v="2025-07-21T00:00:00"/>
    <s v="ZBTO"/>
    <n v="9518945240"/>
    <n v="2"/>
    <s v="9518945240-2"/>
    <s v="No Priority"/>
    <s v="Released"/>
    <x v="0"/>
    <s v="CR02"/>
    <s v="ACRM CRCA CRS"/>
    <m/>
    <x v="0"/>
    <x v="0"/>
    <m/>
    <n v="2000"/>
    <s v="West"/>
    <s v="LONI"/>
    <s v="DELI"/>
    <n v="101499"/>
    <s v="G.R. GUPTA &amp; BROS."/>
    <n v="1801022"/>
    <s v="CRCA COIL-TATXXD-AU03-0.45X1250"/>
    <s v="C01"/>
    <s v="TATXXD"/>
    <s v="AU03"/>
    <n v="0.45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7"/>
    <s v="1250-1262"/>
    <m/>
    <m/>
    <m/>
    <m/>
    <m/>
    <m/>
    <s v="M"/>
    <s v="CRCA_STLM"/>
    <s v="C01-AU03-0.45-1250"/>
    <s v="367-SH08-2.25-1250"/>
    <n v="367"/>
    <s v="T01320"/>
    <s v="SH08"/>
    <s v="C16D"/>
    <n v="2.25"/>
    <n v="1250"/>
    <n v="1387018"/>
    <m/>
    <m/>
    <m/>
    <m/>
    <m/>
    <m/>
    <m/>
    <m/>
    <m/>
    <m/>
    <m/>
    <m/>
    <m/>
    <m/>
    <m/>
    <m/>
    <m/>
    <m/>
    <m/>
    <s v="G.R. GUPTA &amp; BROS."/>
  </r>
  <r>
    <n v="742"/>
    <d v="2025-07-18T00:00:00"/>
    <s v="ZBTO"/>
    <n v="9518939234"/>
    <n v="1"/>
    <s v="9518939234-1"/>
    <s v="No Priority"/>
    <s v="Released"/>
    <x v="0"/>
    <s v="CR01"/>
    <s v="ACRM CRCA CTL"/>
    <m/>
    <x v="0"/>
    <x v="5"/>
    <m/>
    <n v="2000"/>
    <s v="East"/>
    <s v="HOWRAH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s v=" "/>
    <s v=""/>
    <n v="0"/>
    <n v="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5-0.7"/>
    <s v="1120-1122"/>
    <m/>
    <m/>
    <m/>
    <m/>
    <m/>
    <m/>
    <s v="T"/>
    <s v="CRCA_SUPR"/>
    <s v="C06-SR15-0.7-1120"/>
    <s v="367-SH69-2.8-1130"/>
    <n v="367"/>
    <s v="T01069"/>
    <s v="SH69"/>
    <s v="R12A"/>
    <n v="2.8"/>
    <n v="1130"/>
    <n v="3958460"/>
    <m/>
    <m/>
    <m/>
    <m/>
    <m/>
    <m/>
    <m/>
    <m/>
    <m/>
    <m/>
    <m/>
    <m/>
    <m/>
    <m/>
    <m/>
    <m/>
    <m/>
    <m/>
    <m/>
    <s v="PSPL STEEL PROCESSORS PRIVATE LIMIT"/>
  </r>
  <r>
    <n v="743"/>
    <d v="2025-07-16T00:00:00"/>
    <s v="ZBTO"/>
    <n v="9518933421"/>
    <n v="1"/>
    <s v="9518933421-1"/>
    <s v="No Priority"/>
    <s v="Released"/>
    <x v="0"/>
    <s v="GP03"/>
    <s v="ACRM GP#3 NARROW"/>
    <m/>
    <x v="2"/>
    <x v="6"/>
    <m/>
    <n v="2000"/>
    <s v="North"/>
    <m/>
    <s v="KANP"/>
    <n v="938845"/>
    <s v="JAISWAL IRON STORES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JAISWAL IRON STORES"/>
  </r>
  <r>
    <n v="743"/>
    <d v="2025-07-17T00:00:00"/>
    <s v="ZBTO"/>
    <n v="9518936251"/>
    <n v="1"/>
    <s v="9518936251-1"/>
    <s v="No Priority"/>
    <s v="Released"/>
    <x v="0"/>
    <s v="GP03"/>
    <s v="ACRM GP#3 NARROW"/>
    <m/>
    <x v="2"/>
    <x v="6"/>
    <m/>
    <n v="2000"/>
    <s v="North"/>
    <s v="KANPUR"/>
    <s v="KANP"/>
    <n v="938789"/>
    <s v="JAIN STEEL DISTRIBUTORS"/>
    <n v="1191955"/>
    <s v="GP COIL SOFT-TATXGP-GK09-0.3X900"/>
    <s v="C02"/>
    <s v="TATXGP"/>
    <s v="GK09"/>
    <n v="0.3"/>
    <n v="900"/>
    <n v="0"/>
    <s v="T2 DONE"/>
    <s v="Z80"/>
    <s v=""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296-0.3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JAIN STEEL DISTRIBUTORS"/>
  </r>
  <r>
    <n v="743"/>
    <d v="2025-07-17T00:00:00"/>
    <s v="ZBTO"/>
    <n v="9518936251"/>
    <n v="2"/>
    <s v="9518936251-2"/>
    <s v="No Priority"/>
    <s v="Released"/>
    <x v="0"/>
    <s v="GP03"/>
    <s v="ACRM GP#3 NARROW"/>
    <m/>
    <x v="2"/>
    <x v="6"/>
    <m/>
    <n v="2000"/>
    <s v="North"/>
    <s v="KANPUR"/>
    <s v="KANP"/>
    <n v="938789"/>
    <s v="JAIN STEEL DISTRIBUTORS"/>
    <n v="1851065"/>
    <s v="GP COIL SOFT-TATXGP-GK09-0.25X900"/>
    <s v="C02"/>
    <s v="TATXGP"/>
    <s v="GK09"/>
    <n v="0.25"/>
    <n v="900"/>
    <n v="0"/>
    <s v="T2 DONE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246-0.25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JAIN STEEL DISTRIBUTORS"/>
  </r>
  <r>
    <n v="743"/>
    <d v="2025-07-17T00:00:00"/>
    <s v="ZBTO"/>
    <n v="9518936251"/>
    <n v="3"/>
    <s v="9518936251-3"/>
    <s v="No Priority"/>
    <s v="Released"/>
    <x v="0"/>
    <s v="GP03"/>
    <s v="ACRM GP#3 NARROW"/>
    <m/>
    <x v="2"/>
    <x v="6"/>
    <m/>
    <n v="2000"/>
    <s v="North"/>
    <s v="KANPUR"/>
    <s v="KANP"/>
    <n v="938789"/>
    <s v="JAIN STEEL DISTRIBUTORS"/>
    <n v="1851054"/>
    <s v="GP COIL SOFT-TATXGP-GK09-0.2X900"/>
    <s v="C02"/>
    <s v="TATXGP"/>
    <s v="GK09"/>
    <n v="0.2"/>
    <n v="900"/>
    <n v="0"/>
    <s v="T2 DONE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196-0.2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m/>
    <m/>
    <m/>
    <m/>
    <m/>
    <m/>
    <m/>
    <m/>
    <m/>
    <m/>
    <m/>
    <m/>
    <m/>
    <m/>
    <s v="JAIN STEEL DISTRIBUTORS"/>
  </r>
  <r>
    <n v="743"/>
    <d v="2025-09-02T00:00:00"/>
    <s v="ZBTO"/>
    <n v="9519072913"/>
    <n v="3"/>
    <s v="9519072913-3"/>
    <s v="Sep'25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R. S. BOKARO METAL (P) LTD."/>
  </r>
  <r>
    <n v="743"/>
    <d v="2025-09-02T00:00:00"/>
    <s v="ZBTO"/>
    <n v="9519072913"/>
    <n v="5"/>
    <s v="9519072913-5"/>
    <s v="Sep'25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R. S. BOKARO METAL (P) LTD."/>
  </r>
  <r>
    <n v="742"/>
    <d v="2025-08-26T00:00:00"/>
    <s v="ZBTO"/>
    <n v="9519049797"/>
    <n v="2"/>
    <s v="9519049797-2"/>
    <s v="No Priority"/>
    <s v="Released"/>
    <x v="0"/>
    <s v="CR01"/>
    <s v="ACRM CRCA CTL"/>
    <m/>
    <x v="0"/>
    <x v="5"/>
    <m/>
    <n v="2000"/>
    <s v="East"/>
    <s v="SILIGURI TOWN"/>
    <s v="GWAH"/>
    <n v="948783"/>
    <s v="SAGAR STEELS"/>
    <n v="3409912"/>
    <s v="CRCA SHEET TSBCRC SR15 0.500X1120X2000"/>
    <s v="C06"/>
    <s v="TSBCRC"/>
    <s v="SR15"/>
    <n v="0.5"/>
    <n v="1120"/>
    <n v="2000"/>
    <s v="T2 DONE"/>
    <s v=" "/>
    <s v=""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47-0.5"/>
    <s v="1120-1132"/>
    <m/>
    <m/>
    <m/>
    <m/>
    <m/>
    <m/>
    <s v="T"/>
    <s v="CRCA_SUPR"/>
    <s v="C06-SR15-0.5-1120"/>
    <s v="367-SH69-2.25-1135"/>
    <n v="367"/>
    <s v="T01069"/>
    <s v="SH69"/>
    <s v="R12A"/>
    <n v="2.25"/>
    <n v="1135"/>
    <e v="#N/A"/>
    <m/>
    <m/>
    <m/>
    <m/>
    <m/>
    <m/>
    <m/>
    <m/>
    <m/>
    <m/>
    <m/>
    <m/>
    <m/>
    <m/>
    <m/>
    <m/>
    <m/>
    <m/>
    <m/>
    <s v="SAGAR STEELS"/>
  </r>
  <r>
    <n v="742"/>
    <d v="2025-09-11T00:00:00"/>
    <s v="ZBTO"/>
    <n v="9519094552"/>
    <n v="6"/>
    <s v="9519094552-6"/>
    <s v="Oct'25"/>
    <s v="Released"/>
    <x v="1"/>
    <s v="CR01"/>
    <s v="ACRM CRCA CTL"/>
    <m/>
    <x v="0"/>
    <x v="5"/>
    <m/>
    <n v="2000"/>
    <s v="East"/>
    <s v="SILIGURI TOWN"/>
    <s v="GWAH"/>
    <n v="948783"/>
    <s v="SAGAR STEELS"/>
    <n v="3240753"/>
    <s v="CRCA SHEET TSBCRC SR15 0.500X900X2500"/>
    <s v="C06"/>
    <s v="TSBCRC"/>
    <s v="SR15"/>
    <n v="0.5"/>
    <n v="900"/>
    <n v="2500"/>
    <s v="T2 DONE"/>
    <s v=" "/>
    <s v=""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"/>
    <s v="900-920"/>
    <m/>
    <m/>
    <m/>
    <m/>
    <m/>
    <m/>
    <s v="T"/>
    <s v="CRCA_SUPR"/>
    <s v="C06-SR15-0.5-900"/>
    <s v="B69-SH69-2.25-925"/>
    <s v="B69"/>
    <s v="T01069"/>
    <s v="SH69"/>
    <s v="R12A"/>
    <n v="2.25"/>
    <n v="925"/>
    <e v="#N/A"/>
    <m/>
    <m/>
    <m/>
    <m/>
    <m/>
    <m/>
    <m/>
    <m/>
    <m/>
    <m/>
    <m/>
    <m/>
    <m/>
    <m/>
    <m/>
    <m/>
    <m/>
    <m/>
    <m/>
    <s v="SAGAR STEELS"/>
  </r>
  <r>
    <n v="742"/>
    <d v="2025-08-29T00:00:00"/>
    <s v="ZBTO"/>
    <n v="9519062631"/>
    <n v="12"/>
    <s v="9519062631-12"/>
    <s v="Oct'25"/>
    <s v="Released"/>
    <x v="1"/>
    <s v="CR01"/>
    <s v="ACRM CRCA CTL"/>
    <m/>
    <x v="0"/>
    <x v="5"/>
    <m/>
    <n v="2000"/>
    <s v="North"/>
    <s v="VARANASI"/>
    <s v="FBAD"/>
    <n v="931525"/>
    <s v="INDIA STEEL INDUSTRIES"/>
    <n v="3240863"/>
    <s v="CRCA SHEET TSBCRC SR15 1.500X1250X2500"/>
    <s v="C06"/>
    <s v="TSBCRC"/>
    <s v="SR15"/>
    <n v="1.5"/>
    <n v="1250"/>
    <n v="2500"/>
    <s v="T2 DONE"/>
    <s v=" "/>
    <s v=""/>
    <n v="0"/>
    <n v="0"/>
    <n v="29"/>
    <n v="0"/>
    <n v="29"/>
    <n v="1.5"/>
    <n v="0"/>
    <n v="0"/>
    <n v="0"/>
    <n v="0"/>
    <n v="0"/>
    <n v="0"/>
    <n v="0"/>
    <n v="0"/>
    <n v="0"/>
    <n v="0"/>
    <n v="27.5"/>
    <n v="0"/>
    <n v="0"/>
    <n v="0"/>
    <n v="0"/>
    <n v="0"/>
    <n v="0"/>
    <n v="0"/>
    <n v="0"/>
    <n v="27.5"/>
    <n v="0"/>
    <n v="27.5"/>
    <n v="0"/>
    <n v="29"/>
    <s v="1.48-1.52"/>
    <s v="1250-1254"/>
    <m/>
    <m/>
    <m/>
    <m/>
    <m/>
    <m/>
    <s v="M"/>
    <s v="NA"/>
    <s v="C06-SR15-1.5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INDIA STEEL INDUSTRIES"/>
  </r>
  <r>
    <n v="742"/>
    <d v="2025-08-28T00:00:00"/>
    <s v="ZBTO"/>
    <n v="9519056703"/>
    <n v="5"/>
    <s v="9519056703-5"/>
    <s v="No Priority"/>
    <s v="Released"/>
    <x v="0"/>
    <s v="CR01"/>
    <s v="ACRM CRCA CTL"/>
    <m/>
    <x v="0"/>
    <x v="5"/>
    <m/>
    <n v="2000"/>
    <s v="North"/>
    <s v="VARANASI"/>
    <s v="FBAD"/>
    <n v="931525"/>
    <s v="INDIA STEEL INDUSTRIES"/>
    <n v="4083606"/>
    <s v="CRCA SHEET TSBCRC SR15 0.400X1000X2500"/>
    <s v="C06"/>
    <s v="TSBCRC"/>
    <s v="SR15"/>
    <n v="0.4"/>
    <n v="1000"/>
    <n v="2500"/>
    <s v="T1 REJECT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M"/>
    <s v="NA"/>
    <s v="C06-SR15-0.4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s v="INDIA STEEL INDUSTRIES"/>
  </r>
  <r>
    <n v="742"/>
    <d v="2025-09-09T00:00:00"/>
    <s v="ZBTN"/>
    <n v="9519088402"/>
    <n v="1"/>
    <s v="9519088402-1"/>
    <s v="No Priority"/>
    <s v="Released"/>
    <x v="0"/>
    <s v="CR01"/>
    <s v="ACRM CRCA CTL"/>
    <m/>
    <x v="0"/>
    <x v="16"/>
    <m/>
    <n v="2000"/>
    <s v="South"/>
    <s v="VISHAKHAPATNAM"/>
    <s v="EXPO"/>
    <n v="189881"/>
    <s v="Magni Steel Pvt Ltd"/>
    <n v="3532124"/>
    <s v="CRCA SHEET TATCRC EX08 0.300X1219X2438"/>
    <s v="C06"/>
    <s v="TATCRC"/>
    <s v="EX08"/>
    <n v="0.3"/>
    <n v="1219"/>
    <n v="2438"/>
    <s v="T2 DONE"/>
    <s v=" "/>
    <s v=""/>
    <n v="2"/>
    <n v="3"/>
    <n v="26"/>
    <n v="0"/>
    <n v="26"/>
    <n v="-0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28-0.32"/>
    <s v="1219-1224"/>
    <m/>
    <m/>
    <m/>
    <m/>
    <m/>
    <m/>
    <s v="M"/>
    <s v="NA"/>
    <s v="C06-EX08-0.3-1219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Angul Cold Rolling Mill"/>
  </r>
  <r>
    <n v="742"/>
    <d v="2025-09-09T00:00:00"/>
    <s v="ZBTN"/>
    <n v="9519088402"/>
    <n v="2"/>
    <s v="9519088402-2"/>
    <s v="No Priority"/>
    <s v="Released"/>
    <x v="0"/>
    <s v="CR01"/>
    <s v="ACRM CRCA CTL"/>
    <m/>
    <x v="0"/>
    <x v="16"/>
    <m/>
    <n v="2000"/>
    <s v="South"/>
    <s v="VISHAKHAPATNAM"/>
    <s v="EXPO"/>
    <n v="189881"/>
    <s v="Magni Steel Pvt Ltd"/>
    <n v="3532126"/>
    <s v="CRCA SHEET TATCRC EX08 0.350X1219X2438"/>
    <s v="C06"/>
    <s v="TATCRC"/>
    <s v="EX08"/>
    <n v="0.35"/>
    <n v="1219"/>
    <n v="2438"/>
    <s v="T2 DONE"/>
    <s v=" "/>
    <s v=""/>
    <n v="2"/>
    <n v="3"/>
    <n v="26"/>
    <n v="0"/>
    <n v="26"/>
    <n v="-0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32-0.36"/>
    <s v="1219-1224"/>
    <m/>
    <m/>
    <m/>
    <m/>
    <m/>
    <m/>
    <s v="M"/>
    <s v="NA"/>
    <s v="C06-EX08-0.35-1219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Angul Cold Rolling Mill"/>
  </r>
  <r>
    <n v="742"/>
    <d v="2025-08-26T00:00:00"/>
    <s v="ZBTO"/>
    <n v="9519051309"/>
    <n v="1"/>
    <s v="9519051309-1"/>
    <s v="Oct'25"/>
    <s v="Released"/>
    <x v="1"/>
    <s v="CR01"/>
    <s v="ACRM CRCA CTL"/>
    <m/>
    <x v="0"/>
    <x v="5"/>
    <m/>
    <n v="2000"/>
    <s v="East"/>
    <s v="SILIGURI TOWN"/>
    <s v="GWAH"/>
    <n v="948783"/>
    <s v="SAGAR STEELS"/>
    <n v="3240778"/>
    <s v="CRCA SHEET TSBCRC SR15 0.600X1000X2500"/>
    <s v="C06"/>
    <s v="TSBCRC"/>
    <s v="SR15"/>
    <n v="0.6"/>
    <n v="1000"/>
    <n v="2500"/>
    <s v="T2 DONE"/>
    <s v=" "/>
    <s v=""/>
    <n v="2"/>
    <n v="3"/>
    <n v="22.98"/>
    <n v="0"/>
    <n v="22.98"/>
    <n v="22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8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SAGAR STEELS"/>
  </r>
  <r>
    <n v="744"/>
    <d v="2025-08-30T00:00:00"/>
    <s v="ZBTO"/>
    <n v="9519065717"/>
    <n v="3"/>
    <s v="9519065717-3"/>
    <s v="Sep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80"/>
    <n v="226.54499999999999"/>
    <n v="53.454999999999998"/>
    <n v="1.72"/>
    <n v="163.56000000000003"/>
    <n v="199.16"/>
    <n v="0"/>
    <n v="0"/>
    <n v="0"/>
    <n v="0"/>
    <n v="0"/>
    <n v="8.7550000000000008"/>
    <n v="71.545000000000002"/>
    <n v="0"/>
    <n v="0"/>
    <n v="0"/>
    <n v="0"/>
    <n v="0"/>
    <n v="0"/>
    <n v="0"/>
    <n v="0"/>
    <n v="0"/>
    <n v="0"/>
    <n v="279.45999999999998"/>
    <n v="0"/>
    <n v="279.45999999999998"/>
    <n v="0"/>
    <n v="53.454999999999998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4"/>
    <d v="2025-08-30T00:00:00"/>
    <s v="ZBTO"/>
    <n v="9519065717"/>
    <n v="4"/>
    <s v="9519065717-4"/>
    <s v="Sep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24"/>
    <n v="82.53"/>
    <n v="141.47"/>
    <n v="21.954000000000001"/>
    <n v="22.28"/>
    <n v="57.08"/>
    <n v="0"/>
    <n v="0"/>
    <n v="0"/>
    <n v="0"/>
    <n v="0"/>
    <n v="0"/>
    <n v="0"/>
    <n v="0"/>
    <n v="0"/>
    <n v="0"/>
    <n v="0"/>
    <n v="0"/>
    <n v="0"/>
    <n v="0"/>
    <n v="0"/>
    <n v="0"/>
    <n v="0"/>
    <n v="57.08"/>
    <n v="0"/>
    <n v="57.08"/>
    <n v="0"/>
    <n v="141.47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2"/>
    <d v="2025-08-18T00:00:00"/>
    <s v="ZBTO"/>
    <n v="9519025273"/>
    <n v="6"/>
    <s v="9519025273-6"/>
    <s v="No Priority"/>
    <s v="Released"/>
    <x v="0"/>
    <s v="CR01"/>
    <s v="ACRM CRCA CTL"/>
    <m/>
    <x v="0"/>
    <x v="5"/>
    <m/>
    <n v="2000"/>
    <s v="East"/>
    <s v="HOWRAH"/>
    <s v="CALS"/>
    <n v="925093"/>
    <s v="PSPL STEEL PROCESSORS PRIVATE LIMIT"/>
    <n v="3240753"/>
    <s v="CRCA SHEET TSBCRC SR15 0.500X900X2500"/>
    <s v="C06"/>
    <s v="TSBCRC"/>
    <s v="SR15"/>
    <n v="0.5"/>
    <n v="900"/>
    <n v="2500"/>
    <s v="T2 DONE"/>
    <s v=" "/>
    <s v=""/>
    <n v="2"/>
    <n v="3"/>
    <n v="20.998999999999999"/>
    <n v="0"/>
    <n v="20.998999999999999"/>
    <n v="20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999999999999"/>
    <s v="0.47-0.5"/>
    <s v="900-902"/>
    <m/>
    <m/>
    <m/>
    <m/>
    <m/>
    <m/>
    <s v="T"/>
    <s v="CRCA_SUPR"/>
    <s v="C06-SR15-0.5-900"/>
    <s v="B69-SH69-2.25-925"/>
    <s v="B69"/>
    <s v="T01069"/>
    <s v="SH69"/>
    <s v="R12A"/>
    <n v="2.25"/>
    <n v="925"/>
    <e v="#N/A"/>
    <m/>
    <m/>
    <m/>
    <m/>
    <m/>
    <m/>
    <m/>
    <m/>
    <m/>
    <m/>
    <m/>
    <m/>
    <m/>
    <m/>
    <m/>
    <m/>
    <m/>
    <m/>
    <m/>
    <s v="PSPL STEEL PROCESSORS PRIVATE LIMIT"/>
  </r>
  <r>
    <n v="742"/>
    <d v="2025-08-18T00:00:00"/>
    <s v="ZBTO"/>
    <n v="9519025273"/>
    <n v="8"/>
    <s v="9519025273-8"/>
    <s v="Oct'25"/>
    <s v="Released"/>
    <x v="1"/>
    <s v="CR01"/>
    <s v="ACRM CRCA CTL"/>
    <m/>
    <x v="0"/>
    <x v="5"/>
    <m/>
    <n v="2000"/>
    <s v="East"/>
    <s v="HOWRAH"/>
    <s v="CALS"/>
    <n v="925093"/>
    <s v="PSPL STEEL PROCESSORS PRIVATE LIMIT"/>
    <n v="3240772"/>
    <s v="CRCA SHEET TSBCRC SR15 0.600X900X2500"/>
    <s v="C06"/>
    <s v="TSBCRC"/>
    <s v="SR15"/>
    <n v="0.6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"/>
    <s v="900-902"/>
    <m/>
    <m/>
    <m/>
    <m/>
    <m/>
    <m/>
    <s v="T"/>
    <s v="CRCA_SUPR"/>
    <s v="C06-SR15-0.6-900"/>
    <s v="B69-SH69-2.5-925"/>
    <s v="B69"/>
    <s v="T01069"/>
    <s v="SH69"/>
    <s v="R12A"/>
    <n v="2.5"/>
    <n v="925"/>
    <n v="3918108"/>
    <m/>
    <m/>
    <m/>
    <m/>
    <m/>
    <m/>
    <m/>
    <m/>
    <m/>
    <m/>
    <m/>
    <m/>
    <m/>
    <m/>
    <m/>
    <m/>
    <m/>
    <m/>
    <m/>
    <s v="PSPL STEEL PROCESSORS PRIVATE LIMIT"/>
  </r>
  <r>
    <n v="742"/>
    <d v="2025-07-18T00:00:00"/>
    <s v="ZBTO"/>
    <n v="9518939680"/>
    <n v="26"/>
    <s v="9518939680-26"/>
    <s v="No Priority"/>
    <s v="Released"/>
    <x v="0"/>
    <s v="CR02"/>
    <s v="ACRM CRCA CRS"/>
    <m/>
    <x v="0"/>
    <x v="0"/>
    <m/>
    <n v="2000"/>
    <s v="South"/>
    <s v="CHENNAI"/>
    <s v="MADS"/>
    <n v="938550"/>
    <s v="BASEER AND CO"/>
    <n v="2146777"/>
    <s v="CRCA COIL TATXXD AU03 1X914"/>
    <s v="C01"/>
    <s v="TATXXD"/>
    <s v="AU03"/>
    <n v="1"/>
    <n v="914"/>
    <n v="0"/>
    <s v="T2 DONE"/>
    <s v=" "/>
    <s v=""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98-1.02"/>
    <s v="914-918"/>
    <m/>
    <m/>
    <m/>
    <m/>
    <m/>
    <m/>
    <s v="R"/>
    <s v="CRCA_STLM"/>
    <s v="C01-AU03-1-914"/>
    <s v="B69-SH08-2.8-935"/>
    <s v="B69"/>
    <s v="T01320"/>
    <s v="SH08"/>
    <s v="C16D"/>
    <n v="2.8"/>
    <n v="935"/>
    <n v="3655827"/>
    <m/>
    <m/>
    <m/>
    <m/>
    <m/>
    <m/>
    <m/>
    <m/>
    <m/>
    <m/>
    <m/>
    <m/>
    <m/>
    <m/>
    <m/>
    <m/>
    <m/>
    <m/>
    <m/>
    <s v="BASEER AND CO"/>
  </r>
  <r>
    <n v="742"/>
    <d v="2025-08-14T00:00:00"/>
    <s v="ZBTF"/>
    <n v="9519016369"/>
    <n v="1"/>
    <s v="9519016369-1"/>
    <s v="No Priority"/>
    <s v="Released"/>
    <x v="0"/>
    <e v="#N/A"/>
    <e v="#N/A"/>
    <m/>
    <x v="5"/>
    <x v="7"/>
    <m/>
    <n v="4000"/>
    <s v="South"/>
    <s v="YESHWANTHPURA"/>
    <s v="TUBE"/>
    <n v="760004"/>
    <s v="TUBES DIVISION"/>
    <n v="2390551"/>
    <s v="CRFH COIL TATFHC RE04 1X1250"/>
    <s v="C09"/>
    <s v="TATFHC"/>
    <s v="RE04"/>
    <n v="1"/>
    <n v="1250"/>
    <n v="0"/>
    <s v="T2 DONE"/>
    <s v=" "/>
    <s v=""/>
    <n v="10"/>
    <n v="27"/>
    <n v="116"/>
    <n v="85.135000000000005"/>
    <n v="30.864999999999998"/>
    <n v="30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864999999999998"/>
    <s v="0.97-1.03"/>
    <s v="1250-1270"/>
    <m/>
    <m/>
    <m/>
    <m/>
    <m/>
    <m/>
    <s v="U"/>
    <s v="CRFH_HOSUR"/>
    <s v="C09-RE04-1-1250"/>
    <s v="367-HG02-2.5-1250"/>
    <n v="367"/>
    <s v="T01576"/>
    <s v="HG02"/>
    <s v="C06A"/>
    <n v="2.5"/>
    <n v="1250"/>
    <n v="431674"/>
    <m/>
    <m/>
    <m/>
    <m/>
    <m/>
    <m/>
    <m/>
    <m/>
    <m/>
    <m/>
    <m/>
    <m/>
    <m/>
    <m/>
    <m/>
    <m/>
    <m/>
    <m/>
    <m/>
    <s v="TUBES DIVISION"/>
  </r>
  <r>
    <n v="742"/>
    <d v="2025-08-13T00:00:00"/>
    <s v="ZBTF"/>
    <n v="9519013589"/>
    <n v="1"/>
    <s v="9519013589-1"/>
    <s v="Stocks"/>
    <s v="Released"/>
    <x v="1"/>
    <s v="CR03"/>
    <s v="ACRM CRCA SPM"/>
    <m/>
    <x v="0"/>
    <x v="7"/>
    <m/>
    <n v="2000"/>
    <s v="South"/>
    <s v="YESHWANTHPURA"/>
    <s v="TUBE"/>
    <n v="760004"/>
    <s v="TUBES DIVISION"/>
    <n v="2279476"/>
    <s v="CRCA COIL TSBHSQ TU99 1.400X1270"/>
    <s v="C01"/>
    <s v="TSBHSQ"/>
    <s v="TU99"/>
    <n v="1.4"/>
    <n v="1270"/>
    <n v="0"/>
    <s v="T2 DONE"/>
    <s v=" "/>
    <s v=""/>
    <n v="10"/>
    <n v="27"/>
    <n v="280"/>
    <n v="173.935"/>
    <n v="106.065"/>
    <n v="-24.524999999999999"/>
    <n v="26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065"/>
    <s v="1.37-1.43"/>
    <s v="1270-1290"/>
    <m/>
    <m/>
    <m/>
    <m/>
    <m/>
    <m/>
    <s v="U"/>
    <s v="NA"/>
    <s v="C01-TU99-1.4-1270"/>
    <s v="367-SD30-4-1270"/>
    <n v="367"/>
    <s v="S02005"/>
    <s v="SD30"/>
    <s v="C20A"/>
    <n v="4"/>
    <n v="1270"/>
    <n v="2193220"/>
    <m/>
    <m/>
    <m/>
    <m/>
    <m/>
    <m/>
    <m/>
    <m/>
    <m/>
    <m/>
    <m/>
    <m/>
    <m/>
    <m/>
    <m/>
    <m/>
    <m/>
    <m/>
    <m/>
    <s v="TUBES DIVISION"/>
  </r>
  <r>
    <n v="742"/>
    <d v="2025-08-13T00:00:00"/>
    <s v="ZBTF"/>
    <n v="9519013589"/>
    <n v="2"/>
    <s v="9519013589-2"/>
    <s v="No Priority"/>
    <s v="Released"/>
    <x v="0"/>
    <s v="CR03"/>
    <s v="ACRM CRCA SPM"/>
    <m/>
    <x v="0"/>
    <x v="7"/>
    <m/>
    <n v="2000"/>
    <s v="South"/>
    <s v="YESHWANTHPURA"/>
    <s v="TUBE"/>
    <n v="760004"/>
    <s v="TUBES DIVISION"/>
    <n v="2279503"/>
    <s v="CRCA COIL TSBHSQ TU99 1.600X1270"/>
    <s v="C01"/>
    <s v="TSBHSQ"/>
    <s v="TU99"/>
    <n v="1.6"/>
    <n v="1270"/>
    <n v="0"/>
    <s v="T2 DONE"/>
    <s v=" "/>
    <s v=""/>
    <n v="10"/>
    <n v="27"/>
    <n v="280"/>
    <n v="233.04499999999999"/>
    <n v="46.954999999999998"/>
    <n v="-6.7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954999999999998"/>
    <s v="1.57-1.6"/>
    <s v="1270-1290"/>
    <m/>
    <m/>
    <m/>
    <m/>
    <m/>
    <m/>
    <s v="U"/>
    <s v="CRCA_HOSUR"/>
    <s v="C01-TU99-1.6-1270"/>
    <s v="367-SD30-4-1270"/>
    <n v="367"/>
    <s v="S02005"/>
    <s v="SD30"/>
    <s v="C20A"/>
    <n v="4"/>
    <n v="1270"/>
    <n v="2193220"/>
    <m/>
    <m/>
    <m/>
    <m/>
    <m/>
    <m/>
    <m/>
    <m/>
    <m/>
    <m/>
    <m/>
    <m/>
    <m/>
    <m/>
    <m/>
    <m/>
    <m/>
    <m/>
    <m/>
    <s v="TUBES DIVISION"/>
  </r>
  <r>
    <n v="742"/>
    <d v="2025-08-13T00:00:00"/>
    <s v="ZBTF"/>
    <n v="9519013589"/>
    <n v="3"/>
    <s v="9519013589-3"/>
    <s v="Oct'25"/>
    <s v="Released"/>
    <x v="1"/>
    <s v="CR03"/>
    <s v="ACRM CRCA SPM"/>
    <m/>
    <x v="0"/>
    <x v="7"/>
    <m/>
    <n v="2000"/>
    <s v="South"/>
    <s v="YESHWANTHPURA"/>
    <s v="TUBE"/>
    <n v="760004"/>
    <s v="TUBES DIVISION"/>
    <n v="2150940"/>
    <s v="CRCA COIL SA1008 TU98 1.200X1250"/>
    <s v="C01"/>
    <s v="SA1008"/>
    <s v="TU98"/>
    <n v="1.2"/>
    <n v="1250"/>
    <n v="0"/>
    <s v="T2 DONE"/>
    <s v=" "/>
    <s v=""/>
    <n v="10"/>
    <n v="27"/>
    <n v="203"/>
    <n v="13.69"/>
    <n v="189.31"/>
    <n v="189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.31"/>
    <s v="1.17-1.23"/>
    <s v="1250-1270"/>
    <m/>
    <m/>
    <m/>
    <m/>
    <m/>
    <m/>
    <s v="U"/>
    <s v="CRCA_HOSUR"/>
    <s v="C01-TU98-1.2-1250"/>
    <s v="367-SH69-3.2-1250"/>
    <n v="367"/>
    <s v="T01069"/>
    <s v="SH69"/>
    <s v="R12A"/>
    <n v="3.2"/>
    <n v="1250"/>
    <n v="3918480"/>
    <m/>
    <m/>
    <m/>
    <m/>
    <m/>
    <m/>
    <m/>
    <m/>
    <m/>
    <m/>
    <m/>
    <m/>
    <m/>
    <m/>
    <m/>
    <m/>
    <m/>
    <m/>
    <m/>
    <s v="TUBES DIVISION"/>
  </r>
  <r>
    <n v="742"/>
    <d v="2025-08-13T00:00:00"/>
    <s v="ZBTF"/>
    <n v="9519013589"/>
    <n v="5"/>
    <s v="9519013589-5"/>
    <s v="Oct'25"/>
    <s v="Released"/>
    <x v="1"/>
    <s v="CR03"/>
    <s v="ACRM CRCA SPM"/>
    <m/>
    <x v="0"/>
    <x v="7"/>
    <m/>
    <n v="2000"/>
    <s v="South"/>
    <s v="YESHWANTHPURA"/>
    <s v="TUBE"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1.57-1.63"/>
    <s v="1250-1270"/>
    <m/>
    <m/>
    <m/>
    <m/>
    <m/>
    <m/>
    <s v="U"/>
    <s v="CRCA_HOSUR"/>
    <s v="C01-TU98-1.6-1250"/>
    <s v="367-SH69-4-1250"/>
    <n v="367"/>
    <s v="T01069"/>
    <s v="SH69"/>
    <s v="R12A"/>
    <n v="4"/>
    <n v="1250"/>
    <n v="3924607"/>
    <m/>
    <m/>
    <m/>
    <m/>
    <m/>
    <m/>
    <m/>
    <m/>
    <m/>
    <m/>
    <m/>
    <m/>
    <m/>
    <m/>
    <m/>
    <m/>
    <m/>
    <m/>
    <m/>
    <s v="TUBES DIVISION"/>
  </r>
  <r>
    <n v="743"/>
    <d v="2025-08-21T00:00:00"/>
    <s v="ZBTO"/>
    <n v="9519035790"/>
    <n v="4"/>
    <s v="9519035790-4"/>
    <s v="Stocks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4"/>
    <n v="12"/>
    <n v="168"/>
    <n v="143.465"/>
    <n v="24.535"/>
    <n v="1.875"/>
    <n v="20.299999999999997"/>
    <n v="0"/>
    <n v="0"/>
    <n v="0"/>
    <n v="0"/>
    <n v="0"/>
    <n v="39.270000000000003"/>
    <n v="0"/>
    <n v="0"/>
    <n v="0"/>
    <n v="0"/>
    <n v="0"/>
    <n v="0"/>
    <n v="0"/>
    <n v="0"/>
    <n v="0"/>
    <n v="0"/>
    <n v="0"/>
    <n v="3.2600000000000002"/>
    <n v="42.53"/>
    <n v="42.53"/>
    <n v="0"/>
    <n v="0"/>
    <n v="-17.995000000000001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R. S. BOKARO METAL (P) LTD."/>
  </r>
  <r>
    <n v="743"/>
    <d v="2025-08-21T00:00:00"/>
    <s v="ZBTO"/>
    <n v="9519035790"/>
    <n v="5"/>
    <s v="9519035790-5"/>
    <s v="Stocks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4"/>
    <n v="12"/>
    <n v="168"/>
    <n v="158.9"/>
    <n v="9.1"/>
    <n v="8.9600000000000009"/>
    <n v="34.005000000000003"/>
    <n v="0"/>
    <n v="0"/>
    <n v="0"/>
    <n v="0"/>
    <n v="0"/>
    <n v="97.570000000000007"/>
    <n v="0"/>
    <n v="0"/>
    <n v="0"/>
    <n v="0"/>
    <n v="0"/>
    <n v="0"/>
    <n v="0"/>
    <n v="0"/>
    <n v="0"/>
    <n v="0"/>
    <n v="0"/>
    <n v="0"/>
    <n v="97.570000000000007"/>
    <n v="97.570000000000007"/>
    <n v="0"/>
    <n v="0"/>
    <n v="-88.470000000000013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R. S. BOKARO METAL (P) LTD."/>
  </r>
  <r>
    <n v="742"/>
    <d v="2025-08-27T00:00:00"/>
    <s v="ZBTO"/>
    <n v="9519054316"/>
    <n v="1"/>
    <s v="9519054316-1"/>
    <s v="No Priority"/>
    <s v="Released"/>
    <x v="0"/>
    <s v="CR02"/>
    <s v="ACRM CRCA CRS"/>
    <m/>
    <x v="0"/>
    <x v="2"/>
    <m/>
    <n v="2000"/>
    <s v="East"/>
    <s v="TATANAGAR"/>
    <s v="JAMS"/>
    <n v="165053"/>
    <s v="SUDISA ENTERPRISES (P) LTD."/>
    <n v="4026169"/>
    <s v="CR COIL TSBHSQ CH03 0.900X1250"/>
    <s v="C01"/>
    <s v="TSBHSQ"/>
    <s v="CH03"/>
    <n v="0.9"/>
    <n v="1250"/>
    <n v="0"/>
    <s v="T2 DONE"/>
    <s v=" "/>
    <s v=""/>
    <n v="12"/>
    <n v="28"/>
    <n v="116"/>
    <n v="0"/>
    <n v="115.999"/>
    <n v="115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9"/>
    <s v="0.88-0.92"/>
    <s v="1250-1253"/>
    <m/>
    <m/>
    <m/>
    <m/>
    <m/>
    <m/>
    <s v="T"/>
    <s v="NA"/>
    <s v="C01-CH03-0.9-1250"/>
    <s v="367-JC43-2.8-1260"/>
    <n v="367"/>
    <s v="JC0043"/>
    <s v="JC43"/>
    <s v="C39A"/>
    <n v="2.8"/>
    <n v="1260"/>
    <e v="#N/A"/>
    <m/>
    <m/>
    <m/>
    <m/>
    <m/>
    <m/>
    <m/>
    <m/>
    <m/>
    <m/>
    <m/>
    <m/>
    <m/>
    <m/>
    <m/>
    <m/>
    <m/>
    <m/>
    <m/>
    <s v="SUDISA ENTERPRISES (P) LTD."/>
  </r>
  <r>
    <n v="743"/>
    <d v="2025-08-13T00:00:00"/>
    <s v="ZBTO"/>
    <n v="9519013396"/>
    <n v="1"/>
    <s v="9519013396-1"/>
    <s v="Sep'25"/>
    <s v="Released"/>
    <x v="1"/>
    <s v="GP03"/>
    <s v="ACRM GP#3 NARROW"/>
    <m/>
    <x v="2"/>
    <x v="6"/>
    <m/>
    <n v="2000"/>
    <s v="East"/>
    <s v="KOLKATA"/>
    <s v="CALS"/>
    <n v="100922"/>
    <s v="BUBNA COMMERCIAL COMPANY"/>
    <n v="1851065"/>
    <s v="GP COIL SOFT-TATXGP-GK09-0.25X900"/>
    <s v="C02"/>
    <s v="TATXGP"/>
    <s v="GK09"/>
    <n v="0.25"/>
    <n v="900"/>
    <n v="0"/>
    <s v="T2 DONE"/>
    <s v="Z80"/>
    <s v=""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25-0.28"/>
    <s v="900-902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BUBNA COMMERCIAL COMPANY"/>
  </r>
  <r>
    <n v="743"/>
    <d v="2025-08-13T00:00:00"/>
    <s v="ZBTO"/>
    <n v="9519013396"/>
    <n v="2"/>
    <s v="9519013396-2"/>
    <s v="Sep'25"/>
    <s v="Released"/>
    <x v="1"/>
    <s v="GP03"/>
    <s v="ACRM GP#3 NARROW"/>
    <m/>
    <x v="2"/>
    <x v="6"/>
    <m/>
    <n v="2000"/>
    <s v="East"/>
    <s v="KOLKATA"/>
    <s v="CALS"/>
    <n v="100922"/>
    <s v="BUBNA COMMERCIAL COMPANY"/>
    <n v="2438894"/>
    <s v="GP COIL SOFT TATXGP GK09 0.280X900"/>
    <s v="C02"/>
    <s v="TATXGP"/>
    <s v="GK09"/>
    <n v="0.28000000000000003"/>
    <n v="900"/>
    <n v="0"/>
    <s v="T2 DONE"/>
    <s v="Z80"/>
    <s v=""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25-0.28"/>
    <s v="900-902"/>
    <m/>
    <m/>
    <m/>
    <m/>
    <m/>
    <m/>
    <s v="R"/>
    <s v="GP03_KOSH"/>
    <s v="C02-GK09-0.28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BUBNA COMMERCIAL COMPANY"/>
  </r>
  <r>
    <n v="742"/>
    <d v="2025-08-21T00:00:00"/>
    <s v="ZBTO"/>
    <n v="9519036272"/>
    <n v="1"/>
    <s v="9519036272-1"/>
    <s v="Oct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2440959"/>
    <s v="CRCA SHEET TATCRC SR16 0.330X900X2500"/>
    <s v="C06"/>
    <s v="TATCRC"/>
    <s v="SR16"/>
    <n v="0.33"/>
    <n v="900"/>
    <n v="2500"/>
    <s v="T2 DONE"/>
    <s v=" "/>
    <s v=""/>
    <n v="2.5"/>
    <n v="3.2"/>
    <n v="63"/>
    <n v="21.45"/>
    <n v="41.55"/>
    <n v="1.71"/>
    <n v="0"/>
    <n v="0"/>
    <n v="0"/>
    <n v="0"/>
    <n v="0"/>
    <n v="0"/>
    <n v="0"/>
    <n v="0"/>
    <n v="0"/>
    <n v="0"/>
    <n v="0"/>
    <n v="0"/>
    <n v="39.840000000000003"/>
    <n v="0"/>
    <n v="0"/>
    <n v="0"/>
    <n v="0"/>
    <n v="0"/>
    <n v="0"/>
    <n v="39.840000000000003"/>
    <n v="0"/>
    <n v="39.840000000000003"/>
    <n v="0"/>
    <n v="41.55"/>
    <s v="0.31-0.35"/>
    <s v="900-904"/>
    <m/>
    <m/>
    <m/>
    <m/>
    <m/>
    <m/>
    <s v="R"/>
    <s v="CRCA_SUPR"/>
    <s v="C06-SR16-0.3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Shree Bajrang Steel Udyog"/>
  </r>
  <r>
    <n v="742"/>
    <d v="2025-08-20T00:00:00"/>
    <s v="ZBTO"/>
    <n v="9519032508"/>
    <n v="3"/>
    <s v="9519032508-3"/>
    <s v="No Priority"/>
    <s v="Released"/>
    <x v="0"/>
    <s v="CR02"/>
    <s v="ACRM CRCA CRS"/>
    <m/>
    <x v="0"/>
    <x v="0"/>
    <m/>
    <n v="2000"/>
    <s v="South"/>
    <s v="VISHAKHAPATNAM"/>
    <s v="SBAD"/>
    <n v="946077"/>
    <s v="SITARAM IRON AND STEEL PVT LTD"/>
    <n v="1801798"/>
    <s v="CRCA COIL-TATXXD-AU03-1X900"/>
    <s v="C01"/>
    <s v="TATXXD"/>
    <s v="AU03"/>
    <n v="1"/>
    <n v="900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97-1.03"/>
    <s v="900-905"/>
    <m/>
    <m/>
    <m/>
    <m/>
    <m/>
    <m/>
    <s v="C"/>
    <s v="CRCA_STLM"/>
    <s v="C01-AU03-1-900"/>
    <s v="B69-SH08-2.8-925"/>
    <s v="B69"/>
    <s v="T01320"/>
    <s v="SH08"/>
    <s v="C16D"/>
    <n v="2.8"/>
    <n v="925"/>
    <n v="3918705"/>
    <m/>
    <m/>
    <m/>
    <m/>
    <m/>
    <m/>
    <m/>
    <m/>
    <m/>
    <m/>
    <m/>
    <m/>
    <m/>
    <m/>
    <m/>
    <m/>
    <m/>
    <m/>
    <m/>
    <s v="SITARAM IRON AND STEEL PVT LTD"/>
  </r>
  <r>
    <n v="742"/>
    <d v="2025-08-20T00:00:00"/>
    <s v="ZBTO"/>
    <n v="9519032508"/>
    <n v="7"/>
    <s v="9519032508-7"/>
    <s v="Sep'25"/>
    <s v="Released"/>
    <x v="1"/>
    <s v="CR02"/>
    <s v="ACRM CRCA CRS"/>
    <m/>
    <x v="0"/>
    <x v="0"/>
    <m/>
    <n v="2000"/>
    <s v="South"/>
    <s v="VISHAKHAPATNAM"/>
    <s v="SBAD"/>
    <n v="946077"/>
    <s v="SITARAM IRON AND STEEL PVT LTD"/>
    <n v="1804842"/>
    <s v="CRCA COIL-TATXXD-AU03-1X1000"/>
    <s v="C01"/>
    <s v="TATXXD"/>
    <s v="AU03"/>
    <n v="1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3"/>
    <s v="1000-1005"/>
    <m/>
    <m/>
    <m/>
    <m/>
    <m/>
    <m/>
    <s v="C"/>
    <s v="CRCA_STLM"/>
    <s v="C01-AU03-1-1000"/>
    <s v="B69-SH08-2.8-1025"/>
    <s v="B69"/>
    <s v="T01320"/>
    <s v="SH08"/>
    <s v="C16D"/>
    <n v="2.8"/>
    <n v="1025"/>
    <n v="3917267"/>
    <m/>
    <m/>
    <m/>
    <m/>
    <m/>
    <m/>
    <m/>
    <m/>
    <m/>
    <m/>
    <m/>
    <m/>
    <m/>
    <m/>
    <m/>
    <m/>
    <m/>
    <m/>
    <m/>
    <s v="SITARAM IRON AND STEEL PVT LTD"/>
  </r>
  <r>
    <n v="743"/>
    <d v="2025-08-21T00:00:00"/>
    <s v="ZBTO"/>
    <n v="9519036143"/>
    <n v="5"/>
    <s v="9519036143-5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4"/>
    <n v="12"/>
    <n v="105"/>
    <n v="45.07"/>
    <n v="59.93"/>
    <n v="59.93"/>
    <n v="7.48"/>
    <n v="0"/>
    <n v="0"/>
    <n v="0"/>
    <n v="0"/>
    <n v="0"/>
    <n v="0"/>
    <n v="0"/>
    <n v="0"/>
    <n v="0"/>
    <n v="0"/>
    <n v="0"/>
    <n v="0"/>
    <n v="0"/>
    <n v="0"/>
    <n v="19.565000000000001"/>
    <n v="0"/>
    <n v="0"/>
    <n v="7.48"/>
    <n v="27.045000000000002"/>
    <n v="27.045000000000002"/>
    <n v="0"/>
    <n v="0"/>
    <n v="32.884999999999998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hree Bajrang Steel Udyog"/>
  </r>
  <r>
    <n v="744"/>
    <d v="2025-08-21T00:00:00"/>
    <s v="ZBTO"/>
    <n v="9519035613"/>
    <n v="6"/>
    <s v="9519035613-6"/>
    <s v="Sep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8"/>
    <n v="165.42500000000001"/>
    <n v="2.5739999999999998"/>
    <n v="-1.6859999999999999"/>
    <n v="152.42500000000001"/>
    <n v="0"/>
    <n v="0"/>
    <n v="0"/>
    <n v="0"/>
    <n v="24.63"/>
    <n v="0"/>
    <n v="0"/>
    <n v="0"/>
    <n v="0"/>
    <n v="0"/>
    <n v="0"/>
    <n v="0"/>
    <n v="0"/>
    <n v="0"/>
    <n v="0"/>
    <n v="0"/>
    <n v="0"/>
    <n v="0"/>
    <n v="24.63"/>
    <n v="0"/>
    <n v="24.63"/>
    <n v="0"/>
    <n v="2.5739999999999998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2"/>
    <d v="2025-07-24T00:00:00"/>
    <s v="ZBTO"/>
    <n v="9518956389"/>
    <n v="15"/>
    <s v="9518956389-15"/>
    <s v="No Priority"/>
    <s v="Released"/>
    <x v="0"/>
    <e v="#N/A"/>
    <e v="#N/A"/>
    <m/>
    <x v="0"/>
    <x v="0"/>
    <m/>
    <n v="2000"/>
    <s v="South"/>
    <s v="YESHWANTHPURA"/>
    <s v="BANG"/>
    <n v="932244"/>
    <s v="DURGA TRADERS"/>
    <n v="1884117"/>
    <s v="CRCA COIL-TATXXD-AU03-2X1250"/>
    <s v="C01"/>
    <s v="TATXXD"/>
    <s v="AU03"/>
    <n v="2"/>
    <n v="1250"/>
    <n v="0"/>
    <s v="T2 DONE"/>
    <s v=" "/>
    <s v=""/>
    <n v="9.8000000000000007"/>
    <n v="28"/>
    <n v="202.999"/>
    <n v="162.08000000000001"/>
    <n v="40.918999999999997"/>
    <n v="13.57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918999999999997"/>
    <s v="1.95-2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m/>
    <m/>
    <m/>
    <m/>
    <m/>
    <m/>
    <m/>
    <m/>
    <m/>
    <m/>
    <m/>
    <m/>
    <m/>
    <m/>
    <s v="DURGA TRADERS"/>
  </r>
  <r>
    <n v="742"/>
    <d v="2025-08-27T00:00:00"/>
    <s v="ZBTO"/>
    <n v="9519054690"/>
    <n v="1"/>
    <s v="9519054690-1"/>
    <s v="Oct'25"/>
    <s v="Released"/>
    <x v="1"/>
    <s v="CR03"/>
    <s v="ACRM CRCA SPM"/>
    <m/>
    <x v="0"/>
    <x v="15"/>
    <m/>
    <n v="2000"/>
    <s v="West"/>
    <s v="AHMEDABAD"/>
    <s v="AMED"/>
    <n v="940707"/>
    <s v="GIRIRAJ EXIM PRIVATE LIMITED"/>
    <n v="2420508"/>
    <s v="CRCA COIL TATXXD AH03 0.500X1250"/>
    <s v="C01"/>
    <s v="TATXXD"/>
    <s v="AH03"/>
    <n v="0.5"/>
    <n v="1250"/>
    <n v="0"/>
    <s v="T2 DONE"/>
    <s v=" "/>
    <s v=""/>
    <n v="16"/>
    <n v="27"/>
    <n v="116"/>
    <n v="0"/>
    <n v="116"/>
    <n v="21.24"/>
    <n v="0"/>
    <n v="0"/>
    <n v="0"/>
    <n v="0"/>
    <n v="0"/>
    <n v="0"/>
    <n v="0"/>
    <n v="0"/>
    <n v="0"/>
    <n v="0"/>
    <n v="0"/>
    <n v="0"/>
    <n v="0"/>
    <n v="0"/>
    <n v="0"/>
    <n v="0"/>
    <n v="25.39"/>
    <n v="0"/>
    <n v="0"/>
    <n v="25.39"/>
    <n v="0"/>
    <n v="25.39"/>
    <n v="0"/>
    <n v="116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s v="GIRIRAJ EXIM PRIVATE LIMITED"/>
  </r>
  <r>
    <n v="743"/>
    <d v="2025-09-05T00:00:00"/>
    <s v="ZBTF"/>
    <n v="9519081794"/>
    <n v="2"/>
    <s v="9519081794-2"/>
    <s v="No Priority"/>
    <s v="Released"/>
    <x v="0"/>
    <s v="GP03"/>
    <s v="ACRM GP#3 NARROW"/>
    <m/>
    <x v="2"/>
    <x v="11"/>
    <m/>
    <n v="2000"/>
    <s v="East"/>
    <s v="GAMHARIA"/>
    <s v="COMD"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1"/>
    <n v="24"/>
    <n v="207"/>
    <n v="0"/>
    <n v="207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m/>
    <m/>
    <m/>
    <m/>
    <m/>
    <m/>
    <m/>
    <m/>
    <m/>
    <m/>
    <m/>
    <m/>
    <m/>
    <m/>
    <s v="ANGUL GALVANIZING PLANT"/>
  </r>
  <r>
    <n v="742"/>
    <d v="2025-09-08T00:00:00"/>
    <s v="ZBTO"/>
    <n v="9519086006"/>
    <n v="3"/>
    <s v="9519086006-3"/>
    <s v="No Priority"/>
    <s v="Released"/>
    <x v="0"/>
    <s v="CR01"/>
    <s v="ACRM CRCA CTL"/>
    <m/>
    <x v="0"/>
    <x v="5"/>
    <m/>
    <n v="2000"/>
    <s v="North"/>
    <s v="KANPUR"/>
    <s v="KANP"/>
    <n v="933952"/>
    <s v="AGARWAL STEEL TRADERS"/>
    <n v="3240787"/>
    <s v="CRCA SHEET TSBCRC SR15 0.700X1250X1930"/>
    <s v="C06"/>
    <s v="TSBCRC"/>
    <s v="SR15"/>
    <n v="0.7"/>
    <n v="1250"/>
    <n v="19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68-0.72"/>
    <s v="1250-1254"/>
    <m/>
    <m/>
    <m/>
    <m/>
    <m/>
    <m/>
    <s v="M"/>
    <s v="CRCA_SUPR"/>
    <s v="C06-SR15-0.7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s v="AGARWAL STEEL TRADERS"/>
  </r>
  <r>
    <n v="743"/>
    <d v="2025-08-22T00:00:00"/>
    <s v="ZBTO"/>
    <n v="9519038643"/>
    <n v="3"/>
    <s v="9519038643-3"/>
    <s v="Oct'25"/>
    <s v="Released"/>
    <x v="1"/>
    <s v="GP03"/>
    <s v="ACRM GP#3 NARROW"/>
    <m/>
    <x v="2"/>
    <x v="6"/>
    <m/>
    <n v="2000"/>
    <s v="East"/>
    <s v="WEST BENGAL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37-0.4"/>
    <s v="900-902"/>
    <m/>
    <m/>
    <m/>
    <m/>
    <m/>
    <m/>
    <s v="R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BUBNA COMMERCIAL COMPANY"/>
  </r>
  <r>
    <n v="742"/>
    <d v="2025-08-18T00:00:00"/>
    <s v="ZBTO"/>
    <n v="9519025273"/>
    <n v="9"/>
    <s v="9519025273-9"/>
    <s v="Oct'25"/>
    <s v="Released"/>
    <x v="1"/>
    <s v="CR01"/>
    <s v="ACRM CRCA CTL"/>
    <m/>
    <x v="0"/>
    <x v="5"/>
    <m/>
    <n v="2000"/>
    <s v="East"/>
    <s v="HOWRAH"/>
    <s v="CALS"/>
    <n v="925093"/>
    <s v="PSPL STEEL PROCESSORS PRIVATE LIMIT"/>
    <n v="3402254"/>
    <s v="CRCA SHEET TSBCRC SR15 0.600X1000X2000"/>
    <s v="C06"/>
    <s v="TSBCRC"/>
    <s v="SR15"/>
    <n v="0.6"/>
    <n v="1000"/>
    <n v="20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PSPL STEEL PROCESSORS PRIVATE LIMIT"/>
  </r>
  <r>
    <n v="742"/>
    <d v="2025-08-18T00:00:00"/>
    <s v="ZBTO"/>
    <n v="9519025273"/>
    <n v="11"/>
    <s v="9519025273-11"/>
    <s v="No Priority"/>
    <s v="Released"/>
    <x v="0"/>
    <s v="CR01"/>
    <s v="ACRM CRCA CTL"/>
    <m/>
    <x v="0"/>
    <x v="5"/>
    <m/>
    <n v="2000"/>
    <s v="East"/>
    <s v="HOWRAH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s v=" "/>
    <s v=""/>
    <n v="0"/>
    <n v="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m/>
    <m/>
    <m/>
    <m/>
    <m/>
    <m/>
    <s v="T"/>
    <n v="0"/>
    <s v="C06-SR15-0.8-1120"/>
    <s v="B69-SH69-2.8-1130"/>
    <s v="B69"/>
    <s v="T01069"/>
    <s v="SH69"/>
    <s v="R12A"/>
    <n v="2.8"/>
    <n v="1130"/>
    <n v="3918223"/>
    <m/>
    <m/>
    <m/>
    <m/>
    <m/>
    <m/>
    <m/>
    <m/>
    <m/>
    <m/>
    <m/>
    <m/>
    <m/>
    <m/>
    <m/>
    <m/>
    <m/>
    <m/>
    <m/>
    <s v="PSPL STEEL PROCESSORS PRIVATE LIMIT"/>
  </r>
  <r>
    <n v="743"/>
    <d v="2025-08-21T00:00:00"/>
    <s v="ZBTO"/>
    <n v="9519036143"/>
    <n v="7"/>
    <s v="9519036143-7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hree Bajrang Steel Udyog"/>
  </r>
  <r>
    <n v="743"/>
    <d v="2025-08-21T00:00:00"/>
    <s v="ZBTO"/>
    <n v="9519036143"/>
    <n v="8"/>
    <s v="9519036143-8"/>
    <s v="Sep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16.795"/>
    <n v="9.2050000000000001"/>
    <n v="-11.14"/>
    <n v="29.715000000000003"/>
    <n v="0"/>
    <n v="0"/>
    <n v="0"/>
    <n v="41.77"/>
    <n v="0"/>
    <n v="37.61"/>
    <n v="0"/>
    <n v="0"/>
    <n v="0"/>
    <n v="0"/>
    <n v="0"/>
    <n v="0"/>
    <n v="0"/>
    <n v="0"/>
    <n v="0"/>
    <n v="0"/>
    <n v="0"/>
    <n v="0"/>
    <n v="79.38"/>
    <n v="37.61"/>
    <n v="41.769999999999996"/>
    <n v="0"/>
    <n v="-28.405000000000001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hree Bajrang Steel Udyog"/>
  </r>
  <r>
    <n v="742"/>
    <d v="2025-08-14T00:00:00"/>
    <s v="ZBTF"/>
    <n v="9519016025"/>
    <n v="1"/>
    <s v="9519016025-1"/>
    <s v="Stocks"/>
    <s v="Released"/>
    <x v="1"/>
    <s v="CR03"/>
    <s v="ACRM CRCA SPM"/>
    <m/>
    <x v="0"/>
    <x v="7"/>
    <m/>
    <n v="2000"/>
    <s v="East"/>
    <s v="JSR"/>
    <s v="TUBE"/>
    <n v="760004"/>
    <s v="TUBES DIVISION"/>
    <n v="2279476"/>
    <s v="CRCA COIL TSBHSQ TU99 1.400X1270"/>
    <s v="C01"/>
    <s v="TSBHSQ"/>
    <s v="TU99"/>
    <n v="1.4"/>
    <n v="1270"/>
    <n v="0"/>
    <s v="T2 DONE"/>
    <s v=" "/>
    <s v=""/>
    <n v="10"/>
    <n v="28"/>
    <n v="192.99"/>
    <n v="147.72"/>
    <n v="45.27"/>
    <n v="42.24"/>
    <n v="106.10000000000001"/>
    <n v="0"/>
    <n v="0"/>
    <n v="0"/>
    <n v="0"/>
    <n v="0"/>
    <n v="0"/>
    <n v="0"/>
    <n v="0"/>
    <n v="0"/>
    <n v="0"/>
    <n v="0"/>
    <n v="3.0300000000000002"/>
    <n v="52.68"/>
    <n v="0"/>
    <n v="0"/>
    <n v="0"/>
    <n v="0"/>
    <n v="0"/>
    <n v="55.71"/>
    <n v="52.68"/>
    <n v="3.0300000000000011"/>
    <n v="0"/>
    <n v="-7.4099999999999966"/>
    <s v="1.37-1.43"/>
    <s v="1270-1290"/>
    <m/>
    <m/>
    <m/>
    <m/>
    <m/>
    <m/>
    <s v="U"/>
    <s v="NA"/>
    <s v="C01-TU99-1.4-1270"/>
    <s v="367-SD30-4-1270"/>
    <n v="367"/>
    <s v="S02005"/>
    <s v="SD30"/>
    <s v="C20A"/>
    <n v="4"/>
    <n v="1270"/>
    <n v="2193220"/>
    <m/>
    <m/>
    <m/>
    <m/>
    <m/>
    <m/>
    <m/>
    <m/>
    <m/>
    <m/>
    <m/>
    <m/>
    <m/>
    <m/>
    <m/>
    <m/>
    <m/>
    <m/>
    <m/>
    <s v="TUBES DIVISION"/>
  </r>
  <r>
    <n v="743"/>
    <d v="2025-09-09T00:00:00"/>
    <s v="ZBTO"/>
    <n v="9519090170"/>
    <n v="1"/>
    <s v="9519090170-1"/>
    <s v="Oct'25"/>
    <s v="Released"/>
    <x v="1"/>
    <s v="GL01"/>
    <s v="ACRM GP#2 TBSPL BGL"/>
    <n v="3000"/>
    <x v="4"/>
    <x v="3"/>
    <n v="2500"/>
    <n v="1000"/>
    <s v="TBSPL"/>
    <s v="TATANAGAR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s v="aZ70"/>
    <s v=""/>
    <n v="3"/>
    <n v="5"/>
    <n v="231"/>
    <n v="0"/>
    <n v="231"/>
    <n v="2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"/>
    <s v="0.31-0.35"/>
    <s v="900-903"/>
    <m/>
    <m/>
    <m/>
    <m/>
    <m/>
    <m/>
    <s v="R"/>
    <s v="NA"/>
    <s v="B04-M306-0.33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TATA BLUESCOPE STEEL PRIVATE LIMITE"/>
  </r>
  <r>
    <n v="743"/>
    <d v="2025-09-09T00:00:00"/>
    <s v="ZBTO"/>
    <n v="9519090170"/>
    <n v="2"/>
    <s v="9519090170-2"/>
    <s v="Oct'25"/>
    <s v="Released"/>
    <x v="1"/>
    <s v="GL01"/>
    <s v="ACRM GP#2 TBSPL BGL"/>
    <m/>
    <x v="4"/>
    <x v="3"/>
    <m/>
    <n v="1000"/>
    <s v="TBSPL"/>
    <s v="TATANAGAR"/>
    <s v="BOMB"/>
    <n v="942284"/>
    <s v="TATA BLUESCOPE STEEL PRIVATE LIMITE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s v="0.36-0.4"/>
    <s v="900-903"/>
    <m/>
    <m/>
    <m/>
    <m/>
    <m/>
    <m/>
    <s v="R"/>
    <s v="NA"/>
    <s v="B04-M306-0.38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TATA BLUESCOPE STEEL PRIVATE LIMITE"/>
  </r>
  <r>
    <n v="742"/>
    <d v="2025-07-29T00:00:00"/>
    <s v="ZBTO"/>
    <n v="9518970422"/>
    <n v="1"/>
    <s v="9518970422-1"/>
    <s v="Stocks"/>
    <s v="Released"/>
    <x v="1"/>
    <s v="CR01"/>
    <s v="ACRM CRCA CTL"/>
    <m/>
    <x v="0"/>
    <x v="5"/>
    <m/>
    <n v="2000"/>
    <s v="West"/>
    <s v="NAGPUR"/>
    <s v="NPUR"/>
    <n v="103092"/>
    <s v="TEJRAM RAMNIWAS AGARWAL"/>
    <n v="3240765"/>
    <s v="CRCA SHEET TSBCRC SR15 0.500X1250X2500"/>
    <s v="C06"/>
    <s v="TSBCRC"/>
    <s v="SR15"/>
    <n v="0.5"/>
    <n v="1250"/>
    <n v="2500"/>
    <s v="T2 DONE"/>
    <s v=" "/>
    <s v=""/>
    <n v="2"/>
    <n v="3.1"/>
    <n v="57.997999999999998"/>
    <n v="26.27"/>
    <n v="31.728000000000002"/>
    <n v="31.728000000000002"/>
    <n v="3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728000000000002"/>
    <s v="0.48-0.52"/>
    <s v="1250-1251"/>
    <m/>
    <m/>
    <m/>
    <m/>
    <m/>
    <m/>
    <s v="R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TEJRAM RAMNIWAS AGARWAL"/>
  </r>
  <r>
    <n v="742"/>
    <d v="2025-08-19T00:00:00"/>
    <s v="ZBTO"/>
    <n v="9519029782"/>
    <n v="9"/>
    <s v="9519029782-9"/>
    <s v="Oct'25"/>
    <s v="Released"/>
    <x v="1"/>
    <s v="CR01"/>
    <s v="ACRM CRCA CTL"/>
    <m/>
    <x v="0"/>
    <x v="5"/>
    <m/>
    <n v="2000"/>
    <s v="East"/>
    <s v="PATNA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11"/>
    <s v="9519029782-11"/>
    <s v="Oct'25"/>
    <s v="Released"/>
    <x v="1"/>
    <s v="CR01"/>
    <s v="ACRM CRCA CTL"/>
    <m/>
    <x v="0"/>
    <x v="5"/>
    <m/>
    <n v="2000"/>
    <s v="East"/>
    <s v="PATNA"/>
    <s v="PATN"/>
    <n v="103227"/>
    <s v="BMW VENTURES LIMITED"/>
    <n v="3240842"/>
    <s v="CRCA SHEET TSBCRC SR15 1X1250X2500"/>
    <s v="C06"/>
    <s v="TSBCRC"/>
    <s v="SR15"/>
    <n v="1"/>
    <n v="1250"/>
    <n v="2500"/>
    <s v="T2 DONE"/>
    <s v=" "/>
    <s v=""/>
    <n v="2"/>
    <n v="3"/>
    <n v="28.998999999999999"/>
    <n v="0"/>
    <n v="28.998999999999999"/>
    <n v="2.4590000000000001"/>
    <n v="0"/>
    <n v="0"/>
    <n v="0"/>
    <n v="0"/>
    <n v="0"/>
    <n v="0"/>
    <n v="0"/>
    <n v="0"/>
    <n v="0"/>
    <n v="0"/>
    <n v="0"/>
    <n v="0"/>
    <n v="26.54"/>
    <n v="0"/>
    <n v="0"/>
    <n v="0"/>
    <n v="0"/>
    <n v="0"/>
    <n v="0"/>
    <n v="26.54"/>
    <n v="0"/>
    <n v="26.54"/>
    <n v="0"/>
    <n v="28.998999999999999"/>
    <s v="0.97-1"/>
    <s v="1250-1252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m/>
    <m/>
    <m/>
    <m/>
    <m/>
    <m/>
    <m/>
    <m/>
    <m/>
    <m/>
    <m/>
    <m/>
    <m/>
    <m/>
    <s v="BMW VENTURES LIMITED"/>
  </r>
  <r>
    <n v="742"/>
    <d v="2025-08-26T00:00:00"/>
    <s v="ZBTO"/>
    <n v="9519049797"/>
    <n v="3"/>
    <s v="9519049797-3"/>
    <s v="No Priority"/>
    <s v="Released"/>
    <x v="0"/>
    <s v="CR01"/>
    <s v="ACRM CRCA CTL"/>
    <m/>
    <x v="0"/>
    <x v="5"/>
    <m/>
    <n v="2000"/>
    <s v="East"/>
    <s v="SILIGURI TOWN"/>
    <s v="GWAH"/>
    <n v="948783"/>
    <s v="SAGAR STEELS"/>
    <n v="3409913"/>
    <s v="CRCA SHEET TSBCRC SR15 0.600X1120X2000"/>
    <s v="C06"/>
    <s v="TSBCRC"/>
    <s v="SR15"/>
    <n v="0.6"/>
    <n v="1120"/>
    <n v="2000"/>
    <s v="T2 DONE"/>
    <s v=" "/>
    <s v=""/>
    <n v="2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32"/>
    <m/>
    <m/>
    <m/>
    <m/>
    <m/>
    <m/>
    <s v="T"/>
    <s v="CRCA_SUPR"/>
    <s v="C06-SR15-0.6-1120"/>
    <s v="367-SH69-2.5-1130"/>
    <n v="367"/>
    <s v="T01069"/>
    <s v="SH69"/>
    <s v="R12A"/>
    <n v="2.5"/>
    <n v="1130"/>
    <e v="#N/A"/>
    <m/>
    <m/>
    <m/>
    <m/>
    <m/>
    <m/>
    <m/>
    <m/>
    <m/>
    <m/>
    <m/>
    <m/>
    <m/>
    <m/>
    <m/>
    <m/>
    <m/>
    <m/>
    <m/>
    <s v="SAGAR STEELS"/>
  </r>
  <r>
    <n v="743"/>
    <d v="2025-09-12T00:00:00"/>
    <s v="ZBTO"/>
    <n v="9519099563"/>
    <n v="6"/>
    <s v="9519099563-6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hree Bajrang Steel Udyog"/>
  </r>
  <r>
    <n v="743"/>
    <d v="2025-09-15T00:00:00"/>
    <s v="ZBTO"/>
    <n v="9519104694"/>
    <n v="3"/>
    <s v="9519104694-3"/>
    <s v="Oct'25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R. S. BOKARO METAL (P) LTD."/>
  </r>
  <r>
    <n v="743"/>
    <d v="2025-09-12T00:00:00"/>
    <s v="ZBTO"/>
    <n v="9519099563"/>
    <n v="12"/>
    <s v="9519099563-12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hree Bajrang Steel Udyog"/>
  </r>
  <r>
    <n v="742"/>
    <d v="2025-08-19T00:00:00"/>
    <s v="ZBTO"/>
    <n v="9519029800"/>
    <n v="8"/>
    <s v="9519029800-8"/>
    <s v="Stocks"/>
    <s v="Released"/>
    <x v="1"/>
    <s v="CR01"/>
    <s v="ACRM CRCA CTL"/>
    <m/>
    <x v="0"/>
    <x v="5"/>
    <m/>
    <n v="2000"/>
    <s v="East"/>
    <s v="PURNIA"/>
    <s v="PATN"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3"/>
    <n v="57.997999999999998"/>
    <n v="29.76"/>
    <n v="28.238"/>
    <n v="28.238"/>
    <n v="6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238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800"/>
    <n v="9"/>
    <s v="9519029800-9"/>
    <s v="Oct'25"/>
    <s v="Released"/>
    <x v="1"/>
    <s v="CR01"/>
    <s v="ACRM CRCA CTL"/>
    <m/>
    <x v="0"/>
    <x v="5"/>
    <m/>
    <n v="2000"/>
    <s v="East"/>
    <s v="PURNIA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800"/>
    <n v="11"/>
    <s v="9519029800-11"/>
    <s v="Stocks"/>
    <s v="Released"/>
    <x v="1"/>
    <s v="CR01"/>
    <s v="ACRM CRCA CTL"/>
    <m/>
    <x v="0"/>
    <x v="5"/>
    <m/>
    <n v="2000"/>
    <s v="East"/>
    <s v="PURNIA"/>
    <s v="PATN"/>
    <n v="103227"/>
    <s v="BMW VENTURES LIMITED"/>
    <n v="3240842"/>
    <s v="CRCA SHEET TSBCRC SR15 1X1250X2500"/>
    <s v="C06"/>
    <s v="TSBCRC"/>
    <s v="SR15"/>
    <n v="1"/>
    <n v="1250"/>
    <n v="2500"/>
    <s v="T2 DONE"/>
    <s v=" "/>
    <s v=""/>
    <n v="2"/>
    <n v="3"/>
    <n v="28.998999999999999"/>
    <n v="8.7550000000000008"/>
    <n v="20.244"/>
    <n v="20.244"/>
    <n v="8.754999999999999"/>
    <n v="0"/>
    <n v="0"/>
    <n v="0"/>
    <n v="0"/>
    <n v="0"/>
    <n v="0"/>
    <n v="0"/>
    <n v="0"/>
    <n v="0"/>
    <n v="0"/>
    <n v="0"/>
    <n v="0"/>
    <n v="0"/>
    <n v="0.28999999999999998"/>
    <n v="0"/>
    <n v="0"/>
    <n v="0"/>
    <n v="0"/>
    <n v="0.28999999999999998"/>
    <n v="0"/>
    <n v="0.28999999999999998"/>
    <n v="0"/>
    <n v="20.244"/>
    <s v="0.97-1"/>
    <s v="1250-1252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m/>
    <m/>
    <m/>
    <m/>
    <m/>
    <m/>
    <m/>
    <m/>
    <m/>
    <m/>
    <m/>
    <m/>
    <m/>
    <m/>
    <s v="BMW VENTURES LIMITED"/>
  </r>
  <r>
    <n v="742"/>
    <d v="2025-08-18T00:00:00"/>
    <s v="ZBTO"/>
    <n v="9519025430"/>
    <n v="6"/>
    <s v="9519025430-6"/>
    <s v="Sep'25"/>
    <s v="Released"/>
    <x v="1"/>
    <s v="CR01"/>
    <s v="ACRM CRCA CTL"/>
    <m/>
    <x v="0"/>
    <x v="5"/>
    <m/>
    <n v="2000"/>
    <s v="South"/>
    <s v="SALEM"/>
    <s v="MADS"/>
    <n v="116465"/>
    <s v="SRI BALAJI STEEL TRADERS"/>
    <n v="3239543"/>
    <s v="CRCA SHEET TATCRC SR16 0.350X1250X2500"/>
    <s v="C06"/>
    <s v="TATCRC"/>
    <s v="SR16"/>
    <n v="0.35"/>
    <n v="1250"/>
    <n v="2500"/>
    <s v="T2 DONE"/>
    <s v=" "/>
    <s v=""/>
    <n v="0"/>
    <n v="0"/>
    <n v="29"/>
    <n v="0"/>
    <n v="29"/>
    <n v="29"/>
    <n v="0"/>
    <n v="28.76"/>
    <n v="0"/>
    <n v="0"/>
    <n v="0"/>
    <n v="0"/>
    <n v="0"/>
    <n v="0"/>
    <n v="0"/>
    <n v="0"/>
    <n v="0"/>
    <n v="0"/>
    <n v="0"/>
    <n v="0"/>
    <n v="0"/>
    <n v="0"/>
    <n v="0"/>
    <n v="0"/>
    <n v="0"/>
    <n v="28.76"/>
    <n v="0"/>
    <n v="28.76"/>
    <n v="0"/>
    <n v="29"/>
    <s v="0.33-0.37"/>
    <s v="1250-1254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s v="SRI BALAJI STEEL TRADERS"/>
  </r>
  <r>
    <n v="742"/>
    <d v="2025-08-19T00:00:00"/>
    <s v="ZBTO"/>
    <n v="9519028231"/>
    <n v="3"/>
    <s v="9519028231-3"/>
    <s v="No Priority"/>
    <s v="Released"/>
    <x v="0"/>
    <s v="CR02"/>
    <s v="ACRM CRCA CRS"/>
    <m/>
    <x v="0"/>
    <x v="0"/>
    <m/>
    <n v="2000"/>
    <s v="South"/>
    <s v="CHENNAI"/>
    <s v="MADS"/>
    <n v="938550"/>
    <s v="BASEER AND CO"/>
    <n v="1801290"/>
    <s v="CRCA COIL-TATXXD-AU03-0.6X1250"/>
    <s v="C01"/>
    <s v="TATXXD"/>
    <s v="AU03"/>
    <n v="0.6"/>
    <n v="1250"/>
    <n v="0"/>
    <s v="T2 DONE"/>
    <s v=" "/>
    <s v=""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58-0.62"/>
    <s v="1250-1254"/>
    <m/>
    <m/>
    <m/>
    <m/>
    <m/>
    <m/>
    <s v="R"/>
    <s v="CRCA_STLM"/>
    <s v="C01-AU03-0.6-1250"/>
    <s v="367-SH08-2.5-1260"/>
    <n v="367"/>
    <s v="T01320"/>
    <s v="SH08"/>
    <s v="C16D"/>
    <n v="2.5"/>
    <n v="1260"/>
    <n v="3514923"/>
    <m/>
    <m/>
    <m/>
    <m/>
    <m/>
    <m/>
    <m/>
    <m/>
    <m/>
    <m/>
    <m/>
    <m/>
    <m/>
    <m/>
    <m/>
    <m/>
    <m/>
    <m/>
    <m/>
    <s v="BASEER AND CO"/>
  </r>
  <r>
    <n v="742"/>
    <d v="2025-08-19T00:00:00"/>
    <s v="ZBTO"/>
    <n v="9519028231"/>
    <n v="5"/>
    <s v="9519028231-5"/>
    <s v="No Priority"/>
    <s v="Released"/>
    <x v="0"/>
    <s v="CR02"/>
    <s v="ACRM CRCA CRS"/>
    <m/>
    <x v="0"/>
    <x v="0"/>
    <m/>
    <n v="2000"/>
    <s v="South"/>
    <s v="CHENNAI"/>
    <s v="MADS"/>
    <n v="938550"/>
    <s v="BASEER AND CO"/>
    <n v="1804814"/>
    <s v="CRCA COIL TATXXD AU03 0.8X1250"/>
    <s v="C01"/>
    <s v="TATXXD"/>
    <s v="AU03"/>
    <n v="0.8"/>
    <n v="1250"/>
    <n v="0"/>
    <s v="T2 DONE"/>
    <s v=" "/>
    <s v=""/>
    <n v="6"/>
    <n v="18"/>
    <n v="116"/>
    <n v="24.97"/>
    <n v="91.03"/>
    <n v="91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03"/>
    <s v="0.78-0.82"/>
    <s v="1250-1254"/>
    <m/>
    <m/>
    <m/>
    <m/>
    <m/>
    <m/>
    <s v="R"/>
    <s v="CRCA_STLM"/>
    <s v="C01-AU03-0.8-1250"/>
    <s v="367-SH08-2.8-1250"/>
    <n v="367"/>
    <s v="T01320"/>
    <s v="SH08"/>
    <s v="C16D"/>
    <n v="2.8"/>
    <n v="1250"/>
    <n v="1154953"/>
    <m/>
    <m/>
    <m/>
    <m/>
    <m/>
    <m/>
    <m/>
    <m/>
    <m/>
    <m/>
    <m/>
    <m/>
    <m/>
    <m/>
    <m/>
    <m/>
    <m/>
    <m/>
    <m/>
    <s v="BASEER AND CO"/>
  </r>
  <r>
    <n v="742"/>
    <d v="2025-08-19T00:00:00"/>
    <s v="ZBTO"/>
    <n v="9519028231"/>
    <n v="6"/>
    <s v="9519028231-6"/>
    <s v="Oct'25"/>
    <s v="Released"/>
    <x v="1"/>
    <s v="CR02"/>
    <s v="ACRM CRCA CRS"/>
    <m/>
    <x v="0"/>
    <x v="0"/>
    <m/>
    <n v="2000"/>
    <s v="South"/>
    <s v="CHENNAI"/>
    <s v="MADS"/>
    <n v="938550"/>
    <s v="BASEER AND CO"/>
    <n v="2334995"/>
    <s v="CRCA COIL TATXXD AU03 1.500X1250"/>
    <s v="C01"/>
    <s v="TATXXD"/>
    <s v="AU03"/>
    <n v="1.5"/>
    <n v="1250"/>
    <n v="0"/>
    <s v="T2 DONE"/>
    <s v=" "/>
    <s v=""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48-1.52"/>
    <s v="1250-1254"/>
    <m/>
    <m/>
    <m/>
    <m/>
    <m/>
    <m/>
    <s v="R"/>
    <s v="CRCA_STLM"/>
    <s v="C01-AU03-1.5-1250"/>
    <s v="367-SH08-4-1260"/>
    <n v="367"/>
    <s v="T01320"/>
    <s v="SH08"/>
    <s v="C16D"/>
    <n v="4"/>
    <n v="1260"/>
    <n v="2442357"/>
    <m/>
    <m/>
    <m/>
    <m/>
    <m/>
    <m/>
    <m/>
    <m/>
    <m/>
    <m/>
    <m/>
    <m/>
    <m/>
    <m/>
    <m/>
    <m/>
    <m/>
    <m/>
    <m/>
    <s v="BASEER AND CO"/>
  </r>
  <r>
    <n v="742"/>
    <d v="2025-07-31T00:00:00"/>
    <s v="ZBTO"/>
    <n v="9518980896"/>
    <n v="1"/>
    <s v="9518980896-1"/>
    <s v="No Priority"/>
    <s v="Released"/>
    <x v="0"/>
    <e v="#N/A"/>
    <e v="#N/A"/>
    <m/>
    <x v="0"/>
    <x v="15"/>
    <m/>
    <n v="2000"/>
    <s v="West"/>
    <s v="AHMEDABAD"/>
    <s v="AMED"/>
    <n v="940707"/>
    <s v="GIRIRAJ EXIM PRIVATE LIMITED"/>
    <n v="2420508"/>
    <s v="CRCA COIL TATXXD AH03 0.500X1250"/>
    <s v="C01"/>
    <s v="TATXXD"/>
    <s v="AH03"/>
    <n v="0.5"/>
    <n v="1250"/>
    <n v="0"/>
    <s v="T2 DONE"/>
    <s v=" "/>
    <s v=""/>
    <n v="16"/>
    <n v="27"/>
    <n v="58"/>
    <n v="48.55"/>
    <n v="9.4499999999999993"/>
    <n v="8.65"/>
    <n v="0"/>
    <n v="0"/>
    <n v="0"/>
    <n v="0"/>
    <n v="0"/>
    <n v="0"/>
    <n v="0"/>
    <n v="0"/>
    <n v="0"/>
    <n v="0"/>
    <n v="0"/>
    <n v="0"/>
    <n v="0.8"/>
    <n v="0"/>
    <n v="0"/>
    <n v="0"/>
    <n v="0"/>
    <n v="0"/>
    <n v="0"/>
    <n v="0.8"/>
    <n v="0"/>
    <n v="0.8"/>
    <n v="0"/>
    <n v="9.4499999999999993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s v="GIRIRAJ EXIM PRIVATE LIMITED"/>
  </r>
  <r>
    <n v="742"/>
    <d v="2025-08-22T00:00:00"/>
    <s v="ZBTO"/>
    <n v="9519038135"/>
    <n v="2"/>
    <s v="9519038135-2"/>
    <s v="No Priority"/>
    <s v="Released"/>
    <x v="0"/>
    <e v="#N/A"/>
    <e v="#N/A"/>
    <m/>
    <x v="0"/>
    <x v="14"/>
    <m/>
    <n v="2000"/>
    <s v="South"/>
    <s v="VALPARAI"/>
    <s v="MADS"/>
    <n v="116465"/>
    <s v="SRI BALAJI STEEL TRADERS"/>
    <n v="3587949"/>
    <s v="CR COIL TSBSTA EL06 0.500X1250"/>
    <s v="C01"/>
    <s v="TSBSTA"/>
    <s v="EL06"/>
    <n v="0.5"/>
    <n v="1250"/>
    <n v="0"/>
    <s v=""/>
    <s v=" "/>
    <s v=""/>
    <n v="8"/>
    <n v="14"/>
    <n v="116"/>
    <n v="12.74"/>
    <n v="103.26"/>
    <n v="103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26"/>
    <s v="0.48-0.52"/>
    <s v="1250-1270"/>
    <m/>
    <m/>
    <m/>
    <m/>
    <m/>
    <m/>
    <s v="U"/>
    <s v="CRCA_STMP"/>
    <s v="C01-EL06-0.5-1250"/>
    <s v="367-BS74-2.25-1250"/>
    <n v="367"/>
    <s v="BSL074"/>
    <s v="BS74"/>
    <s v="E03A"/>
    <n v="2.25"/>
    <n v="1250"/>
    <n v="3873228"/>
    <m/>
    <m/>
    <m/>
    <m/>
    <m/>
    <m/>
    <m/>
    <m/>
    <m/>
    <m/>
    <m/>
    <m/>
    <m/>
    <m/>
    <m/>
    <m/>
    <m/>
    <m/>
    <m/>
    <s v="SRI BALAJI STEEL TRADERS"/>
  </r>
  <r>
    <n v="742"/>
    <d v="2025-08-20T00:00:00"/>
    <s v="ZBTF"/>
    <n v="9519030952"/>
    <n v="1"/>
    <s v="9519030952-1"/>
    <s v="Oct'25"/>
    <s v="Released"/>
    <x v="1"/>
    <s v="CR04"/>
    <s v="ACRM CRCA TLL"/>
    <m/>
    <x v="0"/>
    <x v="8"/>
    <m/>
    <n v="1000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4.78"/>
    <n v="272.22000000000003"/>
    <n v="89.947000000000003"/>
    <n v="24.78"/>
    <n v="0"/>
    <n v="0"/>
    <n v="0"/>
    <n v="0"/>
    <n v="0"/>
    <n v="0"/>
    <n v="0"/>
    <n v="0"/>
    <n v="0"/>
    <n v="0"/>
    <n v="0"/>
    <n v="78.760000000000005"/>
    <n v="0"/>
    <n v="0"/>
    <n v="0"/>
    <n v="0"/>
    <n v="0"/>
    <n v="0"/>
    <n v="78.760000000000005"/>
    <n v="0"/>
    <n v="78.760000000000005"/>
    <n v="0"/>
    <n v="272.22000000000003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s v="TATA CENTER"/>
  </r>
  <r>
    <n v="742"/>
    <d v="2025-08-20T00:00:00"/>
    <s v="ZBTF"/>
    <n v="9519030952"/>
    <n v="2"/>
    <s v="9519030952-2"/>
    <s v="Sep'25"/>
    <s v="Released"/>
    <x v="1"/>
    <s v="CR04"/>
    <s v="ACRM CRCA TLL"/>
    <m/>
    <x v="0"/>
    <x v="8"/>
    <m/>
    <n v="1000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4.495000000000001"/>
    <n v="272.505"/>
    <n v="196.03"/>
    <n v="0"/>
    <n v="0"/>
    <n v="0"/>
    <n v="0"/>
    <n v="0"/>
    <n v="0"/>
    <n v="0"/>
    <n v="26.22"/>
    <n v="0"/>
    <n v="0"/>
    <n v="0"/>
    <n v="0"/>
    <n v="78.850000000000009"/>
    <n v="0"/>
    <n v="0"/>
    <n v="0"/>
    <n v="0"/>
    <n v="0"/>
    <n v="0"/>
    <n v="105.07000000000001"/>
    <n v="26.22"/>
    <n v="78.850000000000009"/>
    <n v="0"/>
    <n v="246.285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s v="TATA CENTER"/>
  </r>
  <r>
    <n v="742"/>
    <d v="2025-07-21T00:00:00"/>
    <s v="ZBTO"/>
    <n v="9518946840"/>
    <n v="5"/>
    <s v="9518946840-5"/>
    <s v="No Priority"/>
    <s v="Released"/>
    <x v="0"/>
    <e v="#N/A"/>
    <e v="#N/A"/>
    <m/>
    <x v="0"/>
    <x v="0"/>
    <m/>
    <n v="2000"/>
    <s v="West"/>
    <s v="LONI"/>
    <s v="FBAD"/>
    <n v="123052"/>
    <s v="G R GUPTA &amp; BROS"/>
    <n v="1884117"/>
    <s v="CRCA COIL-TATXXD-AU03-2X1250"/>
    <s v="C01"/>
    <s v="TATXXD"/>
    <s v="AU03"/>
    <n v="2"/>
    <n v="1250"/>
    <n v="0"/>
    <s v="T2 DONE"/>
    <s v=" "/>
    <s v=""/>
    <n v="10"/>
    <n v="30"/>
    <n v="87"/>
    <n v="0"/>
    <n v="86.998999999999995"/>
    <n v="86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998999999999995"/>
    <s v="1.96-2.01"/>
    <s v="1250-125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m/>
    <m/>
    <m/>
    <m/>
    <m/>
    <m/>
    <m/>
    <m/>
    <m/>
    <m/>
    <m/>
    <m/>
    <m/>
    <m/>
    <s v="G R GUPTA &amp; BROS"/>
  </r>
  <r>
    <n v="742"/>
    <d v="2025-08-18T00:00:00"/>
    <s v="ZBTO"/>
    <n v="9519025273"/>
    <n v="10"/>
    <s v="9519025273-10"/>
    <s v="No Priority"/>
    <s v="Released"/>
    <x v="0"/>
    <s v="CR01"/>
    <s v="ACRM CRCA CTL"/>
    <m/>
    <x v="0"/>
    <x v="5"/>
    <m/>
    <n v="2000"/>
    <s v="East"/>
    <s v="HOWRAH"/>
    <s v="CALS"/>
    <n v="925093"/>
    <s v="PSPL STEEL PROCESSORS PRIVATE LIMIT"/>
    <n v="3409913"/>
    <s v="CRCA SHEET TSBCRC SR15 0.600X1120X2000"/>
    <s v="C06"/>
    <s v="TSBCRC"/>
    <s v="SR15"/>
    <n v="0.6"/>
    <n v="1120"/>
    <n v="2000"/>
    <s v="T2 DONE"/>
    <s v=" "/>
    <s v=""/>
    <n v="0"/>
    <n v="0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22"/>
    <m/>
    <m/>
    <m/>
    <m/>
    <m/>
    <m/>
    <s v="T"/>
    <s v="CRCA_SUPR"/>
    <s v="C06-SR15-0.6-1120"/>
    <s v="367-SH69-2.5-1130"/>
    <n v="367"/>
    <s v="T01069"/>
    <s v="SH69"/>
    <s v="R12A"/>
    <n v="2.5"/>
    <n v="1130"/>
    <e v="#N/A"/>
    <m/>
    <m/>
    <m/>
    <m/>
    <m/>
    <m/>
    <m/>
    <m/>
    <m/>
    <m/>
    <m/>
    <m/>
    <m/>
    <m/>
    <m/>
    <m/>
    <m/>
    <m/>
    <m/>
    <s v="PSPL STEEL PROCESSORS PRIVATE LIMIT"/>
  </r>
  <r>
    <n v="742"/>
    <d v="2025-07-18T00:00:00"/>
    <s v="ZBTO"/>
    <n v="9518939588"/>
    <n v="11"/>
    <s v="9518939588-11"/>
    <s v="No Priority"/>
    <s v="Released"/>
    <x v="0"/>
    <e v="#N/A"/>
    <e v="#N/A"/>
    <m/>
    <x v="0"/>
    <x v="0"/>
    <m/>
    <n v="2000"/>
    <s v="West"/>
    <s v="LONI"/>
    <s v="DELI"/>
    <n v="101499"/>
    <s v="G.R. GUPTA &amp; BROS."/>
    <n v="1884117"/>
    <s v="CRCA COIL-TATXXD-AU03-2X1250"/>
    <s v="C01"/>
    <s v="TATXXD"/>
    <s v="AU03"/>
    <n v="2"/>
    <n v="1250"/>
    <n v="0"/>
    <s v="T2 DONE"/>
    <s v=" "/>
    <s v=""/>
    <n v="10"/>
    <n v="30"/>
    <n v="29"/>
    <n v="0"/>
    <n v="29"/>
    <n v="1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1.97-2.01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m/>
    <m/>
    <m/>
    <m/>
    <m/>
    <m/>
    <m/>
    <m/>
    <m/>
    <m/>
    <m/>
    <m/>
    <m/>
    <m/>
    <s v="G.R. GUPTA &amp; BROS."/>
  </r>
  <r>
    <n v="742"/>
    <d v="2025-09-11T00:00:00"/>
    <s v="ZBTO"/>
    <n v="9519096071"/>
    <n v="1"/>
    <s v="9519096071-1"/>
    <s v="Oct'25"/>
    <s v="Released"/>
    <x v="1"/>
    <s v="CR01"/>
    <s v="ACRM CRCA CTL"/>
    <m/>
    <x v="0"/>
    <x v="5"/>
    <m/>
    <n v="2000"/>
    <s v="East"/>
    <s v="Jharkhand"/>
    <s v="JAMS"/>
    <n v="121328"/>
    <s v="R. S. BOKARO METAL (P) LTD."/>
    <n v="3239548"/>
    <s v="CRCA SHEET TATCRC SR16 0.400X900X2500"/>
    <s v="C06"/>
    <s v="TATCRC"/>
    <s v="SR16"/>
    <n v="0.4"/>
    <n v="900"/>
    <n v="2500"/>
    <s v="T2 DONE"/>
    <s v=" "/>
    <s v=""/>
    <n v="2.5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s v="R. S. BOKARO METAL (P) LTD."/>
  </r>
  <r>
    <n v="742"/>
    <d v="2025-09-11T00:00:00"/>
    <s v="ZBTO"/>
    <n v="9519096071"/>
    <n v="3"/>
    <s v="9519096071-3"/>
    <s v="Oct'25"/>
    <s v="Released"/>
    <x v="1"/>
    <s v="CR01"/>
    <s v="ACRM CRCA CTL"/>
    <m/>
    <x v="0"/>
    <x v="5"/>
    <m/>
    <n v="2000"/>
    <s v="East"/>
    <s v="Jharkhand"/>
    <s v="JAMS"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5"/>
    <n v="3.2"/>
    <n v="29"/>
    <n v="0"/>
    <n v="29"/>
    <n v="1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1-0.45"/>
    <s v="1250-1252"/>
    <m/>
    <m/>
    <m/>
    <m/>
    <m/>
    <m/>
    <s v="R"/>
    <s v="CRCA_SUPR"/>
    <s v="C06-SR16-0.43-1250"/>
    <s v="367-SH67-2.25-1265"/>
    <n v="367"/>
    <s v="TSH067"/>
    <s v="SH67"/>
    <s v="C14A"/>
    <n v="2.25"/>
    <n v="1265"/>
    <n v="3901842"/>
    <m/>
    <m/>
    <m/>
    <m/>
    <m/>
    <m/>
    <m/>
    <m/>
    <m/>
    <m/>
    <m/>
    <m/>
    <m/>
    <m/>
    <m/>
    <m/>
    <m/>
    <m/>
    <m/>
    <s v="R. S. BOKARO METAL (P) LTD."/>
  </r>
  <r>
    <n v="742"/>
    <d v="2025-08-20T00:00:00"/>
    <s v="ZBTO"/>
    <n v="9519032653"/>
    <n v="1"/>
    <s v="9519032653-1"/>
    <s v="Stocks"/>
    <s v="Released"/>
    <x v="1"/>
    <s v="CR02"/>
    <s v="ACRM CRCA CRS"/>
    <m/>
    <x v="0"/>
    <x v="4"/>
    <m/>
    <n v="1000"/>
    <s v="West"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s v="T2 DONE"/>
    <s v=" "/>
    <s v=""/>
    <n v="6"/>
    <n v="10"/>
    <n v="105"/>
    <n v="102.99"/>
    <n v="2.0099999999999998"/>
    <n v="2.0099999999999998"/>
    <n v="15.1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99999999999998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s v="Balmer Lawrie And Co. Ltd."/>
  </r>
  <r>
    <n v="742"/>
    <d v="2025-08-21T00:00:00"/>
    <s v="ZBTO"/>
    <n v="9519036272"/>
    <n v="9"/>
    <s v="9519036272-9"/>
    <s v="Oct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3240778"/>
    <s v="CRCA SHEET TSBCRC SR15 0.600X1000X2500"/>
    <s v="C06"/>
    <s v="TSBCRC"/>
    <s v="SR15"/>
    <n v="0.6"/>
    <n v="1000"/>
    <n v="2500"/>
    <s v="T2 DONE"/>
    <s v=" "/>
    <s v=""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58-0.62"/>
    <s v="1000-1002"/>
    <m/>
    <m/>
    <m/>
    <m/>
    <m/>
    <m/>
    <s v="R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Shree Bajrang Steel Udyog"/>
  </r>
  <r>
    <n v="743"/>
    <d v="2025-09-02T00:00:00"/>
    <s v="ZBTO"/>
    <n v="9519072913"/>
    <n v="1"/>
    <s v="9519072913-1"/>
    <s v="Oct'25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191955"/>
    <s v="GP COIL SOFT-TATXGP-GK09-0.3X900"/>
    <s v="C02"/>
    <s v="TATXGP"/>
    <s v="GK09"/>
    <n v="0.3"/>
    <n v="900"/>
    <n v="0"/>
    <s v="T2 DONE"/>
    <s v="Z80"/>
    <s v=""/>
    <n v="4"/>
    <n v="12"/>
    <n v="105"/>
    <n v="9.3000000000000007"/>
    <n v="95.7"/>
    <n v="95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7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R. S. BOKARO METAL (P) LTD."/>
  </r>
  <r>
    <n v="743"/>
    <d v="2025-09-12T00:00:00"/>
    <s v="ZBTO"/>
    <n v="9519099563"/>
    <n v="7"/>
    <s v="9519099563-7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hree Bajrang Steel Udyog"/>
  </r>
  <r>
    <n v="742"/>
    <d v="2025-09-12T00:00:00"/>
    <s v="ZBTO"/>
    <n v="9519097437"/>
    <n v="6"/>
    <s v="9519097437-6"/>
    <s v="Oct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5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s v="Shree Bajrang Steel Udyog"/>
  </r>
  <r>
    <n v="743"/>
    <d v="2025-09-16T00:00:00"/>
    <s v="ZBTO"/>
    <n v="9519107089"/>
    <n v="3"/>
    <s v="9519107089-3"/>
    <s v="Oct'25"/>
    <s v="Released"/>
    <x v="1"/>
    <s v="GP03"/>
    <s v="ACRM GP#3 NARROW"/>
    <m/>
    <x v="2"/>
    <x v="6"/>
    <m/>
    <n v="2000"/>
    <s v="East"/>
    <s v="URLA"/>
    <s v="RPUR"/>
    <n v="139336"/>
    <s v="PASA ASSOCIATES PRIVATE LIMITED"/>
    <n v="1854413"/>
    <s v="GP COIL SOFT-TATXGP-GK09-0.45X900"/>
    <s v="C02"/>
    <s v="TATXGP"/>
    <s v="GK09"/>
    <n v="0.4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6"/>
    <s v="900-903"/>
    <m/>
    <m/>
    <m/>
    <m/>
    <m/>
    <m/>
    <s v="M"/>
    <s v="GP03_KOSH"/>
    <s v="C02-GK09-0.4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PASA ASSOCIATES PRIVATE LIMITED"/>
  </r>
  <r>
    <n v="743"/>
    <d v="2025-09-15T00:00:00"/>
    <s v="ZBTO"/>
    <n v="9519104694"/>
    <n v="4"/>
    <s v="9519104694-4"/>
    <s v="Oct'25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R. S. BOKARO METAL (P) LTD."/>
  </r>
  <r>
    <n v="743"/>
    <d v="2025-09-15T00:00:00"/>
    <s v="ZBTO"/>
    <n v="9519104694"/>
    <n v="5"/>
    <s v="9519104694-5"/>
    <s v="Oct'25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4"/>
    <n v="12"/>
    <n v="168"/>
    <n v="0"/>
    <n v="168"/>
    <n v="5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R. S. BOKARO METAL (P) LTD."/>
  </r>
  <r>
    <n v="743"/>
    <d v="2025-09-12T00:00:00"/>
    <s v="ZBTO"/>
    <n v="9519099563"/>
    <n v="13"/>
    <s v="9519099563-13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hree Bajrang Steel Udyog"/>
  </r>
  <r>
    <n v="743"/>
    <d v="2025-09-12T00:00:00"/>
    <s v="ZBTO"/>
    <n v="9519099563"/>
    <n v="14"/>
    <s v="9519099563-14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hree Bajrang Steel Udyog"/>
  </r>
  <r>
    <n v="743"/>
    <d v="2025-09-16T00:00:00"/>
    <s v="ZBTO"/>
    <n v="9519107089"/>
    <n v="1"/>
    <s v="9519107089-1"/>
    <s v="Oct'25"/>
    <s v="Released"/>
    <x v="1"/>
    <s v="GP03"/>
    <s v="ACRM GP#3 NARROW"/>
    <m/>
    <x v="2"/>
    <x v="6"/>
    <m/>
    <n v="2000"/>
    <s v="East"/>
    <s v="URLA"/>
    <s v="RPUR"/>
    <n v="139336"/>
    <s v="PASA ASSOCIATES PRIVATE LIMITED"/>
    <n v="1191956"/>
    <s v="GP COIL SOFT-TATXGP-GK09-0.35X900"/>
    <s v="C02"/>
    <s v="TATXGP"/>
    <s v="GK09"/>
    <n v="0.3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3-0.36"/>
    <s v="900-903"/>
    <m/>
    <m/>
    <m/>
    <m/>
    <m/>
    <m/>
    <s v="M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PASA ASSOCIATES PRIVATE LIMITED"/>
  </r>
  <r>
    <n v="742"/>
    <d v="2025-07-18T00:00:00"/>
    <s v="ZBTO"/>
    <n v="9518939680"/>
    <n v="29"/>
    <s v="9518939680-29"/>
    <s v="Oct'25"/>
    <s v="Released"/>
    <x v="1"/>
    <s v="CR02"/>
    <s v="ACRM CRCA CRS"/>
    <m/>
    <x v="0"/>
    <x v="0"/>
    <m/>
    <n v="2000"/>
    <s v="South"/>
    <s v="CHENNAI"/>
    <s v="MADS"/>
    <n v="938550"/>
    <s v="BASEER AND CO"/>
    <n v="1884117"/>
    <s v="CRCA COIL-TATXXD-AU03-2X1250"/>
    <s v="C01"/>
    <s v="TATXXD"/>
    <s v="AU03"/>
    <n v="2"/>
    <n v="1250"/>
    <n v="0"/>
    <s v="T2 DONE"/>
    <s v=" "/>
    <s v=""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98-2.02"/>
    <s v="1250-1254"/>
    <m/>
    <m/>
    <m/>
    <m/>
    <m/>
    <m/>
    <s v="R"/>
    <s v="CRCA_STLM"/>
    <s v="C01-AU03-2-1250"/>
    <s v="367-SH08-4.5-1260"/>
    <n v="367"/>
    <s v="T01320"/>
    <s v="SH08"/>
    <s v="C16D"/>
    <n v="4.5"/>
    <n v="1260"/>
    <n v="3655817"/>
    <m/>
    <m/>
    <m/>
    <m/>
    <m/>
    <m/>
    <m/>
    <m/>
    <m/>
    <m/>
    <m/>
    <m/>
    <m/>
    <m/>
    <m/>
    <m/>
    <m/>
    <m/>
    <m/>
    <s v="BASEER AND CO"/>
  </r>
  <r>
    <n v="742"/>
    <d v="2025-06-27T00:00:00"/>
    <s v="ZBTO"/>
    <n v="9518886012"/>
    <n v="3"/>
    <s v="9518886012-3"/>
    <s v="No Priority"/>
    <s v="Released"/>
    <x v="0"/>
    <e v="#N/A"/>
    <e v="#N/A"/>
    <m/>
    <x v="0"/>
    <x v="0"/>
    <m/>
    <n v="2000"/>
    <s v="East"/>
    <s v="JSR"/>
    <s v="CALS"/>
    <n v="155536"/>
    <s v="TATA STEEL DOWNSTREAM PRODUCTS LIMI"/>
    <n v="187574"/>
    <s v="CR COIL-ICF TATXXD AU03 2.50X1250"/>
    <s v="C01"/>
    <s v="TATXXD"/>
    <s v="AU03"/>
    <n v="2.5"/>
    <n v="1250"/>
    <n v="0"/>
    <s v="T2 DONE"/>
    <s v=" "/>
    <s v=""/>
    <n v="13"/>
    <n v="29"/>
    <n v="116"/>
    <n v="66.784999999999997"/>
    <n v="49.215000000000003"/>
    <n v="-4.69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215000000000003"/>
    <s v="2.47-2.5"/>
    <s v="1250-1270"/>
    <m/>
    <m/>
    <m/>
    <m/>
    <m/>
    <m/>
    <s v="U"/>
    <s v="CRCA_STLM"/>
    <s v="C01-AU03-2.5-1250"/>
    <s v="367-SH08-5-1250"/>
    <n v="367"/>
    <s v="T01320"/>
    <s v="SH08"/>
    <s v="C16D"/>
    <n v="5"/>
    <n v="1250"/>
    <n v="498653"/>
    <m/>
    <m/>
    <m/>
    <m/>
    <m/>
    <m/>
    <m/>
    <m/>
    <m/>
    <m/>
    <m/>
    <m/>
    <m/>
    <m/>
    <m/>
    <m/>
    <m/>
    <m/>
    <m/>
    <s v="TATA STEEL DOWNSTREAM PRODUCTS LIMI"/>
  </r>
  <r>
    <n v="742"/>
    <d v="2025-08-18T00:00:00"/>
    <s v="ZBTO"/>
    <n v="9519024914"/>
    <n v="4"/>
    <s v="9519024914-4"/>
    <s v="No Priority"/>
    <s v="Released"/>
    <x v="0"/>
    <s v="CR01"/>
    <s v="ACRM CRCA CTL"/>
    <m/>
    <x v="0"/>
    <x v="5"/>
    <m/>
    <n v="2000"/>
    <s v="South"/>
    <s v="CHENNAI"/>
    <s v="MADS"/>
    <n v="116465"/>
    <s v="SRI BALAJI STEEL TRADERS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  <s v="CRCA_SUPR"/>
    <s v="C06-SR16-0.35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4914"/>
    <n v="5"/>
    <s v="9519024914-5"/>
    <s v="Sep'25"/>
    <s v="Released"/>
    <x v="1"/>
    <s v="CR01"/>
    <s v="ACRM CRCA CTL"/>
    <m/>
    <x v="0"/>
    <x v="5"/>
    <m/>
    <n v="2000"/>
    <s v="South"/>
    <s v="CHENNAI"/>
    <s v="MADS"/>
    <n v="116465"/>
    <s v="SRI BALAJI STEEL TRADERS"/>
    <n v="3239543"/>
    <s v="CRCA SHEET TATCRC SR16 0.350X1250X2500"/>
    <s v="C06"/>
    <s v="TATCRC"/>
    <s v="SR16"/>
    <n v="0.35"/>
    <n v="1250"/>
    <n v="2500"/>
    <s v="T2 DONE"/>
    <s v=" "/>
    <s v=""/>
    <n v="0"/>
    <n v="0"/>
    <n v="29"/>
    <n v="0"/>
    <n v="29"/>
    <n v="1.3"/>
    <n v="0"/>
    <n v="0"/>
    <n v="0"/>
    <n v="27.97"/>
    <n v="0"/>
    <n v="0"/>
    <n v="0"/>
    <n v="0"/>
    <n v="0"/>
    <n v="0"/>
    <n v="0"/>
    <n v="0"/>
    <n v="0"/>
    <n v="0"/>
    <n v="0"/>
    <n v="0"/>
    <n v="0"/>
    <n v="0"/>
    <n v="0"/>
    <n v="27.97"/>
    <n v="0"/>
    <n v="27.97"/>
    <n v="0"/>
    <n v="29"/>
    <s v="0.33-0.37"/>
    <s v="1250-1254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s v="SRI BALAJI STEEL TRADERS"/>
  </r>
  <r>
    <n v="744"/>
    <d v="2025-08-21T00:00:00"/>
    <s v="ZBTO"/>
    <n v="9519035613"/>
    <n v="2"/>
    <s v="9519035613-2"/>
    <s v="Stocks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279.51"/>
    <n v="0.48899999999999999"/>
    <n v="-4.9459999999999997"/>
    <n v="279.50999999999993"/>
    <n v="0"/>
    <n v="0"/>
    <n v="0"/>
    <n v="0"/>
    <n v="0"/>
    <n v="0"/>
    <n v="0"/>
    <n v="7.3500000000000005"/>
    <n v="0"/>
    <n v="0"/>
    <n v="0"/>
    <n v="0"/>
    <n v="0"/>
    <n v="0"/>
    <n v="0"/>
    <n v="8.5400000000000009"/>
    <n v="0"/>
    <n v="31.25"/>
    <n v="47.14"/>
    <n v="31.25"/>
    <n v="15.89"/>
    <n v="0"/>
    <n v="-30.760999999999999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4"/>
    <d v="2025-08-21T00:00:00"/>
    <s v="ZBTO"/>
    <n v="9519035613"/>
    <n v="3"/>
    <s v="9519035613-3"/>
    <s v="Stocks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1.5"/>
    <n v="5.0999999999999996"/>
    <n v="279.99900000000002"/>
    <n v="279.24"/>
    <n v="0.75900000000000001"/>
    <n v="-7.766"/>
    <n v="265.435"/>
    <n v="0"/>
    <n v="0"/>
    <n v="0"/>
    <n v="0"/>
    <n v="0"/>
    <n v="0"/>
    <n v="0"/>
    <n v="8.5250000000000004"/>
    <n v="0"/>
    <n v="0"/>
    <n v="0"/>
    <n v="0"/>
    <n v="0"/>
    <n v="0"/>
    <n v="0"/>
    <n v="0"/>
    <n v="0"/>
    <n v="0"/>
    <n v="8.5250000000000004"/>
    <n v="0"/>
    <n v="8.5250000000000004"/>
    <n v="0"/>
    <n v="0.75900000000000001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4"/>
    <d v="2025-08-21T00:00:00"/>
    <s v="ZBTO"/>
    <n v="9519035613"/>
    <n v="5"/>
    <s v="9519035613-5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278.58999999999997"/>
    <n v="1.409"/>
    <n v="-11.206"/>
    <n v="278.59000000000003"/>
    <n v="0"/>
    <n v="0"/>
    <n v="0"/>
    <n v="0"/>
    <n v="0"/>
    <n v="0"/>
    <n v="0"/>
    <n v="10.575000000000001"/>
    <n v="0"/>
    <n v="0"/>
    <n v="0"/>
    <n v="0"/>
    <n v="0"/>
    <n v="0"/>
    <n v="0"/>
    <n v="0"/>
    <n v="0"/>
    <n v="31.645000000000003"/>
    <n v="42.220000000000006"/>
    <n v="31.645000000000003"/>
    <n v="10.575000000000003"/>
    <n v="0"/>
    <n v="-30.236000000000004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4"/>
    <d v="2025-08-21T00:00:00"/>
    <s v="ZBTO"/>
    <n v="9519035613"/>
    <n v="7"/>
    <s v="9519035613-7"/>
    <s v="Sep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8"/>
    <n v="167.34"/>
    <n v="0.65900000000000003"/>
    <n v="-6.7759999999999998"/>
    <n v="167.33999999999995"/>
    <n v="0"/>
    <n v="0"/>
    <n v="0"/>
    <n v="0"/>
    <n v="0"/>
    <n v="0"/>
    <n v="0"/>
    <n v="15.395000000000001"/>
    <n v="0"/>
    <n v="0"/>
    <n v="0"/>
    <n v="0"/>
    <n v="0"/>
    <n v="0"/>
    <n v="0"/>
    <n v="0"/>
    <n v="0"/>
    <n v="18.760000000000002"/>
    <n v="34.155000000000001"/>
    <n v="18.760000000000002"/>
    <n v="15.395"/>
    <n v="0"/>
    <n v="-18.101000000000003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s v="TATA BLUESCOPE STEEL PVT LTD."/>
  </r>
  <r>
    <n v="742"/>
    <d v="2025-08-19T00:00:00"/>
    <s v="ZBTO"/>
    <n v="9519027787"/>
    <n v="5"/>
    <s v="9519027787-5"/>
    <s v="Oct'25"/>
    <s v="Released"/>
    <x v="1"/>
    <s v="CR01"/>
    <s v="ACRM CRCA CTL"/>
    <m/>
    <x v="0"/>
    <x v="5"/>
    <m/>
    <n v="2000"/>
    <s v="South"/>
    <s v="VISHAKHAPATNAM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SITARAM IRON AND STEEL PVT LTD"/>
  </r>
  <r>
    <n v="742"/>
    <d v="2025-08-18T00:00:00"/>
    <s v="ZBTO"/>
    <n v="9519025430"/>
    <n v="1"/>
    <s v="9519025430-1"/>
    <s v="Oct'25"/>
    <s v="Released"/>
    <x v="1"/>
    <s v="CR03"/>
    <s v="ACRM CRCA SPM"/>
    <m/>
    <x v="0"/>
    <x v="0"/>
    <m/>
    <n v="2000"/>
    <s v="South"/>
    <s v="SALEM"/>
    <s v="MADS"/>
    <n v="116465"/>
    <s v="SRI BALAJI STEEL TRADERS"/>
    <n v="185675"/>
    <s v="CRCA COIL-TATXXD-AU03-0.5X1250"/>
    <s v="C01"/>
    <s v="TATXXD"/>
    <s v="AU03"/>
    <n v="0.5"/>
    <n v="1250"/>
    <n v="0"/>
    <s v="T2 DONE"/>
    <s v=" "/>
    <s v=""/>
    <n v="6"/>
    <n v="18"/>
    <n v="29"/>
    <n v="23.85"/>
    <n v="5.15"/>
    <n v="5.15"/>
    <n v="23.85"/>
    <n v="0"/>
    <n v="0"/>
    <n v="0"/>
    <n v="0"/>
    <n v="0"/>
    <n v="0"/>
    <n v="0"/>
    <n v="0"/>
    <n v="0"/>
    <n v="0"/>
    <n v="0"/>
    <n v="0"/>
    <n v="0"/>
    <n v="0"/>
    <n v="0"/>
    <n v="23.85"/>
    <n v="0"/>
    <n v="0"/>
    <n v="23.85"/>
    <n v="0"/>
    <n v="23.85"/>
    <n v="0"/>
    <n v="5.15"/>
    <s v="0.48-0.52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5430"/>
    <n v="2"/>
    <s v="9519025430-2"/>
    <s v="Oct'25"/>
    <s v="Released"/>
    <x v="1"/>
    <s v="CR02"/>
    <s v="ACRM CRCA CRS"/>
    <m/>
    <x v="0"/>
    <x v="0"/>
    <m/>
    <n v="2000"/>
    <s v="South"/>
    <s v="SALEM"/>
    <s v="MADS"/>
    <n v="116465"/>
    <s v="SRI BALAJI STEEL TRADERS"/>
    <n v="1801290"/>
    <s v="CRCA COIL-TATXXD-AU03-0.6X1250"/>
    <s v="C01"/>
    <s v="TATXXD"/>
    <s v="AU03"/>
    <n v="0.6"/>
    <n v="1250"/>
    <n v="0"/>
    <s v="T2 DONE"/>
    <s v=" "/>
    <s v=""/>
    <n v="6"/>
    <n v="18"/>
    <n v="29"/>
    <n v="0"/>
    <n v="29"/>
    <n v="1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8-0.62"/>
    <s v="1250-1262"/>
    <m/>
    <m/>
    <m/>
    <m/>
    <m/>
    <s v="4000519244-4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SRI BALAJI STEEL TRADERS"/>
  </r>
  <r>
    <n v="742"/>
    <d v="2025-08-22T00:00:00"/>
    <s v="ZBTO"/>
    <n v="9519038135"/>
    <n v="1"/>
    <s v="9519038135-1"/>
    <s v="Oct'25"/>
    <s v="Released"/>
    <x v="1"/>
    <s v="CR03"/>
    <s v="ACRM CRCA SPM"/>
    <m/>
    <x v="0"/>
    <x v="0"/>
    <m/>
    <n v="2000"/>
    <s v="South"/>
    <s v="VALPARAI"/>
    <s v="MADS"/>
    <n v="116465"/>
    <s v="SRI BALAJI STEEL TRADERS"/>
    <n v="185675"/>
    <s v="CRCA COIL-TATXXD-AU03-0.5X1250"/>
    <s v="C01"/>
    <s v="TATXXD"/>
    <s v="AU03"/>
    <n v="0.5"/>
    <n v="1250"/>
    <n v="0"/>
    <s v="T2 DONE"/>
    <s v=" "/>
    <s v=""/>
    <n v="6"/>
    <n v="18"/>
    <n v="87"/>
    <n v="75.635000000000005"/>
    <n v="11.365"/>
    <n v="11.365"/>
    <n v="25.39"/>
    <n v="0"/>
    <n v="0"/>
    <n v="0"/>
    <n v="0"/>
    <n v="0"/>
    <n v="0"/>
    <n v="0"/>
    <n v="0"/>
    <n v="0"/>
    <n v="0"/>
    <n v="0"/>
    <n v="0"/>
    <n v="0"/>
    <n v="0"/>
    <n v="0"/>
    <n v="25.39"/>
    <n v="0"/>
    <n v="0"/>
    <n v="25.39"/>
    <n v="0"/>
    <n v="25.39"/>
    <n v="0"/>
    <n v="11.365"/>
    <s v="0.48-0.52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SRI BALAJI STEEL TRADERS"/>
  </r>
  <r>
    <n v="742"/>
    <d v="2025-08-21T00:00:00"/>
    <s v="ZBTO"/>
    <n v="9519036272"/>
    <n v="4"/>
    <s v="9519036272-4"/>
    <s v="Oct'25"/>
    <s v="Released"/>
    <x v="1"/>
    <s v="CR01"/>
    <s v="ACRM CRCA CTL"/>
    <m/>
    <x v="0"/>
    <x v="5"/>
    <m/>
    <n v="2000"/>
    <s v="East"/>
    <s v="WEST BOKARO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5"/>
    <n v="3.2"/>
    <n v="63"/>
    <n v="18.809999999999999"/>
    <n v="44.19"/>
    <n v="44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19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s v="Shree Bajrang Steel Udyog"/>
  </r>
  <r>
    <n v="743"/>
    <d v="2025-08-22T00:00:00"/>
    <s v="ZBTO"/>
    <n v="9519038643"/>
    <n v="4"/>
    <s v="9519038643-4"/>
    <s v="Oct'25"/>
    <s v="Released"/>
    <x v="1"/>
    <s v="GP03"/>
    <s v="ACRM GP#3 NARROW"/>
    <m/>
    <x v="2"/>
    <x v="6"/>
    <m/>
    <n v="2000"/>
    <s v="East"/>
    <s v="WEST BENGAL"/>
    <s v="CALS"/>
    <n v="100922"/>
    <s v="BUBNA COMMERCIAL COMPANY"/>
    <n v="1854418"/>
    <s v="GP COIL SOFT-TATXGP-GK09-0.5X900"/>
    <s v="C02"/>
    <s v="TATXGP"/>
    <s v="GK09"/>
    <n v="0.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47-0.5"/>
    <s v="900-902"/>
    <m/>
    <m/>
    <m/>
    <m/>
    <m/>
    <m/>
    <s v="R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BUBNA COMMERCIAL COMPANY"/>
  </r>
  <r>
    <n v="743"/>
    <d v="2025-08-22T00:00:00"/>
    <s v="ZBTO"/>
    <n v="9519038643"/>
    <n v="5"/>
    <s v="9519038643-5"/>
    <s v="Oct'25"/>
    <s v="Released"/>
    <x v="1"/>
    <s v="GP03"/>
    <s v="ACRM GP#3 NARROW"/>
    <m/>
    <x v="2"/>
    <x v="6"/>
    <m/>
    <n v="2000"/>
    <s v="East"/>
    <s v="WEST BENGAL"/>
    <s v="CALS"/>
    <n v="100922"/>
    <s v="BUBNA COMMERCIAL COMPANY"/>
    <n v="1854424"/>
    <s v="GP COIL SOFT-TATXGP-GK09-0.6X900"/>
    <s v="C02"/>
    <s v="TATXGP"/>
    <s v="GK09"/>
    <n v="0.6"/>
    <n v="900"/>
    <n v="0"/>
    <s v="T2 DONE"/>
    <s v="Z80"/>
    <s v=""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7-0.6"/>
    <s v="900-902"/>
    <m/>
    <m/>
    <m/>
    <m/>
    <m/>
    <m/>
    <s v="R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BUBNA COMMERCIAL COMPANY"/>
  </r>
  <r>
    <n v="742"/>
    <d v="2025-09-12T00:00:00"/>
    <s v="ZBTO"/>
    <n v="9519098913"/>
    <n v="1"/>
    <s v="9519098913-1"/>
    <s v="Oct'25"/>
    <s v="Released"/>
    <x v="1"/>
    <s v="CR03"/>
    <s v="ACRM CRCA SPM"/>
    <m/>
    <x v="0"/>
    <x v="15"/>
    <m/>
    <n v="2000"/>
    <s v="North"/>
    <s v="FARIDABAD"/>
    <s v="FBAD"/>
    <n v="831432"/>
    <s v="FERRO STEEL SOLUTIONS"/>
    <n v="2420508"/>
    <s v="CRCA COIL TATXXD AH03 0.500X1250"/>
    <s v="C01"/>
    <s v="TATXXD"/>
    <s v="AH03"/>
    <n v="0.5"/>
    <n v="1250"/>
    <n v="0"/>
    <s v="T2 DONE"/>
    <s v=" "/>
    <s v=""/>
    <n v="9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s v="FERRO STEEL SOLUTIONS"/>
  </r>
  <r>
    <n v="742"/>
    <d v="2025-08-21T00:00:00"/>
    <s v="ZBTO"/>
    <n v="9519036388"/>
    <n v="3"/>
    <s v="9519036388-3"/>
    <s v="Sep'25"/>
    <s v="Released"/>
    <x v="1"/>
    <s v="CR01"/>
    <s v="ACRM CRCA CTL"/>
    <m/>
    <x v="0"/>
    <x v="5"/>
    <m/>
    <n v="2000"/>
    <s v="East"/>
    <s v="Jharkhand"/>
    <s v="JAMS"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5"/>
    <n v="3.2"/>
    <n v="29"/>
    <n v="0"/>
    <n v="29"/>
    <n v="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1-0.45"/>
    <s v="1250-1252"/>
    <m/>
    <m/>
    <m/>
    <m/>
    <m/>
    <m/>
    <s v="R"/>
    <s v="CRCA_SUPR"/>
    <s v="C06-SR16-0.43-1250"/>
    <s v="367-SH67-2.25-1265"/>
    <n v="367"/>
    <s v="TSH067"/>
    <s v="SH67"/>
    <s v="C14A"/>
    <n v="2.25"/>
    <n v="1265"/>
    <n v="3901842"/>
    <m/>
    <m/>
    <m/>
    <m/>
    <m/>
    <m/>
    <m/>
    <m/>
    <m/>
    <m/>
    <m/>
    <m/>
    <m/>
    <m/>
    <m/>
    <m/>
    <m/>
    <m/>
    <m/>
    <s v="R. S. BOKARO METAL (P) LTD."/>
  </r>
  <r>
    <n v="742"/>
    <d v="2025-08-12T00:00:00"/>
    <s v="ZBTO"/>
    <n v="9519011540"/>
    <n v="1"/>
    <s v="9519011540-1"/>
    <s v="Oct'25"/>
    <s v="Released"/>
    <x v="1"/>
    <s v="CR01"/>
    <s v="ACRM CRCA CTL"/>
    <m/>
    <x v="0"/>
    <x v="0"/>
    <m/>
    <n v="2000"/>
    <s v="North"/>
    <s v="GORAKHPUR"/>
    <s v="KANP"/>
    <n v="115841"/>
    <s v="O.V.S. ISPAT UDYOG"/>
    <n v="322578"/>
    <s v="CRCA SHEET TATCRC TR15 .5X1250X2500"/>
    <s v="C06"/>
    <s v="TATCRC"/>
    <s v="TR15"/>
    <n v="0.5"/>
    <n v="1250"/>
    <n v="2500"/>
    <s v="T2 DONE"/>
    <s v=" "/>
    <s v=""/>
    <n v="0"/>
    <n v="0"/>
    <n v="29"/>
    <n v="0"/>
    <n v="29"/>
    <n v="1.51"/>
    <n v="0"/>
    <n v="0"/>
    <n v="0"/>
    <n v="0"/>
    <n v="0"/>
    <n v="0"/>
    <n v="0"/>
    <n v="0"/>
    <n v="0"/>
    <n v="0"/>
    <n v="27.490000000000002"/>
    <n v="0"/>
    <n v="0"/>
    <n v="0"/>
    <n v="0"/>
    <n v="0"/>
    <n v="0"/>
    <n v="0"/>
    <n v="0"/>
    <n v="27.490000000000002"/>
    <n v="0"/>
    <n v="27.490000000000002"/>
    <n v="0"/>
    <n v="29"/>
    <s v="0.48-0.52"/>
    <s v="1250-1254"/>
    <m/>
    <m/>
    <m/>
    <m/>
    <m/>
    <m/>
    <s v="M"/>
    <s v="CRCA_STLM"/>
    <s v="C06-TR15-0.5-1250"/>
    <s v="367-SF98-2.5-1260"/>
    <n v="367"/>
    <s v="S02150"/>
    <s v="SF98"/>
    <s v="C29A"/>
    <n v="2.5"/>
    <n v="1260"/>
    <n v="3958457"/>
    <m/>
    <m/>
    <m/>
    <m/>
    <m/>
    <m/>
    <m/>
    <m/>
    <m/>
    <m/>
    <m/>
    <m/>
    <m/>
    <m/>
    <m/>
    <m/>
    <m/>
    <m/>
    <m/>
    <s v="O.V.S. ISPAT UDYOG"/>
  </r>
  <r>
    <n v="742"/>
    <d v="2025-07-23T00:00:00"/>
    <s v="ZBTO"/>
    <n v="9518952583"/>
    <n v="1"/>
    <s v="9518952583-1"/>
    <s v="No Priority"/>
    <s v="Released"/>
    <x v="0"/>
    <s v="CR01"/>
    <s v="ACRM CRCA CTL"/>
    <m/>
    <x v="0"/>
    <x v="0"/>
    <m/>
    <n v="2000"/>
    <s v="North"/>
    <s v="GORAKHPUR"/>
    <s v="KANP"/>
    <n v="115841"/>
    <s v="O.V.S. ISPAT UDYOG"/>
    <n v="322585"/>
    <s v="CRCA SHEET TATCRC TR15 .9X1250X2500"/>
    <s v="C06"/>
    <s v="TATCRC"/>
    <s v="TR15"/>
    <n v="0.9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88-0.92"/>
    <s v="1250-1254"/>
    <m/>
    <m/>
    <m/>
    <m/>
    <m/>
    <m/>
    <s v="M"/>
    <s v="CRCA_STLM"/>
    <s v="C06-TR15-0.9-1250"/>
    <s v="367-SF98-2.8-1260"/>
    <n v="367"/>
    <s v="S02150"/>
    <s v="SF98"/>
    <s v="C29A"/>
    <n v="2.8"/>
    <n v="1260"/>
    <n v="3601894"/>
    <m/>
    <m/>
    <m/>
    <m/>
    <m/>
    <m/>
    <m/>
    <m/>
    <m/>
    <m/>
    <m/>
    <m/>
    <m/>
    <m/>
    <m/>
    <m/>
    <m/>
    <m/>
    <m/>
    <s v="O.V.S. ISPAT UDYOG"/>
  </r>
  <r>
    <n v="743"/>
    <d v="2025-09-17T00:00:00"/>
    <s v="ZBTO"/>
    <n v="9519113387"/>
    <n v="2"/>
    <s v="9519113387-2"/>
    <s v="Oct'25"/>
    <s v="Released"/>
    <x v="1"/>
    <s v="GP03"/>
    <s v="ACRM GP#3 NARROW"/>
    <m/>
    <x v="2"/>
    <x v="11"/>
    <m/>
    <n v="2000"/>
    <s v="North"/>
    <s v="SRINAGAR"/>
    <s v="LUDH"/>
    <n v="115190"/>
    <s v="SHEYRUB AGENCIES"/>
    <n v="3897429"/>
    <s v="GP COIL XXXGPH GPH3 0.350X900"/>
    <s v="C05"/>
    <s v="XXXGPH"/>
    <s v="GPH3"/>
    <n v="0.35"/>
    <n v="900"/>
    <n v="0"/>
    <s v=""/>
    <s v="Z8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32-0.36"/>
    <s v="900-903"/>
    <m/>
    <m/>
    <m/>
    <m/>
    <m/>
    <m/>
    <s v="U"/>
    <s v="NA"/>
    <s v="C05-GPH3-0.35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SHEYRUB AGENCIES"/>
  </r>
  <r>
    <n v="743"/>
    <d v="2025-09-17T00:00:00"/>
    <s v="ZBTO"/>
    <n v="9519113387"/>
    <n v="3"/>
    <s v="9519113387-3"/>
    <s v="Oct'25"/>
    <s v="Released"/>
    <x v="1"/>
    <s v="GP03"/>
    <s v="ACRM GP#3 NARROW"/>
    <m/>
    <x v="2"/>
    <x v="11"/>
    <m/>
    <n v="2000"/>
    <s v="North"/>
    <s v="SRINAGAR"/>
    <s v="LUDH"/>
    <n v="115190"/>
    <s v="SHEYRUB AGENCIES"/>
    <n v="3897430"/>
    <s v="GP COIL XXXGPH GPH3 0.400X900"/>
    <s v="C05"/>
    <s v="XXXGPH"/>
    <s v="GPH3"/>
    <n v="0.4"/>
    <n v="900"/>
    <n v="0"/>
    <s v="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7-0.41"/>
    <s v="900-903"/>
    <m/>
    <m/>
    <m/>
    <m/>
    <m/>
    <m/>
    <s v="U"/>
    <s v="NA"/>
    <s v="C05-GPH3-0.4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SHEYRUB AGENCIES"/>
  </r>
  <r>
    <n v="743"/>
    <d v="2025-09-17T00:00:00"/>
    <s v="ZBTO"/>
    <n v="9519113387"/>
    <n v="4"/>
    <s v="9519113387-4"/>
    <s v="Oct'25"/>
    <s v="Released"/>
    <x v="1"/>
    <s v="GP03"/>
    <s v="ACRM GP#3 NARROW"/>
    <m/>
    <x v="2"/>
    <x v="11"/>
    <n v="500"/>
    <n v="2000"/>
    <s v="North"/>
    <s v="SRINAGAR"/>
    <s v="LUDH"/>
    <n v="115190"/>
    <s v="SHEYRUB AGENCIES"/>
    <n v="3897501"/>
    <s v="GP COIL XXXGPH GPH3 0.500X900"/>
    <s v="C05"/>
    <s v="XXXGPH"/>
    <s v="GPH3"/>
    <n v="0.5"/>
    <n v="900"/>
    <n v="0"/>
    <s v=""/>
    <s v="Z80"/>
    <s v=""/>
    <n v="3"/>
    <n v="5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7-0.51"/>
    <s v="900-903"/>
    <m/>
    <m/>
    <m/>
    <m/>
    <m/>
    <m/>
    <s v="U"/>
    <s v="NA"/>
    <s v="C05-GPH3-0.5-900"/>
    <s v="B69-SF93-2.5-925"/>
    <s v="B69"/>
    <s v="S02149"/>
    <s v="SF93"/>
    <s v="C07A"/>
    <n v="2.5"/>
    <n v="925"/>
    <n v="2429038"/>
    <m/>
    <m/>
    <m/>
    <m/>
    <m/>
    <m/>
    <m/>
    <m/>
    <m/>
    <m/>
    <m/>
    <m/>
    <m/>
    <m/>
    <m/>
    <m/>
    <m/>
    <m/>
    <m/>
    <s v="SHEYRUB AGENCIES"/>
  </r>
  <r>
    <n v="742"/>
    <d v="2025-08-23T00:00:00"/>
    <s v="ZBTO"/>
    <n v="9519041216"/>
    <n v="1"/>
    <s v="9519041216-1"/>
    <s v="Oct'25"/>
    <s v="Released"/>
    <x v="1"/>
    <s v="CR01"/>
    <s v="ACRM CRCA CTL"/>
    <m/>
    <x v="0"/>
    <x v="5"/>
    <m/>
    <n v="2000"/>
    <s v="South"/>
    <s v="VISHAKHAPATNAM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s v="SITARAM IRON AND STEEL PVT LTD"/>
  </r>
  <r>
    <n v="742"/>
    <d v="2025-08-23T00:00:00"/>
    <s v="ZBTO"/>
    <n v="9519041216"/>
    <n v="2"/>
    <s v="9519041216-2"/>
    <s v="Oct'25"/>
    <s v="Released"/>
    <x v="1"/>
    <s v="CR01"/>
    <s v="ACRM CRCA CTL"/>
    <m/>
    <x v="0"/>
    <x v="5"/>
    <m/>
    <n v="2000"/>
    <s v="South"/>
    <s v="VISHAKHAPATNAM"/>
    <s v="SBAD"/>
    <n v="946077"/>
    <s v="SITARAM IRON AND STEEL PVT LTD"/>
    <n v="3240771"/>
    <s v="CRCA SHEET TSBCRC SR15 0.600X900X2440"/>
    <s v="C06"/>
    <s v="TSBCRC"/>
    <s v="SR15"/>
    <n v="0.6"/>
    <n v="900"/>
    <n v="2440"/>
    <s v="T2 DONE"/>
    <s v=" "/>
    <s v="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4"/>
    <m/>
    <m/>
    <m/>
    <m/>
    <m/>
    <m/>
    <s v="M"/>
    <s v="CRCA_SUPR"/>
    <s v="C06-SR15-0.6-900"/>
    <s v="B69-SH69-2.5-925"/>
    <s v="B69"/>
    <s v="T01069"/>
    <s v="SH69"/>
    <s v="R12A"/>
    <n v="2.5"/>
    <n v="925"/>
    <n v="3918108"/>
    <m/>
    <m/>
    <m/>
    <m/>
    <m/>
    <m/>
    <m/>
    <m/>
    <m/>
    <m/>
    <m/>
    <m/>
    <m/>
    <m/>
    <m/>
    <m/>
    <m/>
    <m/>
    <m/>
    <s v="SITARAM IRON AND STEEL PVT LTD"/>
  </r>
  <r>
    <n v="743"/>
    <d v="2025-08-29T00:00:00"/>
    <s v="ZBTO"/>
    <n v="9519061532"/>
    <n v="2"/>
    <s v="9519061532-2"/>
    <s v="No Priority"/>
    <s v="Released"/>
    <x v="0"/>
    <s v="GP03"/>
    <s v="ACRM GP#3 NARROW"/>
    <m/>
    <x v="2"/>
    <x v="2"/>
    <m/>
    <n v="2000"/>
    <s v="West"/>
    <s v="LONI"/>
    <s v="GBAD"/>
    <n v="931234"/>
    <s v="JAI LAXMI STEELS"/>
    <n v="1851762"/>
    <s v="GP COIL SOFT-TSBXGP-T1GP-0.25X1000"/>
    <s v="C02"/>
    <s v="TSBXGP"/>
    <s v="T1GP"/>
    <n v="0.25"/>
    <n v="1000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2-0.25"/>
    <s v="1000-1003"/>
    <m/>
    <m/>
    <m/>
    <m/>
    <m/>
    <m/>
    <s v="S"/>
    <s v="GP03_BPRS"/>
    <s v="C02-T1GP-0.25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s v="JAI LAXMI STEELS"/>
  </r>
  <r>
    <n v="742"/>
    <d v="2025-08-12T00:00:00"/>
    <s v="ZBTO"/>
    <n v="9519011538"/>
    <n v="1"/>
    <s v="9519011538-1"/>
    <s v="Sep'25"/>
    <s v="Released"/>
    <x v="1"/>
    <s v="CR01"/>
    <s v="ACRM CRCA CTL"/>
    <m/>
    <x v="0"/>
    <x v="5"/>
    <m/>
    <n v="2000"/>
    <s v="North"/>
    <s v="VARANASI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0"/>
    <n v="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s v="O.V.S. ISPAT UDYOG"/>
  </r>
  <r>
    <n v="742"/>
    <d v="2025-08-18T00:00:00"/>
    <s v="ZBTO"/>
    <n v="9519025430"/>
    <n v="3"/>
    <s v="9519025430-3"/>
    <s v="No Priority"/>
    <s v="Released"/>
    <x v="0"/>
    <s v="CR01"/>
    <s v="ACRM CRCA CTL"/>
    <m/>
    <x v="0"/>
    <x v="5"/>
    <m/>
    <n v="2000"/>
    <s v="South"/>
    <s v="SALEM"/>
    <s v="MADS"/>
    <n v="116465"/>
    <s v="SRI BALAJI STEEL TRADERS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U"/>
    <s v="CRCA_SUPR"/>
    <s v="C06-SR16-0.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SRI BALAJI STEEL TRADERS"/>
  </r>
  <r>
    <n v="742"/>
    <d v="2025-07-29T00:00:00"/>
    <s v="ZBTO"/>
    <n v="9518970422"/>
    <n v="2"/>
    <s v="9518970422-2"/>
    <s v="No Priority"/>
    <s v="Released"/>
    <x v="0"/>
    <s v="CR01"/>
    <s v="ACRM CRCA CTL"/>
    <m/>
    <x v="0"/>
    <x v="5"/>
    <m/>
    <n v="2000"/>
    <s v="West"/>
    <s v="NAGPUR"/>
    <s v="NPUR"/>
    <n v="103092"/>
    <s v="TEJRAM RAMNIWAS AGARWAL"/>
    <n v="3240792"/>
    <s v="CRCA SHEET TSBCRC SR15 0.600X1250X2500"/>
    <s v="C06"/>
    <s v="TSBCRC"/>
    <s v="SR15"/>
    <n v="0.6"/>
    <n v="1250"/>
    <n v="2500"/>
    <s v="T2 DONE"/>
    <s v=" "/>
    <s v=""/>
    <n v="2"/>
    <n v="3"/>
    <n v="57.999000000000002"/>
    <n v="36.365000000000002"/>
    <n v="21.634"/>
    <n v="21.6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34"/>
    <s v="0.58-0.61"/>
    <s v="1250-1251"/>
    <m/>
    <m/>
    <m/>
    <m/>
    <m/>
    <m/>
    <s v="R"/>
    <s v="CRCA_SUPR"/>
    <s v="C06-SR15-0.6-1250"/>
    <s v="367-SH69-2.5-1260"/>
    <n v="367"/>
    <s v="T01069"/>
    <s v="SH69"/>
    <s v="R12A"/>
    <n v="2.5"/>
    <n v="1260"/>
    <n v="3901920"/>
    <m/>
    <m/>
    <m/>
    <m/>
    <m/>
    <m/>
    <m/>
    <m/>
    <m/>
    <m/>
    <m/>
    <m/>
    <m/>
    <m/>
    <m/>
    <m/>
    <m/>
    <m/>
    <m/>
    <s v="TEJRAM RAMNIWAS AGARWAL"/>
  </r>
  <r>
    <n v="742"/>
    <d v="2025-08-22T00:00:00"/>
    <s v="ZBTO"/>
    <n v="9519040469"/>
    <n v="2"/>
    <s v="9519040469-2"/>
    <s v="Sep'25"/>
    <s v="Released"/>
    <x v="1"/>
    <s v="CR02"/>
    <s v="ACRM CRCA CRS"/>
    <m/>
    <x v="0"/>
    <x v="4"/>
    <m/>
    <n v="1000"/>
    <s v="West"/>
    <s v="VILLAGE DADRA"/>
    <s v="NPUR"/>
    <n v="189405"/>
    <s v="Balmer Lawrie And Co. Ltd."/>
    <n v="3655054"/>
    <s v="CR COIL TATXXD BT01 1.200X1215"/>
    <s v="C01"/>
    <s v="TATXXD"/>
    <s v="BT01"/>
    <n v="1.2"/>
    <n v="1215"/>
    <n v="0"/>
    <s v="T2 DONE"/>
    <s v=" "/>
    <s v=""/>
    <n v="6"/>
    <n v="10"/>
    <n v="140"/>
    <n v="101.11"/>
    <n v="38.89"/>
    <n v="11.51"/>
    <n v="76.085000000000008"/>
    <n v="0"/>
    <n v="0"/>
    <n v="0"/>
    <n v="0"/>
    <n v="0"/>
    <n v="0"/>
    <n v="0"/>
    <n v="0"/>
    <n v="0"/>
    <n v="0"/>
    <n v="0"/>
    <n v="27.400000000000002"/>
    <n v="49"/>
    <n v="0"/>
    <n v="34.194000000000003"/>
    <n v="0"/>
    <n v="0"/>
    <n v="0"/>
    <n v="110.59400000000001"/>
    <n v="83.194000000000003"/>
    <n v="27.400000000000006"/>
    <n v="0"/>
    <n v="-44.304000000000002"/>
    <s v="1.17-1.23"/>
    <s v="1215-1216"/>
    <m/>
    <m/>
    <m/>
    <m/>
    <m/>
    <m/>
    <s v="M"/>
    <s v="CRCA_D&amp;B"/>
    <s v="C01-BT01-1.2-1215"/>
    <s v="367-SH67-3.2-1235"/>
    <n v="367"/>
    <s v="TSH067"/>
    <s v="SH67"/>
    <s v="C14A"/>
    <n v="3.2"/>
    <n v="1235"/>
    <n v="3921725"/>
    <m/>
    <m/>
    <m/>
    <m/>
    <m/>
    <m/>
    <m/>
    <m/>
    <m/>
    <m/>
    <m/>
    <m/>
    <m/>
    <m/>
    <m/>
    <m/>
    <m/>
    <m/>
    <m/>
    <s v="Balmer Lawrie And Co. Ltd."/>
  </r>
  <r>
    <n v="742"/>
    <d v="2025-09-05T00:00:00"/>
    <s v="ZBTO"/>
    <n v="9519080347"/>
    <n v="1"/>
    <s v="9519080347-1"/>
    <s v="Oct'25"/>
    <s v="Released"/>
    <x v="1"/>
    <s v="CR02"/>
    <s v="ACRM CRCA CRS"/>
    <m/>
    <x v="0"/>
    <x v="0"/>
    <m/>
    <n v="2000"/>
    <s v="North"/>
    <s v="FARIDABAD"/>
    <s v="FBAD"/>
    <n v="144917"/>
    <s v="BANSAL BROTHERS"/>
    <n v="1804772"/>
    <s v="CRCA COIL TATXXD AU03 0.4X1250"/>
    <s v="C01"/>
    <s v="TATXXD"/>
    <s v="AU03"/>
    <n v="0.4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BANSAL BROTHERS"/>
  </r>
  <r>
    <n v="743"/>
    <d v="2025-09-15T00:00:00"/>
    <s v="ZBTO"/>
    <n v="9519104694"/>
    <n v="6"/>
    <s v="9519104694-6"/>
    <s v="Oct'25"/>
    <s v="Released"/>
    <x v="1"/>
    <s v="GP03"/>
    <s v="ACRM GP#3 NARROW"/>
    <m/>
    <x v="2"/>
    <x v="6"/>
    <m/>
    <n v="2000"/>
    <s v="East"/>
    <s v="Jharkhand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0"/>
    <n v="126"/>
    <n v="-3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R. S. BOKARO METAL (P) LTD."/>
  </r>
  <r>
    <n v="743"/>
    <d v="2025-09-16T00:00:00"/>
    <s v="ZBTO"/>
    <n v="9519107755"/>
    <n v="3"/>
    <s v="9519107755-3"/>
    <s v="No Priority"/>
    <s v="Released"/>
    <x v="0"/>
    <s v="GP02"/>
    <s v="ACRM GP#3 WIDER SOFT"/>
    <m/>
    <x v="2"/>
    <x v="13"/>
    <m/>
    <n v="2000"/>
    <s v="North"/>
    <s v="UTTARKASHI"/>
    <s v="JPUR"/>
    <n v="150962"/>
    <s v="BIHANI INTERNATIONAL PVT LTD."/>
    <n v="1854399"/>
    <s v="GP COIL SOFT-TATXGP-GK09-0.35X1220"/>
    <s v="C02"/>
    <s v="TATXGP"/>
    <s v="GK09"/>
    <n v="0.35"/>
    <n v="1220"/>
    <n v="0"/>
    <s v="T2 DONE"/>
    <s v="Z80"/>
    <s v=""/>
    <n v="4"/>
    <n v="7"/>
    <n v="28"/>
    <n v="27.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2-0.35"/>
    <s v="1220-1222"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BIHANI INTERNATIONAL PVT LTD."/>
  </r>
  <r>
    <n v="742"/>
    <d v="2025-07-21T00:00:00"/>
    <s v="ZBTO"/>
    <n v="9518945221"/>
    <n v="3"/>
    <s v="9518945221-3"/>
    <s v="Oct'25"/>
    <s v="Released"/>
    <x v="1"/>
    <s v="CR02"/>
    <s v="ACRM CRCA CRS"/>
    <m/>
    <x v="0"/>
    <x v="0"/>
    <m/>
    <n v="2000"/>
    <s v="South"/>
    <s v="GUMMIDIPOONDI"/>
    <s v="MADS"/>
    <n v="822271"/>
    <s v="TATA STEEL DOWNSTREAM PRODUCTS LIMI"/>
    <n v="2434555"/>
    <s v="CRCA COIL TATXXD AU03 0.600X1320"/>
    <s v="C01"/>
    <s v="TATXXD"/>
    <s v="AU03"/>
    <n v="0.6"/>
    <n v="1320"/>
    <n v="0"/>
    <s v="T2 DONE"/>
    <s v=" "/>
    <s v=""/>
    <n v="5"/>
    <n v="29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s v="0.58-0.62"/>
    <s v="1320-1332"/>
    <m/>
    <m/>
    <m/>
    <m/>
    <m/>
    <s v="4000519244-8"/>
    <s v="U"/>
    <s v="CRCA_STLM"/>
    <s v="C01-AU03-0.6-1320"/>
    <s v="367-SH08-2.5-1320"/>
    <n v="367"/>
    <s v="T01320"/>
    <s v="SH08"/>
    <s v="C16D"/>
    <n v="2.5"/>
    <n v="1320"/>
    <n v="3655810"/>
    <m/>
    <m/>
    <m/>
    <m/>
    <m/>
    <m/>
    <m/>
    <m/>
    <m/>
    <m/>
    <m/>
    <m/>
    <m/>
    <m/>
    <m/>
    <m/>
    <m/>
    <m/>
    <m/>
    <s v="TATA STEEL DOWNSTREAM PRODUCTS LIMI"/>
  </r>
  <r>
    <n v="742"/>
    <d v="2025-08-19T00:00:00"/>
    <s v="ZBTO"/>
    <n v="9519028231"/>
    <n v="2"/>
    <s v="9519028231-2"/>
    <s v="No Priority"/>
    <s v="Released"/>
    <x v="0"/>
    <s v="CR02"/>
    <s v="ACRM CRCA CRS"/>
    <m/>
    <x v="0"/>
    <x v="0"/>
    <m/>
    <n v="2000"/>
    <s v="South"/>
    <s v="CHENNAI"/>
    <s v="MADS"/>
    <n v="938550"/>
    <s v="BASEER AND CO"/>
    <n v="185675"/>
    <s v="CRCA COIL-TATXXD-AU03-0.5X1250"/>
    <s v="C01"/>
    <s v="TATXXD"/>
    <s v="AU03"/>
    <n v="0.5"/>
    <n v="1250"/>
    <n v="0"/>
    <s v="T2 DONE"/>
    <s v=" "/>
    <s v=""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"/>
    <n v="0.2"/>
    <n v="0.2"/>
    <n v="0"/>
    <n v="0"/>
    <n v="57.8"/>
    <s v="0.48-0.52"/>
    <s v="1250-1254"/>
    <m/>
    <m/>
    <m/>
    <m/>
    <m/>
    <m/>
    <s v="R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s v="BASEER AND CO"/>
  </r>
  <r>
    <n v="742"/>
    <d v="2025-08-14T00:00:00"/>
    <s v="ZBTF"/>
    <n v="9519017114"/>
    <n v="1"/>
    <s v="9519017114-1"/>
    <s v="Oct'25"/>
    <s v="Released"/>
    <x v="1"/>
    <s v="CR02"/>
    <s v="ACRM CRCA CRS"/>
    <m/>
    <x v="0"/>
    <x v="8"/>
    <m/>
    <n v="1000"/>
    <s v="South"/>
    <s v="THIRUVALLUR"/>
    <s v="MADS"/>
    <n v="600250"/>
    <s v="TATA CENTER"/>
    <n v="3659268"/>
    <s v="CR COIL TSBSTA EL03 0.500X1217"/>
    <s v="C01"/>
    <s v="TSBSTA"/>
    <s v="EL03"/>
    <n v="0.5"/>
    <n v="1217"/>
    <n v="0"/>
    <s v="T2 DONE"/>
    <s v=" "/>
    <s v=""/>
    <n v="8"/>
    <n v="25"/>
    <n v="196"/>
    <n v="64.489999999999995"/>
    <n v="131.51"/>
    <n v="7.08"/>
    <n v="0"/>
    <n v="0"/>
    <n v="0"/>
    <n v="28.46"/>
    <n v="0"/>
    <n v="0"/>
    <n v="0"/>
    <n v="0"/>
    <n v="0"/>
    <n v="0"/>
    <n v="0"/>
    <n v="0"/>
    <n v="54.97"/>
    <n v="0"/>
    <n v="0"/>
    <n v="0"/>
    <n v="0"/>
    <n v="0"/>
    <n v="0"/>
    <n v="83.43"/>
    <n v="0"/>
    <n v="83.43"/>
    <n v="0"/>
    <n v="131.51"/>
    <s v="0.49-0.51"/>
    <s v="1217-1222"/>
    <m/>
    <m/>
    <m/>
    <m/>
    <m/>
    <m/>
    <s v="C"/>
    <s v="CRCA_STMP"/>
    <s v="C01-EL03-0.5-1217"/>
    <s v="367-SH67-2.5-1235"/>
    <n v="367"/>
    <s v="TSH067"/>
    <s v="SH67"/>
    <s v="C14A"/>
    <n v="2.5"/>
    <n v="1235"/>
    <n v="3901654"/>
    <m/>
    <m/>
    <m/>
    <m/>
    <m/>
    <m/>
    <m/>
    <m/>
    <m/>
    <m/>
    <m/>
    <m/>
    <m/>
    <m/>
    <m/>
    <m/>
    <m/>
    <m/>
    <m/>
    <s v="TATA CENTER"/>
  </r>
  <r>
    <n v="743"/>
    <d v="2025-09-09T00:00:00"/>
    <s v="ZBTO"/>
    <n v="9519090170"/>
    <n v="3"/>
    <s v="9519090170-3"/>
    <s v="Oct'25"/>
    <s v="Released"/>
    <x v="1"/>
    <s v="GL01"/>
    <s v="ACRM GP#2 TBSPL BGL"/>
    <m/>
    <x v="4"/>
    <x v="3"/>
    <m/>
    <n v="1000"/>
    <s v="TBSPL"/>
    <s v="TATANAGAR"/>
    <s v="BOMB"/>
    <n v="942284"/>
    <s v="TATA BLUESCOPE STEEL PRIVATE LIMITE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  <s v="NA"/>
    <s v="B04-M306-0.43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s v="TATA BLUESCOPE STEEL PRIVATE LIMITE"/>
  </r>
  <r>
    <n v="742"/>
    <d v="2025-08-18T00:00:00"/>
    <s v="ZBTF"/>
    <n v="9519024849"/>
    <n v="1"/>
    <s v="9519024849-1"/>
    <s v="Sep'25"/>
    <s v="Released"/>
    <x v="1"/>
    <s v="CR02"/>
    <s v="ACRM CRCA CRS"/>
    <m/>
    <x v="0"/>
    <x v="4"/>
    <m/>
    <n v="1000"/>
    <s v="East"/>
    <s v="PILKHUWA"/>
    <s v="DELI"/>
    <n v="600250"/>
    <s v="TATA CENTER"/>
    <n v="2164800"/>
    <s v="CRCA COIL TATXXD BT02 0.970X913"/>
    <s v="C01"/>
    <s v="TATXXD"/>
    <s v="BT02"/>
    <n v="0.97"/>
    <n v="913"/>
    <n v="0"/>
    <s v="T2 DONE"/>
    <s v=" "/>
    <s v=""/>
    <n v="5"/>
    <n v="10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s v="0.95-0.99"/>
    <s v="913-913.5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s v="TATA CENTER"/>
  </r>
  <r>
    <n v="742"/>
    <d v="2025-07-29T00:00:00"/>
    <s v="ZBTO"/>
    <n v="9518972719"/>
    <n v="9"/>
    <s v="9518972719-9"/>
    <s v="No Priority"/>
    <s v="Released"/>
    <x v="0"/>
    <s v="CR01"/>
    <s v="ACRM CRCA CTL"/>
    <m/>
    <x v="0"/>
    <x v="0"/>
    <m/>
    <n v="2000"/>
    <s v="South"/>
    <s v="VALPARAI"/>
    <s v="MADS"/>
    <n v="116465"/>
    <s v="SRI BALAJI STEEL TRADERS"/>
    <n v="189866"/>
    <s v="CRSHEET TATXXD AU03 1.20X1250X2500"/>
    <s v="C06"/>
    <s v="TATXXD"/>
    <s v="AU03"/>
    <n v="1.2"/>
    <n v="125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18-1.22"/>
    <s v="1250-1254"/>
    <m/>
    <m/>
    <m/>
    <m/>
    <m/>
    <m/>
    <s v="U"/>
    <s v="CRCA_STLM"/>
    <s v="C06-AU03-1.2-1250"/>
    <s v="367-SH08-3.2-1260"/>
    <n v="367"/>
    <s v="T01320"/>
    <s v="SH08"/>
    <s v="C16D"/>
    <n v="3.2"/>
    <n v="1260"/>
    <n v="3466444"/>
    <m/>
    <m/>
    <m/>
    <m/>
    <m/>
    <m/>
    <m/>
    <m/>
    <m/>
    <m/>
    <m/>
    <m/>
    <m/>
    <m/>
    <m/>
    <m/>
    <m/>
    <m/>
    <m/>
    <s v="SRI BALAJI STEEL TRADERS"/>
  </r>
  <r>
    <n v="742"/>
    <d v="2025-07-29T00:00:00"/>
    <s v="ZBTO"/>
    <n v="9518972719"/>
    <n v="10"/>
    <s v="9518972719-10"/>
    <s v="No Priority"/>
    <s v="Released"/>
    <x v="0"/>
    <s v="CR01"/>
    <s v="ACRM CRCA CTL"/>
    <m/>
    <x v="0"/>
    <x v="0"/>
    <m/>
    <n v="2000"/>
    <s v="South"/>
    <s v="VALPARAI"/>
    <s v="MADS"/>
    <n v="116465"/>
    <s v="SRI BALAJI STEEL TRADERS"/>
    <n v="194544"/>
    <s v="CRSHEET TATXXD AU03 1.50X1250X2500"/>
    <s v="C06"/>
    <s v="TATXXD"/>
    <s v="AU03"/>
    <n v="1.5"/>
    <n v="125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48-1.52"/>
    <s v="1250-1254"/>
    <m/>
    <m/>
    <m/>
    <m/>
    <m/>
    <m/>
    <s v="U"/>
    <s v="CRCA_STLM"/>
    <s v="C06-AU03-1.5-1250"/>
    <s v="367-SH08-4-1260"/>
    <n v="367"/>
    <s v="T01320"/>
    <s v="SH08"/>
    <s v="C16D"/>
    <n v="4"/>
    <n v="1260"/>
    <n v="2442357"/>
    <m/>
    <m/>
    <m/>
    <m/>
    <m/>
    <m/>
    <m/>
    <m/>
    <m/>
    <m/>
    <m/>
    <m/>
    <m/>
    <m/>
    <m/>
    <m/>
    <m/>
    <m/>
    <m/>
    <s v="SRI BALAJI STEEL TRADERS"/>
  </r>
  <r>
    <n v="742"/>
    <d v="2025-07-29T00:00:00"/>
    <s v="ZBTO"/>
    <n v="9518972719"/>
    <n v="11"/>
    <s v="9518972719-11"/>
    <s v="No Priority"/>
    <s v="Released"/>
    <x v="0"/>
    <s v="CR01"/>
    <s v="ACRM CRCA CTL"/>
    <m/>
    <x v="0"/>
    <x v="0"/>
    <m/>
    <n v="2000"/>
    <s v="South"/>
    <s v="VALPARAI"/>
    <s v="MADS"/>
    <n v="116465"/>
    <s v="SRI BALAJI STEEL TRADERS"/>
    <n v="3533096"/>
    <s v="CRSHEET C06 TATXXD AU03 1.6X1250X2500"/>
    <s v="C06"/>
    <s v="TATXXD"/>
    <s v="AU03"/>
    <n v="1.6"/>
    <n v="125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58-1.62"/>
    <s v="1250-1254"/>
    <m/>
    <m/>
    <m/>
    <m/>
    <m/>
    <m/>
    <s v="U"/>
    <s v="CRCA_STLM"/>
    <s v="C06-AU03-1.6-1250"/>
    <s v="367-SH08-4-1260"/>
    <n v="367"/>
    <s v="T01320"/>
    <s v="SH08"/>
    <s v="C16D"/>
    <n v="4"/>
    <n v="1260"/>
    <n v="2442357"/>
    <m/>
    <m/>
    <m/>
    <m/>
    <m/>
    <m/>
    <m/>
    <m/>
    <m/>
    <m/>
    <m/>
    <m/>
    <m/>
    <m/>
    <m/>
    <m/>
    <m/>
    <m/>
    <m/>
    <s v="SRI BALAJI STEEL TRADERS"/>
  </r>
  <r>
    <n v="742"/>
    <d v="2025-08-18T00:00:00"/>
    <s v="ZBTO"/>
    <n v="9519025763"/>
    <n v="1"/>
    <s v="9519025763-1"/>
    <s v="No Priority"/>
    <s v="Released"/>
    <x v="0"/>
    <s v="CR01"/>
    <s v="ACRM CRCA CTL"/>
    <m/>
    <x v="0"/>
    <x v="0"/>
    <m/>
    <n v="2000"/>
    <s v="North"/>
    <s v="GORAKHPUR"/>
    <s v="KANP"/>
    <n v="115841"/>
    <s v="O.V.S. ISPAT UDYOG"/>
    <n v="322578"/>
    <s v="CRCA SHEET TATCRC TR15 .5X1250X2500"/>
    <s v="C06"/>
    <s v="TATCRC"/>
    <s v="TR15"/>
    <n v="0.5"/>
    <n v="1250"/>
    <n v="2500"/>
    <s v="T2 DONE"/>
    <s v=" "/>
    <s v=""/>
    <n v="0"/>
    <n v="0"/>
    <n v="29"/>
    <n v="0"/>
    <n v="29"/>
    <n v="1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3-0.57"/>
    <s v="1250-1254"/>
    <m/>
    <m/>
    <m/>
    <m/>
    <m/>
    <m/>
    <s v="M"/>
    <s v="CRCA_STLM"/>
    <s v="C06-TR15-0.5-1250"/>
    <s v="367-SF98-2.5-1260"/>
    <n v="367"/>
    <s v="S02150"/>
    <s v="SF98"/>
    <s v="C29A"/>
    <n v="2.5"/>
    <n v="1260"/>
    <n v="3958457"/>
    <m/>
    <m/>
    <m/>
    <m/>
    <m/>
    <m/>
    <m/>
    <m/>
    <m/>
    <m/>
    <m/>
    <m/>
    <m/>
    <m/>
    <m/>
    <m/>
    <m/>
    <m/>
    <m/>
    <s v="O.V.S. ISPAT UDYOG"/>
  </r>
  <r>
    <n v="742"/>
    <d v="2025-08-18T00:00:00"/>
    <s v="ZBTO"/>
    <n v="9519025763"/>
    <n v="3"/>
    <s v="9519025763-3"/>
    <s v="No Priority"/>
    <s v="Released"/>
    <x v="0"/>
    <s v="CR01"/>
    <s v="ACRM CRCA CTL"/>
    <m/>
    <x v="0"/>
    <x v="0"/>
    <m/>
    <n v="2000"/>
    <s v="North"/>
    <s v="GORAKHPUR"/>
    <s v="KANP"/>
    <n v="115841"/>
    <s v="O.V.S. ISPAT UDYOG"/>
    <n v="322575"/>
    <s v="CRCA SHEET TATCRC TR15 .7X1250X2500"/>
    <s v="C06"/>
    <s v="TATCRC"/>
    <s v="TR15"/>
    <n v="0.7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8-0.72"/>
    <s v="1250-1254"/>
    <m/>
    <m/>
    <m/>
    <m/>
    <m/>
    <m/>
    <s v="M"/>
    <n v="0"/>
    <s v="C06-TR15-0.7-1250"/>
    <s v="367-SF98-2.8-1260"/>
    <n v="367"/>
    <s v="S02150"/>
    <s v="SF98"/>
    <s v="C29A"/>
    <n v="2.8"/>
    <n v="1260"/>
    <n v="3601894"/>
    <m/>
    <m/>
    <m/>
    <m/>
    <m/>
    <m/>
    <m/>
    <m/>
    <m/>
    <m/>
    <m/>
    <m/>
    <m/>
    <m/>
    <m/>
    <m/>
    <m/>
    <m/>
    <m/>
    <s v="O.V.S. ISPAT UDYOG"/>
  </r>
  <r>
    <n v="742"/>
    <d v="2025-08-22T00:00:00"/>
    <s v="ZBTO"/>
    <n v="9519038135"/>
    <n v="13"/>
    <s v="9519038135-13"/>
    <s v="No Priority"/>
    <s v="Released"/>
    <x v="0"/>
    <s v="CR01"/>
    <s v="ACRM CRCA CTL"/>
    <m/>
    <x v="0"/>
    <x v="0"/>
    <m/>
    <n v="2000"/>
    <s v="South"/>
    <s v="VALPARAI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98-2.02"/>
    <s v="1250-1254"/>
    <m/>
    <m/>
    <m/>
    <m/>
    <m/>
    <m/>
    <s v="R"/>
    <s v="CRCA_STLM"/>
    <s v="C06-AU03-2-1250"/>
    <s v="367-SH08-4.5-1260"/>
    <n v="367"/>
    <s v="T01320"/>
    <s v="SH08"/>
    <s v="C16D"/>
    <n v="4.5"/>
    <n v="1260"/>
    <n v="3655817"/>
    <m/>
    <m/>
    <m/>
    <m/>
    <m/>
    <m/>
    <m/>
    <m/>
    <m/>
    <m/>
    <m/>
    <m/>
    <m/>
    <m/>
    <m/>
    <m/>
    <m/>
    <m/>
    <m/>
    <s v="SRI BALAJI STEEL TRADERS"/>
  </r>
  <r>
    <n v="742"/>
    <d v="2025-08-22T00:00:00"/>
    <s v="ZBTO"/>
    <n v="9519038135"/>
    <n v="14"/>
    <s v="9519038135-14"/>
    <s v="No Priority"/>
    <s v="Released"/>
    <x v="0"/>
    <s v="CR01"/>
    <s v="ACRM CRCA CTL"/>
    <m/>
    <x v="0"/>
    <x v="0"/>
    <m/>
    <n v="2000"/>
    <s v="South"/>
    <s v="VALPARAI"/>
    <s v="MADS"/>
    <n v="116465"/>
    <s v="SRI BALAJI STEEL TRADERS"/>
    <n v="325986"/>
    <s v="CRCA SHEET TATXXD AU03 2.5X1250X2500"/>
    <s v="C06"/>
    <s v="TATXXD"/>
    <s v="AU03"/>
    <n v="2.5"/>
    <n v="1250"/>
    <n v="2500"/>
    <s v="T2 DONE"/>
    <s v=" "/>
    <s v=""/>
    <n v="0"/>
    <n v="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2.48-2.52"/>
    <s v="1250-1254"/>
    <m/>
    <m/>
    <m/>
    <m/>
    <m/>
    <m/>
    <s v="R"/>
    <s v="CRCA_STLM"/>
    <s v="C06-AU03-2.5-1250"/>
    <s v="367-SH08-5-1260"/>
    <n v="367"/>
    <s v="T01320"/>
    <s v="SH08"/>
    <s v="C16D"/>
    <n v="5"/>
    <n v="1260"/>
    <n v="4083059"/>
    <m/>
    <m/>
    <m/>
    <m/>
    <m/>
    <m/>
    <m/>
    <m/>
    <m/>
    <m/>
    <m/>
    <m/>
    <m/>
    <m/>
    <m/>
    <m/>
    <m/>
    <m/>
    <m/>
    <s v="SRI BALAJI STEEL TRADERS"/>
  </r>
  <r>
    <n v="743"/>
    <d v="2025-08-21T00:00:00"/>
    <s v="ZBTO"/>
    <n v="9519036143"/>
    <n v="9"/>
    <s v="9519036143-9"/>
    <s v="Sep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9.03"/>
    <n v="106.97"/>
    <n v="67.185000000000002"/>
    <n v="19.03"/>
    <n v="0"/>
    <n v="41.06"/>
    <n v="0"/>
    <n v="20.170000000000002"/>
    <n v="0"/>
    <n v="0"/>
    <n v="0"/>
    <n v="0"/>
    <n v="0"/>
    <n v="0"/>
    <n v="0"/>
    <n v="0"/>
    <n v="0"/>
    <n v="0"/>
    <n v="0"/>
    <n v="0"/>
    <n v="0"/>
    <n v="0"/>
    <n v="61.230000000000004"/>
    <n v="0"/>
    <n v="61.230000000000004"/>
    <n v="0"/>
    <n v="106.97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s v="Shree Bajrang Steel Udyog"/>
  </r>
  <r>
    <n v="742"/>
    <d v="2025-08-18T00:00:00"/>
    <s v="ZBTO"/>
    <n v="9519025273"/>
    <n v="1"/>
    <s v="9519025273-1"/>
    <s v="Sep'25"/>
    <s v="Released"/>
    <x v="1"/>
    <s v="CR01"/>
    <s v="ACRM CRCA CTL"/>
    <m/>
    <x v="0"/>
    <x v="5"/>
    <m/>
    <n v="2000"/>
    <s v="East"/>
    <s v="HOWRAH"/>
    <s v="CALS"/>
    <n v="925093"/>
    <s v="PSPL STEEL PROCESSORS PRIVATE LIMIT"/>
    <n v="2441000"/>
    <s v="CRCA SHEET TATCRC SR16 0.330X1250X2500"/>
    <s v="C06"/>
    <s v="TATCRC"/>
    <s v="SR16"/>
    <n v="0.33"/>
    <n v="1250"/>
    <n v="2500"/>
    <s v="T2 DONE"/>
    <s v=" "/>
    <s v=""/>
    <n v="0"/>
    <n v="0"/>
    <n v="29"/>
    <n v="0"/>
    <n v="29"/>
    <n v="1.8"/>
    <n v="0"/>
    <n v="0"/>
    <n v="0"/>
    <n v="27.48"/>
    <n v="0"/>
    <n v="0"/>
    <n v="0"/>
    <n v="0"/>
    <n v="0"/>
    <n v="0"/>
    <n v="0"/>
    <n v="0"/>
    <n v="0"/>
    <n v="0"/>
    <n v="0"/>
    <n v="0"/>
    <n v="0"/>
    <n v="0"/>
    <n v="0"/>
    <n v="27.48"/>
    <n v="0"/>
    <n v="27.48"/>
    <n v="0"/>
    <n v="29"/>
    <s v="0.3-0.33"/>
    <s v="1250-1252"/>
    <m/>
    <m/>
    <m/>
    <m/>
    <m/>
    <m/>
    <s v="T"/>
    <s v="CRCA_SUPR"/>
    <s v="C06-SR16-0.33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s v="PSPL STEEL PROCESSORS PRIVATE LIMIT"/>
  </r>
  <r>
    <n v="743"/>
    <d v="2025-09-12T00:00:00"/>
    <s v="ZBTO"/>
    <n v="9519099563"/>
    <n v="8"/>
    <s v="9519099563-8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hree Bajrang Steel Udyog"/>
  </r>
  <r>
    <n v="743"/>
    <d v="2025-09-12T00:00:00"/>
    <s v="ZBTO"/>
    <n v="9519099563"/>
    <n v="9"/>
    <s v="9519099563-9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hree Bajrang Steel Udyog"/>
  </r>
  <r>
    <n v="743"/>
    <d v="2025-08-27T00:00:00"/>
    <s v="ZBTO"/>
    <n v="9519054625"/>
    <n v="5"/>
    <s v="9519054625-5"/>
    <s v="Oct'25"/>
    <s v="Released"/>
    <x v="1"/>
    <s v="GP03"/>
    <s v="ACRM GP#3 NARROW"/>
    <m/>
    <x v="2"/>
    <x v="6"/>
    <m/>
    <n v="2000"/>
    <s v="East"/>
    <s v="GUWAHATI"/>
    <s v="GWAH"/>
    <n v="116649"/>
    <s v="SAGAR STEELS"/>
    <n v="1853143"/>
    <s v="GP COIL SOFT-TATXGP-GLK1-0.4X900"/>
    <s v="C02"/>
    <s v="TATXGP"/>
    <s v="GLK1"/>
    <n v="0.4"/>
    <n v="900"/>
    <n v="0"/>
    <s v="T2 DONE"/>
    <s v="Z80"/>
    <s v=""/>
    <n v="6"/>
    <n v="28"/>
    <n v="42"/>
    <n v="20.164999999999999"/>
    <n v="21.835000000000001"/>
    <n v="21.8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835000000000001"/>
    <s v="0.37-0.4"/>
    <s v="900-920"/>
    <m/>
    <m/>
    <m/>
    <m/>
    <m/>
    <m/>
    <s v="U"/>
    <s v="GP03_KOSH"/>
    <s v="C02-GLK1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AGAR STEELS"/>
  </r>
  <r>
    <n v="743"/>
    <d v="2025-08-27T00:00:00"/>
    <s v="ZBTO"/>
    <n v="9519054625"/>
    <n v="6"/>
    <s v="9519054625-6"/>
    <s v="Oct'25"/>
    <s v="Released"/>
    <x v="1"/>
    <s v="GP03"/>
    <s v="ACRM GP#3 NARROW"/>
    <m/>
    <x v="2"/>
    <x v="6"/>
    <m/>
    <n v="2000"/>
    <s v="East"/>
    <s v="GUWAHATI"/>
    <s v="GWAH"/>
    <n v="116649"/>
    <s v="SAGAR STEELS"/>
    <n v="1142893"/>
    <s v="GP COIL SOFT-TATXGP-GLK1-0.35X900"/>
    <s v="C02"/>
    <s v="TATXGP"/>
    <s v="GLK1"/>
    <n v="0.35"/>
    <n v="900"/>
    <n v="0"/>
    <s v="T2 DONE"/>
    <s v="Z80"/>
    <s v=""/>
    <n v="6"/>
    <n v="28"/>
    <n v="42"/>
    <n v="16.649999999999999"/>
    <n v="25.35"/>
    <n v="25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35"/>
    <s v="0.33-0.35"/>
    <s v="900-920"/>
    <m/>
    <m/>
    <m/>
    <m/>
    <m/>
    <m/>
    <s v="R"/>
    <s v="GP03_KOSH"/>
    <s v="C02-GLK1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s v="SAGAR STEELS"/>
  </r>
  <r>
    <n v="743"/>
    <d v="2025-08-27T00:00:00"/>
    <s v="ZBTO"/>
    <n v="9519054625"/>
    <n v="8"/>
    <s v="9519054625-8"/>
    <s v="No Priority"/>
    <s v="Released"/>
    <x v="0"/>
    <s v="GP02"/>
    <s v="ACRM GP#3 WIDER SOFT"/>
    <m/>
    <x v="2"/>
    <x v="13"/>
    <m/>
    <n v="2000"/>
    <s v="East"/>
    <s v="GUWAHATI"/>
    <s v="GWAH"/>
    <n v="116649"/>
    <s v="SAGAR STEELS"/>
    <n v="2233645"/>
    <s v="GP COIL SOFT TATXGP GLK1 0.35X1220"/>
    <s v="C02"/>
    <s v="TATXGP"/>
    <s v="GLK1"/>
    <n v="0.35"/>
    <n v="1220"/>
    <n v="0"/>
    <s v="T2 DONE"/>
    <s v="Z80"/>
    <s v=""/>
    <n v="6"/>
    <n v="24"/>
    <n v="84"/>
    <n v="80.674999999999997"/>
    <n v="3.3250000000000002"/>
    <n v="3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250000000000002"/>
    <s v="0.32-0.35"/>
    <s v="1220-1240"/>
    <m/>
    <m/>
    <m/>
    <m/>
    <m/>
    <m/>
    <s v="R"/>
    <s v="GP03_KOSH"/>
    <s v="C02-GLK1-0.35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s v="SAGAR STEELS"/>
  </r>
  <r>
    <n v="742"/>
    <d v="2025-08-19T00:00:00"/>
    <s v="ZBTO"/>
    <n v="9519029800"/>
    <n v="1"/>
    <s v="9519029800-1"/>
    <s v="Oct'25"/>
    <s v="Released"/>
    <x v="1"/>
    <s v="CR01"/>
    <s v="ACRM CRCA CTL"/>
    <m/>
    <x v="0"/>
    <x v="5"/>
    <m/>
    <n v="2000"/>
    <s v="East"/>
    <s v="PURNIA"/>
    <s v="PATN"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800"/>
    <n v="2"/>
    <s v="9519029800-2"/>
    <s v="Oct'25"/>
    <s v="Released"/>
    <x v="1"/>
    <s v="CR01"/>
    <s v="ACRM CRCA CTL"/>
    <m/>
    <x v="0"/>
    <x v="5"/>
    <m/>
    <n v="2000"/>
    <s v="East"/>
    <s v="PURNIA"/>
    <s v="PATN"/>
    <n v="103227"/>
    <s v="BMW VENTURES LIMITED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-0.33"/>
    <s v="900-902"/>
    <m/>
    <m/>
    <m/>
    <m/>
    <m/>
    <m/>
    <s v="T"/>
    <s v="CRCA_SUPR"/>
    <s v="C06-SR16-0.3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1"/>
    <s v="9519029782-1"/>
    <s v="No Priority"/>
    <s v="Released"/>
    <x v="0"/>
    <s v="CR01"/>
    <s v="ACRM CRCA CTL"/>
    <m/>
    <x v="0"/>
    <x v="5"/>
    <m/>
    <n v="2000"/>
    <s v="East"/>
    <s v="PATNA"/>
    <s v="PATN"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8-19T00:00:00"/>
    <s v="ZBTO"/>
    <n v="9519029782"/>
    <n v="2"/>
    <s v="9519029782-2"/>
    <s v="No Priority"/>
    <s v="Released"/>
    <x v="0"/>
    <s v="CR01"/>
    <s v="ACRM CRCA CTL"/>
    <m/>
    <x v="0"/>
    <x v="5"/>
    <m/>
    <n v="2000"/>
    <s v="East"/>
    <s v="PATNA"/>
    <s v="PATN"/>
    <n v="103227"/>
    <s v="BMW VENTURES LIMITED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-0.33"/>
    <s v="900-902"/>
    <m/>
    <m/>
    <m/>
    <m/>
    <m/>
    <m/>
    <s v="T"/>
    <s v="CRCA_SUPR"/>
    <s v="C06-SR16-0.3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BMW VENTURES LIMITED"/>
  </r>
  <r>
    <n v="742"/>
    <d v="2025-07-31T00:00:00"/>
    <s v="ZBTO"/>
    <n v="9518982165"/>
    <n v="1"/>
    <s v="9518982165-1"/>
    <s v="Oct'25"/>
    <s v="Released"/>
    <x v="1"/>
    <s v="CR02"/>
    <s v="ACRM CRCA CRS"/>
    <m/>
    <x v="0"/>
    <x v="0"/>
    <m/>
    <n v="2000"/>
    <s v="North"/>
    <s v="FARIDABAD"/>
    <s v="FBAD"/>
    <n v="831432"/>
    <s v="FERRO STEEL SOLUTIONS"/>
    <n v="1804772"/>
    <s v="CRCA COIL TATXXD AU03 0.4X1250"/>
    <s v="C01"/>
    <s v="TATXXD"/>
    <s v="AU03"/>
    <n v="0.4"/>
    <n v="1250"/>
    <n v="0"/>
    <s v="T2 DONE"/>
    <s v=" "/>
    <s v=""/>
    <n v="10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m/>
    <m/>
    <m/>
    <m/>
    <m/>
    <m/>
    <m/>
    <m/>
    <m/>
    <m/>
    <m/>
    <m/>
    <m/>
    <m/>
    <s v="FERRO STEEL SOLUTIONS"/>
  </r>
  <r>
    <n v="743"/>
    <d v="2025-08-21T00:00:00"/>
    <s v="ZBTO"/>
    <n v="9519036143"/>
    <n v="2"/>
    <s v="9519036143-2"/>
    <s v="Oct'25"/>
    <s v="Released"/>
    <x v="0"/>
    <s v="GP03"/>
    <s v="ACRM GP#3 NARROW"/>
    <m/>
    <x v="2"/>
    <x v="6"/>
    <m/>
    <n v="2000"/>
    <s v="East"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s v="T2 DONE"/>
    <s v="Z80"/>
    <s v=""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Shree Bajrang Steel Udyog"/>
  </r>
  <r>
    <n v="743"/>
    <d v="2025-08-21T00:00:00"/>
    <s v="ZBTO"/>
    <n v="9519036143"/>
    <n v="3"/>
    <s v="9519036143-3"/>
    <s v="Oct'25"/>
    <s v="Released"/>
    <x v="1"/>
    <s v="GP03"/>
    <s v="ACRM GP#3 NARROW"/>
    <m/>
    <x v="2"/>
    <x v="6"/>
    <m/>
    <n v="2000"/>
    <s v="East"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s v="T2 DONE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Shree Bajrang Steel Udyog"/>
  </r>
  <r>
    <n v="743"/>
    <d v="2025-08-20T00:00:00"/>
    <s v="ZBTO"/>
    <n v="9519032510"/>
    <n v="2"/>
    <s v="9519032510-2"/>
    <s v="Stocks"/>
    <s v="Released"/>
    <x v="1"/>
    <s v="GP03"/>
    <s v="ACRM GP#3 NARROW"/>
    <m/>
    <x v="2"/>
    <x v="6"/>
    <m/>
    <n v="2000"/>
    <s v="East"/>
    <s v="PATNA"/>
    <s v="PATN"/>
    <n v="103227"/>
    <s v="BMW VENTURES LIMITED"/>
    <n v="1191955"/>
    <s v="GP COIL SOFT-TATXGP-GK09-0.3X900"/>
    <s v="C02"/>
    <s v="TATXGP"/>
    <s v="GK09"/>
    <n v="0.3"/>
    <n v="900"/>
    <n v="0"/>
    <s v="T2 DONE"/>
    <s v="Z80"/>
    <s v=""/>
    <n v="2"/>
    <n v="6"/>
    <n v="126"/>
    <n v="119.685"/>
    <n v="6.3150000000000004"/>
    <n v="6.3150000000000004"/>
    <n v="69.614999999999995"/>
    <n v="0"/>
    <n v="0"/>
    <n v="0"/>
    <n v="0"/>
    <n v="0"/>
    <n v="0.37"/>
    <n v="0"/>
    <n v="0"/>
    <n v="0"/>
    <n v="0"/>
    <n v="0"/>
    <n v="0"/>
    <n v="0"/>
    <n v="0"/>
    <n v="0"/>
    <n v="0"/>
    <n v="0"/>
    <n v="38.515000000000001"/>
    <n v="38.884999999999998"/>
    <n v="38.515000000000001"/>
    <n v="0.36999999999999744"/>
    <n v="0"/>
    <n v="-32.200000000000003"/>
    <s v="0.28-0.31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s v="BMW VENTURES LIMITED"/>
  </r>
  <r>
    <n v="742"/>
    <d v="2025-09-11T00:00:00"/>
    <s v="ZBTO"/>
    <n v="9519096071"/>
    <n v="5"/>
    <s v="9519096071-5"/>
    <s v="Oct'25"/>
    <s v="Released"/>
    <x v="1"/>
    <s v="CR01"/>
    <s v="ACRM CRCA CTL"/>
    <m/>
    <x v="0"/>
    <x v="5"/>
    <m/>
    <n v="2000"/>
    <s v="East"/>
    <s v="Jharkhand"/>
    <s v="JAMS"/>
    <n v="121328"/>
    <s v="R. S. BOKARO METAL (P) LTD."/>
    <n v="3240792"/>
    <s v="CRCA SHEET TSBCRC SR15 0.600X1250X2500"/>
    <s v="C06"/>
    <s v="TSBCRC"/>
    <s v="SR15"/>
    <n v="0.6"/>
    <n v="1250"/>
    <n v="2500"/>
    <s v="T2 DONE"/>
    <s v=" "/>
    <s v=""/>
    <n v="2.5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8-0.62"/>
    <s v="1250-1252"/>
    <m/>
    <m/>
    <m/>
    <m/>
    <m/>
    <m/>
    <s v="R"/>
    <s v="CRCA_SUPR"/>
    <s v="C06-SR15-0.6-1250"/>
    <s v="367-SH69-2.5-1260"/>
    <n v="367"/>
    <s v="T01069"/>
    <s v="SH69"/>
    <s v="R12A"/>
    <n v="2.5"/>
    <n v="1260"/>
    <n v="3901920"/>
    <m/>
    <m/>
    <m/>
    <m/>
    <m/>
    <m/>
    <m/>
    <m/>
    <m/>
    <m/>
    <m/>
    <m/>
    <m/>
    <m/>
    <m/>
    <m/>
    <m/>
    <m/>
    <m/>
    <s v="R. S. BOKARO METAL (P) LTD."/>
  </r>
  <r>
    <n v="742"/>
    <d v="2025-08-21T00:00:00"/>
    <s v="ZBTO"/>
    <n v="9519036388"/>
    <n v="1"/>
    <s v="9519036388-1"/>
    <s v="Oct'25"/>
    <s v="Released"/>
    <x v="1"/>
    <s v="CR01"/>
    <s v="ACRM CRCA CTL"/>
    <m/>
    <x v="0"/>
    <x v="5"/>
    <m/>
    <n v="2000"/>
    <s v="East"/>
    <s v="Jharkhand"/>
    <s v="JAMS"/>
    <n v="121328"/>
    <s v="R. S. BOKARO METAL (P) LTD."/>
    <n v="2440959"/>
    <s v="CRCA SHEET TATCRC SR16 0.330X900X2500"/>
    <s v="C06"/>
    <s v="TATCRC"/>
    <s v="SR16"/>
    <n v="0.33"/>
    <n v="900"/>
    <n v="2500"/>
    <s v="T2 DONE"/>
    <s v=" "/>
    <s v=""/>
    <n v="2.5"/>
    <n v="3.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1-0.35"/>
    <s v="900-904"/>
    <m/>
    <m/>
    <m/>
    <m/>
    <m/>
    <m/>
    <s v="R"/>
    <s v="CRCA_SUPR"/>
    <s v="C06-SR16-0.3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s v="R. S. BOKARO METAL (P) LTD."/>
  </r>
  <r>
    <n v="742"/>
    <d v="2025-07-01T00:00:00"/>
    <s v="ZBTO"/>
    <n v="9518899640"/>
    <n v="1"/>
    <s v="9518899640-1"/>
    <s v="Oct'25"/>
    <s v="Released"/>
    <x v="1"/>
    <s v="CR03"/>
    <s v="ACRM CRCA SPM"/>
    <m/>
    <x v="0"/>
    <x v="15"/>
    <m/>
    <n v="2000"/>
    <s v="North"/>
    <s v="FARIDABAD"/>
    <s v="FBAD"/>
    <n v="831432"/>
    <s v="FERRO STEEL SOLUTIONS"/>
    <n v="2420512"/>
    <s v="CRCA COIL TATXXD AH03 0.700X1250"/>
    <s v="C01"/>
    <s v="TATXXD"/>
    <s v="AH03"/>
    <n v="0.7"/>
    <n v="1250"/>
    <n v="0"/>
    <s v="T2 DONE"/>
    <s v=" "/>
    <s v=""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1"/>
    <s v="1250-1262"/>
    <m/>
    <m/>
    <m/>
    <m/>
    <m/>
    <m/>
    <s v="U"/>
    <s v="CRCA_ME"/>
    <s v="C01-AH03-0.7-1250"/>
    <s v="367-SH67-2.8-1250"/>
    <n v="367"/>
    <s v="TSH067"/>
    <s v="SH67"/>
    <s v="C14A"/>
    <n v="2.8"/>
    <n v="1250"/>
    <n v="3921722"/>
    <m/>
    <m/>
    <m/>
    <m/>
    <m/>
    <m/>
    <m/>
    <m/>
    <m/>
    <m/>
    <m/>
    <m/>
    <m/>
    <m/>
    <m/>
    <m/>
    <m/>
    <m/>
    <m/>
    <s v="FERRO STEEL SOLUTIONS"/>
  </r>
  <r>
    <n v="743"/>
    <d v="2025-09-10T00:00:00"/>
    <s v="ZBTO"/>
    <n v="9519091866"/>
    <n v="3"/>
    <s v="9519091866-3"/>
    <s v="Oct'25"/>
    <s v="Released"/>
    <x v="1"/>
    <s v="GP01"/>
    <s v="ACRM GP#3 WIDER HARD"/>
    <m/>
    <x v="2"/>
    <x v="10"/>
    <m/>
    <n v="2000"/>
    <s v="East"/>
    <s v="PURNIA"/>
    <s v="PATN"/>
    <n v="931671"/>
    <s v="BMW VENTURES LIMITED"/>
    <n v="3767014"/>
    <s v="GP COIL TATGPH GP02 0.400X1350"/>
    <s v="C05"/>
    <s v="TATGPH"/>
    <s v="GP02"/>
    <n v="0.4"/>
    <n v="1350"/>
    <n v="0"/>
    <s v="T2 DONE"/>
    <s v="Z120"/>
    <s v=""/>
    <n v="1"/>
    <n v="5"/>
    <n v="93"/>
    <n v="0"/>
    <n v="93"/>
    <n v="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s v="0.38-0.425"/>
    <s v="1350-1370"/>
    <m/>
    <m/>
    <m/>
    <m/>
    <m/>
    <m/>
    <s v="M"/>
    <s v="GP03_SHKT"/>
    <s v="C05-GP02-0.4-1350"/>
    <s v="367-SF93-2.25-1365"/>
    <n v="367"/>
    <s v="S02149"/>
    <s v="SF93"/>
    <s v="C07A"/>
    <n v="2.25"/>
    <n v="1365"/>
    <n v="2229976"/>
    <m/>
    <m/>
    <m/>
    <m/>
    <m/>
    <m/>
    <m/>
    <m/>
    <m/>
    <m/>
    <m/>
    <m/>
    <m/>
    <m/>
    <m/>
    <m/>
    <m/>
    <m/>
    <m/>
    <s v="BMW VENTURES LIMITED"/>
  </r>
  <r>
    <n v="742"/>
    <d v="2025-09-03T00:00:00"/>
    <s v="ZBTO"/>
    <n v="9519076414"/>
    <n v="4"/>
    <s v="9519076414-4"/>
    <s v="Oct'25"/>
    <s v="Released"/>
    <x v="1"/>
    <s v="CR01"/>
    <s v="ACRM CRCA CTL"/>
    <m/>
    <x v="0"/>
    <x v="5"/>
    <m/>
    <n v="2000"/>
    <s v="North"/>
    <s v="VARANASI"/>
    <s v="KANP"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0"/>
    <n v="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INDIA STEEL INDUSTRIES"/>
  </r>
  <r>
    <n v="742"/>
    <d v="2025-09-16T00:00:00"/>
    <s v="ZBTO"/>
    <n v="9519109856"/>
    <n v="4"/>
    <s v="9519109856-4"/>
    <s v="Oct'25"/>
    <s v="Released"/>
    <x v="1"/>
    <s v="CR01"/>
    <s v="ACRM CRCA CTL"/>
    <m/>
    <x v="0"/>
    <x v="5"/>
    <m/>
    <n v="2000"/>
    <s v="East"/>
    <s v="SILIGURI TOWN"/>
    <s v="GWAH"/>
    <n v="948783"/>
    <s v="SAGAR STEELS"/>
    <n v="3240786"/>
    <s v="CRCA SHEET TSBCRC SR15 0.700X1250X2500"/>
    <s v="C06"/>
    <s v="TSBCRC"/>
    <s v="SR15"/>
    <n v="0.7"/>
    <n v="1250"/>
    <n v="2500"/>
    <s v="T2 DONE"/>
    <s v=" "/>
    <s v=""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s v="SAGAR STEELS"/>
  </r>
  <r>
    <n v="742"/>
    <d v="2025-09-17T00:00:00"/>
    <s v="ZBTO"/>
    <n v="9519112644"/>
    <n v="2"/>
    <s v="9519112644-2"/>
    <s v="No Priority"/>
    <s v="Released"/>
    <x v="0"/>
    <s v="CR01"/>
    <s v="ACRM CRCA CTL"/>
    <m/>
    <x v="0"/>
    <x v="5"/>
    <m/>
    <n v="2000"/>
    <s v="East"/>
    <s v="URLA"/>
    <s v="RPUR"/>
    <n v="139336"/>
    <s v="PASA ASSOCIATES PRIVATE LIMITED"/>
    <n v="3240772"/>
    <s v="CRCA SHEET TSBCRC SR15 0.600X900X2500"/>
    <s v="C06"/>
    <s v="TSBCRC"/>
    <s v="SR15"/>
    <n v="0.6"/>
    <n v="900"/>
    <n v="2500"/>
    <s v="T2 DONE"/>
    <s v=" "/>
    <s v=""/>
    <n v="1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02"/>
    <s v="900-902"/>
    <m/>
    <m/>
    <m/>
    <m/>
    <m/>
    <m/>
    <s v="R"/>
    <s v="CRCA_SUPR"/>
    <s v="C06-SR15-0.6-900"/>
    <s v="B69-SH69-2.5-925"/>
    <s v="B69"/>
    <s v="T01069"/>
    <s v="SH69"/>
    <s v="R12A"/>
    <n v="2.5"/>
    <n v="925"/>
    <n v="3918108"/>
    <m/>
    <m/>
    <m/>
    <m/>
    <m/>
    <m/>
    <m/>
    <m/>
    <m/>
    <m/>
    <m/>
    <m/>
    <m/>
    <m/>
    <m/>
    <m/>
    <m/>
    <m/>
    <m/>
    <s v="PASA ASSOCIATES PRIVATE LIMITED"/>
  </r>
  <r>
    <n v="742"/>
    <d v="2025-09-08T00:00:00"/>
    <s v="ZBTO"/>
    <n v="9519086006"/>
    <n v="1"/>
    <s v="9519086006-1"/>
    <s v="No Priority"/>
    <s v="Released"/>
    <x v="0"/>
    <s v="CR01"/>
    <s v="ACRM CRCA CTL"/>
    <m/>
    <x v="0"/>
    <x v="5"/>
    <m/>
    <n v="2000"/>
    <s v="North"/>
    <s v="KANPUR"/>
    <s v="KANP"/>
    <n v="933952"/>
    <s v="AGARWAL STEEL TRADERS"/>
    <n v="3240761"/>
    <s v="CRCA SHEET TSBCRC SR15 0.500X1250X2030"/>
    <s v="C06"/>
    <s v="TSBCRC"/>
    <s v="SR15"/>
    <n v="0.5"/>
    <n v="1250"/>
    <n v="2030"/>
    <s v="T2 DONE"/>
    <s v=" "/>
    <s v=""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AGARWAL STEEL TRADERS"/>
  </r>
  <r>
    <n v="742"/>
    <d v="2025-07-20T00:00:00"/>
    <s v="ZBTO"/>
    <n v="9518944236"/>
    <n v="9"/>
    <s v="9518944236-9"/>
    <s v="No Priority"/>
    <s v="Released"/>
    <x v="0"/>
    <s v="CR01"/>
    <s v="ACRM CRCA CTL"/>
    <m/>
    <x v="0"/>
    <x v="0"/>
    <m/>
    <n v="2000"/>
    <s v="South"/>
    <s v="VISHAKHAPATNAM"/>
    <s v="SBAD"/>
    <n v="946077"/>
    <s v="SITARAM IRON AND STEEL PVT LTD"/>
    <n v="281630"/>
    <s v="CRSHEET C06 TATXXD AU03 1.6X1250X2500"/>
    <s v="C06"/>
    <s v="TATXXD"/>
    <s v="AU03"/>
    <n v="1.6"/>
    <n v="125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57-1.6"/>
    <s v="1250-1254"/>
    <m/>
    <m/>
    <m/>
    <m/>
    <m/>
    <m/>
    <s v="M"/>
    <s v="CRCA_STLM"/>
    <s v="C06-AU03-1.6-1250"/>
    <s v="367-SH08-4-1260"/>
    <n v="367"/>
    <s v="T01320"/>
    <s v="SH08"/>
    <s v="C16D"/>
    <n v="4"/>
    <n v="1260"/>
    <n v="2442357"/>
    <m/>
    <m/>
    <m/>
    <m/>
    <m/>
    <m/>
    <m/>
    <m/>
    <m/>
    <m/>
    <m/>
    <m/>
    <m/>
    <m/>
    <m/>
    <m/>
    <m/>
    <m/>
    <m/>
    <s v="SITARAM IRON AND STEEL PVT LTD"/>
  </r>
  <r>
    <n v="742"/>
    <d v="2025-09-16T00:00:00"/>
    <s v="ZBTO"/>
    <n v="9519109833"/>
    <n v="1"/>
    <s v="9519109833-1"/>
    <s v="Oct'25"/>
    <s v="Released"/>
    <x v="1"/>
    <s v="CR01"/>
    <s v="ACRM CRCA CTL"/>
    <m/>
    <x v="0"/>
    <x v="5"/>
    <m/>
    <n v="2000"/>
    <s v="East"/>
    <s v="HOWRAH"/>
    <s v="CALS"/>
    <n v="925093"/>
    <s v="PSPL STEEL PROCESSORS PRIVATE LIMIT"/>
    <n v="3240765"/>
    <s v="CRCA SHEET TSBCRC SR15 0.500X1250X2500"/>
    <s v="C06"/>
    <s v="TSBCRC"/>
    <s v="SR15"/>
    <n v="0.5"/>
    <n v="1250"/>
    <n v="2500"/>
    <s v="T2 DONE"/>
    <s v=" "/>
    <s v=""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s v="PSPL STEEL PROCESSORS PRIVATE LIMIT"/>
  </r>
  <r>
    <n v="742"/>
    <d v="2025-08-19T00:00:00"/>
    <s v="ZBTO"/>
    <n v="9519028090"/>
    <n v="4"/>
    <s v="9519028090-4"/>
    <s v="Oct'25"/>
    <s v="Released"/>
    <x v="1"/>
    <s v="CR03"/>
    <s v="ACRM CRCA SPM"/>
    <m/>
    <x v="0"/>
    <x v="15"/>
    <m/>
    <n v="2000"/>
    <s v="East"/>
    <s v="JSR"/>
    <s v="CALS"/>
    <n v="155536"/>
    <s v="TATA STEEL DOWNSTREAM PRODUCTS LIMI"/>
    <n v="2420525"/>
    <s v="CRCA COIL TATXXD AH03 2X1250"/>
    <s v="C01"/>
    <s v="TATXXD"/>
    <s v="AH03"/>
    <n v="2"/>
    <n v="1250"/>
    <n v="0"/>
    <s v="T2 DONE"/>
    <s v=" "/>
    <s v=""/>
    <n v="13"/>
    <n v="29"/>
    <n v="145"/>
    <n v="118.97"/>
    <n v="26.03"/>
    <n v="-3.7549999999999999"/>
    <n v="40.03"/>
    <n v="0"/>
    <n v="28.79"/>
    <n v="0"/>
    <n v="0"/>
    <n v="0"/>
    <n v="0"/>
    <n v="0"/>
    <n v="0"/>
    <n v="0"/>
    <n v="0"/>
    <n v="0"/>
    <n v="2.1550000000000002"/>
    <n v="0"/>
    <n v="0"/>
    <n v="26.150000000000002"/>
    <n v="0"/>
    <n v="0"/>
    <n v="0"/>
    <n v="57.094999999999999"/>
    <n v="26.150000000000002"/>
    <n v="30.944999999999997"/>
    <n v="0"/>
    <n v="-0.12000000000000099"/>
    <s v="1.97-2"/>
    <s v="1250-1270"/>
    <m/>
    <m/>
    <m/>
    <m/>
    <m/>
    <m/>
    <s v="U"/>
    <s v="CRCA_ME"/>
    <s v="C01-AH03-2-1250"/>
    <s v="367-SH67-4-1250"/>
    <n v="367"/>
    <s v="TSH067"/>
    <s v="SH67"/>
    <s v="C14A"/>
    <n v="4"/>
    <n v="1250"/>
    <n v="3920740"/>
    <m/>
    <m/>
    <m/>
    <m/>
    <m/>
    <m/>
    <m/>
    <m/>
    <m/>
    <m/>
    <m/>
    <m/>
    <m/>
    <m/>
    <m/>
    <m/>
    <m/>
    <m/>
    <m/>
    <s v="TATA STEEL DOWNSTREAM PRODUCTS LIMI"/>
  </r>
  <r>
    <n v="742"/>
    <d v="2025-08-19T00:00:00"/>
    <s v="ZBTO"/>
    <n v="9519028090"/>
    <n v="5"/>
    <s v="9519028090-5"/>
    <s v="Oct'25"/>
    <s v="Released"/>
    <x v="1"/>
    <s v="CR03"/>
    <s v="ACRM CRCA SPM"/>
    <m/>
    <x v="0"/>
    <x v="15"/>
    <m/>
    <n v="2000"/>
    <s v="East"/>
    <s v="JSR"/>
    <s v="CALS"/>
    <n v="155536"/>
    <s v="TATA STEEL DOWNSTREAM PRODUCTS LIMI"/>
    <n v="2420540"/>
    <s v="CRCA COIL TATXXD AH03 2.500X1250"/>
    <s v="C01"/>
    <s v="TATXXD"/>
    <s v="AH03"/>
    <n v="2.5"/>
    <n v="1250"/>
    <n v="0"/>
    <s v="T2 DONE"/>
    <s v=" "/>
    <s v=""/>
    <n v="13"/>
    <n v="29"/>
    <n v="203"/>
    <n v="77.069999999999993"/>
    <n v="125.93"/>
    <n v="-8.375"/>
    <n v="0"/>
    <n v="0"/>
    <n v="28.83"/>
    <n v="0"/>
    <n v="0"/>
    <n v="0"/>
    <n v="0"/>
    <n v="0"/>
    <n v="0"/>
    <n v="0"/>
    <n v="0"/>
    <n v="0"/>
    <n v="82.350000000000009"/>
    <n v="0"/>
    <n v="0"/>
    <n v="0"/>
    <n v="0"/>
    <n v="0"/>
    <n v="0"/>
    <n v="111.18"/>
    <n v="82.350000000000009"/>
    <n v="28.83"/>
    <n v="0"/>
    <n v="43.58"/>
    <s v="2.47-2.5"/>
    <s v="1250-1270"/>
    <m/>
    <m/>
    <m/>
    <m/>
    <m/>
    <m/>
    <s v="U"/>
    <s v="CRCA_ME"/>
    <s v="C01-AH03-2.5-1250"/>
    <s v="367-SH67-5-1250"/>
    <n v="367"/>
    <s v="TSH067"/>
    <s v="SH67"/>
    <s v="C14A"/>
    <n v="5"/>
    <n v="1250"/>
    <n v="3921721"/>
    <m/>
    <m/>
    <m/>
    <m/>
    <m/>
    <m/>
    <m/>
    <m/>
    <m/>
    <m/>
    <m/>
    <m/>
    <m/>
    <m/>
    <m/>
    <m/>
    <m/>
    <m/>
    <m/>
    <s v="TATA STEEL DOWNSTREAM PRODUCTS LIMI"/>
  </r>
  <r>
    <n v="742"/>
    <d v="2025-09-18T00:00:00"/>
    <s v="ZBTO"/>
    <n v="9519116344"/>
    <n v="2"/>
    <s v="9519116344-2"/>
    <s v="No Priority"/>
    <s v="Released"/>
    <x v="0"/>
    <s v="CR02"/>
    <s v="ACRM CRCA CRS"/>
    <m/>
    <x v="0"/>
    <x v="0"/>
    <m/>
    <n v="2000"/>
    <s v="South"/>
    <s v="Tamil Nadu"/>
    <m/>
    <n v="938550"/>
    <s v="BASEER AND CO"/>
    <n v="37862"/>
    <s v="CRCA COIL TATCRC TR15 0.4X1250"/>
    <s v="C01"/>
    <s v="TATCRC"/>
    <s v="TR15"/>
    <n v="0.4"/>
    <n v="1250"/>
    <n v="0"/>
    <m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TLM"/>
    <s v="C01-TR15-0.4-1250"/>
    <s v="367-SF98-2-1250"/>
    <n v="367"/>
    <s v="S02150"/>
    <s v="SF98"/>
    <s v="C29A"/>
    <n v="2"/>
    <n v="1250"/>
    <n v="1248576"/>
    <m/>
    <m/>
    <m/>
    <m/>
    <m/>
    <m/>
    <m/>
    <m/>
    <m/>
    <m/>
    <m/>
    <m/>
    <m/>
    <m/>
    <m/>
    <m/>
    <m/>
    <m/>
    <m/>
    <m/>
  </r>
  <r>
    <n v="743"/>
    <d v="2025-09-10T00:00:00"/>
    <s v="ZBTO"/>
    <n v="9519091866"/>
    <n v="4"/>
    <s v="9519091866-4"/>
    <s v="No Priority"/>
    <s v="Released"/>
    <x v="0"/>
    <s v="GP01"/>
    <s v="ACRM GP#3 WIDER HARD"/>
    <m/>
    <x v="2"/>
    <x v="10"/>
    <m/>
    <n v="2000"/>
    <s v="East"/>
    <s v="Bihar"/>
    <m/>
    <n v="931671"/>
    <s v="BMW VENTURES LIMITED"/>
    <n v="3953694"/>
    <s v="GP COIL TATXGP GP2T 0.250X1350"/>
    <s v="C05"/>
    <s v="TATXGP"/>
    <s v="GP2T"/>
    <n v="0.25"/>
    <n v="1350"/>
    <n v="0"/>
    <m/>
    <m/>
    <m/>
    <n v="1"/>
    <n v="5"/>
    <n v="217"/>
    <n v="0"/>
    <n v="217"/>
    <n v="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"/>
    <m/>
    <m/>
    <m/>
    <m/>
    <m/>
    <m/>
    <m/>
    <m/>
    <s v="Untrimmed edge"/>
    <s v="NA"/>
    <s v="C05-GP2T-0.25-1350"/>
    <s v="367-SF93-2-1365"/>
    <n v="367"/>
    <s v="S02149"/>
    <s v="SF93"/>
    <s v="C07A"/>
    <n v="2"/>
    <n v="1365"/>
    <n v="1700890"/>
    <m/>
    <m/>
    <m/>
    <m/>
    <m/>
    <m/>
    <m/>
    <m/>
    <m/>
    <m/>
    <m/>
    <m/>
    <m/>
    <m/>
    <m/>
    <m/>
    <m/>
    <m/>
    <m/>
    <m/>
  </r>
  <r>
    <n v="743"/>
    <d v="2025-09-02T00:00:00"/>
    <s v="ZBTO"/>
    <n v="9519072526"/>
    <n v="1"/>
    <s v="9519072526-1"/>
    <s v="Oct'25"/>
    <s v="Released"/>
    <x v="1"/>
    <s v="GP01"/>
    <s v="ACRM GP#3 WIDER HARD"/>
    <n v="1000"/>
    <x v="2"/>
    <x v="10"/>
    <n v="1000"/>
    <n v="2000"/>
    <s v="East"/>
    <s v="Bihar"/>
    <m/>
    <n v="931671"/>
    <s v="BMW VENTURES LIMITED"/>
    <n v="3953694"/>
    <s v="GP COIL TATXGP GP2T 0.250X1350"/>
    <s v="C05"/>
    <s v="TATXGP"/>
    <s v="GP2T"/>
    <n v="0.25"/>
    <n v="1350"/>
    <n v="0"/>
    <m/>
    <m/>
    <m/>
    <n v="1"/>
    <n v="5"/>
    <n v="93"/>
    <n v="0"/>
    <n v="93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m/>
    <m/>
    <m/>
    <m/>
    <m/>
    <m/>
    <m/>
    <m/>
    <s v="Untrimmed edge"/>
    <s v="NA"/>
    <s v="C05-GP2T-0.25-1350"/>
    <s v="367-SF93-2-1365"/>
    <n v="367"/>
    <s v="S02149"/>
    <s v="SF93"/>
    <s v="C07A"/>
    <n v="2"/>
    <n v="1365"/>
    <n v="1700890"/>
    <m/>
    <m/>
    <m/>
    <m/>
    <m/>
    <m/>
    <m/>
    <m/>
    <m/>
    <m/>
    <m/>
    <m/>
    <m/>
    <m/>
    <m/>
    <m/>
    <m/>
    <m/>
    <m/>
    <m/>
  </r>
  <r>
    <n v="742"/>
    <d v="2025-08-05T00:00:00"/>
    <s v="ZBTO"/>
    <n v="9518994601"/>
    <n v="2"/>
    <s v="9518994601-2"/>
    <s v="Oct'25"/>
    <s v="Released"/>
    <x v="1"/>
    <s v="CR03"/>
    <s v="ACRM CRCA SPM"/>
    <m/>
    <x v="0"/>
    <x v="0"/>
    <m/>
    <n v="2000"/>
    <s v="South"/>
    <s v="Karnataka"/>
    <m/>
    <n v="932244"/>
    <s v="DURGA TRADERS"/>
    <n v="185675"/>
    <s v="CRCA COIL-TATXXD-AU03-0.5X1250"/>
    <s v="C01"/>
    <s v="TATXXD"/>
    <s v="AU03"/>
    <n v="0.5"/>
    <n v="1250"/>
    <n v="0"/>
    <m/>
    <m/>
    <m/>
    <n v="10"/>
    <n v="28"/>
    <n v="87"/>
    <n v="24.92"/>
    <n v="62.08"/>
    <n v="34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08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11"/>
    <s v="9519028231-11"/>
    <s v="Oct'25"/>
    <s v="Released"/>
    <x v="1"/>
    <s v="CR02"/>
    <s v="ACRM CRCA CRS"/>
    <m/>
    <x v="0"/>
    <x v="0"/>
    <m/>
    <n v="2000"/>
    <s v="South"/>
    <s v="Tamil Nadu"/>
    <m/>
    <n v="938550"/>
    <s v="BASEER AND CO"/>
    <n v="37862"/>
    <s v="CRCA COIL TATCRC TR15 0.4X1250"/>
    <s v="C01"/>
    <s v="TATCRC"/>
    <s v="TR15"/>
    <n v="0.4"/>
    <n v="1250"/>
    <n v="0"/>
    <m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s v="CRCA_STLM"/>
    <s v="C01-TR15-0.4-1250"/>
    <s v="367-SF98-2-1250"/>
    <n v="367"/>
    <s v="S02150"/>
    <s v="SF98"/>
    <s v="C29A"/>
    <n v="2"/>
    <n v="1250"/>
    <n v="1248576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231"/>
    <n v="7"/>
    <s v="9519028231-7"/>
    <s v="Oct'25"/>
    <s v="Released"/>
    <x v="1"/>
    <s v="CR02"/>
    <s v="ACRM CRCA CRS"/>
    <m/>
    <x v="0"/>
    <x v="0"/>
    <m/>
    <n v="2000"/>
    <s v="South"/>
    <s v="Tamil Nadu"/>
    <m/>
    <n v="938550"/>
    <s v="BASEER AND CO"/>
    <n v="1804867"/>
    <s v="CRCA COIL-TATXXD-AU03-1.6X1250"/>
    <s v="C01"/>
    <s v="TATXXD"/>
    <s v="AU03"/>
    <n v="1.6"/>
    <n v="1250"/>
    <n v="0"/>
    <m/>
    <m/>
    <m/>
    <n v="6"/>
    <n v="1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only at RCL"/>
    <s v="CRCA_STLM"/>
    <s v="C01-AU03-1.6-1250"/>
    <s v="367-SH08-4-1250"/>
    <n v="367"/>
    <s v="T01320"/>
    <s v="SH08"/>
    <s v="C16D"/>
    <n v="4"/>
    <n v="1250"/>
    <n v="406488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36"/>
    <s v="9518939680-36"/>
    <s v="No Priority"/>
    <s v="Released"/>
    <x v="0"/>
    <s v="CR02"/>
    <s v="ACRM CRCA CRS"/>
    <m/>
    <x v="0"/>
    <x v="0"/>
    <m/>
    <n v="2000"/>
    <s v="South"/>
    <m/>
    <m/>
    <n v="938550"/>
    <s v="BASEER AND CO"/>
    <n v="1804896"/>
    <s v="CRCA COIL-TATCRC-TR15-0.45X1000"/>
    <s v="C01"/>
    <s v="TATCRC"/>
    <s v="TR15"/>
    <n v="0.45"/>
    <n v="1000"/>
    <n v="0"/>
    <m/>
    <m/>
    <m/>
    <n v="6"/>
    <n v="18"/>
    <n v="46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TLM"/>
    <s v="C01-TR15-0.45-1000"/>
    <s v="B69-SF98-2.25-1025"/>
    <s v="B69"/>
    <s v="S02150"/>
    <s v="SF98"/>
    <s v="C29A"/>
    <n v="2.25"/>
    <n v="1025"/>
    <e v="#N/A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35"/>
    <s v="9518939680-35"/>
    <s v="No Priority"/>
    <s v="Released"/>
    <x v="0"/>
    <s v="CR02"/>
    <s v="ACRM CRCA CRS"/>
    <m/>
    <x v="0"/>
    <x v="0"/>
    <m/>
    <n v="2000"/>
    <s v="South"/>
    <m/>
    <m/>
    <n v="938550"/>
    <s v="BASEER AND CO"/>
    <n v="1804893"/>
    <s v="CRCA COIL-TATCRC-TR15-0.45X900"/>
    <s v="C01"/>
    <s v="TATCRC"/>
    <s v="TR15"/>
    <n v="0.45"/>
    <n v="900"/>
    <n v="0"/>
    <m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CRCA_STLM"/>
    <s v="C01-TR15-0.45-900"/>
    <s v="B69-SF98-2.25-925"/>
    <s v="B69"/>
    <s v="S02150"/>
    <s v="SF98"/>
    <s v="C29A"/>
    <n v="2.25"/>
    <n v="925"/>
    <e v="#N/A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34"/>
    <s v="9518939680-34"/>
    <s v="No Priority"/>
    <s v="Released"/>
    <x v="0"/>
    <s v="CR02"/>
    <s v="ACRM CRCA CRS"/>
    <m/>
    <x v="0"/>
    <x v="0"/>
    <m/>
    <n v="2000"/>
    <s v="South"/>
    <m/>
    <m/>
    <n v="938550"/>
    <s v="BASEER AND CO"/>
    <n v="2165170"/>
    <s v="CRCA COIL TATCRC TR15 0.400X900"/>
    <s v="C01"/>
    <s v="TATCRC"/>
    <s v="TR15"/>
    <n v="0.4"/>
    <n v="900"/>
    <n v="0"/>
    <m/>
    <m/>
    <m/>
    <n v="6"/>
    <n v="18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s v="NA"/>
    <s v="C01-TR15-0.4-900"/>
    <s v="B69-SF98-2-925"/>
    <s v="B69"/>
    <s v="S02150"/>
    <s v="SF98"/>
    <s v="C29A"/>
    <n v="2"/>
    <n v="925"/>
    <n v="3918171"/>
    <m/>
    <m/>
    <m/>
    <m/>
    <m/>
    <m/>
    <m/>
    <m/>
    <m/>
    <m/>
    <m/>
    <m/>
    <m/>
    <m/>
    <m/>
    <m/>
    <m/>
    <m/>
    <m/>
    <m/>
  </r>
  <r>
    <n v="742"/>
    <d v="2025-07-18T00:00:00"/>
    <s v="ZBTO"/>
    <n v="9518939680"/>
    <n v="28"/>
    <s v="9518939680-28"/>
    <s v="No Priority"/>
    <s v="Released"/>
    <x v="0"/>
    <s v="CR02"/>
    <s v="ACRM CRCA CRS"/>
    <m/>
    <x v="0"/>
    <x v="0"/>
    <m/>
    <n v="2000"/>
    <s v="South"/>
    <m/>
    <m/>
    <n v="938550"/>
    <s v="BASEER AND CO"/>
    <n v="1804867"/>
    <s v="CRCA COIL-TATXXD-AU03-1.6X1250"/>
    <s v="C01"/>
    <s v="TATXXD"/>
    <s v="AU03"/>
    <n v="1.6"/>
    <n v="1250"/>
    <n v="0"/>
    <m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s v="CRCA_STLM"/>
    <s v="C01-AU03-1.6-1250"/>
    <s v="367-SH08-4-1250"/>
    <n v="367"/>
    <s v="T01320"/>
    <s v="SH08"/>
    <s v="C16D"/>
    <n v="4"/>
    <n v="1250"/>
    <n v="406488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7868"/>
    <n v="6"/>
    <s v="9519107868-6"/>
    <s v="Oct'25"/>
    <s v="Released"/>
    <x v="1"/>
    <s v="CR02"/>
    <s v="ACRM CRCA CRS"/>
    <m/>
    <x v="0"/>
    <x v="0"/>
    <m/>
    <n v="2000"/>
    <s v="South"/>
    <s v="Telangana"/>
    <m/>
    <n v="939422"/>
    <s v="VIJAY VENKAT STEELS PRIVATE LIMITED"/>
    <n v="292577"/>
    <s v="CR COIL-ICF  DQ TATXXD AU03 2.02X1250"/>
    <s v="C01"/>
    <s v="TATXXD"/>
    <s v="AU03"/>
    <n v="2.02"/>
    <n v="1250"/>
    <n v="0"/>
    <m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s v="NA"/>
    <s v="C01-AU03-2.02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8-05T00:00:00"/>
    <s v="ZBTO"/>
    <n v="9518995071"/>
    <n v="5"/>
    <s v="9518995071-5"/>
    <s v="Oct'25"/>
    <s v="Released"/>
    <x v="1"/>
    <s v="CR02"/>
    <s v="ACRM CRCA CRS"/>
    <m/>
    <x v="0"/>
    <x v="0"/>
    <m/>
    <n v="2000"/>
    <s v="North"/>
    <s v="Uttar Pradesh"/>
    <m/>
    <n v="933952"/>
    <s v="AGARWAL STEEL TRADERS"/>
    <n v="1884117"/>
    <s v="CRCA COIL-TATXXD-AU03-2X1250"/>
    <s v="C01"/>
    <s v="TATXXD"/>
    <s v="AU03"/>
    <n v="2"/>
    <n v="1250"/>
    <n v="0"/>
    <m/>
    <m/>
    <m/>
    <n v="7"/>
    <n v="28"/>
    <n v="29"/>
    <n v="0"/>
    <n v="29"/>
    <n v="1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m/>
    <m/>
    <m/>
    <m/>
    <m/>
    <m/>
    <m/>
    <m/>
    <m/>
    <m/>
    <m/>
    <m/>
    <m/>
    <m/>
    <m/>
  </r>
  <r>
    <n v="742"/>
    <d v="2025-07-11T00:00:00"/>
    <s v="ZBTO"/>
    <n v="9518921586"/>
    <n v="2"/>
    <s v="9518921586-2"/>
    <s v="Oct'25"/>
    <s v="Released"/>
    <x v="1"/>
    <s v="CR02"/>
    <s v="ACRM CRCA CRS"/>
    <m/>
    <x v="0"/>
    <x v="0"/>
    <m/>
    <n v="2000"/>
    <s v="South"/>
    <m/>
    <m/>
    <n v="939422"/>
    <s v="VIJAY VENKAT STEELS PRIVATE LIMITED"/>
    <n v="1804914"/>
    <s v="CRCA COIL TATCRC TR15 0.6X1000"/>
    <s v="C01"/>
    <s v="TATCRC"/>
    <s v="TR15"/>
    <n v="0.6"/>
    <n v="1000"/>
    <n v="0"/>
    <m/>
    <m/>
    <m/>
    <n v="10"/>
    <n v="3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C"/>
    <s v="CRCA_STLM"/>
    <s v="C01-TR15-0.6-1000"/>
    <s v="B69-SF98-2.5-1025"/>
    <s v="B69"/>
    <s v="S02150"/>
    <s v="SF98"/>
    <s v="C29A"/>
    <n v="2.5"/>
    <n v="1025"/>
    <n v="3918137"/>
    <m/>
    <m/>
    <m/>
    <m/>
    <m/>
    <m/>
    <m/>
    <m/>
    <m/>
    <m/>
    <m/>
    <m/>
    <m/>
    <m/>
    <m/>
    <m/>
    <m/>
    <m/>
    <m/>
    <m/>
  </r>
  <r>
    <n v="742"/>
    <d v="2025-08-29T00:00:00"/>
    <s v="ZBTO"/>
    <n v="9519062649"/>
    <n v="1"/>
    <s v="9519062649-1"/>
    <s v="No Priority"/>
    <s v="Released"/>
    <x v="0"/>
    <s v="CR02"/>
    <s v="ACRM CRCA CRS"/>
    <m/>
    <x v="0"/>
    <x v="0"/>
    <m/>
    <n v="2000"/>
    <s v="North"/>
    <s v="Uttar Pradesh"/>
    <m/>
    <n v="931525"/>
    <s v="INDIA STEEL INDUSTRIES"/>
    <n v="1804905"/>
    <s v="CRCA COIL-TATCRC-TR15-0.5X1000"/>
    <s v="C01"/>
    <s v="TATCRC"/>
    <s v="TR15"/>
    <n v="0.5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s v="CRCA_STLM"/>
    <s v="C01-TR15-0.5-1000"/>
    <s v="B69-SF98-2.25-1025"/>
    <s v="B69"/>
    <s v="S02150"/>
    <s v="SF98"/>
    <s v="C29A"/>
    <n v="2.25"/>
    <n v="1025"/>
    <e v="#N/A"/>
    <m/>
    <m/>
    <m/>
    <m/>
    <m/>
    <m/>
    <m/>
    <m/>
    <m/>
    <m/>
    <m/>
    <m/>
    <m/>
    <m/>
    <m/>
    <m/>
    <m/>
    <m/>
    <m/>
    <m/>
  </r>
  <r>
    <n v="742"/>
    <d v="2025-07-07T00:00:00"/>
    <s v="ZBTO"/>
    <n v="9518911416"/>
    <n v="2"/>
    <s v="9518911416-2"/>
    <s v="No Priority"/>
    <s v="Released"/>
    <x v="0"/>
    <s v="CR02"/>
    <s v="ACRM CRCA CRS"/>
    <m/>
    <x v="0"/>
    <x v="0"/>
    <m/>
    <n v="2000"/>
    <s v="North"/>
    <m/>
    <m/>
    <n v="931525"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m/>
    <m/>
    <m/>
    <m/>
    <m/>
    <m/>
    <m/>
    <m/>
    <m/>
    <m/>
    <m/>
    <m/>
    <m/>
    <m/>
    <m/>
  </r>
  <r>
    <n v="742"/>
    <d v="2025-07-07T00:00:00"/>
    <s v="ZBTO"/>
    <n v="9518911416"/>
    <n v="1"/>
    <s v="9518911416-1"/>
    <s v="Oct'25"/>
    <s v="Released"/>
    <x v="1"/>
    <s v="CR02"/>
    <s v="ACRM CRCA CRS"/>
    <m/>
    <x v="0"/>
    <x v="0"/>
    <m/>
    <n v="2000"/>
    <s v="North"/>
    <m/>
    <m/>
    <n v="931525"/>
    <s v="INDIA STEEL INDUSTRIES"/>
    <n v="1804905"/>
    <s v="CRCA COIL-TATCRC-TR15-0.5X1000"/>
    <s v="C01"/>
    <s v="TATCRC"/>
    <s v="TR15"/>
    <n v="0.5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5-1000"/>
    <s v="B69-SF98-2.25-1025"/>
    <s v="B69"/>
    <s v="S02150"/>
    <s v="SF98"/>
    <s v="C29A"/>
    <n v="2.25"/>
    <n v="1025"/>
    <e v="#N/A"/>
    <m/>
    <m/>
    <m/>
    <m/>
    <m/>
    <m/>
    <m/>
    <m/>
    <m/>
    <m/>
    <m/>
    <m/>
    <m/>
    <m/>
    <m/>
    <m/>
    <m/>
    <m/>
    <m/>
    <m/>
  </r>
  <r>
    <n v="742"/>
    <d v="2025-06-23T00:00:00"/>
    <s v="ZBTO"/>
    <n v="9518871495"/>
    <n v="5"/>
    <s v="9518871495-5"/>
    <s v="Oct'25"/>
    <s v="Released"/>
    <x v="1"/>
    <s v="CR02"/>
    <s v="ACRM CRCA CRS"/>
    <m/>
    <x v="0"/>
    <x v="0"/>
    <m/>
    <n v="2000"/>
    <s v="North"/>
    <m/>
    <m/>
    <n v="931525"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m/>
    <m/>
    <m/>
    <m/>
    <m/>
    <m/>
    <m/>
    <m/>
    <m/>
    <m/>
    <m/>
    <m/>
    <m/>
    <m/>
    <m/>
  </r>
  <r>
    <n v="742"/>
    <d v="2025-06-23T00:00:00"/>
    <s v="ZBTO"/>
    <n v="9518871495"/>
    <n v="3"/>
    <s v="9518871495-3"/>
    <s v="Oct'25"/>
    <s v="Released"/>
    <x v="1"/>
    <s v="CR02"/>
    <s v="ACRM CRCA CRS"/>
    <m/>
    <x v="0"/>
    <x v="0"/>
    <m/>
    <n v="2000"/>
    <s v="North"/>
    <m/>
    <m/>
    <n v="931525"/>
    <s v="INDIA STEEL INDUSTRIES"/>
    <n v="1804905"/>
    <s v="CRCA COIL-TATCRC-TR15-0.5X1000"/>
    <s v="C01"/>
    <s v="TATCRC"/>
    <s v="TR15"/>
    <n v="0.5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5-1000"/>
    <s v="B69-SF98-2.25-1025"/>
    <s v="B69"/>
    <s v="S02150"/>
    <s v="SF98"/>
    <s v="C29A"/>
    <n v="2.25"/>
    <n v="1025"/>
    <e v="#N/A"/>
    <m/>
    <m/>
    <m/>
    <m/>
    <m/>
    <m/>
    <m/>
    <m/>
    <m/>
    <m/>
    <m/>
    <m/>
    <m/>
    <m/>
    <m/>
    <m/>
    <m/>
    <m/>
    <m/>
    <m/>
  </r>
  <r>
    <n v="742"/>
    <d v="2025-06-11T00:00:00"/>
    <s v="ZBTO"/>
    <n v="9518842271"/>
    <n v="1"/>
    <s v="9518842271-1"/>
    <s v="Oct'25"/>
    <s v="Released"/>
    <x v="1"/>
    <s v="CR02"/>
    <s v="ACRM CRCA CRS"/>
    <m/>
    <x v="0"/>
    <x v="0"/>
    <m/>
    <n v="2000"/>
    <s v="South"/>
    <m/>
    <m/>
    <n v="946077"/>
    <s v="SITARAM IRON AND STEEL PVT LTD"/>
    <n v="1804902"/>
    <s v="CRCA COIL-TATCRC-TR15-0.5X900"/>
    <s v="C01"/>
    <s v="TATCRC"/>
    <s v="TR15"/>
    <n v="0.5"/>
    <n v="900"/>
    <n v="0"/>
    <m/>
    <m/>
    <m/>
    <n v="8"/>
    <n v="2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  <s v="NA"/>
    <s v="C01-TR15-0.5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3"/>
    <d v="2025-09-12T00:00:00"/>
    <s v="ZBTO"/>
    <n v="9519098404"/>
    <n v="2"/>
    <s v="9519098404-2"/>
    <s v="No Priority"/>
    <s v="Released"/>
    <x v="0"/>
    <s v="GP02"/>
    <s v="ACRM GP#3 WIDER SOFT"/>
    <m/>
    <x v="2"/>
    <x v="13"/>
    <m/>
    <n v="2000"/>
    <s v="West"/>
    <s v="Rajasthan"/>
    <m/>
    <n v="117583"/>
    <s v="BIHANI ENTERPRISES"/>
    <n v="1854390"/>
    <s v="GP COIL SOFT-TATXGP-GK09-0.3X1220"/>
    <s v="C02"/>
    <s v="TATXGP"/>
    <s v="GK09"/>
    <n v="0.3"/>
    <n v="1220"/>
    <n v="0"/>
    <m/>
    <m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s v="GP03_KOSH"/>
    <s v="C02-GK09-0.3-1220"/>
    <s v="367-HG02-2-1235"/>
    <n v="367"/>
    <s v="T01576"/>
    <s v="HG02"/>
    <s v="C06A"/>
    <n v="2"/>
    <n v="1235"/>
    <n v="414088"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6020"/>
    <n v="5"/>
    <s v="9519116020-5"/>
    <s v="Oct'25"/>
    <s v="Released"/>
    <x v="1"/>
    <s v="GP03"/>
    <s v="ACRM GP#3 NARROW"/>
    <m/>
    <x v="2"/>
    <x v="6"/>
    <m/>
    <n v="2000"/>
    <s v="East"/>
    <s v="West Bengal"/>
    <m/>
    <n v="100922"/>
    <s v="BUBNA COMMERCIAL COMPANY"/>
    <n v="1854424"/>
    <s v="GP COIL SOFT-TATXGP-GK09-0.6X900"/>
    <s v="C02"/>
    <s v="TATXGP"/>
    <s v="GK09"/>
    <n v="0.6"/>
    <n v="900"/>
    <n v="0"/>
    <m/>
    <m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s v="GP03_KOSH"/>
    <s v="C02-GK09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6020"/>
    <n v="4"/>
    <s v="9519116020-4"/>
    <s v="Oct'25"/>
    <s v="Released"/>
    <x v="1"/>
    <s v="GP03"/>
    <s v="ACRM GP#3 NARROW"/>
    <m/>
    <x v="2"/>
    <x v="6"/>
    <m/>
    <n v="2000"/>
    <s v="East"/>
    <s v="West Bengal"/>
    <m/>
    <n v="100922"/>
    <s v="BUBNA COMMERCIAL COMPANY"/>
    <n v="1353179"/>
    <s v="GP COIL TATXGP GK09 0.500X900"/>
    <s v="C02"/>
    <s v="TATXGP"/>
    <s v="GK09"/>
    <n v="0.5"/>
    <n v="900"/>
    <n v="0"/>
    <m/>
    <m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s v="GP03_KOSH"/>
    <s v="C02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6020"/>
    <n v="3"/>
    <s v="9519116020-3"/>
    <s v="No Priority"/>
    <s v="Released"/>
    <x v="0"/>
    <s v="GP03"/>
    <s v="ACRM GP#3 NARROW"/>
    <m/>
    <x v="2"/>
    <x v="6"/>
    <m/>
    <n v="2000"/>
    <s v="East"/>
    <s v="West Bengal"/>
    <m/>
    <n v="100922"/>
    <s v="BUBNA COMMERCIAL COMPANY"/>
    <n v="1178439"/>
    <s v="GP COIL SOFT-TATXGP-GK09-0.4X900"/>
    <s v="C02"/>
    <s v="TATXGP"/>
    <s v="GK09"/>
    <n v="0.4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6020"/>
    <n v="2"/>
    <s v="9519116020-2"/>
    <s v="No Priority"/>
    <s v="Released"/>
    <x v="0"/>
    <s v="GP03"/>
    <s v="ACRM GP#3 NARROW"/>
    <m/>
    <x v="2"/>
    <x v="6"/>
    <m/>
    <n v="2000"/>
    <s v="East"/>
    <s v="West Bengal"/>
    <m/>
    <n v="100922"/>
    <s v="BUBNA COMMERCIAL COMPANY"/>
    <n v="1191956"/>
    <s v="GP COIL SOFT-TATXGP-GK09-0.35X900"/>
    <s v="C02"/>
    <s v="TATXGP"/>
    <s v="GK09"/>
    <n v="0.3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6020"/>
    <n v="1"/>
    <s v="9519116020-1"/>
    <s v="No Priority"/>
    <s v="Released"/>
    <x v="0"/>
    <s v="GP03"/>
    <s v="ACRM GP#3 NARROW"/>
    <m/>
    <x v="2"/>
    <x v="6"/>
    <m/>
    <n v="2000"/>
    <s v="East"/>
    <s v="West Bengal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5"/>
    <s v="9519110359-5"/>
    <s v="No Priority"/>
    <s v="Released"/>
    <x v="0"/>
    <s v="CR01"/>
    <s v="ACRM CRCA CTL"/>
    <m/>
    <x v="0"/>
    <x v="5"/>
    <m/>
    <n v="2000"/>
    <s v="South"/>
    <s v="Andhra Pradesh"/>
    <m/>
    <n v="946077"/>
    <s v="SITARAM IRON AND STEEL PVT LTD"/>
    <n v="3240765"/>
    <s v="CRCA SHEET TSBCRC SR15 0.500X1250X2500"/>
    <s v="C06"/>
    <s v="TSBCRC"/>
    <s v="SR15"/>
    <n v="0.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4"/>
    <s v="9519110359-4"/>
    <s v="Oct'25"/>
    <s v="Released"/>
    <x v="1"/>
    <s v="CR01"/>
    <s v="ACRM CRCA CTL"/>
    <m/>
    <x v="0"/>
    <x v="5"/>
    <m/>
    <n v="2000"/>
    <s v="South"/>
    <s v="Andhra Pradesh"/>
    <m/>
    <n v="946077"/>
    <s v="SITARAM IRON AND STEEL PVT LTD"/>
    <n v="3240785"/>
    <s v="CRCA SHEET TSBCRC SR15 0.600X1250X2500"/>
    <s v="C06"/>
    <s v="TSBCRC"/>
    <s v="SR15"/>
    <n v="0.6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s v="CRCA_SUPR"/>
    <s v="C06-SR15-0.6-1250"/>
    <s v="367-SH69-2.5-1260"/>
    <n v="367"/>
    <s v="T01069"/>
    <s v="SH69"/>
    <s v="R12A"/>
    <n v="2.5"/>
    <n v="1260"/>
    <n v="3901920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3"/>
    <s v="9519110359-3"/>
    <s v="No Priority"/>
    <s v="Released"/>
    <x v="0"/>
    <s v="CR01"/>
    <s v="ACRM CRCA CTL"/>
    <m/>
    <x v="0"/>
    <x v="5"/>
    <m/>
    <n v="2000"/>
    <s v="South"/>
    <s v="Andhra Pradesh"/>
    <m/>
    <n v="946077"/>
    <s v="SITARAM IRON AND STEEL PVT LTD"/>
    <n v="3411571"/>
    <s v="CRCA SHEET TSBCRC SR15 0.500X900X2440"/>
    <s v="C06"/>
    <s v="TSBCRC"/>
    <s v="SR15"/>
    <n v="0.5"/>
    <n v="900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s v="CRCA_SUPR"/>
    <s v="C06-SR15-0.5-900"/>
    <s v="B69-SH69-2.25-925"/>
    <s v="B69"/>
    <s v="T01069"/>
    <s v="SH69"/>
    <s v="R12A"/>
    <n v="2.25"/>
    <n v="925"/>
    <e v="#N/A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10359"/>
    <n v="2"/>
    <s v="9519110359-2"/>
    <s v="No Priority"/>
    <s v="Released"/>
    <x v="0"/>
    <s v="CR01"/>
    <s v="ACRM CRCA CTL"/>
    <m/>
    <x v="0"/>
    <x v="5"/>
    <m/>
    <n v="2000"/>
    <s v="South"/>
    <s v="Andhra Pradesh"/>
    <m/>
    <n v="946077"/>
    <s v="SITARAM IRON AND STEEL PVT LTD"/>
    <n v="3239559"/>
    <s v="CRCA SHEET TATCRC SR16 0.450X900X2440"/>
    <s v="C06"/>
    <s v="TATCRC"/>
    <s v="SR16"/>
    <n v="0.45"/>
    <n v="900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n v="0"/>
    <s v="C06-SR16-0.45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4756"/>
    <n v="3"/>
    <s v="9519114756-3"/>
    <s v="No Priority"/>
    <s v="Released"/>
    <x v="0"/>
    <s v="CR01"/>
    <s v="ACRM CRCA CTL"/>
    <m/>
    <x v="0"/>
    <x v="5"/>
    <m/>
    <n v="2000"/>
    <s v="South"/>
    <s v="Andhra Pradesh"/>
    <m/>
    <n v="946077"/>
    <s v="SITARAM IRON AND STEEL PVT LTD"/>
    <n v="3240771"/>
    <s v="CRCA SHEET TSBCRC SR15 0.600X900X2440"/>
    <s v="C06"/>
    <s v="TSBCRC"/>
    <s v="SR15"/>
    <n v="0.6"/>
    <n v="900"/>
    <n v="2440"/>
    <m/>
    <m/>
    <m/>
    <n v="2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  <s v="CRCA_SUPR"/>
    <s v="C06-SR15-0.6-900"/>
    <s v="B69-SH69-2.5-925"/>
    <s v="B69"/>
    <s v="T01069"/>
    <s v="SH69"/>
    <s v="R12A"/>
    <n v="2.5"/>
    <n v="925"/>
    <n v="3918108"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4756"/>
    <n v="2"/>
    <s v="9519114756-2"/>
    <s v="No Priority"/>
    <s v="Released"/>
    <x v="0"/>
    <s v="CR01"/>
    <s v="ACRM CRCA CTL"/>
    <m/>
    <x v="0"/>
    <x v="5"/>
    <m/>
    <n v="2000"/>
    <s v="South"/>
    <s v="Andhra Pradesh"/>
    <m/>
    <n v="946077"/>
    <s v="SITARAM IRON AND STEEL PVT LTD"/>
    <n v="3411571"/>
    <s v="CRCA SHEET TSBCRC SR15 0.500X900X2440"/>
    <s v="C06"/>
    <s v="TSBCRC"/>
    <s v="SR15"/>
    <n v="0.5"/>
    <n v="900"/>
    <n v="2440"/>
    <m/>
    <m/>
    <m/>
    <n v="2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  <s v="CRCA_SUPR"/>
    <s v="C06-SR15-0.5-900"/>
    <s v="B69-SH69-2.25-925"/>
    <s v="B69"/>
    <s v="T01069"/>
    <s v="SH69"/>
    <s v="R12A"/>
    <n v="2.25"/>
    <n v="925"/>
    <e v="#N/A"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0347"/>
    <n v="2"/>
    <s v="9519080347-2"/>
    <s v="No Priority"/>
    <s v="Released"/>
    <x v="0"/>
    <s v="CR02"/>
    <s v="ACRM CRCA CRS"/>
    <m/>
    <x v="0"/>
    <x v="0"/>
    <m/>
    <n v="2000"/>
    <s v="North"/>
    <s v="Haryana"/>
    <m/>
    <n v="144917"/>
    <s v="BANSAL BROTHERS"/>
    <n v="185675"/>
    <s v="CRCA COIL-TATXXD-AU03-0.5X1250"/>
    <s v="C01"/>
    <s v="TATXXD"/>
    <s v="AU03"/>
    <n v="0.5"/>
    <n v="1250"/>
    <n v="0"/>
    <m/>
    <m/>
    <m/>
    <n v="10"/>
    <n v="30"/>
    <n v="29"/>
    <n v="24.795000000000002"/>
    <n v="4.2050000000000001"/>
    <n v="4.2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050000000000001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8"/>
    <s v="9519077538-8"/>
    <s v="Oct'25"/>
    <s v="Released"/>
    <x v="1"/>
    <s v="CR01"/>
    <s v="ACRM CRCA CTL"/>
    <m/>
    <x v="0"/>
    <x v="5"/>
    <m/>
    <n v="2000"/>
    <s v="East"/>
    <s v="West Bengal"/>
    <m/>
    <n v="101278"/>
    <s v="RAMESH COMPANY"/>
    <n v="3240765"/>
    <s v="CRCA SHEET TSBCRC SR15 0.500X1250X2500"/>
    <s v="C06"/>
    <s v="TSBCRC"/>
    <s v="SR15"/>
    <n v="0.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4"/>
    <s v="9519077538-4"/>
    <s v="Oct'25"/>
    <s v="Released"/>
    <x v="1"/>
    <s v="CR01"/>
    <s v="ACRM CRCA CTL"/>
    <m/>
    <x v="0"/>
    <x v="5"/>
    <m/>
    <n v="2000"/>
    <s v="East"/>
    <s v="West Bengal"/>
    <m/>
    <n v="101278"/>
    <s v="RAMESH COMPANY"/>
    <n v="3239548"/>
    <s v="CRCA SHEET TATCRC SR16 0.400X900X2500"/>
    <s v="C06"/>
    <s v="TATCRC"/>
    <s v="SR16"/>
    <n v="0.4"/>
    <n v="900"/>
    <n v="250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s v="CRCA_SUPR"/>
    <s v="C06-SR16-0.4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3"/>
    <s v="9519077538-3"/>
    <s v="Oct'25"/>
    <s v="Released"/>
    <x v="1"/>
    <s v="CR01"/>
    <s v="ACRM CRCA CTL"/>
    <m/>
    <x v="0"/>
    <x v="5"/>
    <m/>
    <n v="2000"/>
    <s v="East"/>
    <s v="West Bengal"/>
    <m/>
    <n v="101278"/>
    <s v="RAMESH COMPANY"/>
    <n v="3239543"/>
    <s v="CRCA SHEET TATCRC SR16 0.350X1250X2500"/>
    <s v="C06"/>
    <s v="TATCRC"/>
    <s v="SR16"/>
    <n v="0.3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35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2"/>
    <s v="9519077538-2"/>
    <s v="Oct'25"/>
    <s v="Released"/>
    <x v="1"/>
    <s v="CR01"/>
    <s v="ACRM CRCA CTL"/>
    <m/>
    <x v="0"/>
    <x v="5"/>
    <m/>
    <n v="2000"/>
    <s v="East"/>
    <s v="West Bengal"/>
    <m/>
    <n v="101278"/>
    <s v="RAMESH COMPANY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1"/>
    <s v="9519077538-1"/>
    <s v="Oct'25"/>
    <s v="Released"/>
    <x v="1"/>
    <s v="CR01"/>
    <s v="ACRM CRCA CTL"/>
    <m/>
    <x v="0"/>
    <x v="5"/>
    <m/>
    <n v="2000"/>
    <s v="East"/>
    <s v="West Bengal"/>
    <m/>
    <n v="101278"/>
    <s v="RAMESH COMPANY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m/>
  </r>
  <r>
    <n v="742"/>
    <d v="2025-08-22T00:00:00"/>
    <s v="ZBTO"/>
    <n v="9519038135"/>
    <n v="6"/>
    <s v="9519038135-6"/>
    <s v="Oct'25"/>
    <s v="Released"/>
    <x v="1"/>
    <s v="CR03"/>
    <s v="ACRM CRCA SPM"/>
    <m/>
    <x v="0"/>
    <x v="0"/>
    <m/>
    <n v="2000"/>
    <s v="South"/>
    <s v="Tamil Nadu"/>
    <m/>
    <n v="116465"/>
    <s v="SRI BALAJI STEEL TRADERS"/>
    <n v="2155233"/>
    <s v="CRCA COIL TATXXD AU03 2.5X1250"/>
    <s v="C01"/>
    <s v="TATXXD"/>
    <s v="AU03"/>
    <n v="2.5"/>
    <n v="1250"/>
    <n v="0"/>
    <m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s v="CRCA_STLM"/>
    <s v="C01-AU03-2.5-1250"/>
    <s v="367-SH08-5-1250"/>
    <n v="367"/>
    <s v="T01320"/>
    <s v="SH08"/>
    <s v="C16D"/>
    <n v="5"/>
    <n v="1250"/>
    <n v="498653"/>
    <m/>
    <m/>
    <m/>
    <m/>
    <m/>
    <m/>
    <m/>
    <m/>
    <m/>
    <m/>
    <m/>
    <m/>
    <m/>
    <m/>
    <m/>
    <m/>
    <m/>
    <m/>
    <m/>
    <m/>
  </r>
  <r>
    <n v="742"/>
    <d v="2025-08-22T00:00:00"/>
    <s v="ZBTO"/>
    <n v="9519038135"/>
    <n v="5"/>
    <s v="9519038135-5"/>
    <s v="Oct'25"/>
    <s v="Released"/>
    <x v="1"/>
    <s v="CR03"/>
    <s v="ACRM CRCA SPM"/>
    <m/>
    <x v="0"/>
    <x v="0"/>
    <n v="3600"/>
    <n v="2000"/>
    <s v="South"/>
    <s v="Tamil Nadu"/>
    <m/>
    <n v="116465"/>
    <s v="SRI BALAJI STEEL TRADERS"/>
    <n v="1884117"/>
    <s v="CRCA COIL-TATXXD-AU03-2X1250"/>
    <s v="C01"/>
    <s v="TATXXD"/>
    <s v="AU03"/>
    <n v="2"/>
    <n v="1250"/>
    <n v="0"/>
    <m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m/>
    <m/>
    <m/>
    <m/>
    <m/>
    <m/>
    <m/>
    <m/>
    <m/>
    <m/>
    <m/>
    <m/>
    <m/>
    <m/>
    <m/>
  </r>
  <r>
    <n v="742"/>
    <d v="2025-08-22T00:00:00"/>
    <s v="ZBTO"/>
    <n v="9519038135"/>
    <n v="4"/>
    <s v="9519038135-4"/>
    <s v="Oct'25"/>
    <s v="Released"/>
    <x v="1"/>
    <s v="CR03"/>
    <s v="ACRM CRCA SPM"/>
    <m/>
    <x v="0"/>
    <x v="0"/>
    <m/>
    <n v="2000"/>
    <s v="South"/>
    <s v="Tamil Nadu"/>
    <m/>
    <n v="116465"/>
    <s v="SRI BALAJI STEEL TRADERS"/>
    <n v="1804867"/>
    <s v="CRCA COIL-TATXXD-AU03-1.6X1250"/>
    <s v="C01"/>
    <s v="TATXXD"/>
    <s v="AU03"/>
    <n v="1.6"/>
    <n v="1250"/>
    <n v="0"/>
    <m/>
    <m/>
    <m/>
    <n v="6"/>
    <n v="18"/>
    <n v="29"/>
    <n v="0"/>
    <n v="29"/>
    <n v="2.24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s v="4000519244-7"/>
    <s v="Untrimmed edge"/>
    <s v="CRCA_STLM"/>
    <s v="C01-AU03-1.6-1250"/>
    <s v="367-SH08-4-1250"/>
    <n v="367"/>
    <s v="T01320"/>
    <s v="SH08"/>
    <s v="C16D"/>
    <n v="4"/>
    <n v="1250"/>
    <n v="406488"/>
    <m/>
    <m/>
    <m/>
    <m/>
    <m/>
    <m/>
    <m/>
    <m/>
    <m/>
    <m/>
    <m/>
    <m/>
    <m/>
    <m/>
    <m/>
    <m/>
    <m/>
    <m/>
    <m/>
    <m/>
  </r>
  <r>
    <n v="742"/>
    <d v="2025-08-20T00:00:00"/>
    <s v="ZBTO"/>
    <n v="9519031476"/>
    <n v="8"/>
    <s v="9519031476-8"/>
    <s v="Oct'25"/>
    <s v="Released"/>
    <x v="1"/>
    <s v="CR01"/>
    <s v="ACRM CRCA CTL"/>
    <m/>
    <x v="0"/>
    <x v="5"/>
    <m/>
    <n v="2000"/>
    <s v="East"/>
    <s v="Orissa"/>
    <m/>
    <n v="117061"/>
    <s v="BHARTIA  DISTRIBUTORS PVT. LTD."/>
    <n v="3240820"/>
    <s v="CRCA SHEET TSBCRC SR15 0.900X1250X2500"/>
    <s v="C06"/>
    <s v="TSBCRC"/>
    <s v="SR15"/>
    <n v="0.9"/>
    <n v="1250"/>
    <n v="2500"/>
    <m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NA"/>
    <s v="C06-SR15-0.9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m/>
  </r>
  <r>
    <n v="742"/>
    <d v="2025-08-18T00:00:00"/>
    <s v="ZBTO"/>
    <n v="9519024914"/>
    <n v="2"/>
    <s v="9519024914-2"/>
    <s v="Oct'25"/>
    <s v="Released"/>
    <x v="1"/>
    <s v="CR03"/>
    <s v="ACRM CRCA SPM"/>
    <m/>
    <x v="0"/>
    <x v="0"/>
    <m/>
    <n v="2000"/>
    <s v="South"/>
    <s v="Tamil Nadu"/>
    <m/>
    <n v="116465"/>
    <s v="SRI BALAJI STEEL TRADERS"/>
    <n v="1884117"/>
    <s v="CRCA COIL-TATXXD-AU03-2X1250"/>
    <s v="C01"/>
    <s v="TATXXD"/>
    <s v="AU03"/>
    <n v="2"/>
    <n v="1250"/>
    <n v="0"/>
    <m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m/>
    <m/>
    <m/>
    <m/>
    <m/>
    <m/>
    <m/>
    <m/>
    <m/>
    <m/>
    <m/>
    <m/>
    <m/>
    <m/>
    <m/>
  </r>
  <r>
    <n v="742"/>
    <d v="2025-08-18T00:00:00"/>
    <s v="ZBTO"/>
    <n v="9519024914"/>
    <n v="1"/>
    <s v="9519024914-1"/>
    <s v="Oct'25"/>
    <s v="Released"/>
    <x v="1"/>
    <s v="CR03"/>
    <s v="ACRM CRCA SPM"/>
    <m/>
    <x v="0"/>
    <x v="0"/>
    <m/>
    <n v="2000"/>
    <s v="South"/>
    <s v="Tamil Nadu"/>
    <m/>
    <n v="116465"/>
    <s v="SRI BALAJI STEEL TRADERS"/>
    <n v="1804867"/>
    <s v="CRCA COIL-TATXXD-AU03-1.6X1250"/>
    <s v="C01"/>
    <s v="TATXXD"/>
    <s v="AU03"/>
    <n v="1.6"/>
    <n v="1250"/>
    <n v="0"/>
    <m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s v="4000519244-7"/>
    <s v="Untrimmed edge"/>
    <s v="CRCA_STLM"/>
    <s v="C01-AU03-1.6-1250"/>
    <s v="367-SH08-4-1250"/>
    <n v="367"/>
    <s v="T01320"/>
    <s v="SH08"/>
    <s v="C16D"/>
    <n v="4"/>
    <n v="1250"/>
    <n v="406488"/>
    <m/>
    <m/>
    <m/>
    <m/>
    <m/>
    <m/>
    <m/>
    <m/>
    <m/>
    <m/>
    <m/>
    <m/>
    <m/>
    <m/>
    <m/>
    <m/>
    <m/>
    <m/>
    <m/>
    <m/>
  </r>
  <r>
    <n v="742"/>
    <d v="2025-07-25T00:00:00"/>
    <s v="ZBTO"/>
    <n v="9518959858"/>
    <n v="3"/>
    <s v="9518959858-3"/>
    <s v="Oct'25"/>
    <s v="Released"/>
    <x v="1"/>
    <s v="CR02"/>
    <s v="ACRM CRCA CRS"/>
    <m/>
    <x v="0"/>
    <x v="0"/>
    <m/>
    <n v="2000"/>
    <s v="North"/>
    <m/>
    <m/>
    <n v="950170"/>
    <s v="FERRUS MART PRIVATE LIMITED"/>
    <n v="185675"/>
    <s v="CRCA COIL-TATXXD-AU03-0.5X1250"/>
    <s v="C01"/>
    <s v="TATXXD"/>
    <s v="AU03"/>
    <n v="0.5"/>
    <n v="1250"/>
    <n v="0"/>
    <m/>
    <m/>
    <m/>
    <n v="8"/>
    <n v="14"/>
    <n v="58"/>
    <n v="24.875"/>
    <n v="33.125"/>
    <n v="6.14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125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m/>
    <m/>
    <m/>
    <m/>
    <m/>
    <m/>
    <m/>
    <m/>
    <m/>
    <m/>
    <m/>
    <m/>
    <m/>
    <m/>
    <m/>
  </r>
  <r>
    <n v="742"/>
    <d v="2025-09-11T00:00:00"/>
    <s v="ZBTO"/>
    <n v="9519096071"/>
    <n v="2"/>
    <s v="9519096071-2"/>
    <s v="Oct'25"/>
    <s v="Released"/>
    <x v="1"/>
    <s v="CR01"/>
    <s v="ACRM CRCA CTL"/>
    <m/>
    <x v="0"/>
    <x v="5"/>
    <m/>
    <n v="2000"/>
    <s v="East"/>
    <s v="Jharkhand"/>
    <m/>
    <n v="121328"/>
    <s v="R. S. BOKARO METAL (P) LTD."/>
    <n v="2441002"/>
    <s v="CRCA SHEET TATCRC SR16 0.380X1250X2500"/>
    <s v="C06"/>
    <s v="TATCRC"/>
    <s v="SR16"/>
    <n v="0.38"/>
    <n v="1250"/>
    <n v="2500"/>
    <m/>
    <m/>
    <m/>
    <n v="2.5"/>
    <n v="3.2"/>
    <n v="29"/>
    <n v="0"/>
    <n v="29"/>
    <n v="1.94"/>
    <n v="0"/>
    <n v="0"/>
    <n v="0"/>
    <n v="0"/>
    <n v="0"/>
    <n v="0"/>
    <n v="0"/>
    <n v="0"/>
    <n v="0"/>
    <n v="27.86"/>
    <n v="0"/>
    <n v="0"/>
    <n v="0"/>
    <n v="0"/>
    <n v="0"/>
    <n v="0"/>
    <n v="0"/>
    <n v="0"/>
    <n v="0"/>
    <n v="27.86"/>
    <n v="0"/>
    <n v="27.86"/>
    <n v="0"/>
    <n v="29"/>
    <m/>
    <m/>
    <m/>
    <m/>
    <m/>
    <m/>
    <m/>
    <m/>
    <s v="Trimming only at RCL"/>
    <s v="CRCA_SUPR"/>
    <s v="C06-SR16-0.38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12"/>
    <s v="9519097437-12"/>
    <s v="Oct'25"/>
    <s v="Released"/>
    <x v="1"/>
    <s v="CR01"/>
    <s v="ACRM CRCA CTL"/>
    <m/>
    <x v="0"/>
    <x v="5"/>
    <m/>
    <n v="2000"/>
    <s v="East"/>
    <s v="Jharkhand"/>
    <m/>
    <n v="185794"/>
    <s v="SHREE BAJRANG STEEL UDYOG"/>
    <n v="3240792"/>
    <s v="CRCA SHEET TSBCRC SR15 0.600X1250X2500"/>
    <s v="C06"/>
    <s v="TSBCRC"/>
    <s v="SR15"/>
    <n v="0.6"/>
    <n v="1250"/>
    <n v="2500"/>
    <m/>
    <m/>
    <m/>
    <n v="2.5"/>
    <n v="3.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s v="CRCA_SUPR"/>
    <s v="C06-SR15-0.6-1250"/>
    <s v="367-SH69-2.5-1260"/>
    <n v="367"/>
    <s v="T01069"/>
    <s v="SH69"/>
    <s v="R12A"/>
    <n v="2.5"/>
    <n v="1260"/>
    <n v="3901920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10"/>
    <s v="9519097437-10"/>
    <s v="Oct'25"/>
    <s v="Released"/>
    <x v="1"/>
    <s v="CR01"/>
    <s v="ACRM CRCA CTL"/>
    <m/>
    <x v="0"/>
    <x v="5"/>
    <m/>
    <n v="2000"/>
    <s v="East"/>
    <s v="Jharkhand"/>
    <m/>
    <n v="185794"/>
    <s v="SHREE BAJRANG STEEL UDYOG"/>
    <n v="3240765"/>
    <s v="CRCA SHEET TSBCRC SR15 0.500X1250X2500"/>
    <s v="C06"/>
    <s v="TSBCRC"/>
    <s v="SR15"/>
    <n v="0.5"/>
    <n v="1250"/>
    <n v="2500"/>
    <m/>
    <m/>
    <m/>
    <n v="2.5"/>
    <n v="3.2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only at RCL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8"/>
    <s v="9519097437-8"/>
    <s v="No Priority"/>
    <s v="Released"/>
    <x v="0"/>
    <s v="CR01"/>
    <s v="ACRM CRCA CTL"/>
    <m/>
    <x v="0"/>
    <x v="5"/>
    <m/>
    <n v="2000"/>
    <s v="East"/>
    <s v="Jharkhand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s v="CRCA_SUPR"/>
    <s v="C06-SR16-0.45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5"/>
    <s v="9519097437-5"/>
    <s v="Oct'25"/>
    <s v="Released"/>
    <x v="1"/>
    <s v="CR01"/>
    <s v="ACRM CRCA CTL"/>
    <m/>
    <x v="0"/>
    <x v="5"/>
    <m/>
    <n v="2000"/>
    <s v="East"/>
    <s v="Jharkhand"/>
    <m/>
    <n v="185794"/>
    <s v="SHREE BAJRANG STEEL UDYOG"/>
    <n v="2441002"/>
    <s v="CRCA SHEET TATCRC SR16 0.380X1250X2500"/>
    <s v="C06"/>
    <s v="TATCRC"/>
    <s v="SR16"/>
    <n v="0.38"/>
    <n v="1250"/>
    <n v="2500"/>
    <m/>
    <m/>
    <m/>
    <n v="2.5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UPR"/>
    <s v="C06-SR16-0.38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4"/>
    <s v="9519097437-4"/>
    <s v="No Priority"/>
    <s v="Released"/>
    <x v="0"/>
    <s v="CR01"/>
    <s v="ACRM CRCA CTL"/>
    <m/>
    <x v="0"/>
    <x v="5"/>
    <m/>
    <n v="2000"/>
    <s v="East"/>
    <s v="Jharkhand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6-0.35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3"/>
    <s v="9519097437-3"/>
    <s v="No Priority"/>
    <s v="Released"/>
    <x v="0"/>
    <s v="CR01"/>
    <s v="ACRM CRCA CTL"/>
    <m/>
    <x v="0"/>
    <x v="5"/>
    <m/>
    <n v="2000"/>
    <s v="East"/>
    <s v="Jharkhand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m/>
  </r>
  <r>
    <n v="743"/>
    <d v="2025-09-12T00:00:00"/>
    <s v="ZBTO"/>
    <n v="9519099563"/>
    <n v="4"/>
    <s v="9519099563-4"/>
    <s v="No Priority"/>
    <s v="Released"/>
    <x v="0"/>
    <s v="GP03"/>
    <s v="ACRM GP#3 NARROW"/>
    <m/>
    <x v="2"/>
    <x v="6"/>
    <m/>
    <n v="2000"/>
    <s v="East"/>
    <s v="Jharkhand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m/>
  </r>
  <r>
    <n v="743"/>
    <d v="2025-09-12T00:00:00"/>
    <s v="ZBTO"/>
    <n v="9519099563"/>
    <n v="3"/>
    <s v="9519099563-3"/>
    <s v="Stocks"/>
    <s v="Released"/>
    <x v="1"/>
    <s v="GP03"/>
    <s v="ACRM GP#3 NARROW"/>
    <m/>
    <x v="2"/>
    <x v="6"/>
    <m/>
    <n v="2000"/>
    <s v="East"/>
    <s v="Jharkhand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26"/>
    <n v="20.155000000000001"/>
    <n v="105.845"/>
    <n v="105.845"/>
    <n v="10.055"/>
    <n v="0"/>
    <n v="0"/>
    <n v="0"/>
    <n v="0"/>
    <n v="0"/>
    <n v="0"/>
    <n v="0"/>
    <n v="0"/>
    <n v="0"/>
    <n v="0"/>
    <n v="0"/>
    <n v="0"/>
    <n v="0"/>
    <n v="0"/>
    <n v="0"/>
    <n v="0"/>
    <n v="0"/>
    <n v="20.155000000000001"/>
    <n v="20.155000000000001"/>
    <n v="20.155000000000001"/>
    <n v="0"/>
    <n v="0"/>
    <n v="85.69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10"/>
    <s v="9519104694-10"/>
    <s v="Stocks"/>
    <s v="Released"/>
    <x v="1"/>
    <s v="GP02"/>
    <s v="ACRM GP#3 WIDER SOFT"/>
    <m/>
    <x v="2"/>
    <x v="13"/>
    <m/>
    <n v="2000"/>
    <s v="East"/>
    <s v="Jharkhand"/>
    <m/>
    <n v="121328"/>
    <s v="R. S. BOKARO METAL (P) LTD."/>
    <n v="1300227"/>
    <s v="GP COIL SOFT-TATXGP-GLK1-0.6X1220"/>
    <s v="C02"/>
    <s v="TATXGP"/>
    <s v="GLK1"/>
    <n v="0.6"/>
    <n v="1220"/>
    <n v="0"/>
    <m/>
    <m/>
    <m/>
    <n v="4"/>
    <n v="12"/>
    <n v="56"/>
    <n v="54.314999999999998"/>
    <n v="1.6850000000000001"/>
    <n v="1.6850000000000001"/>
    <n v="9.15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Slitting/Trimming at"/>
    <s v="GP03_KOSH"/>
    <s v="C02-GLK1-0.6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9"/>
    <s v="9519104694-9"/>
    <s v="Oct'25"/>
    <s v="Released"/>
    <x v="1"/>
    <s v="GP02"/>
    <s v="ACRM GP#3 WIDER SOFT"/>
    <m/>
    <x v="2"/>
    <x v="13"/>
    <m/>
    <n v="2000"/>
    <s v="East"/>
    <s v="Jharkhand"/>
    <m/>
    <n v="121328"/>
    <s v="R. S. BOKARO METAL (P) LTD."/>
    <n v="1300228"/>
    <s v="GP COIL SOFT-TATXGP-GLK1-0.5X1220"/>
    <s v="C02"/>
    <s v="TATXGP"/>
    <s v="GLK1"/>
    <n v="0.5"/>
    <n v="1220"/>
    <n v="0"/>
    <m/>
    <m/>
    <m/>
    <n v="4"/>
    <n v="12"/>
    <n v="84"/>
    <n v="0"/>
    <n v="84"/>
    <n v="31.15"/>
    <n v="0"/>
    <n v="0"/>
    <n v="0"/>
    <n v="0"/>
    <n v="0"/>
    <n v="0"/>
    <n v="52.86"/>
    <n v="0"/>
    <n v="0"/>
    <n v="0"/>
    <n v="0"/>
    <n v="0"/>
    <n v="0"/>
    <n v="0"/>
    <n v="0"/>
    <n v="0"/>
    <n v="0"/>
    <n v="0"/>
    <n v="0"/>
    <n v="52.86"/>
    <n v="0"/>
    <n v="52.86"/>
    <n v="0"/>
    <n v="84"/>
    <m/>
    <m/>
    <m/>
    <m/>
    <m/>
    <m/>
    <m/>
    <m/>
    <s v="Slitting/Trimming at"/>
    <s v="GP03_KOSH"/>
    <s v="C02-GLK1-0.5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8"/>
    <s v="9519104694-8"/>
    <s v="Oct'25"/>
    <s v="Released"/>
    <x v="1"/>
    <s v="GP02"/>
    <s v="ACRM GP#3 WIDER SOFT"/>
    <m/>
    <x v="2"/>
    <x v="13"/>
    <m/>
    <n v="2000"/>
    <s v="East"/>
    <s v="Jharkhand"/>
    <m/>
    <n v="121328"/>
    <s v="R. S. BOKARO METAL (P) LTD."/>
    <n v="1854416"/>
    <s v="GP COIL SOFT-TATXGP-GLK1-0.45X1220"/>
    <s v="C02"/>
    <s v="TATXGP"/>
    <s v="GLK1"/>
    <n v="0.45"/>
    <n v="1220"/>
    <n v="0"/>
    <m/>
    <m/>
    <m/>
    <n v="4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Slitting/Trimming at"/>
    <s v="GP03_KOSH"/>
    <s v="C02-GLK1-0.45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7"/>
    <s v="9519104694-7"/>
    <s v="No Priority"/>
    <s v="Released"/>
    <x v="0"/>
    <s v="GP02"/>
    <s v="ACRM GP#3 WIDER SOFT"/>
    <m/>
    <x v="2"/>
    <x v="13"/>
    <m/>
    <n v="2000"/>
    <s v="East"/>
    <s v="Jharkhand"/>
    <m/>
    <n v="121328"/>
    <s v="R. S. BOKARO METAL (P) LTD."/>
    <n v="1300229"/>
    <s v="GP COIL SOFT-TATXGP-GLK1-0.4X1220"/>
    <s v="C02"/>
    <s v="TATXGP"/>
    <s v="GLK1"/>
    <n v="0.4"/>
    <n v="1220"/>
    <n v="0"/>
    <m/>
    <m/>
    <m/>
    <n v="4"/>
    <n v="12"/>
    <n v="28"/>
    <n v="26.305"/>
    <n v="1.6950000000000001"/>
    <n v="1.6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50000000000001"/>
    <m/>
    <m/>
    <m/>
    <m/>
    <m/>
    <m/>
    <m/>
    <m/>
    <s v="Slitting/Trimming at"/>
    <s v="GP03_KOSH"/>
    <s v="C02-GLK1-0.4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2"/>
    <s v="9519104694-2"/>
    <s v="Oct'25"/>
    <s v="Released"/>
    <x v="1"/>
    <s v="GP03"/>
    <s v="ACRM GP#3 NARROW"/>
    <m/>
    <x v="2"/>
    <x v="6"/>
    <m/>
    <n v="2000"/>
    <s v="East"/>
    <s v="Jharkhand"/>
    <m/>
    <n v="121328"/>
    <s v="R. S. BOKARO METAL (P) LTD."/>
    <n v="1191955"/>
    <s v="GP COIL SOFT-TATXGP-GK09-0.3X900"/>
    <s v="C02"/>
    <s v="TATXGP"/>
    <s v="GK09"/>
    <n v="0.3"/>
    <n v="900"/>
    <n v="0"/>
    <m/>
    <m/>
    <m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4694"/>
    <n v="1"/>
    <s v="9519104694-1"/>
    <s v="Oct'25"/>
    <s v="Released"/>
    <x v="1"/>
    <s v="GP03"/>
    <s v="ACRM GP#3 NARROW"/>
    <m/>
    <x v="2"/>
    <x v="6"/>
    <m/>
    <n v="2000"/>
    <s v="East"/>
    <s v="Jharkhand"/>
    <m/>
    <n v="121328"/>
    <s v="R. S. BOKARO METAL (P) LTD."/>
    <n v="1851065"/>
    <s v="GP COIL SOFT-TATXGP-GK09-0.25X900"/>
    <s v="C02"/>
    <s v="TATXGP"/>
    <s v="GK09"/>
    <n v="0.25"/>
    <n v="900"/>
    <n v="0"/>
    <m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s v="GP03_KOSH"/>
    <s v="C02-GK09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6"/>
    <s v="9519109787-16"/>
    <s v="Oct'25"/>
    <s v="Released"/>
    <x v="1"/>
    <s v="CR01"/>
    <s v="ACRM CRCA CTL"/>
    <m/>
    <x v="0"/>
    <x v="5"/>
    <m/>
    <n v="2000"/>
    <s v="East"/>
    <s v="Bihar"/>
    <m/>
    <n v="103227"/>
    <s v="BMW VENTURES LIMITED"/>
    <n v="3240786"/>
    <s v="CRCA SHEET TSBCRC SR15 0.700X1250X2500"/>
    <s v="C06"/>
    <s v="TSBCRC"/>
    <s v="SR15"/>
    <n v="0.7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0.7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4"/>
    <s v="9519109787-14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2"/>
    <s v="9519109787-12"/>
    <s v="Oct'25"/>
    <s v="Released"/>
    <x v="1"/>
    <s v="CR01"/>
    <s v="ACRM CRCA CTL"/>
    <m/>
    <x v="0"/>
    <x v="5"/>
    <m/>
    <n v="2000"/>
    <s v="East"/>
    <s v="Bihar"/>
    <m/>
    <n v="103227"/>
    <s v="BMW VENTURES LIMITED"/>
    <n v="3240849"/>
    <s v="CRCA SHEET TSBCRC SR15 1.200X1250X2500"/>
    <s v="C06"/>
    <s v="TSBCRC"/>
    <s v="SR15"/>
    <n v="1.2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1.2-1250"/>
    <s v="367-SH69-3.2-1260"/>
    <n v="367"/>
    <s v="T01069"/>
    <s v="SH69"/>
    <s v="R12A"/>
    <n v="3.2"/>
    <n v="1260"/>
    <n v="3919021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1"/>
    <s v="9519109787-11"/>
    <s v="Oct'25"/>
    <s v="Released"/>
    <x v="1"/>
    <s v="CR01"/>
    <s v="ACRM CRCA CTL"/>
    <m/>
    <x v="0"/>
    <x v="5"/>
    <m/>
    <n v="2000"/>
    <s v="East"/>
    <s v="Bihar"/>
    <m/>
    <n v="103227"/>
    <s v="BMW VENTURES LIMITED"/>
    <n v="3240842"/>
    <s v="CRCA SHEET TSBCRC SR15 1X1250X2500"/>
    <s v="C06"/>
    <s v="TSBCRC"/>
    <s v="SR15"/>
    <n v="1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1-1250"/>
    <s v="367-SH69-3.2-1260"/>
    <n v="367"/>
    <s v="T01069"/>
    <s v="SH69"/>
    <s v="R12A"/>
    <n v="3.2"/>
    <n v="1260"/>
    <n v="3919021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10"/>
    <s v="9519109787-10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40785"/>
    <s v="CRCA SHEET TSBCRC SR15 0.600X1250X2500"/>
    <s v="C06"/>
    <s v="TSBCRC"/>
    <s v="SR15"/>
    <n v="0.6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0.6-1250"/>
    <s v="367-SH69-2.5-1260"/>
    <n v="367"/>
    <s v="T01069"/>
    <s v="SH69"/>
    <s v="R12A"/>
    <n v="2.5"/>
    <n v="1260"/>
    <n v="3901920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9"/>
    <s v="9519109787-9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7"/>
    <s v="9519109787-7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6"/>
    <s v="9519109787-6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5"/>
    <s v="9519109787-5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2441002"/>
    <s v="CRCA SHEET TATCRC SR16 0.380X1250X2500"/>
    <s v="C06"/>
    <s v="TATCRC"/>
    <s v="SR16"/>
    <n v="0.38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38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787"/>
    <n v="3"/>
    <s v="9519109787-3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6"/>
    <s v="9519105467-16"/>
    <s v="Oct'25"/>
    <s v="Released"/>
    <x v="1"/>
    <s v="CR01"/>
    <s v="ACRM CRCA CTL"/>
    <m/>
    <x v="0"/>
    <x v="5"/>
    <m/>
    <n v="2000"/>
    <s v="East"/>
    <s v="Bihar"/>
    <m/>
    <n v="103227"/>
    <s v="BMW VENTURES LIMITED"/>
    <n v="3240786"/>
    <s v="CRCA SHEET TSBCRC SR15 0.700X1250X2500"/>
    <s v="C06"/>
    <s v="TSBCRC"/>
    <s v="SR15"/>
    <n v="0.7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0.7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4"/>
    <s v="9519105467-14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3"/>
    <s v="9519105467-13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2"/>
    <s v="9519105467-12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40849"/>
    <s v="CRCA SHEET TSBCRC SR15 1.200X1250X2500"/>
    <s v="C06"/>
    <s v="TSBCRC"/>
    <s v="SR15"/>
    <n v="1.2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1.2-1250"/>
    <s v="367-SH69-3.2-1260"/>
    <n v="367"/>
    <s v="T01069"/>
    <s v="SH69"/>
    <s v="R12A"/>
    <n v="3.2"/>
    <n v="1260"/>
    <n v="3919021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1"/>
    <s v="9519105467-11"/>
    <s v="Oct'25"/>
    <s v="Released"/>
    <x v="1"/>
    <s v="CR01"/>
    <s v="ACRM CRCA CTL"/>
    <m/>
    <x v="0"/>
    <x v="5"/>
    <m/>
    <n v="2000"/>
    <s v="East"/>
    <s v="Bihar"/>
    <m/>
    <n v="103227"/>
    <s v="BMW VENTURES LIMITED"/>
    <n v="3240842"/>
    <s v="CRCA SHEET TSBCRC SR15 1X1250X2500"/>
    <s v="C06"/>
    <s v="TSBCRC"/>
    <s v="SR15"/>
    <n v="1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1-1250"/>
    <s v="367-SH69-3.2-1260"/>
    <n v="367"/>
    <s v="T01069"/>
    <s v="SH69"/>
    <s v="R12A"/>
    <n v="3.2"/>
    <n v="1260"/>
    <n v="3919021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10"/>
    <s v="9519105467-10"/>
    <s v="Oct'25"/>
    <s v="Released"/>
    <x v="1"/>
    <s v="CR01"/>
    <s v="ACRM CRCA CTL"/>
    <m/>
    <x v="0"/>
    <x v="5"/>
    <m/>
    <n v="2000"/>
    <s v="East"/>
    <s v="Bihar"/>
    <m/>
    <n v="103227"/>
    <s v="BMW VENTURES LIMITED"/>
    <n v="3240785"/>
    <s v="CRCA SHEET TSBCRC SR15 0.600X1250X2500"/>
    <s v="C06"/>
    <s v="TSBCRC"/>
    <s v="SR15"/>
    <n v="0.6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0.6-1250"/>
    <s v="367-SH69-2.5-1260"/>
    <n v="367"/>
    <s v="T01069"/>
    <s v="SH69"/>
    <s v="R12A"/>
    <n v="2.5"/>
    <n v="1260"/>
    <n v="3901920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9"/>
    <s v="9519105467-9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7"/>
    <s v="9519105467-7"/>
    <s v="Oct'25"/>
    <s v="Released"/>
    <x v="1"/>
    <s v="CR01"/>
    <s v="ACRM CRCA CTL"/>
    <n v="5300"/>
    <x v="0"/>
    <x v="5"/>
    <m/>
    <n v="2000"/>
    <s v="East"/>
    <s v="Bihar"/>
    <m/>
    <n v="103227"/>
    <s v="BMW VENTURES LIMITED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6"/>
    <s v="9519105467-6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5"/>
    <s v="9519105467-5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2441002"/>
    <s v="CRCA SHEET TATCRC SR16 0.380X1250X2500"/>
    <s v="C06"/>
    <s v="TATCRC"/>
    <s v="SR16"/>
    <n v="0.38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38-1250"/>
    <s v="367-SH67-2-1260"/>
    <n v="367"/>
    <s v="TSH067"/>
    <s v="SH67"/>
    <s v="C14A"/>
    <n v="2"/>
    <n v="1260"/>
    <n v="4007879"/>
    <m/>
    <m/>
    <m/>
    <m/>
    <m/>
    <m/>
    <m/>
    <m/>
    <m/>
    <m/>
    <m/>
    <m/>
    <m/>
    <m/>
    <m/>
    <m/>
    <m/>
    <m/>
    <m/>
    <m/>
  </r>
  <r>
    <n v="742"/>
    <d v="2025-09-15T00:00:00"/>
    <s v="ZBTO"/>
    <n v="9519105467"/>
    <n v="3"/>
    <s v="9519105467-3"/>
    <s v="No Priority"/>
    <s v="Released"/>
    <x v="0"/>
    <s v="CR01"/>
    <s v="ACRM CRCA CTL"/>
    <m/>
    <x v="0"/>
    <x v="5"/>
    <m/>
    <n v="2000"/>
    <s v="East"/>
    <s v="Bihar"/>
    <m/>
    <n v="103227"/>
    <s v="BMW VENTURES LIMITED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5"/>
    <s v="9519088655-15"/>
    <s v="Oct'25"/>
    <s v="Released"/>
    <x v="1"/>
    <s v="CR01"/>
    <s v="ACRM CRCA CTL"/>
    <m/>
    <x v="0"/>
    <x v="5"/>
    <m/>
    <n v="2000"/>
    <s v="East"/>
    <s v="Orissa"/>
    <m/>
    <n v="117061"/>
    <s v="BHARTIA  DISTRIBUTORS PVT. LTD."/>
    <n v="3240857"/>
    <s v="CRCA SHEET TSBCRC SR15 2X1250X2500"/>
    <s v="C06"/>
    <s v="TSBCRC"/>
    <s v="SR15"/>
    <n v="2"/>
    <n v="1250"/>
    <n v="2500"/>
    <m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2-1250"/>
    <s v="367-SH69-4.5-1260"/>
    <n v="367"/>
    <s v="T01069"/>
    <s v="SH69"/>
    <s v="R12A"/>
    <n v="4.5"/>
    <n v="1260"/>
    <n v="3924609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4"/>
    <s v="9519088655-14"/>
    <s v="Oct'25"/>
    <s v="Released"/>
    <x v="1"/>
    <s v="CR01"/>
    <s v="ACRM CRCA CTL"/>
    <m/>
    <x v="0"/>
    <x v="5"/>
    <m/>
    <n v="2000"/>
    <s v="East"/>
    <s v="Orissa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s v="NA"/>
    <s v="C06-SR15-1.5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1"/>
    <s v="9519088655-11"/>
    <s v="Oct'25"/>
    <s v="Released"/>
    <x v="1"/>
    <s v="CR01"/>
    <s v="ACRM CRCA CTL"/>
    <m/>
    <x v="0"/>
    <x v="5"/>
    <m/>
    <n v="2000"/>
    <s v="East"/>
    <s v="Orissa"/>
    <m/>
    <n v="117061"/>
    <s v="BHARTIA  DISTRIBUTORS PVT. LTD."/>
    <n v="3240820"/>
    <s v="CRCA SHEET TSBCRC SR15 0.900X1250X2500"/>
    <s v="C06"/>
    <s v="TSBCRC"/>
    <s v="SR15"/>
    <n v="0.9"/>
    <n v="1250"/>
    <n v="2500"/>
    <m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NA"/>
    <s v="C06-SR15-0.9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0"/>
    <s v="9519088655-10"/>
    <s v="Oct'25"/>
    <s v="Released"/>
    <x v="1"/>
    <s v="CR01"/>
    <s v="ACRM CRCA CTL"/>
    <m/>
    <x v="0"/>
    <x v="5"/>
    <m/>
    <n v="2000"/>
    <s v="East"/>
    <s v="Orissa"/>
    <m/>
    <n v="117061"/>
    <s v="BHARTIA  DISTRIBUTORS PVT. LTD."/>
    <n v="3240808"/>
    <s v="CRCA SHEET TSBCRC SR15 0.800X1250X2500"/>
    <s v="C06"/>
    <s v="TSBCRC"/>
    <s v="SR15"/>
    <n v="0.8"/>
    <n v="1250"/>
    <n v="2500"/>
    <m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5-0.8-1250"/>
    <s v="367-SH69-2.8-1260"/>
    <n v="367"/>
    <s v="T01069"/>
    <s v="SH69"/>
    <s v="R12A"/>
    <n v="2.8"/>
    <n v="1260"/>
    <n v="3901919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8"/>
    <s v="9519088655-8"/>
    <s v="Oct'25"/>
    <s v="Released"/>
    <x v="1"/>
    <s v="CR01"/>
    <s v="ACRM CRCA CTL"/>
    <m/>
    <x v="0"/>
    <x v="5"/>
    <m/>
    <n v="2000"/>
    <s v="East"/>
    <s v="Orissa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7-1000"/>
    <s v="B69-SH69-2.8-1025"/>
    <s v="B69"/>
    <s v="T01069"/>
    <s v="SH69"/>
    <s v="R12A"/>
    <n v="2.8"/>
    <n v="1025"/>
    <n v="3918221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7"/>
    <s v="9519088655-7"/>
    <s v="Oct'25"/>
    <s v="Released"/>
    <x v="1"/>
    <s v="CR01"/>
    <s v="ACRM CRCA CTL"/>
    <m/>
    <x v="0"/>
    <x v="5"/>
    <m/>
    <n v="2000"/>
    <s v="East"/>
    <s v="Orissa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6"/>
    <s v="9519088655-6"/>
    <s v="Oct'25"/>
    <s v="Released"/>
    <x v="1"/>
    <s v="CR01"/>
    <s v="ACRM CRCA CTL"/>
    <m/>
    <x v="0"/>
    <x v="5"/>
    <m/>
    <n v="2000"/>
    <s v="East"/>
    <s v="Orissa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5"/>
    <s v="9519088655-5"/>
    <s v="Oct'25"/>
    <s v="Released"/>
    <x v="1"/>
    <s v="CR01"/>
    <s v="ACRM CRCA CTL"/>
    <m/>
    <x v="0"/>
    <x v="5"/>
    <m/>
    <n v="2000"/>
    <s v="East"/>
    <s v="Orissa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1"/>
    <s v="9519088655-1"/>
    <s v="Oct'25"/>
    <s v="Released"/>
    <x v="1"/>
    <s v="CR01"/>
    <s v="ACRM CRCA CTL"/>
    <m/>
    <x v="0"/>
    <x v="5"/>
    <m/>
    <n v="2000"/>
    <s v="East"/>
    <s v="Orissa"/>
    <m/>
    <n v="117061"/>
    <s v="BHARTIA  DISTRIBUTORS PVT. LTD."/>
    <n v="3239536"/>
    <s v="CRCA SHEET TATCRC SR16 0.350X900X2500"/>
    <s v="C06"/>
    <s v="TATCRC"/>
    <s v="SR16"/>
    <n v="0.35"/>
    <n v="900"/>
    <n v="2500"/>
    <m/>
    <m/>
    <m/>
    <n v="2.5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8913"/>
    <n v="3"/>
    <s v="9519098913-3"/>
    <s v="Oct'25"/>
    <s v="Released"/>
    <x v="1"/>
    <s v="CR03"/>
    <s v="ACRM CRCA SPM"/>
    <m/>
    <x v="0"/>
    <x v="15"/>
    <n v="1800"/>
    <n v="2000"/>
    <s v="North"/>
    <s v="Haryana"/>
    <m/>
    <n v="831432"/>
    <s v="FERRO STEEL SOLUTIONS"/>
    <n v="2420508"/>
    <s v="CRCA COIL TATXXD AH03 0.500X1250"/>
    <s v="C01"/>
    <s v="TATXXD"/>
    <s v="AH03"/>
    <n v="0.5"/>
    <n v="1250"/>
    <n v="0"/>
    <m/>
    <m/>
    <m/>
    <n v="9"/>
    <n v="27"/>
    <n v="174"/>
    <n v="0"/>
    <n v="174"/>
    <n v="146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ntrimmed edge"/>
    <s v="CRCA_ME"/>
    <s v="C01-AH03-0.5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8913"/>
    <n v="2"/>
    <s v="9519098913-2"/>
    <s v="Oct'25"/>
    <s v="Released"/>
    <x v="1"/>
    <s v="CR03"/>
    <s v="ACRM CRCA SPM"/>
    <m/>
    <x v="0"/>
    <x v="15"/>
    <m/>
    <n v="2000"/>
    <s v="North"/>
    <s v="Haryana"/>
    <m/>
    <n v="831432"/>
    <s v="FERRO STEEL SOLUTIONS"/>
    <n v="2420508"/>
    <s v="CRCA COIL TATXXD AH03 0.500X1250"/>
    <s v="C01"/>
    <s v="TATXXD"/>
    <s v="AH03"/>
    <n v="0.5"/>
    <n v="1250"/>
    <n v="0"/>
    <m/>
    <m/>
    <m/>
    <n v="9"/>
    <n v="27"/>
    <n v="174"/>
    <n v="0"/>
    <n v="174"/>
    <n v="11.19"/>
    <n v="0"/>
    <n v="0"/>
    <n v="0"/>
    <n v="0"/>
    <n v="0"/>
    <n v="0"/>
    <n v="0"/>
    <n v="0"/>
    <n v="0"/>
    <n v="56.35"/>
    <n v="27.63"/>
    <n v="0"/>
    <n v="0"/>
    <n v="0"/>
    <n v="0"/>
    <n v="0"/>
    <n v="0"/>
    <n v="0"/>
    <n v="0"/>
    <n v="83.98"/>
    <n v="0"/>
    <n v="83.98"/>
    <n v="0"/>
    <n v="174"/>
    <m/>
    <m/>
    <m/>
    <m/>
    <m/>
    <m/>
    <m/>
    <m/>
    <s v="Untrimmed edge"/>
    <s v="CRCA_ME"/>
    <s v="C01-AH03-0.5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m/>
  </r>
  <r>
    <n v="742"/>
    <d v="2025-09-17T00:00:00"/>
    <s v="ZBTO"/>
    <n v="9519112644"/>
    <n v="1"/>
    <s v="9519112644-1"/>
    <s v="Oct'25"/>
    <s v="Released"/>
    <x v="1"/>
    <s v="CR01"/>
    <s v="ACRM CRCA CTL"/>
    <m/>
    <x v="0"/>
    <x v="5"/>
    <m/>
    <n v="2000"/>
    <s v="East"/>
    <s v="Chhattisgarh"/>
    <m/>
    <n v="139336"/>
    <s v="PASA ASSOCIATES PRIVATE LIMITED"/>
    <n v="3239548"/>
    <s v="CRCA SHEET TATCRC SR16 0.400X900X2500"/>
    <s v="C06"/>
    <s v="TATCRC"/>
    <s v="SR16"/>
    <n v="0.4"/>
    <n v="900"/>
    <n v="2500"/>
    <m/>
    <m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s v="CRCA_SUPR"/>
    <s v="C06-SR16-0.4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856"/>
    <n v="3"/>
    <s v="9519109856-3"/>
    <s v="Oct'25"/>
    <s v="Released"/>
    <x v="1"/>
    <s v="CR01"/>
    <s v="ACRM CRCA CTL"/>
    <m/>
    <x v="0"/>
    <x v="5"/>
    <m/>
    <n v="2000"/>
    <s v="East"/>
    <s v="West Bengal"/>
    <m/>
    <n v="948783"/>
    <s v="SAGAR STEELS"/>
    <n v="3839276"/>
    <s v="CRCA SHEET TATCRC SR16 0.300X1250X2500"/>
    <s v="C06"/>
    <s v="TATCRC"/>
    <s v="SR16"/>
    <n v="0.3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s v="NA"/>
    <s v="C06-SR16-0.3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856"/>
    <n v="2"/>
    <s v="9519109856-2"/>
    <s v="Oct'25"/>
    <s v="Released"/>
    <x v="1"/>
    <s v="CR01"/>
    <s v="ACRM CRCA CTL"/>
    <m/>
    <x v="0"/>
    <x v="5"/>
    <m/>
    <n v="2000"/>
    <s v="East"/>
    <s v="West Bengal"/>
    <m/>
    <n v="948783"/>
    <s v="SAGAR STEELS"/>
    <n v="3239533"/>
    <s v="CRCA SHEET TATCRC SR16 0.300X1000X2500"/>
    <s v="C06"/>
    <s v="TATCRC"/>
    <s v="SR16"/>
    <n v="0.3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-1000"/>
    <s v="B69-SH67-2-1025"/>
    <s v="B69"/>
    <s v="TSH067"/>
    <s v="SH67"/>
    <s v="C14A"/>
    <n v="2"/>
    <n v="1025"/>
    <n v="3909467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9856"/>
    <n v="1"/>
    <s v="9519109856-1"/>
    <s v="Oct'25"/>
    <s v="Released"/>
    <x v="1"/>
    <s v="CR01"/>
    <s v="ACRM CRCA CTL"/>
    <m/>
    <x v="0"/>
    <x v="5"/>
    <n v="5000"/>
    <n v="2000"/>
    <s v="East"/>
    <s v="West Bengal"/>
    <m/>
    <n v="948783"/>
    <s v="SAGAR STEELS"/>
    <n v="3903882"/>
    <s v="CRCA SHEET TATCRC SR16 0.250X1250X2500"/>
    <s v="C06"/>
    <s v="TATCRC"/>
    <s v="SR16"/>
    <n v="0.2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NA"/>
    <s v="C06-SR16-0.25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3"/>
    <d v="2025-09-13T00:00:00"/>
    <s v="ZBTO"/>
    <n v="9519101481"/>
    <n v="3"/>
    <s v="9519101481-3"/>
    <s v="Oct'25"/>
    <s v="Released"/>
    <x v="1"/>
    <s v="GL01"/>
    <s v="ACRM GP#2 TBSPL BGL"/>
    <m/>
    <x v="4"/>
    <x v="3"/>
    <m/>
    <n v="1000"/>
    <s v="TBSPL"/>
    <s v="Jharkhand"/>
    <m/>
    <n v="942283"/>
    <s v="TATA BLUESCOPE STEEL PRIVATE LIMITE"/>
    <n v="1881988"/>
    <s v="GL C YS550 H6GL 0.50BMT(0.55TCT)X1220"/>
    <s v="B04"/>
    <s v="Y550GL"/>
    <s v="H6GL"/>
    <n v="0.5"/>
    <n v="1220"/>
    <n v="0"/>
    <m/>
    <m/>
    <m/>
    <n v="3"/>
    <n v="5"/>
    <n v="28"/>
    <n v="0"/>
    <n v="28"/>
    <n v="0.29499999999999998"/>
    <n v="0"/>
    <n v="0"/>
    <n v="0"/>
    <n v="0"/>
    <n v="0"/>
    <n v="27.85"/>
    <n v="0"/>
    <n v="0"/>
    <n v="0"/>
    <n v="0"/>
    <n v="0"/>
    <n v="0"/>
    <n v="0"/>
    <n v="0"/>
    <n v="0"/>
    <n v="0"/>
    <n v="0"/>
    <n v="0"/>
    <n v="0"/>
    <n v="27.85"/>
    <n v="0"/>
    <n v="27.85"/>
    <n v="0"/>
    <n v="28"/>
    <m/>
    <m/>
    <m/>
    <m/>
    <m/>
    <m/>
    <m/>
    <m/>
    <s v="Trimming only at RCL"/>
    <s v="GP02_BGL"/>
    <s v="B04-H6GL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3"/>
    <d v="2025-09-13T00:00:00"/>
    <s v="ZBTO"/>
    <n v="9519101481"/>
    <n v="2"/>
    <s v="9519101481-2"/>
    <s v="Oct'25"/>
    <s v="Released"/>
    <x v="1"/>
    <s v="GL01"/>
    <s v="ACRM GP#2 TBSPL BGL"/>
    <m/>
    <x v="4"/>
    <x v="3"/>
    <m/>
    <n v="1000"/>
    <s v="TBSPL"/>
    <s v="Jharkhand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n v="3"/>
    <n v="5"/>
    <n v="56"/>
    <n v="32.32"/>
    <n v="23.68"/>
    <n v="-3.99"/>
    <n v="32.32"/>
    <n v="0"/>
    <n v="0"/>
    <n v="0"/>
    <n v="0"/>
    <n v="27.650000000000002"/>
    <n v="0"/>
    <n v="13.265000000000001"/>
    <n v="0"/>
    <n v="0"/>
    <n v="0"/>
    <n v="0"/>
    <n v="0"/>
    <n v="0"/>
    <n v="0"/>
    <n v="0"/>
    <n v="0"/>
    <n v="0"/>
    <n v="4.8"/>
    <n v="45.715000000000003"/>
    <n v="4.8"/>
    <n v="40.915000000000006"/>
    <n v="0"/>
    <n v="18.88"/>
    <m/>
    <m/>
    <m/>
    <m/>
    <m/>
    <m/>
    <m/>
    <m/>
    <s v="Trimming only at RCL"/>
    <s v="GP02_BGL"/>
    <s v="B04-H6GL-0.5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3"/>
    <d v="2025-09-13T00:00:00"/>
    <s v="ZBTO"/>
    <n v="9519101481"/>
    <n v="1"/>
    <s v="9519101481-1"/>
    <s v="Stocks"/>
    <s v="Released"/>
    <x v="1"/>
    <s v="GL01"/>
    <s v="ACRM GP#2 TBSPL BGL"/>
    <m/>
    <x v="4"/>
    <x v="3"/>
    <m/>
    <n v="1000"/>
    <s v="TBSPL"/>
    <s v="Jharkhand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n v="3"/>
    <n v="5"/>
    <n v="196"/>
    <n v="190.37"/>
    <n v="5.63"/>
    <n v="5.63"/>
    <n v="185.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9.07"/>
    <n v="9.07"/>
    <n v="9.07"/>
    <n v="0"/>
    <n v="0"/>
    <n v="-3.4400000000000004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m/>
  </r>
  <r>
    <n v="742"/>
    <d v="2025-09-11T00:00:00"/>
    <s v="ZBTO"/>
    <n v="9519094552"/>
    <n v="5"/>
    <s v="9519094552-5"/>
    <s v="Oct'25"/>
    <s v="Released"/>
    <x v="1"/>
    <s v="CR01"/>
    <s v="ACRM CRCA CTL"/>
    <m/>
    <x v="0"/>
    <x v="5"/>
    <m/>
    <n v="2000"/>
    <s v="East"/>
    <s v="West Bengal"/>
    <m/>
    <n v="948783"/>
    <s v="SAGAR STEELS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m/>
    <m/>
    <m/>
    <m/>
    <m/>
    <m/>
    <m/>
    <m/>
    <m/>
    <m/>
    <m/>
    <m/>
    <m/>
    <m/>
    <m/>
  </r>
  <r>
    <n v="742"/>
    <d v="2025-09-11T00:00:00"/>
    <s v="ZBTO"/>
    <n v="9519094552"/>
    <n v="1"/>
    <s v="9519094552-1"/>
    <s v="Oct'25"/>
    <s v="Released"/>
    <x v="1"/>
    <s v="CR01"/>
    <s v="ACRM CRCA CTL"/>
    <m/>
    <x v="0"/>
    <x v="5"/>
    <m/>
    <n v="2000"/>
    <s v="East"/>
    <s v="West Bengal"/>
    <m/>
    <n v="948783"/>
    <s v="SAGAR STEELS"/>
    <n v="2427612"/>
    <s v="CRCA SHEET TATCRC SR16 0.300X900X2500"/>
    <s v="C06"/>
    <s v="TATCRC"/>
    <s v="SR16"/>
    <n v="0.3"/>
    <n v="900"/>
    <n v="250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s v="CRCA_SUPR"/>
    <s v="C06-SR16-0.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m/>
  </r>
  <r>
    <n v="743"/>
    <d v="2025-09-09T00:00:00"/>
    <s v="ZBTO"/>
    <n v="9519090038"/>
    <n v="4"/>
    <s v="9519090038-4"/>
    <s v="Oct'25"/>
    <s v="Released"/>
    <x v="1"/>
    <s v="GP03"/>
    <s v="ACRM GP#3 NARROW"/>
    <m/>
    <x v="2"/>
    <x v="6"/>
    <m/>
    <n v="2000"/>
    <s v="East"/>
    <s v="Orissa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s v="NA"/>
    <s v="B11-GK09-0.6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3"/>
    <d v="2025-09-09T00:00:00"/>
    <s v="ZBTO"/>
    <n v="9519090038"/>
    <n v="3"/>
    <s v="9519090038-3"/>
    <s v="Oct'25"/>
    <s v="Released"/>
    <x v="1"/>
    <s v="GP03"/>
    <s v="ACRM GP#3 NARROW"/>
    <m/>
    <x v="2"/>
    <x v="6"/>
    <m/>
    <n v="2000"/>
    <s v="East"/>
    <s v="Orissa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n v="2.8"/>
    <n v="3"/>
    <n v="30"/>
    <n v="3.1850000000000001"/>
    <n v="26.815000000000001"/>
    <n v="26.815000000000001"/>
    <n v="3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15000000000001"/>
    <m/>
    <m/>
    <m/>
    <m/>
    <m/>
    <m/>
    <m/>
    <m/>
    <s v="Trimming only at RCL"/>
    <s v="GP03_KOSH"/>
    <s v="B11-GK09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m/>
  </r>
  <r>
    <n v="743"/>
    <d v="2025-09-09T00:00:00"/>
    <s v="ZBTO"/>
    <n v="9519090038"/>
    <n v="2"/>
    <s v="9519090038-2"/>
    <s v="Oct'25"/>
    <s v="Released"/>
    <x v="1"/>
    <s v="GP03"/>
    <s v="ACRM GP#3 NARROW"/>
    <m/>
    <x v="2"/>
    <x v="6"/>
    <m/>
    <n v="2000"/>
    <s v="East"/>
    <s v="Orissa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n v="2.8"/>
    <n v="3"/>
    <n v="90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s v="Trimming only at RCL"/>
    <s v="GP03_KOSH"/>
    <s v="B11-GK09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m/>
  </r>
  <r>
    <n v="743"/>
    <d v="2025-09-08T00:00:00"/>
    <s v="ZBTO"/>
    <n v="9519086148"/>
    <n v="4"/>
    <s v="9519086148-4"/>
    <s v="Oct'25"/>
    <s v="Released"/>
    <x v="0"/>
    <s v="GP03"/>
    <s v="ACRM GP#3 NARROW"/>
    <m/>
    <x v="2"/>
    <x v="6"/>
    <m/>
    <n v="2000"/>
    <s v="East"/>
    <s v="West Bengal"/>
    <m/>
    <n v="100922"/>
    <s v="BUBNA COMMERCIAL COMPANY"/>
    <n v="1853143"/>
    <s v="GP COIL SOFT-TATXGP-GLK1-0.4X900"/>
    <s v="C02"/>
    <s v="TATXGP"/>
    <s v="GLK1"/>
    <n v="0.4"/>
    <n v="900"/>
    <n v="0"/>
    <m/>
    <m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s v="GP03_KOSH"/>
    <s v="C02-GLK1-0.4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m/>
  </r>
  <r>
    <n v="743"/>
    <d v="2025-09-08T00:00:00"/>
    <s v="ZBTO"/>
    <n v="9519086148"/>
    <n v="2"/>
    <s v="9519086148-2"/>
    <s v="Oct'25"/>
    <s v="Released"/>
    <x v="1"/>
    <s v="GP03"/>
    <s v="ACRM GP#3 NARROW"/>
    <m/>
    <x v="2"/>
    <x v="6"/>
    <m/>
    <n v="2000"/>
    <s v="East"/>
    <s v="West Bengal"/>
    <m/>
    <n v="100922"/>
    <s v="BUBNA COMMERCIAL COMPANY"/>
    <n v="1142895"/>
    <s v="GP COIL SOFT-TATXGP-GLK1-0.5X900"/>
    <s v="C02"/>
    <s v="TATXGP"/>
    <s v="GLK1"/>
    <n v="0.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m/>
  </r>
  <r>
    <n v="743"/>
    <d v="2025-09-08T00:00:00"/>
    <s v="ZBTO"/>
    <n v="9519086148"/>
    <n v="1"/>
    <s v="9519086148-1"/>
    <s v="Oct'25"/>
    <s v="Released"/>
    <x v="1"/>
    <s v="GP03"/>
    <s v="ACRM GP#3 NARROW"/>
    <m/>
    <x v="2"/>
    <x v="6"/>
    <m/>
    <n v="2000"/>
    <s v="East"/>
    <s v="West Bengal"/>
    <m/>
    <n v="100922"/>
    <s v="BUBNA COMMERCIAL COMPANY"/>
    <n v="1142897"/>
    <s v="GP COIL SOFT-TATXGP-GLK1-0.6X900"/>
    <s v="C02"/>
    <s v="TATXGP"/>
    <s v="GLK1"/>
    <n v="0.6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LK1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m/>
  </r>
  <r>
    <n v="742"/>
    <d v="2025-09-03T00:00:00"/>
    <s v="ZBTO"/>
    <n v="9519075806"/>
    <n v="1"/>
    <s v="9519075806-1"/>
    <s v="Stocks"/>
    <s v="Released"/>
    <x v="1"/>
    <s v="CR01"/>
    <s v="ACRM CRCA CTL"/>
    <m/>
    <x v="0"/>
    <x v="5"/>
    <m/>
    <n v="2000"/>
    <s v="East"/>
    <s v="West Bengal"/>
    <m/>
    <n v="948783"/>
    <s v="SAGAR STEELS"/>
    <n v="3533340"/>
    <s v="CRCA SHEET TATCRC SR16 0.450X1120X2000"/>
    <s v="C06"/>
    <s v="TATCRC"/>
    <s v="SR16"/>
    <n v="0.45"/>
    <n v="1120"/>
    <n v="2000"/>
    <m/>
    <m/>
    <m/>
    <n v="2"/>
    <n v="3"/>
    <n v="26"/>
    <n v="10.625"/>
    <n v="15.375"/>
    <n v="15.375"/>
    <n v="10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375"/>
    <m/>
    <m/>
    <m/>
    <m/>
    <m/>
    <m/>
    <m/>
    <m/>
    <s v="Trimming ( for CRC"/>
    <s v="CRCA_SUPR"/>
    <s v="C06-SR16-0.45-1120"/>
    <s v="367-SH67-2.25-1135"/>
    <n v="367"/>
    <s v="TSH067"/>
    <s v="SH67"/>
    <s v="C14A"/>
    <n v="2.25"/>
    <n v="1135"/>
    <e v="#N/A"/>
    <m/>
    <m/>
    <m/>
    <m/>
    <m/>
    <m/>
    <m/>
    <m/>
    <m/>
    <m/>
    <m/>
    <m/>
    <m/>
    <m/>
    <m/>
    <m/>
    <m/>
    <m/>
    <m/>
    <m/>
  </r>
  <r>
    <n v="743"/>
    <d v="2025-08-29T00:00:00"/>
    <s v="ZBTO"/>
    <n v="9519061549"/>
    <n v="5"/>
    <s v="9519061549-5"/>
    <s v="No Priority"/>
    <s v="Released"/>
    <x v="0"/>
    <s v="GP03"/>
    <s v="ACRM GP#3 NARROW"/>
    <m/>
    <x v="2"/>
    <x v="6"/>
    <m/>
    <n v="2000"/>
    <s v="North"/>
    <s v="Uttar Pradesh"/>
    <m/>
    <n v="931234"/>
    <s v="JAI LAXMI STEELS"/>
    <n v="1142901"/>
    <s v="GP COIL SOFT-TATXGP-GLK1-0.3X1000"/>
    <s v="C02"/>
    <s v="TATXGP"/>
    <s v="GLK1"/>
    <n v="0.3"/>
    <n v="1000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s v="GP03_KOSH"/>
    <s v="C02-GLK1-0.3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m/>
  </r>
  <r>
    <n v="743"/>
    <d v="2025-08-29T00:00:00"/>
    <s v="ZBTO"/>
    <n v="9519061549"/>
    <n v="4"/>
    <s v="9519061549-4"/>
    <s v="No Priority"/>
    <s v="Released"/>
    <x v="0"/>
    <s v="GP03"/>
    <s v="ACRM GP#3 NARROW"/>
    <m/>
    <x v="2"/>
    <x v="6"/>
    <m/>
    <n v="2000"/>
    <s v="North"/>
    <s v="Uttar Pradesh"/>
    <m/>
    <n v="931234"/>
    <s v="JAI LAXMI STEELS"/>
    <n v="1142901"/>
    <s v="GP COIL SOFT-TATXGP-GLK1-0.3X1000"/>
    <s v="C02"/>
    <s v="TATXGP"/>
    <s v="GLK1"/>
    <n v="0.3"/>
    <n v="1000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s v="GP03_KOSH"/>
    <s v="C02-GLK1-0.3-1000"/>
    <s v="B69-HG02-2-1025"/>
    <s v="B69"/>
    <s v="T01576"/>
    <s v="HG02"/>
    <s v="C06A"/>
    <n v="2"/>
    <n v="1025"/>
    <n v="2318982"/>
    <m/>
    <m/>
    <m/>
    <m/>
    <m/>
    <m/>
    <m/>
    <m/>
    <m/>
    <m/>
    <m/>
    <m/>
    <m/>
    <m/>
    <m/>
    <m/>
    <m/>
    <m/>
    <m/>
    <m/>
  </r>
  <r>
    <n v="743"/>
    <d v="2025-08-29T00:00:00"/>
    <s v="ZBTO"/>
    <n v="9519061549"/>
    <n v="3"/>
    <s v="9519061549-3"/>
    <s v="No Priority"/>
    <s v="Released"/>
    <x v="0"/>
    <s v="GP03"/>
    <s v="ACRM GP#3 NARROW"/>
    <m/>
    <x v="2"/>
    <x v="6"/>
    <m/>
    <n v="2000"/>
    <s v="North"/>
    <s v="Uttar Pradesh"/>
    <m/>
    <n v="931234"/>
    <s v="JAI LAXMI STEELS"/>
    <n v="1851066"/>
    <s v="GP COIL SOFT-TATXGP-GLK1-0.25X900"/>
    <s v="C02"/>
    <s v="TATXGP"/>
    <s v="GLK1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GP03_KOSH"/>
    <s v="C02-GLK1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m/>
  </r>
  <r>
    <n v="743"/>
    <d v="2025-08-29T00:00:00"/>
    <s v="ZBTO"/>
    <n v="9519061549"/>
    <n v="2"/>
    <s v="9519061549-2"/>
    <s v="No Priority"/>
    <s v="Released"/>
    <x v="0"/>
    <s v="GP03"/>
    <s v="ACRM GP#3 NARROW"/>
    <m/>
    <x v="2"/>
    <x v="6"/>
    <m/>
    <n v="2000"/>
    <s v="North"/>
    <s v="Uttar Pradesh"/>
    <m/>
    <n v="931234"/>
    <s v="JAI LAXMI STEELS"/>
    <n v="1851066"/>
    <s v="GP COIL SOFT-TATXGP-GLK1-0.25X900"/>
    <s v="C02"/>
    <s v="TATXGP"/>
    <s v="GLK1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GP03_KOSH"/>
    <s v="C02-GLK1-0.25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m/>
  </r>
  <r>
    <n v="743"/>
    <d v="2025-08-29T00:00:00"/>
    <s v="ZBTO"/>
    <n v="9519061549"/>
    <n v="1"/>
    <s v="9519061549-1"/>
    <s v="No Priority"/>
    <s v="Released"/>
    <x v="0"/>
    <s v="GP03"/>
    <s v="ACRM GP#3 NARROW"/>
    <m/>
    <x v="2"/>
    <x v="6"/>
    <m/>
    <n v="2000"/>
    <s v="North"/>
    <s v="Uttar Pradesh"/>
    <m/>
    <n v="931234"/>
    <s v="JAI LAXMI STEELS"/>
    <n v="1854363"/>
    <s v="GP COIL SOFT-TATXGP-GLK1-0.22X900"/>
    <s v="C02"/>
    <s v="TATXGP"/>
    <s v="GLK1"/>
    <n v="0.22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GP03_KOSH"/>
    <s v="C02-GLK1-0.22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m/>
  </r>
  <r>
    <n v="742"/>
    <d v="2025-08-28T00:00:00"/>
    <s v="ZBTO"/>
    <n v="9519057594"/>
    <n v="1"/>
    <s v="9519057594-1"/>
    <s v="Oct'25"/>
    <s v="Released"/>
    <x v="1"/>
    <s v="CR01"/>
    <s v="ACRM CRCA CTL"/>
    <m/>
    <x v="0"/>
    <x v="5"/>
    <m/>
    <n v="2000"/>
    <s v="East"/>
    <s v="Assam"/>
    <m/>
    <n v="116649"/>
    <s v="SAGAR STEELS"/>
    <n v="3239408"/>
    <s v="CRCA SHEET TATCRC SR16 0.300X900X2500"/>
    <s v="C06"/>
    <s v="TATCRC"/>
    <s v="SR16"/>
    <n v="0.3"/>
    <n v="900"/>
    <n v="2500"/>
    <m/>
    <m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s v="CRCA_SUPR"/>
    <s v="C06-SR16-0.3-900"/>
    <s v="B69-SH67-2-925"/>
    <s v="B69"/>
    <s v="TSH067"/>
    <s v="SH67"/>
    <s v="C14A"/>
    <n v="2"/>
    <n v="925"/>
    <n v="3909465"/>
    <m/>
    <m/>
    <m/>
    <m/>
    <m/>
    <m/>
    <m/>
    <m/>
    <m/>
    <m/>
    <m/>
    <m/>
    <m/>
    <m/>
    <m/>
    <m/>
    <m/>
    <m/>
    <m/>
    <m/>
  </r>
  <r>
    <n v="743"/>
    <d v="2025-08-27T00:00:00"/>
    <s v="ZBTO"/>
    <n v="9519054666"/>
    <n v="4"/>
    <s v="9519054666-4"/>
    <s v="No Priority"/>
    <s v="Failed"/>
    <x v="0"/>
    <s v="GP03"/>
    <s v="ACRM GP#3 NARROW"/>
    <m/>
    <x v="2"/>
    <x v="6"/>
    <m/>
    <n v="2000"/>
    <s v="East"/>
    <s v="Assam"/>
    <m/>
    <n v="936511"/>
    <s v="SAGAR STEELS PROCESSING &amp; MANUFACTU"/>
    <n v="4035700"/>
    <s v="GP COIL TATXGP GLK1 0.330X900"/>
    <s v="C02"/>
    <s v="TATXGP"/>
    <s v="GLK1"/>
    <n v="0.33"/>
    <n v="900"/>
    <n v="0"/>
    <m/>
    <m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NA"/>
    <s v="C02-GLK1-0.33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8902"/>
    <n v="1"/>
    <s v="9519028902-1"/>
    <s v="Oct'25"/>
    <s v="Released"/>
    <x v="1"/>
    <s v="CR02"/>
    <s v="ACRM CRCA CRS"/>
    <m/>
    <x v="0"/>
    <x v="0"/>
    <m/>
    <n v="2000"/>
    <s v="East"/>
    <s v="West Bengal"/>
    <m/>
    <n v="154464"/>
    <s v="TATA STEEL DOWNSTREAM PRODUCTS LIMI"/>
    <n v="2197847"/>
    <s v="CRCA COIL TATXXD AU03 1.950X1250"/>
    <s v="C01"/>
    <s v="TATXXD"/>
    <s v="AU03"/>
    <n v="1.95"/>
    <n v="1250"/>
    <n v="0"/>
    <m/>
    <m/>
    <m/>
    <n v="13"/>
    <n v="29"/>
    <n v="86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Untrimmed edge"/>
    <m/>
    <s v="C01-AU03-1.95-1250"/>
    <s v="367-SH08-4-1250"/>
    <n v="367"/>
    <s v="T01320"/>
    <s v="SH08"/>
    <s v="C16D"/>
    <n v="4"/>
    <n v="1250"/>
    <n v="406488"/>
    <m/>
    <m/>
    <m/>
    <m/>
    <m/>
    <m/>
    <m/>
    <m/>
    <m/>
    <m/>
    <m/>
    <m/>
    <m/>
    <m/>
    <m/>
    <m/>
    <m/>
    <m/>
    <m/>
    <m/>
  </r>
  <r>
    <n v="742"/>
    <d v="2025-07-25T00:00:00"/>
    <s v="ZBTO"/>
    <n v="9518957902"/>
    <n v="2"/>
    <s v="9518957902-2"/>
    <s v="Oct'25"/>
    <s v="Released"/>
    <x v="1"/>
    <s v="CR03"/>
    <s v="ACRM CRCA SPM"/>
    <m/>
    <x v="0"/>
    <x v="0"/>
    <m/>
    <n v="2000"/>
    <s v="North"/>
    <m/>
    <m/>
    <n v="831432"/>
    <s v="FERRO STEEL SOLUTIONS"/>
    <n v="1804908"/>
    <s v="CRCA COIL TATCRC TR15 0.5X1250"/>
    <s v="C01"/>
    <s v="TATCRC"/>
    <s v="TR15"/>
    <n v="0.5"/>
    <n v="1250"/>
    <n v="0"/>
    <m/>
    <m/>
    <m/>
    <n v="10"/>
    <n v="27"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ntrimmed edge"/>
    <s v="CRCA_STLM"/>
    <s v="C01-TR15-0.5-1250"/>
    <s v="367-SF98-2.25-1250"/>
    <n v="367"/>
    <s v="S02150"/>
    <s v="SF98"/>
    <s v="C29A"/>
    <n v="2.25"/>
    <n v="1250"/>
    <e v="#N/A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07"/>
    <n v="5"/>
    <s v="9519038607-5"/>
    <s v="No Priority"/>
    <s v="Released"/>
    <x v="0"/>
    <s v="GP02"/>
    <s v="ACRM GP#3 WIDER SOFT"/>
    <m/>
    <x v="2"/>
    <x v="13"/>
    <m/>
    <n v="2000"/>
    <s v="East"/>
    <s v="West Bengal"/>
    <m/>
    <n v="100922"/>
    <s v="BUBNA COMMERCIAL COMPANY"/>
    <n v="1300227"/>
    <s v="GP COIL SOFT-TATXGP-GLK1-0.6X1220"/>
    <s v="C02"/>
    <s v="TATXGP"/>
    <s v="GLK1"/>
    <n v="0.6"/>
    <n v="1220"/>
    <n v="0"/>
    <m/>
    <m/>
    <m/>
    <n v="5"/>
    <n v="15"/>
    <n v="56"/>
    <n v="54.185000000000002"/>
    <n v="1.8149999999999999"/>
    <n v="1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49999999999999"/>
    <m/>
    <m/>
    <m/>
    <m/>
    <m/>
    <m/>
    <m/>
    <m/>
    <s v="Trimming only at RCL"/>
    <s v="GP03_KOSH"/>
    <s v="C02-GLK1-0.6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07"/>
    <n v="4"/>
    <s v="9519038607-4"/>
    <s v="Oct'25"/>
    <s v="Released"/>
    <x v="1"/>
    <s v="GP03"/>
    <s v="ACRM GP#3 NARROW"/>
    <m/>
    <x v="2"/>
    <x v="6"/>
    <m/>
    <n v="2000"/>
    <s v="East"/>
    <s v="West Bengal"/>
    <m/>
    <n v="100922"/>
    <s v="BUBNA COMMERCIAL COMPANY"/>
    <n v="1142897"/>
    <s v="GP COIL SOFT-TATXGP-GLK1-0.6X900"/>
    <s v="C02"/>
    <s v="TATXGP"/>
    <s v="GLK1"/>
    <n v="0.6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LK1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07"/>
    <n v="3"/>
    <s v="9519038607-3"/>
    <s v="Oct'25"/>
    <s v="Released"/>
    <x v="0"/>
    <s v="GP03"/>
    <s v="ACRM GP#3 NARROW"/>
    <m/>
    <x v="2"/>
    <x v="6"/>
    <m/>
    <n v="2000"/>
    <s v="East"/>
    <s v="West Bengal"/>
    <m/>
    <n v="100922"/>
    <s v="BUBNA COMMERCIAL COMPANY"/>
    <n v="1142895"/>
    <s v="GP COIL SOFT-TATXGP-GLK1-0.5X900"/>
    <s v="C02"/>
    <s v="TATXGP"/>
    <s v="GLK1"/>
    <n v="0.5"/>
    <n v="900"/>
    <n v="0"/>
    <m/>
    <m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07"/>
    <n v="2"/>
    <s v="9519038607-2"/>
    <s v="Oct'25"/>
    <s v="Released"/>
    <x v="1"/>
    <s v="GP03"/>
    <s v="ACRM GP#3 NARROW"/>
    <m/>
    <x v="2"/>
    <x v="6"/>
    <m/>
    <n v="2000"/>
    <s v="East"/>
    <s v="West Bengal"/>
    <m/>
    <n v="100922"/>
    <s v="BUBNA COMMERCIAL COMPANY"/>
    <n v="1142893"/>
    <s v="GP COIL SOFT-TATXGP-GLK1-0.35X900"/>
    <s v="C02"/>
    <s v="TATXGP"/>
    <s v="GLK1"/>
    <n v="0.35"/>
    <n v="900"/>
    <n v="0"/>
    <m/>
    <m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s v="GP03_KOSH"/>
    <s v="C02-GLK1-0.35-900"/>
    <s v="B69-HG02-2.25-925"/>
    <s v="B69"/>
    <s v="T01576"/>
    <s v="HG02"/>
    <s v="C06A"/>
    <n v="2.25"/>
    <n v="925"/>
    <n v="3645978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07"/>
    <n v="1"/>
    <s v="9519038607-1"/>
    <s v="Oct'25"/>
    <s v="Released"/>
    <x v="1"/>
    <s v="GP03"/>
    <s v="ACRM GP#3 NARROW"/>
    <m/>
    <x v="2"/>
    <x v="6"/>
    <m/>
    <n v="2000"/>
    <s v="East"/>
    <s v="West Bengal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m/>
  </r>
  <r>
    <n v="743"/>
    <d v="2025-08-22T00:00:00"/>
    <s v="ZBTO"/>
    <n v="9519038643"/>
    <n v="1"/>
    <s v="9519038643-1"/>
    <s v="No Priority"/>
    <s v="Released"/>
    <x v="0"/>
    <s v="GP03"/>
    <s v="ACRM GP#3 NARROW"/>
    <m/>
    <x v="2"/>
    <x v="6"/>
    <m/>
    <n v="2000"/>
    <s v="East"/>
    <s v="West Bengal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00"/>
    <n v="2"/>
    <s v="9519123100-2"/>
    <s v="Oct'25"/>
    <s v="Released"/>
    <x v="1"/>
    <s v="CR02"/>
    <s v="ACRM CRCA CRS"/>
    <m/>
    <x v="0"/>
    <x v="4"/>
    <m/>
    <n v="1000"/>
    <s v="South"/>
    <s v="Andhra Pradesh"/>
    <m/>
    <n v="188238"/>
    <s v="Balmer Lawrie &amp; Co. Limited"/>
    <n v="2170009"/>
    <s v="CRCA COIL TATXXD BT02 1.200X914"/>
    <s v="C01"/>
    <s v="TATXXD"/>
    <s v="BT02"/>
    <n v="1.2"/>
    <n v="914"/>
    <n v="0"/>
    <m/>
    <m/>
    <m/>
    <n v="7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s v="CRCA_D&amp;B"/>
    <s v="C01-BT02-1.2-914"/>
    <s v="B69-SH67-3.2-935"/>
    <s v="B69"/>
    <s v="TSH067"/>
    <s v="SH67"/>
    <s v="C14A"/>
    <n v="3.2"/>
    <n v="935"/>
    <n v="3924284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18"/>
    <n v="1"/>
    <s v="9519123118-1"/>
    <s v="Oct'25"/>
    <s v="Released"/>
    <x v="1"/>
    <s v="CR02"/>
    <s v="ACRM CRCA CRS"/>
    <m/>
    <x v="0"/>
    <x v="4"/>
    <m/>
    <n v="1000"/>
    <s v="South"/>
    <s v="Tamil Nadu"/>
    <m/>
    <n v="187214"/>
    <s v="BALMER LAWRIE &amp; CO. LIMITED.."/>
    <n v="2164792"/>
    <s v="CRCA COIL TATXXD BT02 0.900X913"/>
    <s v="C01"/>
    <s v="TATXXD"/>
    <s v="BT02"/>
    <n v="0.9"/>
    <n v="913"/>
    <n v="0"/>
    <m/>
    <m/>
    <m/>
    <n v="7"/>
    <n v="10.6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s v="CRCA_D&amp;B"/>
    <s v="C01-BT02-0.9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18"/>
    <n v="2"/>
    <s v="9519123118-2"/>
    <s v="Oct'25"/>
    <s v="Released"/>
    <x v="1"/>
    <s v="CR02"/>
    <s v="ACRM CRCA CRS"/>
    <m/>
    <x v="0"/>
    <x v="4"/>
    <m/>
    <n v="1000"/>
    <s v="South"/>
    <s v="Tamil Nadu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n v="6"/>
    <n v="12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18"/>
    <n v="3"/>
    <s v="9519123118-3"/>
    <s v="Oct'25"/>
    <s v="Released"/>
    <x v="1"/>
    <s v="CR02"/>
    <s v="ACRM CRCA CRS"/>
    <m/>
    <x v="0"/>
    <x v="4"/>
    <m/>
    <n v="1000"/>
    <s v="South"/>
    <s v="Tamil Nadu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n v="8"/>
    <n v="12"/>
    <n v="63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m/>
    <m/>
    <m/>
    <m/>
    <m/>
    <m/>
    <m/>
    <m/>
    <m/>
    <m/>
    <m/>
    <m/>
    <m/>
    <m/>
    <m/>
  </r>
  <r>
    <n v="742"/>
    <d v="2025-09-21T00:00:00"/>
    <s v="ZBTO"/>
    <n v="9519123183"/>
    <n v="1"/>
    <s v="9519123183-1"/>
    <s v="Oct'25"/>
    <s v="Released"/>
    <x v="1"/>
    <s v="CR02"/>
    <s v="ACRM CRCA CRS"/>
    <m/>
    <x v="0"/>
    <x v="4"/>
    <m/>
    <n v="1000"/>
    <s v="North"/>
    <s v="Haryana"/>
    <m/>
    <n v="189430"/>
    <s v="Balmer Lawrie &amp; Co. Ltd.,"/>
    <n v="2164792"/>
    <s v="CRCA COIL TATXXD BT02 0.900X913"/>
    <s v="C01"/>
    <s v="TATXXD"/>
    <s v="BT02"/>
    <n v="0.9"/>
    <n v="913"/>
    <n v="0"/>
    <m/>
    <m/>
    <m/>
    <n v="7"/>
    <n v="10.6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s v="CRCA_D&amp;B"/>
    <s v="C01-BT02-0.9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m/>
  </r>
  <r>
    <n v="742"/>
    <d v="2025-09-21T00:00:00"/>
    <s v="ZBTO"/>
    <n v="9519123183"/>
    <n v="2"/>
    <s v="9519123183-2"/>
    <s v="Oct'25"/>
    <s v="Released"/>
    <x v="1"/>
    <s v="CR02"/>
    <s v="ACRM CRCA CRS"/>
    <m/>
    <x v="0"/>
    <x v="4"/>
    <m/>
    <n v="1000"/>
    <s v="North"/>
    <s v="Haryana"/>
    <m/>
    <n v="189430"/>
    <s v="Balmer Lawrie &amp; Co. Ltd.,"/>
    <n v="2164800"/>
    <s v="CRCA COIL TATXXD BT02 0.970X913"/>
    <s v="C01"/>
    <s v="TATXXD"/>
    <s v="BT02"/>
    <n v="0.97"/>
    <n v="913"/>
    <n v="0"/>
    <m/>
    <m/>
    <m/>
    <n v="6"/>
    <n v="12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m/>
  </r>
  <r>
    <n v="742"/>
    <d v="2025-09-21T00:00:00"/>
    <s v="ZBTO"/>
    <n v="9519123183"/>
    <n v="3"/>
    <s v="9519123183-3"/>
    <s v="Oct'25"/>
    <s v="Released"/>
    <x v="1"/>
    <s v="CR02"/>
    <s v="ACRM CRCA CRS"/>
    <m/>
    <x v="0"/>
    <x v="4"/>
    <m/>
    <n v="1000"/>
    <s v="North"/>
    <s v="Haryana"/>
    <m/>
    <n v="189430"/>
    <s v="Balmer Lawrie &amp; Co. Ltd.,"/>
    <n v="2164803"/>
    <s v="CRCA COIL TATXXD BT02 1.200X910"/>
    <s v="C01"/>
    <s v="TATXXD"/>
    <s v="BT02"/>
    <n v="1.2"/>
    <n v="910"/>
    <n v="0"/>
    <m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1"/>
    <s v="9519123053-1"/>
    <s v="Oct'25"/>
    <s v="Released"/>
    <x v="1"/>
    <s v="CR02"/>
    <s v="ACRM CRCA CRS"/>
    <m/>
    <x v="0"/>
    <x v="4"/>
    <m/>
    <n v="1000"/>
    <s v="West"/>
    <s v="Dadra, Nagarhaveli"/>
    <m/>
    <n v="189405"/>
    <s v="Balmer Lawrie And Co. Ltd."/>
    <n v="2164792"/>
    <s v="CRCA COIL TATXXD BT02 0.900X913"/>
    <s v="C01"/>
    <s v="TATXXD"/>
    <s v="BT02"/>
    <n v="0.9"/>
    <n v="913"/>
    <n v="0"/>
    <m/>
    <m/>
    <m/>
    <n v="6"/>
    <n v="10.4"/>
    <n v="231"/>
    <n v="0"/>
    <n v="231"/>
    <n v="2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"/>
    <m/>
    <m/>
    <m/>
    <m/>
    <m/>
    <m/>
    <m/>
    <m/>
    <s v="Trimming ( for CRC"/>
    <s v="CRCA_D&amp;B"/>
    <s v="C01-BT02-0.9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2"/>
    <s v="9519123053-2"/>
    <s v="Oct'25"/>
    <s v="Released"/>
    <x v="1"/>
    <s v="CR02"/>
    <s v="ACRM CRCA CRS"/>
    <m/>
    <x v="0"/>
    <x v="4"/>
    <m/>
    <n v="1000"/>
    <s v="West"/>
    <s v="Dadra, Nagarhaveli"/>
    <m/>
    <n v="189405"/>
    <s v="Balmer Lawrie And Co. Ltd."/>
    <n v="2164803"/>
    <s v="CRCA COIL TATXXD BT02 1.200X910"/>
    <s v="C01"/>
    <s v="TATXXD"/>
    <s v="BT02"/>
    <n v="1.2"/>
    <n v="910"/>
    <n v="0"/>
    <m/>
    <m/>
    <m/>
    <n v="6"/>
    <n v="12"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3"/>
    <s v="9519123053-3"/>
    <s v="Oct'25"/>
    <s v="Released"/>
    <x v="1"/>
    <s v="CR02"/>
    <s v="ACRM CRCA CRS"/>
    <m/>
    <x v="0"/>
    <x v="4"/>
    <m/>
    <n v="1000"/>
    <s v="West"/>
    <s v="Dadra, Nagarhaveli"/>
    <m/>
    <n v="189405"/>
    <s v="Balmer Lawrie And Co. Ltd."/>
    <n v="2170009"/>
    <s v="CRCA COIL TATXXD BT02 1.200X914"/>
    <s v="C01"/>
    <s v="TATXXD"/>
    <s v="BT02"/>
    <n v="1.2"/>
    <n v="914"/>
    <n v="0"/>
    <m/>
    <m/>
    <m/>
    <n v="6"/>
    <n v="1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s v="CRCA_D&amp;B"/>
    <s v="C01-BT02-1.2-914"/>
    <s v="B69-SH67-3.2-935"/>
    <s v="B69"/>
    <s v="TSH067"/>
    <s v="SH67"/>
    <s v="C14A"/>
    <n v="3.2"/>
    <n v="935"/>
    <n v="3924284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4"/>
    <s v="9519123053-4"/>
    <s v="Oct'25"/>
    <s v="Released"/>
    <x v="1"/>
    <s v="CR02"/>
    <s v="ACRM CRCA CRS"/>
    <m/>
    <x v="0"/>
    <x v="4"/>
    <m/>
    <n v="1000"/>
    <s v="West"/>
    <s v="Dadra, Nagarhaveli"/>
    <m/>
    <n v="189405"/>
    <s v="Balmer Lawrie And Co. Ltd."/>
    <n v="2164800"/>
    <s v="CRCA COIL TATXXD BT02 0.970X913"/>
    <s v="C01"/>
    <s v="TATXXD"/>
    <s v="BT02"/>
    <n v="0.97"/>
    <n v="913"/>
    <n v="0"/>
    <m/>
    <m/>
    <m/>
    <n v="6"/>
    <n v="10.130000000000001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5"/>
    <s v="9519123053-5"/>
    <s v="Oct'25"/>
    <s v="Released"/>
    <x v="1"/>
    <s v="CR02"/>
    <s v="ACRM CRCA CRS"/>
    <m/>
    <x v="0"/>
    <x v="4"/>
    <m/>
    <n v="1000"/>
    <s v="West"/>
    <s v="Dadra, Nagarhaveli"/>
    <m/>
    <n v="189405"/>
    <s v="Balmer Lawrie And Co. Ltd."/>
    <n v="2164800"/>
    <s v="CRCA COIL TATXXD BT02 0.970X913"/>
    <s v="C01"/>
    <s v="TATXXD"/>
    <s v="BT02"/>
    <n v="0.97"/>
    <n v="913"/>
    <n v="0"/>
    <m/>
    <m/>
    <m/>
    <n v="6"/>
    <n v="10.130000000000001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6"/>
    <s v="9519123053-6"/>
    <s v="Oct'25"/>
    <s v="Released"/>
    <x v="1"/>
    <s v="CR02"/>
    <s v="ACRM CRCA CRS"/>
    <m/>
    <x v="0"/>
    <x v="4"/>
    <n v="4800"/>
    <n v="1000"/>
    <s v="West"/>
    <s v="Dadra, Nagarhaveli"/>
    <m/>
    <n v="189405"/>
    <s v="Balmer Lawrie And Co. Ltd."/>
    <n v="2403240"/>
    <s v="CRCA COIL TATXXD BT02 0.800X925"/>
    <s v="C01"/>
    <s v="TATXXD"/>
    <s v="BT02"/>
    <n v="0.8"/>
    <n v="925"/>
    <n v="0"/>
    <m/>
    <m/>
    <m/>
    <n v="6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s v="NA"/>
    <s v="C01-BT02-0.8-925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75"/>
    <n v="1"/>
    <s v="9519123075-1"/>
    <s v="Oct'25"/>
    <s v="Released"/>
    <x v="1"/>
    <s v="CR02"/>
    <s v="ACRM CRCA CRS"/>
    <m/>
    <x v="0"/>
    <x v="4"/>
    <m/>
    <n v="1000"/>
    <s v="West"/>
    <s v="Dadra, Nagarhaveli"/>
    <m/>
    <n v="189405"/>
    <s v="Balmer Lawrie And Co. Ltd."/>
    <n v="3655054"/>
    <s v="CR COIL TATXXD BT01 1.200X1215"/>
    <s v="C01"/>
    <s v="TATXXD"/>
    <s v="BT01"/>
    <n v="1.2"/>
    <n v="1215"/>
    <n v="0"/>
    <m/>
    <m/>
    <m/>
    <n v="6"/>
    <n v="10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rimming at PLTCM"/>
    <s v="CRCA_D&amp;B"/>
    <s v="C01-BT01-1.2-1215"/>
    <s v="367-SH67-3.2-1235"/>
    <n v="367"/>
    <s v="TSH067"/>
    <s v="SH67"/>
    <s v="C14A"/>
    <n v="3.2"/>
    <n v="1235"/>
    <n v="3921725"/>
    <m/>
    <m/>
    <m/>
    <m/>
    <m/>
    <m/>
    <m/>
    <m/>
    <m/>
    <m/>
    <m/>
    <m/>
    <m/>
    <m/>
    <m/>
    <m/>
    <m/>
    <m/>
    <m/>
    <m/>
  </r>
  <r>
    <n v="743"/>
    <d v="2025-09-19T00:00:00"/>
    <s v="ZBTO"/>
    <n v="9519119802"/>
    <n v="1"/>
    <s v="9519119802-1"/>
    <s v="Oct'25"/>
    <s v="Released"/>
    <x v="1"/>
    <s v="GP02"/>
    <s v="ACRM GP#3 WIDER SOFT"/>
    <m/>
    <x v="2"/>
    <x v="13"/>
    <m/>
    <n v="2000"/>
    <s v="West"/>
    <s v="Maharashtra"/>
    <m/>
    <n v="930519"/>
    <s v="JAUSHNA STEELS (INDIA) PVT. LT"/>
    <n v="1334725"/>
    <s v="GP COIL SOFT-TATXGP-GK09-0.6X1220"/>
    <s v="C02"/>
    <s v="TATXGP"/>
    <s v="GK09"/>
    <n v="0.6"/>
    <n v="1220"/>
    <n v="0"/>
    <m/>
    <m/>
    <m/>
    <n v="3"/>
    <n v="5"/>
    <n v="168"/>
    <n v="150.45500000000001"/>
    <n v="17.545000000000002"/>
    <n v="17.545000000000002"/>
    <n v="4.54"/>
    <n v="0"/>
    <n v="0"/>
    <n v="0"/>
    <n v="0"/>
    <n v="0"/>
    <n v="1.4000000000000001"/>
    <n v="0"/>
    <n v="0"/>
    <n v="0"/>
    <n v="0"/>
    <n v="0"/>
    <n v="0"/>
    <n v="0"/>
    <n v="0"/>
    <n v="0"/>
    <n v="1.7350000000000001"/>
    <n v="0"/>
    <n v="0"/>
    <n v="3.1350000000000002"/>
    <n v="0"/>
    <n v="3.1350000000000002"/>
    <n v="0"/>
    <n v="17.545000000000002"/>
    <m/>
    <m/>
    <m/>
    <m/>
    <m/>
    <m/>
    <m/>
    <m/>
    <s v="Trimming only at RCL"/>
    <s v="GP03_KOSH"/>
    <s v="C02-GK09-0.6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m/>
  </r>
  <r>
    <n v="743"/>
    <d v="2025-09-19T00:00:00"/>
    <s v="ZBTO"/>
    <n v="9519119802"/>
    <n v="2"/>
    <s v="9519119802-2"/>
    <s v="No Priority"/>
    <s v="Released"/>
    <x v="0"/>
    <s v="GP02"/>
    <s v="ACRM GP#3 WIDER SOFT"/>
    <m/>
    <x v="2"/>
    <x v="13"/>
    <m/>
    <n v="2000"/>
    <s v="West"/>
    <s v="Maharashtra"/>
    <m/>
    <n v="930519"/>
    <s v="JAUSHNA STEELS (INDIA) PVT. LT"/>
    <n v="1854410"/>
    <s v="GP COIL SOFT-TATXGP-GK09-0.4X1220"/>
    <s v="C02"/>
    <s v="TATXGP"/>
    <s v="GK09"/>
    <n v="0.4"/>
    <n v="1220"/>
    <n v="0"/>
    <m/>
    <m/>
    <m/>
    <n v="3"/>
    <n v="5"/>
    <n v="28"/>
    <n v="24.42"/>
    <n v="3.58"/>
    <n v="3.58"/>
    <n v="0"/>
    <n v="0"/>
    <n v="0"/>
    <n v="0"/>
    <n v="0"/>
    <n v="0"/>
    <n v="1.8"/>
    <n v="0"/>
    <n v="0"/>
    <n v="0"/>
    <n v="0"/>
    <n v="0"/>
    <n v="0"/>
    <n v="0"/>
    <n v="0"/>
    <n v="0"/>
    <n v="0"/>
    <n v="0"/>
    <n v="0"/>
    <n v="1.8"/>
    <n v="0"/>
    <n v="1.8"/>
    <n v="0"/>
    <n v="3.58"/>
    <m/>
    <m/>
    <m/>
    <m/>
    <m/>
    <m/>
    <m/>
    <m/>
    <s v="Trimming only at RCL"/>
    <s v="GP03_KOSH"/>
    <s v="C02-GK09-0.4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m/>
  </r>
  <r>
    <n v="743"/>
    <d v="2025-09-19T00:00:00"/>
    <s v="ZBTO"/>
    <n v="9519119853"/>
    <n v="1"/>
    <s v="9519119853-1"/>
    <s v="No Priority"/>
    <s v="Released"/>
    <x v="0"/>
    <s v="GP02"/>
    <s v="ACRM GP#3 WIDER SOFT"/>
    <m/>
    <x v="2"/>
    <x v="13"/>
    <m/>
    <n v="2000"/>
    <s v="West"/>
    <s v="Maharashtra"/>
    <m/>
    <n v="930519"/>
    <s v="JAUSHNA STEELS (INDIA) PVT. LT"/>
    <n v="1356245"/>
    <s v="GP COIL TATXGP GK09 0.550X1220"/>
    <s v="C02"/>
    <s v="TATXGP"/>
    <s v="GK09"/>
    <n v="0.55000000000000004"/>
    <n v="1220"/>
    <n v="0"/>
    <m/>
    <m/>
    <m/>
    <n v="3"/>
    <n v="5"/>
    <n v="28"/>
    <n v="27.04"/>
    <n v="0.96"/>
    <n v="0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6"/>
    <m/>
    <m/>
    <m/>
    <m/>
    <m/>
    <m/>
    <m/>
    <m/>
    <s v="Trimming only at RCL"/>
    <s v="NA"/>
    <s v="C02-GK09-0.55-12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4"/>
    <s v="9519117547-4"/>
    <s v="No Priority"/>
    <s v="Released"/>
    <x v="0"/>
    <s v="CR01"/>
    <s v="ACRM CRCA CTL"/>
    <m/>
    <x v="0"/>
    <x v="5"/>
    <m/>
    <n v="2000"/>
    <s v="East"/>
    <s v="Chhattisgarh"/>
    <m/>
    <n v="139336"/>
    <s v="PASA ASSOCIATES PRIVATE LIMITE"/>
    <n v="3240760"/>
    <s v="CRCA SHEET TSBCRC SR15 0.500X1000X2500"/>
    <s v="C06"/>
    <s v="TSBCRC"/>
    <s v="SR15"/>
    <n v="0.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5-1000"/>
    <s v="B69-SH69-2.25-1025"/>
    <s v="B69"/>
    <s v="T01069"/>
    <s v="SH69"/>
    <s v="R12A"/>
    <n v="2.25"/>
    <n v="1025"/>
    <n v="3923419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5"/>
    <s v="9519117547-5"/>
    <s v="No Priority"/>
    <s v="Released"/>
    <x v="0"/>
    <s v="CR01"/>
    <s v="ACRM CRCA CTL"/>
    <m/>
    <x v="0"/>
    <x v="5"/>
    <m/>
    <n v="2000"/>
    <s v="East"/>
    <s v="Chhattisgarh"/>
    <m/>
    <n v="139336"/>
    <s v="PASA ASSOCIATES PRIVATE LIMITE"/>
    <n v="3410101"/>
    <s v="CRCA SHEET TSBCRC SR15 0.750X1000X2500"/>
    <s v="C06"/>
    <s v="TSBCRC"/>
    <s v="SR15"/>
    <n v="0.7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n v="0"/>
    <s v="C06-SR15-0.75-1000"/>
    <s v="B69-SH69-2.8-1025"/>
    <s v="B69"/>
    <s v="T01069"/>
    <s v="SH69"/>
    <s v="R12A"/>
    <n v="2.8"/>
    <n v="1025"/>
    <n v="3918221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7"/>
    <s v="9519117547-7"/>
    <s v="No Priority"/>
    <s v="Released"/>
    <x v="0"/>
    <s v="CR01"/>
    <s v="ACRM CRCA CTL"/>
    <m/>
    <x v="0"/>
    <x v="5"/>
    <m/>
    <n v="2000"/>
    <s v="East"/>
    <s v="Chhattisgarh"/>
    <m/>
    <n v="139336"/>
    <s v="PASA ASSOCIATES PRIVATE LIMITE"/>
    <n v="3240765"/>
    <s v="CRCA SHEET TSBCRC SR15 0.500X1250X2500"/>
    <s v="C06"/>
    <s v="TSBCRC"/>
    <s v="SR15"/>
    <n v="0.5"/>
    <n v="1250"/>
    <n v="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UPR"/>
    <s v="C06-SR15-0.5-1250"/>
    <s v="367-SH69-2.25-1260"/>
    <n v="367"/>
    <s v="T01069"/>
    <s v="SH69"/>
    <s v="R12A"/>
    <n v="2.25"/>
    <n v="1260"/>
    <e v="#N/A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7547"/>
    <n v="8"/>
    <s v="9519117547-8"/>
    <s v="No Priority"/>
    <s v="Released"/>
    <x v="0"/>
    <s v="CR01"/>
    <s v="ACRM CRCA CTL"/>
    <m/>
    <x v="0"/>
    <x v="5"/>
    <m/>
    <n v="2000"/>
    <s v="East"/>
    <s v="Chhattisgarh"/>
    <m/>
    <n v="139336"/>
    <s v="PASA ASSOCIATES PRIVATE LIMITE"/>
    <n v="3240826"/>
    <s v="CRCA SHEET TSBCRC SR15 0.950X1250X2500"/>
    <s v="C06"/>
    <s v="TSBCRC"/>
    <s v="SR15"/>
    <n v="0.9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NA"/>
    <s v="C06-SR15-0.95-125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3"/>
    <d v="2025-09-17T00:00:00"/>
    <s v="ZBTO"/>
    <n v="9519113387"/>
    <n v="1"/>
    <s v="9519113387-1"/>
    <s v="Oct'25"/>
    <s v="Released"/>
    <x v="1"/>
    <s v="GP03"/>
    <s v="ACRM GP#3 NARROW"/>
    <m/>
    <x v="2"/>
    <x v="11"/>
    <m/>
    <n v="2000"/>
    <s v="North"/>
    <s v="Jammu &amp; Kashmir"/>
    <m/>
    <n v="115190"/>
    <s v="SHEYRUB AGENCIES"/>
    <n v="3897428"/>
    <s v="GP COIL XXXGPH GPH3 0.300X900"/>
    <s v="C05"/>
    <s v="XXXGPH"/>
    <s v="GPH3"/>
    <n v="0.3"/>
    <n v="900"/>
    <n v="0"/>
    <m/>
    <m/>
    <m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Untrimmed edge"/>
    <s v="NA"/>
    <s v="C05-GPH3-0.3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8214"/>
    <d v="2025-09-19T00:00:00"/>
    <s v="ZBTF"/>
    <n v="9519120008"/>
    <n v="3"/>
    <s v="9519120008-3"/>
    <s v="Oct'25"/>
    <s v="Released"/>
    <x v="1"/>
    <s v="CR04"/>
    <s v="ACRM CRCA TLL"/>
    <m/>
    <x v="0"/>
    <x v="8"/>
    <m/>
    <n v="1000"/>
    <s v="East"/>
    <s v="West Bengal"/>
    <m/>
    <n v="600250"/>
    <s v="TATA CENTRE"/>
    <n v="2439203"/>
    <s v="CRCA COIL TSBSTA EL06 0.500X1160"/>
    <s v="C01"/>
    <s v="TSBSTA"/>
    <s v="EL06"/>
    <n v="0.5"/>
    <n v="1160"/>
    <n v="0"/>
    <m/>
    <m/>
    <m/>
    <n v="11"/>
    <n v="14"/>
    <n v="297"/>
    <n v="0"/>
    <n v="297"/>
    <n v="297"/>
    <n v="0"/>
    <n v="0"/>
    <n v="0"/>
    <n v="54.120000000000005"/>
    <n v="0"/>
    <n v="0"/>
    <n v="0"/>
    <n v="0"/>
    <n v="0"/>
    <n v="0"/>
    <n v="0"/>
    <n v="0"/>
    <n v="0"/>
    <n v="0"/>
    <n v="0"/>
    <n v="0"/>
    <n v="0"/>
    <n v="0"/>
    <n v="0"/>
    <n v="54.120000000000005"/>
    <n v="0"/>
    <n v="54.120000000000005"/>
    <n v="0"/>
    <n v="297"/>
    <m/>
    <m/>
    <m/>
    <m/>
    <m/>
    <m/>
    <m/>
    <m/>
    <s v="Trimming ( for CRC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m/>
  </r>
  <r>
    <n v="8214"/>
    <d v="2025-09-19T00:00:00"/>
    <s v="ZBTF"/>
    <n v="9519120008"/>
    <n v="4"/>
    <s v="9519120008-4"/>
    <s v="Oct'25"/>
    <s v="Released"/>
    <x v="1"/>
    <s v="CR04"/>
    <s v="ACRM CRCA TLL"/>
    <m/>
    <x v="0"/>
    <x v="8"/>
    <n v="3500"/>
    <n v="1000"/>
    <s v="East"/>
    <s v="West Bengal"/>
    <m/>
    <n v="600250"/>
    <s v="TATA CENTRE"/>
    <n v="3587949"/>
    <s v="CR COIL TSBSTA EL06 0.500X1250"/>
    <s v="C01"/>
    <s v="TSBSTA"/>
    <s v="EL06"/>
    <n v="0.5"/>
    <n v="1250"/>
    <n v="0"/>
    <m/>
    <m/>
    <m/>
    <n v="11"/>
    <n v="14"/>
    <n v="290"/>
    <n v="12.74"/>
    <n v="277.26"/>
    <n v="277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.26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m/>
    <m/>
    <m/>
    <m/>
    <m/>
    <m/>
    <m/>
    <m/>
    <m/>
    <m/>
    <m/>
    <m/>
    <m/>
    <m/>
    <m/>
  </r>
  <r>
    <n v="8214"/>
    <d v="2025-09-19T00:00:00"/>
    <s v="ZBTF"/>
    <n v="9519120008"/>
    <n v="5"/>
    <s v="9519120008-5"/>
    <s v="Oct'25"/>
    <s v="Released"/>
    <x v="1"/>
    <s v="CR04"/>
    <s v="ACRM CRCA TLL"/>
    <m/>
    <x v="0"/>
    <x v="8"/>
    <m/>
    <n v="1000"/>
    <s v="East"/>
    <s v="West Bengal"/>
    <m/>
    <n v="600250"/>
    <s v="TATA CENTRE"/>
    <n v="3587949"/>
    <s v="CR COIL TSBSTA EL06 0.500X1250"/>
    <s v="C01"/>
    <s v="TSBSTA"/>
    <s v="EL06"/>
    <n v="0.5"/>
    <n v="1250"/>
    <n v="0"/>
    <m/>
    <m/>
    <m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m/>
    <m/>
    <m/>
    <m/>
    <m/>
    <m/>
    <m/>
    <m/>
    <m/>
    <m/>
    <m/>
    <m/>
    <m/>
    <m/>
    <m/>
  </r>
  <r>
    <n v="744"/>
    <d v="2025-09-20T00:00:00"/>
    <s v="ZBTO"/>
    <n v="9519121602"/>
    <n v="1"/>
    <s v="9519121602-1"/>
    <s v="Oct'25"/>
    <s v="Released"/>
    <x v="1"/>
    <s v="GL02"/>
    <s v="ACRM GP#2 TBSPL PPGL"/>
    <n v="7500"/>
    <x v="3"/>
    <x v="3"/>
    <n v="7500"/>
    <n v="1000"/>
    <s v="TBSPL"/>
    <s v="Jharkhand"/>
    <m/>
    <n v="941597"/>
    <s v="TATA BLUESCOPE STEEL PRIVATE LIMITE"/>
    <n v="3902332"/>
    <s v="PPGL C HARD Y550PL D0C9 0.50(TPT)X1220"/>
    <s v="B18"/>
    <s v="Y550PL"/>
    <s v="D0C9"/>
    <n v="0.5"/>
    <n v="1220"/>
    <n v="0"/>
    <s v="null"/>
    <s v="aZ150"/>
    <s v="BRICK RED TSL 1803"/>
    <n v="3"/>
    <n v="5"/>
    <n v="56"/>
    <n v="26.87"/>
    <n v="29.13"/>
    <n v="1.38"/>
    <n v="22.11"/>
    <n v="0"/>
    <n v="0"/>
    <n v="0"/>
    <n v="0"/>
    <n v="19.7"/>
    <n v="0"/>
    <n v="0"/>
    <n v="8.0500000000000007"/>
    <n v="0"/>
    <n v="0"/>
    <n v="0"/>
    <n v="0"/>
    <n v="0"/>
    <n v="0"/>
    <n v="0"/>
    <n v="0"/>
    <n v="0"/>
    <n v="4.76"/>
    <n v="32.51"/>
    <n v="4.76"/>
    <n v="27.75"/>
    <n v="0"/>
    <n v="24.369999999999997"/>
    <m/>
    <m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8"/>
    <s v="9519123053-8"/>
    <s v="Oct'25"/>
    <s v="Released"/>
    <x v="1"/>
    <s v="CR02"/>
    <s v="ACRM CRCA CRS"/>
    <m/>
    <x v="0"/>
    <x v="4"/>
    <m/>
    <n v="1000"/>
    <s v="West"/>
    <s v="VILLAGE DADRA"/>
    <m/>
    <n v="189405"/>
    <s v="Balmer Lawrie And Co. Ltd."/>
    <n v="3655054"/>
    <s v="CR COIL TATXXD BT01 1.200X1215"/>
    <s v="C01"/>
    <s v="TATXXD"/>
    <s v="BT01"/>
    <n v="1.2"/>
    <n v="1215"/>
    <n v="0"/>
    <s v="null"/>
    <s v=" "/>
    <s v="null"/>
    <n v="6"/>
    <n v="10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  <s v="CRCA_D&amp;B"/>
    <s v="C01-BT01-1.2-1215"/>
    <s v="367-SH67-3.2-1235"/>
    <n v="367"/>
    <s v="TSH067"/>
    <s v="SH67"/>
    <s v="C14A"/>
    <n v="3.2"/>
    <n v="1235"/>
    <n v="3921725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9"/>
    <s v="9519123053-9"/>
    <s v="Oct'25"/>
    <s v="Released"/>
    <x v="1"/>
    <s v="CR02"/>
    <s v="ACRM CRCA CRS"/>
    <m/>
    <x v="0"/>
    <x v="4"/>
    <m/>
    <n v="1000"/>
    <s v="West"/>
    <s v="VILLAGE DADRA"/>
    <m/>
    <n v="189405"/>
    <s v="Balmer Lawrie And Co. Ltd."/>
    <n v="3655053"/>
    <s v="CR COIL TATXXD BT01 0.900X1215"/>
    <s v="C01"/>
    <s v="TATXXD"/>
    <s v="BT01"/>
    <n v="0.9"/>
    <n v="1215"/>
    <n v="0"/>
    <s v="null"/>
    <s v=" "/>
    <s v="null"/>
    <n v="6"/>
    <n v="10"/>
    <n v="56"/>
    <n v="0"/>
    <n v="56"/>
    <n v="0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  <s v="NA"/>
    <s v="C01-BT01-0.9-1215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18"/>
    <n v="5"/>
    <s v="9519123118-5"/>
    <s v="Oct'25"/>
    <s v="Released"/>
    <x v="1"/>
    <s v="CR02"/>
    <s v="ACRM CRCA CRS"/>
    <m/>
    <x v="0"/>
    <x v="4"/>
    <m/>
    <n v="1000"/>
    <s v="South"/>
    <s v="CHENNAI"/>
    <m/>
    <n v="187214"/>
    <s v="BALMER LAWRIE &amp; CO. LIMITED.."/>
    <n v="2164807"/>
    <s v="CRCA COIL TATXXD BT01 1.200X1315"/>
    <s v="C01"/>
    <s v="TATXXD"/>
    <s v="BT01"/>
    <n v="1.2"/>
    <n v="1315"/>
    <n v="0"/>
    <s v="T2 DONE"/>
    <s v=" "/>
    <s v="null"/>
    <n v="6"/>
    <n v="12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m/>
    <m/>
    <m/>
    <m/>
    <m/>
    <m/>
    <s v="T"/>
    <s v="NA"/>
    <s v="C01-BT01-1.2-1315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67"/>
    <n v="1"/>
    <s v="9519123167-1"/>
    <s v="Oct'25"/>
    <s v="Released"/>
    <x v="1"/>
    <s v="CR02"/>
    <s v="ACRM CRCA CRS"/>
    <m/>
    <x v="0"/>
    <x v="4"/>
    <m/>
    <n v="1000"/>
    <s v="North"/>
    <s v="FARIDABAD"/>
    <m/>
    <n v="189430"/>
    <s v="Balmer Lawrie &amp; Co. Ltd.,"/>
    <n v="2279492"/>
    <s v="CRCA COIL TATXXD BT01 0.900X1220"/>
    <s v="C01"/>
    <s v="TATXXD"/>
    <s v="BT01"/>
    <n v="0.9"/>
    <n v="1220"/>
    <n v="0"/>
    <s v="null"/>
    <s v=" "/>
    <s v="null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s v="NA"/>
    <s v="C01-BT01-0.9-12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67"/>
    <n v="2"/>
    <s v="9519123167-2"/>
    <s v="Oct'25"/>
    <s v="Released"/>
    <x v="1"/>
    <s v="CR02"/>
    <s v="ACRM CRCA CRS"/>
    <m/>
    <x v="0"/>
    <x v="4"/>
    <m/>
    <n v="1000"/>
    <s v="North"/>
    <s v="FARIDABAD"/>
    <m/>
    <n v="189430"/>
    <s v="Balmer Lawrie &amp; Co. Ltd.,"/>
    <n v="2170008"/>
    <s v="CRCA COIL TATXXD BT01 0.970X1220"/>
    <s v="C01"/>
    <s v="TATXXD"/>
    <s v="BT01"/>
    <n v="0.97"/>
    <n v="1220"/>
    <n v="0"/>
    <s v="null"/>
    <s v=" "/>
    <s v="null"/>
    <n v="7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"/>
    <s v="NA"/>
    <s v="C01-BT01-0.97-12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67"/>
    <n v="3"/>
    <s v="9519123167-3"/>
    <s v="Oct'25"/>
    <s v="Released"/>
    <x v="1"/>
    <s v="CR02"/>
    <s v="ACRM CRCA CRS"/>
    <m/>
    <x v="0"/>
    <x v="4"/>
    <m/>
    <n v="1000"/>
    <s v="North"/>
    <s v="FARIDABAD"/>
    <m/>
    <n v="189430"/>
    <s v="Balmer Lawrie &amp; Co. Ltd.,"/>
    <n v="2170030"/>
    <s v="CRCA COIL TATXXD BT01 1.200X1220"/>
    <s v="C01"/>
    <s v="TATXXD"/>
    <s v="BT01"/>
    <n v="1.2"/>
    <n v="1220"/>
    <n v="0"/>
    <s v="null"/>
    <s v=" "/>
    <s v="null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s v="CRCA_D&amp;B"/>
    <s v="C01-BT01-1.2-1220"/>
    <s v="367-SH67-3.2-1235"/>
    <n v="367"/>
    <s v="TSH067"/>
    <s v="SH67"/>
    <s v="C14A"/>
    <n v="3.2"/>
    <n v="1235"/>
    <n v="3921725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053"/>
    <n v="7"/>
    <s v="9519123053-7"/>
    <s v="Oct'25"/>
    <s v="Released"/>
    <x v="1"/>
    <s v="CR02"/>
    <s v="ACRM CRCA CRS"/>
    <m/>
    <x v="0"/>
    <x v="4"/>
    <m/>
    <n v="1000"/>
    <s v="West"/>
    <s v="VILLAGE DADRA"/>
    <m/>
    <n v="189405"/>
    <s v="Balmer Lawrie And Co. Ltd."/>
    <n v="3683012"/>
    <s v="CR COIL TATXXD BT01 0.970X1215"/>
    <s v="C01"/>
    <s v="TATXXD"/>
    <s v="BT01"/>
    <n v="0.97"/>
    <n v="1215"/>
    <n v="0"/>
    <s v="null"/>
    <s v=" "/>
    <s v="null"/>
    <n v="6"/>
    <n v="10"/>
    <n v="252"/>
    <n v="15.675000000000001"/>
    <n v="236.32499999999999"/>
    <n v="236.32499999999999"/>
    <n v="15.6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.32499999999999"/>
    <m/>
    <m/>
    <m/>
    <m/>
    <m/>
    <m/>
    <m/>
    <m/>
    <s v="M"/>
    <s v="CRCA_D&amp;B"/>
    <s v="C01-BT01-0.97-1215"/>
    <s v="367-SH67-2.8-1235"/>
    <n v="367"/>
    <s v="TSH067"/>
    <s v="SH67"/>
    <s v="C14A"/>
    <n v="2.8"/>
    <n v="1235"/>
    <n v="3921726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25"/>
    <n v="1"/>
    <s v="9519123125-1"/>
    <s v="Oct'25"/>
    <s v="Released"/>
    <x v="1"/>
    <s v="CR02"/>
    <s v="ACRM CRCA CRS"/>
    <m/>
    <x v="0"/>
    <x v="4"/>
    <m/>
    <n v="1000"/>
    <s v="South"/>
    <s v="CHENNAI"/>
    <m/>
    <n v="187214"/>
    <s v="BALMER LAWRIE &amp; CO. LIMITED.."/>
    <n v="2421724"/>
    <s v="CRCA COIL TATXXD BT01 0.970X1310"/>
    <s v="C01"/>
    <s v="TATXXD"/>
    <s v="BT01"/>
    <n v="0.97"/>
    <n v="1310"/>
    <n v="0"/>
    <s v="null"/>
    <s v=" "/>
    <s v="null"/>
    <n v="6"/>
    <n v="12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m/>
    <m/>
    <m/>
    <m/>
    <m/>
    <m/>
    <s v="T"/>
    <s v="CRCA_D&amp;B"/>
    <s v="C01-BT01-0.97-1310"/>
    <s v="367-SH67-2.8-1330"/>
    <n v="367"/>
    <s v="TSH067"/>
    <s v="SH67"/>
    <s v="C14A"/>
    <n v="2.8"/>
    <n v="1330"/>
    <n v="3920738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18"/>
    <n v="4"/>
    <s v="9519123118-4"/>
    <s v="Oct'25"/>
    <s v="Released"/>
    <x v="1"/>
    <s v="CR02"/>
    <s v="ACRM CRCA CRS"/>
    <m/>
    <x v="0"/>
    <x v="4"/>
    <m/>
    <n v="1000"/>
    <s v="South"/>
    <s v="CHENNAI"/>
    <m/>
    <n v="187214"/>
    <s v="BALMER LAWRIE &amp; CO. LIMITED.."/>
    <n v="2421724"/>
    <s v="CRCA COIL TATXXD BT01 0.970X1310"/>
    <s v="C01"/>
    <s v="TATXXD"/>
    <s v="BT01"/>
    <n v="0.97"/>
    <n v="1310"/>
    <n v="0"/>
    <s v="T2 DONE"/>
    <s v=" "/>
    <s v="null"/>
    <n v="6"/>
    <n v="12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m/>
    <m/>
    <m/>
    <m/>
    <m/>
    <m/>
    <s v="T"/>
    <s v="CRCA_D&amp;B"/>
    <s v="C01-BT01-0.97-1310"/>
    <s v="367-SH67-2.8-1330"/>
    <n v="367"/>
    <s v="TSH067"/>
    <s v="SH67"/>
    <s v="C14A"/>
    <n v="2.8"/>
    <n v="1330"/>
    <n v="3920738"/>
    <m/>
    <m/>
    <m/>
    <m/>
    <m/>
    <m/>
    <m/>
    <m/>
    <m/>
    <m/>
    <m/>
    <m/>
    <m/>
    <m/>
    <m/>
    <m/>
    <m/>
    <m/>
    <m/>
    <m/>
  </r>
  <r>
    <n v="744"/>
    <d v="2025-09-20T00:00:00"/>
    <s v="ZBTO"/>
    <n v="9519121345"/>
    <n v="1"/>
    <s v="9519121345-1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M"/>
    <s v="NA"/>
    <s v="B18-D0C7-0.31-12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9960"/>
    <n v="1"/>
    <s v="9519119960-1"/>
    <s v="No Priority"/>
    <s v="Released"/>
    <x v="0"/>
    <s v="CR02"/>
    <s v="ACRM CRCA CRS"/>
    <m/>
    <x v="0"/>
    <x v="0"/>
    <m/>
    <n v="2000"/>
    <s v="West"/>
    <s v="JAIPUR"/>
    <s v="JPUR"/>
    <n v="116137"/>
    <s v="PELIKAN DOSSIER (P) LTD "/>
    <n v="4097019"/>
    <s v="CR COIL TATXXD AU03 0.350X900"/>
    <s v="C01"/>
    <s v="TATXXD"/>
    <s v="AU03"/>
    <n v="0.3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35-900"/>
    <s v="B69-SH08-2-925"/>
    <s v="B69"/>
    <s v="T01320"/>
    <s v="SH08"/>
    <s v="C16D"/>
    <n v="2"/>
    <n v="925"/>
    <n v="3924598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9960"/>
    <n v="2"/>
    <s v="9519119960-2"/>
    <s v="No Priority"/>
    <s v="Released"/>
    <x v="0"/>
    <s v="CR02"/>
    <s v="ACRM CRCA CRS"/>
    <m/>
    <x v="0"/>
    <x v="0"/>
    <m/>
    <n v="2000"/>
    <s v="West"/>
    <s v="JAIPUR"/>
    <s v="JPUR"/>
    <n v="116137"/>
    <s v="PELIKAN DOSSIER (P) LTD "/>
    <n v="1804770"/>
    <s v="CRCA COIL-TATXXD-AU03-0.4X900"/>
    <s v="C01"/>
    <s v="TATXXD"/>
    <s v="AU03"/>
    <n v="0.4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CRCA_STLM"/>
    <s v="C01-AU03-0.4-900"/>
    <s v="B69-SH08-2-925"/>
    <s v="B69"/>
    <s v="T01320"/>
    <s v="SH08"/>
    <s v="C16D"/>
    <n v="2"/>
    <n v="925"/>
    <n v="3924598"/>
    <m/>
    <m/>
    <m/>
    <m/>
    <m/>
    <m/>
    <m/>
    <m/>
    <m/>
    <m/>
    <m/>
    <m/>
    <m/>
    <m/>
    <m/>
    <m/>
    <m/>
    <m/>
    <m/>
    <m/>
  </r>
  <r>
    <n v="742"/>
    <d v="2025-09-19T00:00:00"/>
    <s v="ZBTO"/>
    <n v="9519119960"/>
    <n v="3"/>
    <s v="9519119960-3"/>
    <s v="No Priority"/>
    <s v="Released"/>
    <x v="0"/>
    <s v="CR02"/>
    <s v="ACRM CRCA CRS"/>
    <m/>
    <x v="0"/>
    <x v="0"/>
    <m/>
    <n v="2000"/>
    <s v="West"/>
    <s v="JAIPUR"/>
    <s v="JPUR"/>
    <n v="116137"/>
    <s v="PELIKAN DOSSIER (P) LTD "/>
    <n v="1804789"/>
    <s v="CRCA COIL-TATXXD-AU03-0.5X900"/>
    <s v="C01"/>
    <s v="TATXXD"/>
    <s v="AU03"/>
    <n v="0.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5-90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5662"/>
    <n v="10"/>
    <s v="9519105662-10"/>
    <s v="Oct'25"/>
    <s v="Released"/>
    <x v="1"/>
    <s v="GP02"/>
    <s v="ACRM GP#3 WIDER SOFT"/>
    <m/>
    <x v="2"/>
    <x v="13"/>
    <m/>
    <n v="2000"/>
    <s v="East"/>
    <s v="PATNA"/>
    <s v="PATN"/>
    <n v="103227"/>
    <s v="BMW VENTURES LIMITED"/>
    <n v="1851101"/>
    <s v="GP COIL SOFT-TATXGP-GK09-0.5X1220"/>
    <s v="C02"/>
    <s v="TATXGP"/>
    <s v="GK09"/>
    <n v="0.5"/>
    <n v="1220"/>
    <n v="0"/>
    <s v="T2 DONE"/>
    <s v="Z80"/>
    <s v=""/>
    <n v="2"/>
    <n v="6"/>
    <n v="56"/>
    <n v="16.239999999999998"/>
    <n v="25.76"/>
    <n v="-1.82"/>
    <n v="16.2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6"/>
    <m/>
    <m/>
    <m/>
    <m/>
    <m/>
    <m/>
    <m/>
    <m/>
    <s v="S"/>
    <s v="GP03_KOSH"/>
    <s v="C02-GK09-0.5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m/>
  </r>
  <r>
    <n v="742"/>
    <d v="2025-08-20T00:00:00"/>
    <s v="ZBTO"/>
    <n v="9519032508"/>
    <n v="4"/>
    <s v="9519032508-4"/>
    <s v="No Priority"/>
    <s v="Released"/>
    <x v="0"/>
    <s v="CR02"/>
    <s v="ACRM CRCA CRS"/>
    <m/>
    <x v="0"/>
    <x v="4"/>
    <m/>
    <n v="2000"/>
    <s v="South"/>
    <s v="VISHAKHAPATNAM"/>
    <s v="SBAD"/>
    <n v="946077"/>
    <s v="SITARAM IRON AND STEEL PVT LTD"/>
    <n v="3867646"/>
    <s v="CR COIL TATXXD BT04 0.600X900"/>
    <s v="C01"/>
    <s v="TATXXD"/>
    <s v="BT04"/>
    <n v="0.6"/>
    <n v="900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  <s v="CRCA_D&amp;B"/>
    <s v="C01-BT04-0.6-900"/>
    <s v="B69-SH67-2.5-925"/>
    <s v="B69"/>
    <s v="TSH067"/>
    <s v="SH67"/>
    <s v="C14A"/>
    <n v="2.5"/>
    <n v="925"/>
    <n v="3923414"/>
    <m/>
    <m/>
    <m/>
    <m/>
    <m/>
    <m/>
    <m/>
    <m/>
    <m/>
    <m/>
    <m/>
    <m/>
    <m/>
    <m/>
    <m/>
    <m/>
    <m/>
    <m/>
    <m/>
    <m/>
  </r>
  <r>
    <n v="742"/>
    <d v="2025-09-17T00:00:00"/>
    <s v="ZBTO"/>
    <n v="9519113281"/>
    <n v="1"/>
    <s v="9519113281-1"/>
    <s v="Oct'25"/>
    <s v="Released"/>
    <x v="1"/>
    <s v="CR03"/>
    <s v="ACRM CRCA SPM"/>
    <m/>
    <x v="0"/>
    <x v="15"/>
    <m/>
    <n v="2000"/>
    <s v="South"/>
    <s v="YESHWANTHPURA"/>
    <s v="BANG"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3.12"/>
    <n v="0"/>
    <n v="0"/>
    <n v="0"/>
    <n v="0"/>
    <n v="0"/>
    <n v="0"/>
    <n v="0"/>
    <n v="0"/>
    <n v="0"/>
    <n v="0"/>
    <n v="54.88"/>
    <n v="0"/>
    <n v="0"/>
    <n v="0"/>
    <n v="0"/>
    <n v="0"/>
    <n v="0"/>
    <n v="0"/>
    <n v="0"/>
    <n v="54.88"/>
    <n v="0"/>
    <n v="54.88"/>
    <n v="0"/>
    <n v="58"/>
    <m/>
    <m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5231"/>
    <n v="6"/>
    <s v="9519105231-6"/>
    <s v="No Priority"/>
    <s v="Released"/>
    <x v="0"/>
    <s v="GP03"/>
    <s v="ACRM GP#3 NARROW"/>
    <m/>
    <x v="2"/>
    <x v="6"/>
    <m/>
    <n v="2000"/>
    <s v="North"/>
    <s v="VARANASI"/>
    <s v="KANP"/>
    <n v="931525"/>
    <s v="INDIA STEEL INDUSTRIES"/>
    <n v="1142897"/>
    <s v="GP COIL SOFT-TATXGP-GLK1-0.6X900"/>
    <s v="C02"/>
    <s v="TATXGP"/>
    <s v="GLK1"/>
    <n v="0.6"/>
    <n v="900"/>
    <n v="0"/>
    <s v="T2 DONE"/>
    <s v="Z80"/>
    <s v=""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s v="GP03_KOSH"/>
    <s v="C02-GLK1-0.6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m/>
  </r>
  <r>
    <n v="743"/>
    <d v="2025-09-15T00:00:00"/>
    <s v="ZBTO"/>
    <n v="9519105231"/>
    <n v="7"/>
    <s v="9519105231-7"/>
    <s v="No Priority"/>
    <s v="Released"/>
    <x v="0"/>
    <s v="GP03"/>
    <s v="ACRM GP#3 NARROW"/>
    <m/>
    <x v="2"/>
    <x v="6"/>
    <m/>
    <n v="2000"/>
    <s v="North"/>
    <s v="VARANASI"/>
    <s v="KANP"/>
    <n v="931525"/>
    <s v="INDIA STEEL INDUSTRIES"/>
    <n v="1155657"/>
    <s v="GP COIL TATXGP GLK1 0.630X900"/>
    <s v="C02"/>
    <s v="TATXGP"/>
    <s v="GLK1"/>
    <n v="0.63"/>
    <n v="900"/>
    <n v="0"/>
    <s v="T2 DONE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s v="GP03_KOSH"/>
    <s v="C02-GLK1-0.63-900"/>
    <s v="B69-HG02-2.5-925"/>
    <s v="B69"/>
    <s v="T01576"/>
    <s v="HG02"/>
    <s v="C06A"/>
    <n v="2.5"/>
    <n v="925"/>
    <n v="3598026"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7437"/>
    <n v="7"/>
    <s v="9519097437-7"/>
    <s v="No Priority"/>
    <s v="Released"/>
    <x v="0"/>
    <s v="CR01"/>
    <s v="ACRM CRCA CTL"/>
    <m/>
    <x v="0"/>
    <x v="5"/>
    <m/>
    <n v="2000"/>
    <s v="East"/>
    <s v="WEST BOKARO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m/>
    <m/>
    <m/>
    <m/>
    <m/>
    <m/>
    <m/>
    <m/>
    <m/>
    <m/>
    <m/>
    <m/>
    <m/>
    <m/>
    <m/>
  </r>
  <r>
    <n v="743"/>
    <d v="2025-09-16T00:00:00"/>
    <s v="ZBTO"/>
    <n v="9519107794"/>
    <n v="1"/>
    <s v="9519107794-1"/>
    <s v="Oct'25"/>
    <s v="Released"/>
    <x v="1"/>
    <s v="GL01"/>
    <s v="ACRM GP#2 TBSPL BGL"/>
    <m/>
    <x v="4"/>
    <x v="3"/>
    <m/>
    <n v="1000"/>
    <s v="TBSPL"/>
    <s v="TATANAGAR"/>
    <s v="BOMB"/>
    <n v="942284"/>
    <s v="TATA BLUESCOPE STEEL PRIVATE LIMITE"/>
    <n v="4108810"/>
    <s v="GL COIL HARD  Y550GL M310 0.350X1220"/>
    <s v="B04"/>
    <s v="Y550GL"/>
    <s v="M310"/>
    <n v="0.35"/>
    <n v="1220"/>
    <n v="0"/>
    <s v=""/>
    <s v="aZ150"/>
    <s v=""/>
    <n v="3"/>
    <n v="5"/>
    <n v="28"/>
    <n v="3.9"/>
    <n v="24.1"/>
    <n v="24.1"/>
    <n v="3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1"/>
    <m/>
    <m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m/>
  </r>
  <r>
    <n v="742"/>
    <d v="2025-09-19T00:00:00"/>
    <s v="ZBTF"/>
    <n v="9519120008"/>
    <n v="1"/>
    <s v="9519120008-1"/>
    <s v="Oct'25"/>
    <s v="Released"/>
    <x v="1"/>
    <s v="CR04"/>
    <s v="ACRM CRCA TLL"/>
    <m/>
    <x v="0"/>
    <x v="8"/>
    <m/>
    <n v="1000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s v="T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m/>
  </r>
  <r>
    <n v="742"/>
    <d v="2025-09-19T00:00:00"/>
    <s v="ZBTF"/>
    <n v="9519120008"/>
    <n v="2"/>
    <s v="9519120008-2"/>
    <s v="Oct'25"/>
    <s v="Released"/>
    <x v="1"/>
    <s v="CR04"/>
    <s v="ACRM CRCA TLL"/>
    <m/>
    <x v="0"/>
    <x v="8"/>
    <m/>
    <n v="1000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s v="T"/>
    <s v="CRCA_STMP"/>
    <s v="C01-EL06-0.5-1160"/>
    <s v="367-BS74-2.25-1170"/>
    <n v="367"/>
    <s v="BSL074"/>
    <s v="BS74"/>
    <s v="E03A"/>
    <n v="2.25"/>
    <n v="1170"/>
    <n v="3642542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2309"/>
    <n v="1"/>
    <s v="9519132309-1"/>
    <s v="Stocks"/>
    <s v="Released"/>
    <x v="1"/>
    <s v="GP02"/>
    <s v="ACRM GP#3 WIDER SOFT"/>
    <m/>
    <x v="2"/>
    <x v="13"/>
    <m/>
    <n v="2000"/>
    <s v="West"/>
    <s v="AHMEDABAD"/>
    <s v="BOMB"/>
    <n v="931911"/>
    <s v="Hitkar Enterprises"/>
    <n v="1854399"/>
    <s v="GP COIL SOFT-TATXGP-GK09-0.35X1220"/>
    <s v="C02"/>
    <s v="TATXGP"/>
    <s v="GK09"/>
    <n v="0.35"/>
    <n v="1220"/>
    <n v="0"/>
    <s v=""/>
    <s v="Z80"/>
    <s v=""/>
    <n v="3"/>
    <n v="5"/>
    <n v="28"/>
    <n v="27.385000000000002"/>
    <n v="0.61499999999999999"/>
    <n v="0.61499999999999999"/>
    <n v="8.77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4.8899999999999997"/>
    <n v="4.8899999999999997"/>
    <n v="4.8899999999999997"/>
    <n v="0"/>
    <n v="0"/>
    <n v="-4.2749999999999995"/>
    <m/>
    <m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2309"/>
    <n v="2"/>
    <s v="9519132309-2"/>
    <s v="Stocks"/>
    <s v="Released"/>
    <x v="1"/>
    <s v="GP02"/>
    <s v="ACRM GP#3 WIDER SOFT"/>
    <m/>
    <x v="2"/>
    <x v="13"/>
    <m/>
    <n v="2000"/>
    <s v="West"/>
    <s v="AHMEDABAD"/>
    <s v="BOMB"/>
    <n v="931911"/>
    <s v="Hitkar Enterprises"/>
    <n v="1854410"/>
    <s v="GP COIL SOFT-TATXGP-GK09-0.4X1220"/>
    <s v="C02"/>
    <s v="TATXGP"/>
    <s v="GK09"/>
    <n v="0.4"/>
    <n v="1220"/>
    <n v="0"/>
    <s v=""/>
    <s v="Z80"/>
    <s v=""/>
    <n v="3"/>
    <n v="5"/>
    <n v="28"/>
    <n v="27.265000000000001"/>
    <n v="0.73499999999999999"/>
    <n v="0.73499999999999999"/>
    <n v="4.53"/>
    <n v="0"/>
    <n v="0"/>
    <n v="0"/>
    <n v="0"/>
    <n v="0"/>
    <n v="0"/>
    <n v="0"/>
    <n v="0"/>
    <n v="0"/>
    <n v="0"/>
    <n v="0"/>
    <n v="0"/>
    <n v="0"/>
    <n v="0"/>
    <n v="0"/>
    <n v="4.53"/>
    <n v="0"/>
    <n v="0"/>
    <n v="4.53"/>
    <n v="0"/>
    <n v="4.53"/>
    <n v="0"/>
    <n v="0.73499999999999999"/>
    <m/>
    <m/>
    <m/>
    <m/>
    <m/>
    <m/>
    <m/>
    <m/>
    <s v="R"/>
    <s v="GP03_KOSH"/>
    <s v="C02-GK09-0.4-1220"/>
    <s v="367-HG02-2.25-1235"/>
    <n v="367"/>
    <s v="T01576"/>
    <s v="HG02"/>
    <s v="C06A"/>
    <n v="2.25"/>
    <n v="1235"/>
    <n v="1700548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2309"/>
    <n v="3"/>
    <s v="9519132309-3"/>
    <s v="No Priority"/>
    <s v="Released"/>
    <x v="0"/>
    <s v="GP02"/>
    <s v="ACRM GP#3 WIDER SOFT"/>
    <m/>
    <x v="2"/>
    <x v="13"/>
    <m/>
    <n v="2000"/>
    <s v="West"/>
    <s v="AHMEDABAD"/>
    <s v="BOMB"/>
    <n v="931911"/>
    <s v="Hitkar Enterprises"/>
    <n v="1851097"/>
    <s v="GP COIL SOFT-TATXGP-GK09-0.45X1220"/>
    <s v="C02"/>
    <s v="TATXGP"/>
    <s v="GK09"/>
    <n v="0.45"/>
    <n v="1220"/>
    <n v="0"/>
    <s v=""/>
    <s v="Z80"/>
    <s v=""/>
    <n v="3"/>
    <n v="5"/>
    <n v="28"/>
    <n v="26.574999999999999"/>
    <n v="1.425"/>
    <n v="1.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25"/>
    <m/>
    <m/>
    <m/>
    <m/>
    <m/>
    <m/>
    <m/>
    <m/>
    <s v="R"/>
    <s v="GP03_KOSH"/>
    <s v="C02-GK09-0.45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2309"/>
    <n v="4"/>
    <s v="9519132309-4"/>
    <s v="Stocks"/>
    <s v="Released"/>
    <x v="1"/>
    <s v="GP02"/>
    <s v="ACRM GP#3 WIDER SOFT"/>
    <m/>
    <x v="2"/>
    <x v="13"/>
    <m/>
    <n v="2000"/>
    <s v="West"/>
    <s v="AHMEDABAD"/>
    <s v="BOMB"/>
    <n v="931911"/>
    <s v="Hitkar Enterprises"/>
    <n v="1851101"/>
    <s v="GP COIL SOFT-TATXGP-GK09-0.5X1220"/>
    <s v="C02"/>
    <s v="TATXGP"/>
    <s v="GK09"/>
    <n v="0.5"/>
    <n v="1220"/>
    <n v="0"/>
    <s v=""/>
    <s v="Z80"/>
    <s v=""/>
    <n v="3"/>
    <n v="5"/>
    <n v="28"/>
    <n v="26.844999999999999"/>
    <n v="1.155"/>
    <n v="1.155"/>
    <n v="8.97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5"/>
    <m/>
    <m/>
    <m/>
    <m/>
    <m/>
    <m/>
    <m/>
    <m/>
    <s v="R"/>
    <s v="GP03_KOSH"/>
    <s v="C02-GK09-0.5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2309"/>
    <n v="5"/>
    <s v="9519132309-5"/>
    <s v="No Priority"/>
    <s v="Released"/>
    <x v="0"/>
    <s v="GP02"/>
    <s v="ACRM GP#3 WIDER SOFT"/>
    <m/>
    <x v="2"/>
    <x v="13"/>
    <m/>
    <n v="2000"/>
    <s v="West"/>
    <s v="AHMEDABAD"/>
    <s v="BOMB"/>
    <n v="931911"/>
    <s v="Hitkar Enterprises"/>
    <n v="1334725"/>
    <s v="GP COIL SOFT-TATXGP-GK09-0.6X1220"/>
    <s v="C02"/>
    <s v="TATXGP"/>
    <s v="GK09"/>
    <n v="0.6"/>
    <n v="1220"/>
    <n v="0"/>
    <s v=""/>
    <s v="Z80"/>
    <s v=""/>
    <n v="3"/>
    <n v="5"/>
    <n v="28"/>
    <n v="27.055"/>
    <n v="0.94499999999999995"/>
    <n v="0.944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4499999999999995"/>
    <m/>
    <m/>
    <m/>
    <m/>
    <m/>
    <m/>
    <m/>
    <m/>
    <s v="R"/>
    <s v="GP03_KOSH"/>
    <s v="C02-GK09-0.6-1220"/>
    <s v="367-HG02-2.5-1235"/>
    <n v="367"/>
    <s v="T01576"/>
    <s v="HG02"/>
    <s v="C06A"/>
    <n v="2.5"/>
    <n v="1235"/>
    <n v="414089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0976"/>
    <n v="1"/>
    <s v="9519130976-1"/>
    <s v="Stocks"/>
    <s v="Released"/>
    <x v="1"/>
    <s v="GP02"/>
    <s v="ACRM GP#3 WIDER SOFT"/>
    <m/>
    <x v="2"/>
    <x v="13"/>
    <m/>
    <n v="2000"/>
    <s v="East"/>
    <s v="SIYAGANJ"/>
    <s v="INDR"/>
    <n v="944695"/>
    <s v="ANM ISPAT PRIVATE LIMITED"/>
    <n v="1851102"/>
    <s v="GP COIL SOFT-TATXGP-GK09-0.5X1250"/>
    <s v="C02"/>
    <s v="TATXGP"/>
    <s v="GK09"/>
    <n v="0.5"/>
    <n v="1250"/>
    <n v="0"/>
    <s v=""/>
    <s v="Z80"/>
    <s v=""/>
    <n v="3"/>
    <n v="5"/>
    <n v="29"/>
    <n v="26.844999999999999"/>
    <n v="2.1549999999999998"/>
    <n v="2.1549999999999998"/>
    <n v="4.51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m/>
    <m/>
    <m/>
    <m/>
    <m/>
    <m/>
    <m/>
    <m/>
    <s v="M"/>
    <s v="GP03_KOSH"/>
    <s v="C02-GK09-0.5-1250"/>
    <s v="367-HG02-2.5-1265"/>
    <n v="367"/>
    <s v="T01576"/>
    <s v="HG02"/>
    <s v="C06A"/>
    <n v="2.5"/>
    <n v="1265"/>
    <n v="424360"/>
    <m/>
    <m/>
    <m/>
    <m/>
    <m/>
    <m/>
    <m/>
    <m/>
    <m/>
    <m/>
    <m/>
    <m/>
    <m/>
    <m/>
    <m/>
    <m/>
    <m/>
    <m/>
    <m/>
    <m/>
  </r>
  <r>
    <n v="743"/>
    <d v="2025-09-22T00:00:00"/>
    <s v="ZBTO"/>
    <n v="9519130976"/>
    <n v="2"/>
    <s v="9519130976-2"/>
    <s v="Stocks"/>
    <s v="Released"/>
    <x v="1"/>
    <s v="GP02"/>
    <s v="ACRM GP#3 WIDER SOFT"/>
    <m/>
    <x v="2"/>
    <x v="13"/>
    <m/>
    <n v="2000"/>
    <s v="East"/>
    <s v="SIYAGANJ"/>
    <s v="INDR"/>
    <n v="944695"/>
    <s v="ANM ISPAT PRIVATE LIMITED"/>
    <n v="1851106"/>
    <s v="GP COIL SOFT-TATXGP-GK09-0.6X1250"/>
    <s v="C02"/>
    <s v="TATXGP"/>
    <s v="GK09"/>
    <n v="0.6"/>
    <n v="1250"/>
    <n v="0"/>
    <s v=""/>
    <s v="Z80"/>
    <s v=""/>
    <n v="3"/>
    <n v="5"/>
    <n v="29"/>
    <n v="27.625"/>
    <n v="1.375"/>
    <n v="1.375"/>
    <n v="13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M"/>
    <s v="GP03_KOSH"/>
    <s v="C02-GK09-0.6-1250"/>
    <s v="367-HG02-2.5-1265"/>
    <n v="367"/>
    <s v="T01576"/>
    <s v="HG02"/>
    <s v="C06A"/>
    <n v="2.5"/>
    <n v="1265"/>
    <n v="424360"/>
    <m/>
    <m/>
    <m/>
    <m/>
    <m/>
    <m/>
    <m/>
    <m/>
    <m/>
    <m/>
    <m/>
    <m/>
    <m/>
    <m/>
    <m/>
    <m/>
    <m/>
    <m/>
    <m/>
    <m/>
  </r>
  <r>
    <n v="742"/>
    <d v="2025-09-16T00:00:00"/>
    <s v="ZBTO"/>
    <n v="9519107868"/>
    <n v="7"/>
    <s v="9519107868-7"/>
    <s v="No Priority"/>
    <s v="Released"/>
    <x v="0"/>
    <s v="CR02"/>
    <s v="ACRM CRCA CRS"/>
    <m/>
    <x v="0"/>
    <x v="0"/>
    <m/>
    <n v="2000"/>
    <s v="South"/>
    <s v="PATTANCHERY"/>
    <s v="SBAD"/>
    <n v="939422"/>
    <s v="VIJAY VENKAT STEELS PRIVATE LIMITED"/>
    <n v="2396818"/>
    <s v="CRCA COIL TATCRC TR15 0.700X1120"/>
    <s v="C01"/>
    <s v="TATCRC"/>
    <s v="TR15"/>
    <n v="0.7"/>
    <n v="1120"/>
    <n v="0"/>
    <s v=""/>
    <s v=" "/>
    <s v=""/>
    <n v="10"/>
    <n v="3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C"/>
    <s v="NA"/>
    <s v="C01-TR15-0.7-1120"/>
    <s v="367-SF98-2.8-1130"/>
    <n v="367"/>
    <s v="S02150"/>
    <s v="SF98"/>
    <s v="C29A"/>
    <n v="2.8"/>
    <n v="1130"/>
    <e v="#N/A"/>
    <m/>
    <m/>
    <m/>
    <m/>
    <m/>
    <m/>
    <m/>
    <m/>
    <m/>
    <m/>
    <m/>
    <m/>
    <m/>
    <m/>
    <m/>
    <m/>
    <m/>
    <m/>
    <m/>
    <m/>
  </r>
  <r>
    <n v="742"/>
    <d v="2025-09-11T00:00:00"/>
    <s v="ZBTO"/>
    <n v="9519096071"/>
    <n v="4"/>
    <s v="9519096071-4"/>
    <s v="No Priority"/>
    <s v="Released"/>
    <x v="0"/>
    <s v="CR01"/>
    <s v="ACRM CRCA CTL"/>
    <m/>
    <x v="0"/>
    <x v="5"/>
    <m/>
    <n v="2000"/>
    <s v="East"/>
    <s v=" "/>
    <s v="JAMS"/>
    <n v="121328"/>
    <s v="R. S. BOKARO METAL (P) LTD."/>
    <n v="3239560"/>
    <s v="CRCA SHEET TATCRC SR16 0.450X900X2500"/>
    <s v="C06"/>
    <s v="TATCRC"/>
    <s v="SR16"/>
    <n v="0.45"/>
    <n v="900"/>
    <n v="2500"/>
    <s v="T2 DONE"/>
    <s v=" "/>
    <s v=""/>
    <n v="2.5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n v="0"/>
    <s v="C06-SR16-0.45-900"/>
    <s v="B69-SH67-2.25-925"/>
    <s v="B69"/>
    <s v="TSH067"/>
    <s v="SH67"/>
    <s v="C14A"/>
    <n v="2.25"/>
    <n v="925"/>
    <n v="3909466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8457"/>
    <n v="2"/>
    <s v="9519128457-2"/>
    <s v="No Priority"/>
    <s v="Released"/>
    <x v="0"/>
    <s v="CR02"/>
    <s v="ACRM CRCA CRS"/>
    <m/>
    <x v="0"/>
    <x v="0"/>
    <m/>
    <n v="2000"/>
    <s v="North"/>
    <m/>
    <m/>
    <n v="931525"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m/>
    <m/>
    <m/>
    <m/>
    <m/>
    <m/>
    <m/>
    <m/>
    <m/>
    <m/>
    <m/>
    <m/>
    <m/>
    <m/>
    <m/>
  </r>
  <r>
    <n v="742"/>
    <d v="2025-09-20T00:00:00"/>
    <s v="ZBTO"/>
    <n v="9519123100"/>
    <n v="1"/>
    <s v="9519123100-1"/>
    <s v="No Priority"/>
    <s v="Released"/>
    <x v="0"/>
    <s v="CR02"/>
    <s v="ACRM CRCA CRS"/>
    <m/>
    <x v="0"/>
    <x v="4"/>
    <m/>
    <n v="1000"/>
    <s v="South"/>
    <m/>
    <m/>
    <n v="188238"/>
    <s v="BALMER LAWRIE &amp; CO. LIMITED"/>
    <n v="3767518"/>
    <s v="CR COIL TATXXD BT02 0.630X920"/>
    <s v="C01"/>
    <s v="TATXXD"/>
    <s v="BT02"/>
    <n v="0.63"/>
    <n v="920"/>
    <n v="0"/>
    <m/>
    <m/>
    <m/>
    <n v="7"/>
    <n v="1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s v="NA"/>
    <s v="C01-BT02-0.63-920"/>
    <s v="na---"/>
    <s v="na"/>
    <m/>
    <m/>
    <m/>
    <m/>
    <m/>
    <e v="#N/A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8457"/>
    <n v="1"/>
    <s v="9519128457-1"/>
    <s v="No Priority"/>
    <s v="Released"/>
    <x v="0"/>
    <s v="CR02"/>
    <s v="ACRM CRCA CRS"/>
    <m/>
    <x v="0"/>
    <x v="0"/>
    <m/>
    <n v="2000"/>
    <s v="North"/>
    <m/>
    <m/>
    <n v="931525"/>
    <s v="INDIA STEEL INDUSTRIES"/>
    <n v="1804927"/>
    <s v="CRCA COIL-TATCRC-TR15-0.8X1000"/>
    <s v="C01"/>
    <s v="TATCRC"/>
    <s v="TR15"/>
    <n v="0.8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8-1000"/>
    <s v="B69-SF98-2.8-1025"/>
    <s v="B69"/>
    <s v="S02150"/>
    <s v="SF98"/>
    <s v="C29A"/>
    <n v="2.8"/>
    <n v="1025"/>
    <n v="3918138"/>
    <m/>
    <m/>
    <m/>
    <m/>
    <m/>
    <m/>
    <m/>
    <m/>
    <m/>
    <m/>
    <m/>
    <m/>
    <m/>
    <m/>
    <m/>
    <m/>
    <m/>
    <m/>
    <m/>
    <m/>
  </r>
  <r>
    <n v="742"/>
    <d v="2025-09-27T00:00:00"/>
    <s v="ZBTO"/>
    <n v="9518957902"/>
    <n v="1"/>
    <s v="9518957902-1"/>
    <s v="No Priority"/>
    <s v="Released"/>
    <x v="0"/>
    <e v="#N/A"/>
    <e v="#N/A"/>
    <m/>
    <x v="0"/>
    <x v="0"/>
    <m/>
    <n v="2000"/>
    <s v="North"/>
    <m/>
    <m/>
    <n v="831432"/>
    <s v="FERRO STEEL SOLUTIONS"/>
    <n v="1804908"/>
    <e v="#N/A"/>
    <s v="C01"/>
    <e v="#N/A"/>
    <s v="TR15"/>
    <n v="0.5"/>
    <n v="1250"/>
    <n v="0"/>
    <m/>
    <m/>
    <m/>
    <n v="10"/>
    <n v="27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U"/>
    <s v="CRCA_STLM"/>
    <s v="C01-TR15-0.5-1250"/>
    <s v="367-SF98-2.25-1250"/>
    <n v="367"/>
    <s v="S02150"/>
    <s v="SF98"/>
    <s v="C29A"/>
    <n v="2.25"/>
    <n v="1250"/>
    <e v="#N/A"/>
    <m/>
    <m/>
    <m/>
    <m/>
    <m/>
    <m/>
    <m/>
    <m/>
    <m/>
    <m/>
    <m/>
    <m/>
    <m/>
    <m/>
    <m/>
    <m/>
    <m/>
    <m/>
    <m/>
    <m/>
  </r>
  <r>
    <n v="742"/>
    <d v="2025-09-24T00:00:00"/>
    <s v="ZBTF"/>
    <n v="4000518371"/>
    <n v="1"/>
    <s v="4000518371-1"/>
    <s v="No Priority"/>
    <s v="Released"/>
    <x v="0"/>
    <e v="#N/A"/>
    <e v="#N/A"/>
    <m/>
    <x v="1"/>
    <x v="4"/>
    <m/>
    <n v="1000"/>
    <s v="South"/>
    <m/>
    <m/>
    <n v="940869"/>
    <s v="REXAN STEEL TUBES"/>
    <n v="1210083"/>
    <e v="#N/A"/>
    <n v="768"/>
    <e v="#N/A"/>
    <s v="HR99"/>
    <n v="2"/>
    <n v="1250"/>
    <n v="0"/>
    <m/>
    <m/>
    <m/>
    <e v="#N/A"/>
    <e v="#N/A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s v="HRPO_BPRS"/>
    <s v="768-HR99-2-1250"/>
    <s v="367-HR99-2-1250"/>
    <n v="367"/>
    <s v="THR099"/>
    <s v="HR99"/>
    <s v="D06A"/>
    <n v="2"/>
    <n v="1250"/>
    <n v="1220539"/>
    <m/>
    <m/>
    <m/>
    <m/>
    <m/>
    <m/>
    <m/>
    <m/>
    <m/>
    <m/>
    <m/>
    <m/>
    <m/>
    <m/>
    <m/>
    <m/>
    <m/>
    <m/>
    <m/>
    <m/>
  </r>
  <r>
    <n v="742"/>
    <d v="2025-09-22T00:00:00"/>
    <s v="ZBTO"/>
    <n v="9519128979"/>
    <n v="1"/>
    <s v="9519128979-1"/>
    <s v="No Priority"/>
    <s v="Released"/>
    <x v="0"/>
    <e v="#N/A"/>
    <e v="#N/A"/>
    <m/>
    <x v="0"/>
    <x v="14"/>
    <m/>
    <n v="2000"/>
    <s v="South"/>
    <m/>
    <m/>
    <n v="947126"/>
    <s v="RAVINDRA IRON WORKS"/>
    <n v="3587949"/>
    <s v="CR COIL TSBSTA EL06 0.500X1250"/>
    <s v="C01"/>
    <s v="TSBSTA"/>
    <s v="EL06"/>
    <n v="0.5"/>
    <n v="1250"/>
    <n v="0"/>
    <m/>
    <m/>
    <m/>
    <n v="8"/>
    <n v="14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ntrimmed edge"/>
    <s v="CRCA_STMP"/>
    <s v="C01-EL06-0.5-1250"/>
    <s v="367-BS74-2.25-1250"/>
    <n v="367"/>
    <s v="BSL074"/>
    <s v="BS74"/>
    <s v="E03A"/>
    <n v="2.25"/>
    <n v="1250"/>
    <n v="3873228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286"/>
    <n v="1"/>
    <s v="9519134286-1"/>
    <s v="Oct'25"/>
    <s v="Released"/>
    <x v="1"/>
    <s v="GL01"/>
    <s v="ACRM GP#2 TBSPL BGL"/>
    <m/>
    <x v="4"/>
    <x v="3"/>
    <m/>
    <n v="1000"/>
    <s v="TBSPL"/>
    <m/>
    <m/>
    <n v="942284"/>
    <s v="TATA BLUESCOPE STEEL PRIVATE L"/>
    <n v="4108810"/>
    <s v="GL COIL HARD  Y550GL M310 0.350X1220"/>
    <s v="B04"/>
    <s v="Y550GL"/>
    <s v="M310"/>
    <n v="0.35"/>
    <n v="1220"/>
    <n v="0"/>
    <m/>
    <n v="15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s v="GP02_GL"/>
    <s v="B04-M310-0.3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26"/>
    <n v="1"/>
    <s v="9519134326-1"/>
    <s v="Oct'25"/>
    <s v="Released"/>
    <x v="1"/>
    <s v="GL01"/>
    <s v="ACRM GP#2 TBSPL BGL"/>
    <m/>
    <x v="4"/>
    <x v="3"/>
    <m/>
    <n v="1000"/>
    <s v="TBSPL"/>
    <m/>
    <m/>
    <n v="942293"/>
    <s v="TATA BLUESCOPE STEEL PRIVATE L"/>
    <n v="3946362"/>
    <s v="GL COIL HARD Y550GL M308 0.47 (TCT)X1220"/>
    <s v="B04"/>
    <s v="Y550GL"/>
    <s v="M308"/>
    <n v="0.47"/>
    <n v="1220"/>
    <n v="0"/>
    <m/>
    <n v="150"/>
    <s v="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Trimming only at RCL"/>
    <s v="GP02_BGL"/>
    <s v="B04-M308-0.47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26"/>
    <n v="2"/>
    <s v="9519134326-2"/>
    <s v="Oct'25"/>
    <s v="Released"/>
    <x v="1"/>
    <s v="GL01"/>
    <s v="ACRM GP#2 TBSPL BGL"/>
    <m/>
    <x v="4"/>
    <x v="3"/>
    <m/>
    <n v="1000"/>
    <s v="TBSPL"/>
    <m/>
    <m/>
    <n v="942293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56"/>
    <n v="0"/>
    <n v="56"/>
    <n v="28.28"/>
    <n v="0"/>
    <n v="0"/>
    <n v="0"/>
    <n v="0"/>
    <n v="0"/>
    <n v="0"/>
    <n v="0"/>
    <n v="0"/>
    <n v="0"/>
    <n v="0"/>
    <n v="0"/>
    <n v="0"/>
    <n v="0"/>
    <n v="0"/>
    <n v="0"/>
    <n v="0"/>
    <n v="55.300000000000004"/>
    <n v="0"/>
    <n v="0"/>
    <n v="55.300000000000004"/>
    <n v="0"/>
    <n v="55.300000000000004"/>
    <n v="0"/>
    <n v="56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58"/>
    <n v="1"/>
    <s v="9519134358-1"/>
    <s v="Oct'25"/>
    <s v="Released"/>
    <x v="1"/>
    <s v="GL01"/>
    <s v="ACRM GP#2 TBSPL BGL"/>
    <m/>
    <x v="4"/>
    <x v="3"/>
    <m/>
    <n v="1000"/>
    <s v="TBSPL"/>
    <m/>
    <m/>
    <n v="942294"/>
    <s v="TATA BLUESCOPE STEEL PRIVATE L"/>
    <n v="3946362"/>
    <s v="GL COIL HARD Y550GL M308 0.47 (TCT)X1220"/>
    <s v="B04"/>
    <s v="Y550GL"/>
    <s v="M308"/>
    <n v="0.47"/>
    <n v="1220"/>
    <n v="0"/>
    <m/>
    <n v="150"/>
    <s v=""/>
    <n v="3"/>
    <n v="5"/>
    <n v="252"/>
    <n v="83.19"/>
    <n v="168.81"/>
    <n v="168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.81"/>
    <m/>
    <m/>
    <m/>
    <m/>
    <m/>
    <m/>
    <m/>
    <m/>
    <s v="Trimming only at RCL"/>
    <s v="GP02_BGL"/>
    <s v="B04-M308-0.47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58"/>
    <n v="2"/>
    <s v="9519134358-2"/>
    <s v="Oct'25"/>
    <s v="Released"/>
    <x v="1"/>
    <s v="GL01"/>
    <s v="ACRM GP#2 TBSPL BGL"/>
    <m/>
    <x v="4"/>
    <x v="3"/>
    <m/>
    <n v="1000"/>
    <s v="TBSPL"/>
    <m/>
    <m/>
    <n v="942294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28"/>
    <n v="0"/>
    <n v="28"/>
    <n v="0.63500000000000001"/>
    <n v="0"/>
    <n v="0"/>
    <n v="0"/>
    <n v="0"/>
    <n v="0"/>
    <n v="0"/>
    <n v="0"/>
    <n v="27.365000000000002"/>
    <n v="0"/>
    <n v="0"/>
    <n v="0"/>
    <n v="0"/>
    <n v="0"/>
    <n v="0"/>
    <n v="0"/>
    <n v="0"/>
    <n v="0"/>
    <n v="0"/>
    <n v="0"/>
    <n v="27.365000000000002"/>
    <n v="0"/>
    <n v="27.365000000000002"/>
    <n v="0"/>
    <n v="28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78"/>
    <n v="1"/>
    <s v="9519134378-1"/>
    <s v="Oct'25"/>
    <s v="Released"/>
    <x v="1"/>
    <s v="GL01"/>
    <s v="ACRM GP#2 TBSPL BGL"/>
    <m/>
    <x v="4"/>
    <x v="3"/>
    <m/>
    <n v="1000"/>
    <s v="TBSPL"/>
    <m/>
    <m/>
    <n v="942284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280"/>
    <n v="151.69999999999999"/>
    <n v="128.30000000000001"/>
    <n v="23.664000000000001"/>
    <n v="147.03999999999996"/>
    <n v="0"/>
    <n v="0"/>
    <n v="0"/>
    <n v="0"/>
    <n v="3.6"/>
    <n v="0"/>
    <n v="103.55500000000001"/>
    <n v="0"/>
    <n v="0"/>
    <n v="0"/>
    <n v="0"/>
    <n v="0"/>
    <n v="0"/>
    <n v="0"/>
    <n v="0"/>
    <n v="0"/>
    <n v="0"/>
    <n v="16.77"/>
    <n v="123.925"/>
    <n v="16.77"/>
    <n v="107.155"/>
    <n v="0"/>
    <n v="111.53000000000002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378"/>
    <n v="2"/>
    <s v="9519134378-2"/>
    <s v="Oct'25"/>
    <s v="Released"/>
    <x v="1"/>
    <s v="GL01"/>
    <s v="ACRM GP#2 TBSPL BGL"/>
    <m/>
    <x v="4"/>
    <x v="3"/>
    <m/>
    <n v="1000"/>
    <s v="TBSPL"/>
    <m/>
    <m/>
    <n v="942284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168"/>
    <n v="32.89"/>
    <n v="135.11000000000001"/>
    <n v="-461.315"/>
    <n v="28.4"/>
    <n v="0"/>
    <n v="0"/>
    <n v="0"/>
    <n v="0"/>
    <n v="40.164999999999999"/>
    <n v="0"/>
    <n v="335.58500000000004"/>
    <n v="0"/>
    <n v="0"/>
    <n v="0"/>
    <n v="0"/>
    <n v="0"/>
    <n v="0"/>
    <n v="0"/>
    <n v="0"/>
    <n v="13.07"/>
    <n v="0"/>
    <n v="4.57"/>
    <n v="393.39000000000004"/>
    <n v="4.57"/>
    <n v="388.82000000000005"/>
    <n v="0"/>
    <n v="130.54000000000002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4436"/>
    <n v="1"/>
    <s v="9519134436-1"/>
    <s v="Oct'25"/>
    <s v="Released"/>
    <x v="1"/>
    <s v="GL01"/>
    <s v="ACRM GP#2 TBSPL BGL"/>
    <m/>
    <x v="4"/>
    <x v="3"/>
    <m/>
    <n v="1000"/>
    <s v="TBSPL"/>
    <m/>
    <m/>
    <n v="942284"/>
    <s v="TATA BLUESCOPE STEEL PRIVATE L"/>
    <n v="3931932"/>
    <s v="GL C YS550 M306 0.35BMT(0.37TCT)X900"/>
    <s v="B04"/>
    <s v="Y550GL"/>
    <s v="M306"/>
    <n v="0.35"/>
    <n v="900"/>
    <n v="0"/>
    <m/>
    <n v="7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s v="GP02_BGL"/>
    <s v="B04-M306-0.35-900"/>
    <s v="727-SF93-2-903"/>
    <n v="727"/>
    <s v="S02149"/>
    <s v="SF93"/>
    <s v="C07A"/>
    <n v="2"/>
    <n v="903"/>
    <n v="4059596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"/>
    <s v="9519134753-1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2"/>
    <s v="9519134753-2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3"/>
    <s v="9519134753-3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4"/>
    <s v="9519134753-4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5"/>
    <s v="9519134753-5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6"/>
    <s v="9519134753-6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7"/>
    <s v="9519134753-7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8"/>
    <s v="9519134753-8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9"/>
    <s v="9519134753-9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0"/>
    <s v="9519134753-10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1"/>
    <s v="9519134753-11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2"/>
    <s v="9519134753-12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3"/>
    <s v="9519134753-13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4"/>
    <s v="9519134753-14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5"/>
    <s v="9519134753-15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40122"/>
    <s v="PPGL C HARD Y550PL D0C9 0.470(TPT)X1220"/>
    <s v="B18"/>
    <s v="Y550PL"/>
    <s v="D0C9"/>
    <n v="0.47"/>
    <n v="1220"/>
    <n v="0"/>
    <m/>
    <n v="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rimming at PLTCM"/>
    <s v="GP02_PPGL"/>
    <s v="B18-D0C9-0.47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6"/>
    <s v="9519134753-16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40122"/>
    <s v="PPGL C HARD Y550PL D0C9 0.470(TPT)X1220"/>
    <s v="B18"/>
    <s v="Y550PL"/>
    <s v="D0C9"/>
    <n v="0.47"/>
    <n v="1220"/>
    <n v="0"/>
    <m/>
    <n v="150"/>
    <s v="RAL 9002 TSL 18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rimming at PLTCM"/>
    <s v="GP02_PPGL"/>
    <s v="B18-D0C9-0.47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7"/>
    <s v="9519134753-17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8"/>
    <s v="9519134753-18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19"/>
    <s v="9519134753-19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20"/>
    <s v="9519134753-20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4753"/>
    <n v="21"/>
    <s v="9519134753-21"/>
    <s v="Oct'25"/>
    <s v="Released"/>
    <x v="1"/>
    <s v="GL02"/>
    <s v="ACRM GP#2 TBSPL PPGL"/>
    <m/>
    <x v="3"/>
    <x v="3"/>
    <m/>
    <n v="1000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6011 TSL 1810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5056"/>
    <n v="1"/>
    <s v="9519135056-1"/>
    <s v="Oct'25"/>
    <s v="Released"/>
    <x v="1"/>
    <s v="GL01"/>
    <s v="ACRM GP#2 TBSPL BGL"/>
    <m/>
    <x v="4"/>
    <x v="3"/>
    <m/>
    <n v="1000"/>
    <s v="TBSPL"/>
    <m/>
    <m/>
    <n v="942283"/>
    <s v="TATA BLUESCOPE STEEL PRIVATE L"/>
    <n v="1881988"/>
    <s v="GL C YS550 H6GL 0.50BMT(0.55TCT)X1220"/>
    <s v="B04"/>
    <s v="Y550GL"/>
    <s v="H6GL"/>
    <n v="0.5"/>
    <n v="1220"/>
    <n v="0"/>
    <m/>
    <n v="15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s v="GP02_BGL"/>
    <s v="B04-H6GL-0.5-1220"/>
    <s v="367-SF93-2.5-1235"/>
    <n v="367"/>
    <s v="S02149"/>
    <s v="SF93"/>
    <s v="C07A"/>
    <n v="2.5"/>
    <n v="1235"/>
    <n v="363214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5056"/>
    <n v="2"/>
    <s v="9519135056-2"/>
    <s v="Oct'25"/>
    <s v="Released"/>
    <x v="1"/>
    <s v="GL01"/>
    <s v="ACRM GP#2 TBSPL BGL"/>
    <m/>
    <x v="4"/>
    <x v="3"/>
    <m/>
    <n v="1000"/>
    <s v="TBSPL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n v="3"/>
    <n v="5"/>
    <n v="112"/>
    <n v="13.305"/>
    <n v="98.694999999999993"/>
    <n v="13.04"/>
    <n v="0"/>
    <n v="0"/>
    <n v="0"/>
    <n v="0"/>
    <n v="0"/>
    <n v="0"/>
    <n v="0"/>
    <n v="99.055000000000007"/>
    <n v="0"/>
    <n v="0"/>
    <n v="0"/>
    <n v="0"/>
    <n v="0"/>
    <n v="0"/>
    <n v="0"/>
    <n v="0"/>
    <n v="0"/>
    <n v="0"/>
    <n v="0"/>
    <n v="99.055000000000007"/>
    <n v="0"/>
    <n v="99.055000000000007"/>
    <n v="0"/>
    <n v="98.694999999999993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5056"/>
    <n v="3"/>
    <s v="9519135056-3"/>
    <s v="Oct'25"/>
    <s v="Released"/>
    <x v="1"/>
    <s v="GL01"/>
    <s v="ACRM GP#2 TBSPL BGL"/>
    <m/>
    <x v="4"/>
    <x v="3"/>
    <m/>
    <n v="1000"/>
    <s v="TBSPL"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n v="3"/>
    <n v="5"/>
    <n v="224"/>
    <n v="0"/>
    <n v="224"/>
    <n v="-28.395"/>
    <n v="0"/>
    <n v="0"/>
    <n v="0"/>
    <n v="0"/>
    <n v="0"/>
    <n v="11.695"/>
    <n v="0"/>
    <n v="227.78"/>
    <n v="0"/>
    <n v="0"/>
    <n v="0"/>
    <n v="0"/>
    <n v="0"/>
    <n v="0"/>
    <n v="0"/>
    <n v="11.935"/>
    <n v="0"/>
    <n v="0"/>
    <n v="0"/>
    <n v="251.41"/>
    <n v="11.935"/>
    <n v="239.47499999999999"/>
    <n v="0"/>
    <n v="212.065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m/>
    <m/>
    <m/>
    <m/>
    <m/>
    <m/>
    <m/>
    <m/>
    <m/>
    <m/>
    <m/>
    <m/>
    <m/>
    <m/>
    <m/>
  </r>
  <r>
    <n v="2341"/>
    <d v="2025-09-23T00:00:00"/>
    <s v="ZBTF"/>
    <n v="9519110380"/>
    <n v="1"/>
    <s v="9519110380-1"/>
    <s v="Oct'25"/>
    <s v="Released"/>
    <x v="1"/>
    <s v="CR03"/>
    <s v="ACRM CRCA SPM"/>
    <m/>
    <x v="0"/>
    <x v="4"/>
    <m/>
    <n v="1000"/>
    <s v="North"/>
    <m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32"/>
    <n v="0"/>
    <n v="231.999"/>
    <n v="231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.999"/>
    <m/>
    <m/>
    <m/>
    <m/>
    <m/>
    <m/>
    <m/>
    <s v="4000519245-1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m/>
    <m/>
    <m/>
    <m/>
    <m/>
    <m/>
    <m/>
    <m/>
    <m/>
    <m/>
    <m/>
    <m/>
    <m/>
    <m/>
    <m/>
  </r>
  <r>
    <n v="2341"/>
    <d v="2025-09-23T00:00:00"/>
    <s v="ZBTF"/>
    <n v="9519110380"/>
    <n v="2"/>
    <s v="9519110380-2"/>
    <s v="Oct'25"/>
    <s v="Released"/>
    <x v="1"/>
    <s v="CR03"/>
    <s v="ACRM CRCA SPM"/>
    <m/>
    <x v="0"/>
    <x v="4"/>
    <m/>
    <n v="1000"/>
    <s v="North"/>
    <m/>
    <m/>
    <n v="925428"/>
    <s v="TUBE INVESTMENTS OF INDIA LIMI"/>
    <n v="3741589"/>
    <s v="CR COIL SA1010 TU97 1.500X1250"/>
    <s v="C01"/>
    <s v="SA1010"/>
    <s v="TU97"/>
    <n v="1.5"/>
    <n v="1250"/>
    <n v="0"/>
    <m/>
    <m/>
    <m/>
    <n v="14"/>
    <n v="27"/>
    <n v="290"/>
    <n v="0"/>
    <n v="289.99900000000002"/>
    <n v="289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900000000002"/>
    <m/>
    <m/>
    <m/>
    <m/>
    <m/>
    <m/>
    <m/>
    <s v="4000519245-5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m/>
    <m/>
    <m/>
    <m/>
    <m/>
    <m/>
    <m/>
    <m/>
    <m/>
    <m/>
    <m/>
    <m/>
    <m/>
    <m/>
    <m/>
  </r>
  <r>
    <n v="2341"/>
    <d v="2025-09-23T00:00:00"/>
    <s v="ZBTF"/>
    <n v="9519110380"/>
    <n v="3"/>
    <s v="9519110380-3"/>
    <s v="Oct'25"/>
    <s v="Released"/>
    <x v="1"/>
    <s v="CR03"/>
    <s v="ACRM CRCA SPM"/>
    <m/>
    <x v="0"/>
    <x v="4"/>
    <m/>
    <n v="1000"/>
    <s v="North"/>
    <m/>
    <m/>
    <n v="925428"/>
    <s v="TUBE INVESTMENTS OF INDIA LIMI"/>
    <n v="2413191"/>
    <s v="CRCA COIL SA1010 TU97 1.380X1250"/>
    <s v="C01"/>
    <s v="SA1010"/>
    <s v="TU97"/>
    <n v="1.38"/>
    <n v="1250"/>
    <n v="0"/>
    <m/>
    <m/>
    <m/>
    <n v="14"/>
    <n v="27"/>
    <n v="58"/>
    <n v="0"/>
    <n v="57.999000000000002"/>
    <n v="57.9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9000000000002"/>
    <m/>
    <m/>
    <m/>
    <m/>
    <m/>
    <m/>
    <m/>
    <s v="4000519245-7"/>
    <s v="Untrimmed edge"/>
    <s v="CRCA_TPI"/>
    <s v="C01-TU97-1.38-1250"/>
    <s v="367-SH70-4-1250"/>
    <n v="367"/>
    <s v="TSH070"/>
    <s v="SH70"/>
    <s v="R10A"/>
    <n v="4"/>
    <n v="1250"/>
    <n v="4096819"/>
    <m/>
    <m/>
    <m/>
    <m/>
    <m/>
    <m/>
    <m/>
    <m/>
    <m/>
    <m/>
    <m/>
    <m/>
    <m/>
    <m/>
    <m/>
    <m/>
    <m/>
    <m/>
    <m/>
    <m/>
  </r>
  <r>
    <n v="2341"/>
    <d v="2025-09-23T00:00:00"/>
    <s v="ZBTF"/>
    <n v="9519110380"/>
    <n v="4"/>
    <s v="9519110380-4"/>
    <s v="Oct'25"/>
    <s v="Released"/>
    <x v="1"/>
    <s v="CR03"/>
    <s v="ACRM CRCA SPM"/>
    <m/>
    <x v="0"/>
    <x v="4"/>
    <m/>
    <n v="1000"/>
    <s v="North"/>
    <m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61"/>
    <n v="0"/>
    <n v="260.99900000000002"/>
    <n v="260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.99900000000002"/>
    <m/>
    <m/>
    <m/>
    <m/>
    <m/>
    <m/>
    <m/>
    <s v="4000519245-2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m/>
    <m/>
    <m/>
    <m/>
    <m/>
    <m/>
    <m/>
    <m/>
    <m/>
    <m/>
    <m/>
    <m/>
    <m/>
    <m/>
    <m/>
  </r>
  <r>
    <n v="2341"/>
    <d v="2025-09-23T00:00:00"/>
    <s v="ZBTF"/>
    <n v="9519110380"/>
    <n v="5"/>
    <s v="9519110380-5"/>
    <s v="Oct'25"/>
    <s v="Released"/>
    <x v="1"/>
    <s v="CR03"/>
    <s v="ACRM CRCA SPM"/>
    <m/>
    <x v="0"/>
    <x v="4"/>
    <m/>
    <n v="1000"/>
    <s v="North"/>
    <m/>
    <m/>
    <n v="925428"/>
    <s v="TUBE INVESTMENTS OF INDIA LIMI"/>
    <n v="3741589"/>
    <s v="CR COIL SA1010 TU97 1.500X1250"/>
    <s v="C01"/>
    <s v="SA1010"/>
    <s v="TU97"/>
    <n v="1.5"/>
    <n v="1250"/>
    <n v="0"/>
    <m/>
    <m/>
    <m/>
    <n v="14"/>
    <n v="27"/>
    <n v="290"/>
    <n v="0"/>
    <n v="289.99900000000002"/>
    <n v="289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900000000002"/>
    <m/>
    <m/>
    <m/>
    <m/>
    <m/>
    <m/>
    <m/>
    <s v="4000519245-6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m/>
    <m/>
    <m/>
    <m/>
    <m/>
    <m/>
    <m/>
    <m/>
    <m/>
    <m/>
    <m/>
    <m/>
    <m/>
    <m/>
    <m/>
  </r>
  <r>
    <n v="742"/>
    <d v="2025-08-01T00:00:00"/>
    <s v="ZBTO"/>
    <n v="9518985861"/>
    <n v="1"/>
    <s v="9518985861-1"/>
    <s v="No Priority"/>
    <s v="Released"/>
    <x v="0"/>
    <e v="#N/A"/>
    <e v="#N/A"/>
    <m/>
    <x v="1"/>
    <x v="2"/>
    <m/>
    <n v="2200"/>
    <s v="South"/>
    <s v="YESHWANTHPURA"/>
    <s v="BANG"/>
    <n v="801611"/>
    <s v="SHIVA FERRIC PVT LTD"/>
    <n v="1179965"/>
    <s v="HR COILS-PO IS 10748 GR 1 1.60X1250"/>
    <n v="768"/>
    <s v="I09497"/>
    <s v="HG01"/>
    <n v="1.6"/>
    <n v="1250"/>
    <n v="0"/>
    <m/>
    <m/>
    <m/>
    <n v="15"/>
    <n v="29.5"/>
    <n v="115.999"/>
    <n v="85.92"/>
    <n v="30.079000000000001"/>
    <n v="30.079000000000001"/>
    <n v="0"/>
    <n v="0"/>
    <n v="0"/>
    <n v="0"/>
    <n v="0"/>
    <n v="0"/>
    <n v="0"/>
    <n v="0"/>
    <n v="0"/>
    <n v="0"/>
    <n v="0"/>
    <n v="0"/>
    <n v="0"/>
    <n v="0"/>
    <n v="0"/>
    <n v="28.48"/>
    <n v="0"/>
    <n v="0"/>
    <n v="0"/>
    <n v="28.48"/>
    <n v="28.48"/>
    <n v="0"/>
    <n v="0"/>
    <n v="1.599000000000000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3T00:00:00"/>
    <s v="ZBTF"/>
    <n v="9519134499"/>
    <n v="1"/>
    <s v="9519134499-1"/>
    <s v="No Priority"/>
    <s v="Released"/>
    <x v="0"/>
    <s v="FHCR"/>
    <e v="#N/A"/>
    <m/>
    <x v="5"/>
    <x v="9"/>
    <m/>
    <n v="2000"/>
    <s v="West"/>
    <s v="KHOPOLI"/>
    <s v="TSMK"/>
    <n v="650783"/>
    <s v="Khopoli Wider CRM"/>
    <n v="4083743"/>
    <s v="CR COIL TATFHC TR10 0.459X1220"/>
    <s v="C09"/>
    <s v="TATFHC"/>
    <s v="TR10"/>
    <n v="0.45900000000000002"/>
    <n v="1220"/>
    <n v="0"/>
    <m/>
    <m/>
    <m/>
    <n v="22"/>
    <n v="25"/>
    <n v="28"/>
    <n v="22.17"/>
    <n v="5.83"/>
    <n v="5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217"/>
    <n v="1"/>
    <s v="9519138217-1"/>
    <s v="Oct'25"/>
    <s v="Released"/>
    <x v="1"/>
    <s v="GL02"/>
    <s v="ACRM GP#2 TBSPL PPGL"/>
    <m/>
    <x v="3"/>
    <x v="3"/>
    <m/>
    <n v="1000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96"/>
    <n v="159.785"/>
    <n v="36.213999999999999"/>
    <n v="26.084"/>
    <n v="159.78500000000003"/>
    <n v="0"/>
    <n v="0"/>
    <n v="0"/>
    <n v="0"/>
    <n v="0"/>
    <n v="0"/>
    <n v="0"/>
    <n v="18.559999999999999"/>
    <n v="0"/>
    <n v="0"/>
    <n v="0"/>
    <n v="0"/>
    <n v="0"/>
    <n v="0"/>
    <n v="0"/>
    <n v="7.3250000000000002"/>
    <n v="0"/>
    <n v="64.615000000000009"/>
    <n v="90.5"/>
    <n v="64.615000000000009"/>
    <n v="25.884999999999991"/>
    <n v="0"/>
    <n v="-28.4010000000000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217"/>
    <n v="2"/>
    <s v="9519138217-2"/>
    <s v="Oct'25"/>
    <s v="Released"/>
    <x v="1"/>
    <s v="GL02"/>
    <s v="ACRM GP#2 TBSPL PPGL"/>
    <m/>
    <x v="3"/>
    <x v="3"/>
    <m/>
    <n v="1000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84"/>
    <n v="0"/>
    <n v="84"/>
    <n v="4.3449999999999998"/>
    <n v="0"/>
    <n v="0"/>
    <n v="0"/>
    <n v="0"/>
    <n v="0"/>
    <n v="0"/>
    <n v="0"/>
    <n v="72.305000000000007"/>
    <n v="7.3500000000000005"/>
    <n v="0"/>
    <n v="0"/>
    <n v="0"/>
    <n v="0"/>
    <n v="0"/>
    <n v="0"/>
    <n v="0"/>
    <n v="0"/>
    <n v="0"/>
    <n v="0"/>
    <n v="79.655000000000001"/>
    <n v="0"/>
    <n v="79.655000000000001"/>
    <n v="0"/>
    <n v="8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217"/>
    <n v="3"/>
    <s v="9519138217-3"/>
    <s v="Oct'25"/>
    <s v="Released"/>
    <x v="1"/>
    <s v="GL02"/>
    <s v="ACRM GP#2 TBSPL PPGL"/>
    <m/>
    <x v="3"/>
    <x v="3"/>
    <m/>
    <n v="1000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217"/>
    <n v="5"/>
    <s v="9519138217-5"/>
    <s v="Oct'25"/>
    <s v="Released"/>
    <x v="1"/>
    <s v="GL02"/>
    <s v="ACRM GP#2 TBSPL PPGL"/>
    <m/>
    <x v="3"/>
    <x v="3"/>
    <m/>
    <n v="1000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217"/>
    <n v="6"/>
    <s v="9519138217-6"/>
    <s v="Oct'25"/>
    <s v="Released"/>
    <x v="1"/>
    <s v="GL02"/>
    <s v="ACRM GP#2 TBSPL PPGL"/>
    <m/>
    <x v="3"/>
    <x v="3"/>
    <m/>
    <n v="1000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6"/>
    <n v="50.65"/>
    <n v="5.35"/>
    <n v="1.345"/>
    <n v="26.424999999999997"/>
    <n v="0"/>
    <n v="0"/>
    <n v="0"/>
    <n v="0"/>
    <n v="0"/>
    <n v="0"/>
    <n v="0"/>
    <n v="53.925000000000004"/>
    <n v="0"/>
    <n v="0"/>
    <n v="0"/>
    <n v="0"/>
    <n v="0"/>
    <n v="0"/>
    <n v="0"/>
    <n v="0"/>
    <n v="0"/>
    <n v="0"/>
    <n v="53.925000000000004"/>
    <n v="0"/>
    <n v="53.925000000000004"/>
    <n v="0"/>
    <n v="5.3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3T00:00:00"/>
    <s v="ZBTO"/>
    <n v="9519133161"/>
    <n v="1"/>
    <s v="9519133161-1"/>
    <s v="No Priority"/>
    <s v="Released"/>
    <x v="0"/>
    <s v="GP03"/>
    <s v="ACRM GP#3 NARROW"/>
    <m/>
    <x v="2"/>
    <x v="6"/>
    <m/>
    <n v="2000"/>
    <s v="West"/>
    <s v="LONI"/>
    <s v="GBAD"/>
    <n v="931234"/>
    <s v="JAI LAXMI STEELS"/>
    <n v="1851065"/>
    <s v="GP COIL SOFT-TATXGP-GK09-0.25X900"/>
    <s v="C02"/>
    <s v="TATXGP"/>
    <s v="GK09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05T00:00:00"/>
    <s v="ZBTO"/>
    <n v="9518995071"/>
    <n v="2"/>
    <s v="9518995071-2"/>
    <s v="No Priority"/>
    <s v="Released"/>
    <x v="0"/>
    <e v="#N/A"/>
    <e v="#N/A"/>
    <m/>
    <x v="0"/>
    <x v="0"/>
    <m/>
    <n v="2000"/>
    <s v="North"/>
    <s v="KANPUR"/>
    <s v="FBAD"/>
    <n v="933952"/>
    <s v="AGARWAL STEEL TRADERS"/>
    <n v="1804826"/>
    <s v="CRCA COIL-TATXXD-AU03-0.9X1250"/>
    <s v="C01"/>
    <s v="TATXXD"/>
    <s v="AU03"/>
    <n v="0.9"/>
    <n v="1250"/>
    <n v="0"/>
    <m/>
    <m/>
    <m/>
    <n v="7"/>
    <n v="28"/>
    <n v="29"/>
    <n v="24.4"/>
    <n v="4.5999999999999996"/>
    <n v="4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99999999999999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8346"/>
    <n v="1"/>
    <s v="9519138346-1"/>
    <s v="Oct'25"/>
    <s v="Released"/>
    <x v="1"/>
    <s v="GP02"/>
    <s v="ACRM GP#3 WIDER SOFT"/>
    <n v="1000"/>
    <x v="2"/>
    <x v="13"/>
    <n v="1000"/>
    <n v="2000"/>
    <s v="East"/>
    <s v="JABALPUR"/>
    <s v="NPUR"/>
    <n v="929931"/>
    <s v="BMW VYAPAR PRIVATE LIMITED"/>
    <n v="1851091"/>
    <s v="GP COIL SOFT-TATXGP-GK09-0.4X1250"/>
    <s v="C02"/>
    <s v="TATXGP"/>
    <s v="GK09"/>
    <n v="0.4"/>
    <n v="1250"/>
    <n v="0"/>
    <m/>
    <m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8346"/>
    <n v="2"/>
    <s v="9519138346-2"/>
    <s v="Oct'25"/>
    <s v="Released"/>
    <x v="1"/>
    <s v="GP02"/>
    <s v="ACRM GP#3 WIDER SOFT"/>
    <m/>
    <x v="2"/>
    <x v="13"/>
    <m/>
    <n v="2000"/>
    <s v="East"/>
    <s v="JABALPUR"/>
    <s v="NPUR"/>
    <n v="929931"/>
    <s v="BMW VYAPAR PRIVATE LIMITED"/>
    <n v="1851102"/>
    <s v="GP COIL SOFT-TATXGP-GK09-0.5X1250"/>
    <s v="C02"/>
    <s v="TATXGP"/>
    <s v="GK09"/>
    <n v="0.5"/>
    <n v="1250"/>
    <n v="0"/>
    <m/>
    <m/>
    <m/>
    <n v="4"/>
    <n v="6"/>
    <n v="29"/>
    <n v="0"/>
    <n v="29"/>
    <n v="9.40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8346"/>
    <n v="3"/>
    <s v="9519138346-3"/>
    <s v="Oct'25"/>
    <s v="Released"/>
    <x v="1"/>
    <s v="GP02"/>
    <s v="ACRM GP#3 WIDER SOFT"/>
    <m/>
    <x v="2"/>
    <x v="13"/>
    <m/>
    <n v="2000"/>
    <s v="East"/>
    <s v="JABALPUR"/>
    <s v="NPUR"/>
    <n v="929931"/>
    <s v="BMW VYAPAR PRIVATE LIMITED"/>
    <n v="1851106"/>
    <s v="GP COIL SOFT-TATXGP-GK09-0.6X1250"/>
    <s v="C02"/>
    <s v="TATXGP"/>
    <s v="GK09"/>
    <n v="0.6"/>
    <n v="1250"/>
    <n v="0"/>
    <m/>
    <m/>
    <m/>
    <n v="4"/>
    <n v="6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060"/>
    <n v="3"/>
    <s v="9519138060-3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4845"/>
    <n v="3"/>
    <s v="9519114845-3"/>
    <s v="No Priority"/>
    <s v="Released"/>
    <x v="0"/>
    <s v="CR02"/>
    <s v="ACRM CRCA CRS"/>
    <m/>
    <x v="0"/>
    <x v="0"/>
    <m/>
    <n v="2000"/>
    <s v="South"/>
    <s v="VISHAKHAPATNAM"/>
    <s v="SBAD"/>
    <n v="946077"/>
    <s v="SITARAM IRON AND STEEL PVT LTD"/>
    <n v="2378008"/>
    <s v="CRCA COIL TATXXD AU03 0.600X1120"/>
    <s v="C01"/>
    <s v="TATXXD"/>
    <s v="AU03"/>
    <n v="0.6"/>
    <n v="1120"/>
    <n v="0"/>
    <m/>
    <m/>
    <m/>
    <n v="8"/>
    <n v="12"/>
    <n v="26"/>
    <n v="0"/>
    <n v="26"/>
    <n v="7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4845"/>
    <n v="4"/>
    <s v="9519114845-4"/>
    <s v="No Priority"/>
    <s v="Released"/>
    <x v="0"/>
    <s v="CR02"/>
    <s v="ACRM CRCA CRS"/>
    <m/>
    <x v="0"/>
    <x v="0"/>
    <m/>
    <n v="2000"/>
    <s v="South"/>
    <s v="VISHAKHAPATNAM"/>
    <s v="SBAD"/>
    <n v="946077"/>
    <s v="SITARAM IRON AND STEEL PVT LTD"/>
    <n v="1804814"/>
    <s v="CRCA COIL TATXXD AU03 0.8X1250"/>
    <s v="C01"/>
    <s v="TATXXD"/>
    <s v="AU03"/>
    <n v="0.8"/>
    <n v="1250"/>
    <n v="0"/>
    <m/>
    <m/>
    <m/>
    <n v="10"/>
    <n v="14"/>
    <n v="29"/>
    <n v="0"/>
    <n v="29"/>
    <n v="15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8T00:00:00"/>
    <s v="ZBTO"/>
    <n v="9519114845"/>
    <n v="5"/>
    <s v="9519114845-5"/>
    <s v="No Priority"/>
    <s v="Released"/>
    <x v="0"/>
    <s v="CR02"/>
    <s v="ACRM CRCA CRS"/>
    <m/>
    <x v="0"/>
    <x v="0"/>
    <m/>
    <n v="2000"/>
    <s v="South"/>
    <s v="VISHAKHAPATNAM"/>
    <s v="SBAD"/>
    <n v="946077"/>
    <s v="SITARAM IRON AND STEEL PVT LTD"/>
    <n v="1801804"/>
    <s v="CRCA COIL-TATXXD-AU03-1X1250"/>
    <s v="C01"/>
    <s v="TATXXD"/>
    <s v="AU03"/>
    <n v="1"/>
    <n v="1250"/>
    <n v="0"/>
    <m/>
    <m/>
    <m/>
    <n v="10"/>
    <n v="1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38.815000000000005"/>
    <n v="0"/>
    <n v="38.815000000000005"/>
    <n v="38.815000000000005"/>
    <n v="0"/>
    <n v="0"/>
    <n v="-9.815000000000004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217"/>
    <n v="4"/>
    <s v="9519138217-4"/>
    <s v="Oct'25"/>
    <s v="Released"/>
    <x v="1"/>
    <s v="GL02"/>
    <s v="ACRM GP#2 TBSPL PPGL"/>
    <m/>
    <x v="3"/>
    <x v="3"/>
    <m/>
    <n v="1000"/>
    <s v="TBSPL"/>
    <s v="RAJASTHAN"/>
    <s v="BOMB"/>
    <n v="940008"/>
    <s v="TATA BLUESCOPE STEEL PVT LTD."/>
    <n v="3521298"/>
    <s v="PPGL C Y550 D0C7 0.33BMT(0.37TPT)X1220"/>
    <s v="B18"/>
    <s v="Y550PL"/>
    <s v="D0C7"/>
    <n v="0.33"/>
    <n v="1220"/>
    <n v="0"/>
    <m/>
    <m/>
    <m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060"/>
    <n v="4"/>
    <s v="9519138060-4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05T00:00:00"/>
    <s v="ZBTO"/>
    <n v="9518995071"/>
    <n v="1"/>
    <s v="9518995071-1"/>
    <s v="No Priority"/>
    <s v="Released"/>
    <x v="0"/>
    <e v="#N/A"/>
    <e v="#N/A"/>
    <m/>
    <x v="0"/>
    <x v="0"/>
    <m/>
    <n v="2000"/>
    <s v="North"/>
    <s v="KANPUR"/>
    <s v="FBAD"/>
    <n v="933952"/>
    <s v="AGARWAL STEEL TRADERS"/>
    <n v="1801290"/>
    <s v="CRCA COIL-TATXXD-AU03-0.6X1250"/>
    <s v="C01"/>
    <s v="TATXXD"/>
    <s v="AU03"/>
    <n v="0.6"/>
    <n v="1250"/>
    <n v="0"/>
    <m/>
    <m/>
    <m/>
    <n v="7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19T00:00:00"/>
    <s v="ZBTO"/>
    <n v="9519027787"/>
    <n v="1"/>
    <s v="9519027787-1"/>
    <s v="No Priority"/>
    <s v="Released"/>
    <x v="0"/>
    <s v="CR01"/>
    <s v="ACRM CRCA CTL"/>
    <m/>
    <x v="0"/>
    <x v="5"/>
    <m/>
    <n v="2000"/>
    <s v="South"/>
    <s v="VISHAKHAPATNAM"/>
    <s v="SBAD"/>
    <n v="946077"/>
    <s v="SITARAM IRON AND STEEL PVT LTD"/>
    <n v="3239540"/>
    <s v="CRCA SHEET TATCRC SR16 0.350X1000X2440"/>
    <s v="C06"/>
    <s v="TATCRC"/>
    <s v="SR16"/>
    <n v="0.35"/>
    <n v="1000"/>
    <n v="2440"/>
    <m/>
    <m/>
    <m/>
    <n v="2"/>
    <n v="3"/>
    <n v="22.998999999999999"/>
    <n v="5.8049999999999997"/>
    <n v="17.193999999999999"/>
    <n v="17.19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939999999999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5248"/>
    <n v="1"/>
    <s v="9519135248-1"/>
    <s v="Oct'25"/>
    <s v="Released"/>
    <x v="1"/>
    <s v="GL02"/>
    <s v="ACRM GP#2 TBSPL PPGL"/>
    <m/>
    <x v="3"/>
    <x v="3"/>
    <m/>
    <n v="1000"/>
    <s v="TBSPL"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3T00:00:00"/>
    <s v="ZBTO"/>
    <n v="9519135248"/>
    <n v="2"/>
    <s v="9519135248-2"/>
    <s v="Oct'25"/>
    <s v="Released"/>
    <x v="1"/>
    <s v="GL02"/>
    <s v="ACRM GP#2 TBSPL PPGL"/>
    <m/>
    <x v="3"/>
    <x v="3"/>
    <m/>
    <n v="1000"/>
    <s v="TBSPL"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060"/>
    <n v="1"/>
    <s v="9519138060-1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0"/>
    <n v="146.935"/>
    <n v="133.065"/>
    <n v="3.18"/>
    <n v="146.93500000000003"/>
    <n v="0"/>
    <n v="0"/>
    <n v="0"/>
    <n v="0"/>
    <n v="23.81"/>
    <n v="0"/>
    <n v="0"/>
    <n v="75.850000000000009"/>
    <n v="0"/>
    <n v="0"/>
    <n v="0"/>
    <n v="0"/>
    <n v="0"/>
    <n v="0"/>
    <n v="0"/>
    <n v="32.954999999999998"/>
    <n v="7.3500000000000005"/>
    <n v="54.215000000000003"/>
    <n v="194.18"/>
    <n v="61.565000000000005"/>
    <n v="132.61500000000001"/>
    <n v="0"/>
    <n v="71.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060"/>
    <n v="2"/>
    <s v="9519138060-2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0"/>
    <n v="131.9"/>
    <n v="148.09899999999999"/>
    <n v="105.14400000000001"/>
    <n v="131.89999999999998"/>
    <n v="28.74"/>
    <n v="0"/>
    <n v="0"/>
    <n v="0"/>
    <n v="0"/>
    <n v="0"/>
    <n v="31.7"/>
    <n v="53.06"/>
    <n v="0"/>
    <n v="0"/>
    <n v="0"/>
    <n v="0"/>
    <n v="0"/>
    <n v="0"/>
    <n v="0"/>
    <n v="11.59"/>
    <n v="0"/>
    <n v="82.24"/>
    <n v="207.32999999999998"/>
    <n v="82.24"/>
    <n v="125.08999999999999"/>
    <n v="0"/>
    <n v="65.85899999999999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217"/>
    <n v="9"/>
    <s v="9519138217-9"/>
    <s v="Oct'25"/>
    <s v="Released"/>
    <x v="1"/>
    <s v="GL02"/>
    <s v="ACRM GP#2 TBSPL PPGL"/>
    <m/>
    <x v="3"/>
    <x v="3"/>
    <m/>
    <n v="1000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060"/>
    <n v="5"/>
    <s v="9519138060-5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84"/>
    <n v="69.185000000000002"/>
    <n v="14.814"/>
    <n v="14.214"/>
    <n v="69.184999999999988"/>
    <n v="0"/>
    <n v="0"/>
    <n v="0"/>
    <n v="0"/>
    <n v="0"/>
    <n v="0"/>
    <n v="0"/>
    <n v="81.765000000000001"/>
    <n v="0"/>
    <n v="0"/>
    <n v="0"/>
    <n v="0"/>
    <n v="0"/>
    <n v="0"/>
    <n v="0"/>
    <n v="0"/>
    <n v="0"/>
    <n v="0"/>
    <n v="81.765000000000001"/>
    <n v="0"/>
    <n v="81.765000000000001"/>
    <n v="0"/>
    <n v="14.81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426"/>
    <n v="1"/>
    <s v="9519138426-1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426"/>
    <n v="5"/>
    <s v="9519138426-5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1298"/>
    <s v="PPGL C Y550 D0C7 0.33BMT(0.37TPT)X1220"/>
    <s v="B18"/>
    <s v="Y550PL"/>
    <s v="D0C7"/>
    <n v="0.33"/>
    <n v="1220"/>
    <n v="0"/>
    <m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O"/>
    <n v="9519099083"/>
    <n v="2"/>
    <s v="9519099083-2"/>
    <s v="No Priority"/>
    <s v="Released"/>
    <x v="0"/>
    <e v="#N/A"/>
    <e v="#N/A"/>
    <m/>
    <x v="0"/>
    <x v="0"/>
    <m/>
    <n v="2000"/>
    <s v="North"/>
    <s v="FARIDABAD"/>
    <s v="FBAD"/>
    <n v="926346"/>
    <s v="GRG STEELS PVT. LTD."/>
    <n v="1801022"/>
    <s v="CRCA COIL-TATXXD-AU03-0.45X1250"/>
    <s v="C01"/>
    <s v="TATXXD"/>
    <s v="AU03"/>
    <n v="0.45"/>
    <n v="1250"/>
    <n v="0"/>
    <m/>
    <m/>
    <m/>
    <n v="10"/>
    <n v="30"/>
    <n v="87"/>
    <n v="0"/>
    <n v="87"/>
    <n v="3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426"/>
    <n v="2"/>
    <s v="9519138426-2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426"/>
    <n v="3"/>
    <s v="9519138426-3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426"/>
    <n v="4"/>
    <s v="9519138426-4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426"/>
    <n v="6"/>
    <s v="9519138426-6"/>
    <s v="Oct'25"/>
    <s v="Released"/>
    <x v="1"/>
    <s v="GL02"/>
    <s v="ACRM GP#2 TBSPL PPGL"/>
    <m/>
    <x v="3"/>
    <x v="3"/>
    <m/>
    <n v="1000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37724"/>
    <n v="4"/>
    <s v="9519137724-4"/>
    <s v="No Priority"/>
    <s v="Released"/>
    <x v="0"/>
    <s v="GP03"/>
    <s v="ACRM GP#3 NARROW"/>
    <m/>
    <x v="2"/>
    <x v="6"/>
    <m/>
    <n v="2000"/>
    <s v="East"/>
    <m/>
    <m/>
    <n v="936511"/>
    <s v="SAGAR STEELS PROCESSING &amp; MANUFACTU"/>
    <n v="1142896"/>
    <m/>
    <s v="C02"/>
    <m/>
    <s v="GLK1"/>
    <n v="0.5500000000000000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37724"/>
    <n v="2"/>
    <s v="9519137724-2"/>
    <s v="Oct'25"/>
    <s v="Released"/>
    <x v="1"/>
    <s v="GP02"/>
    <s v="ACRM GP#3 WIDER SOFT"/>
    <m/>
    <x v="2"/>
    <x v="13"/>
    <m/>
    <n v="2000"/>
    <s v="East"/>
    <m/>
    <m/>
    <n v="936511"/>
    <s v="SAGAR STEELS PROCESSING &amp; MANUFACTU"/>
    <n v="1300229"/>
    <m/>
    <s v="C02"/>
    <m/>
    <s v="GLK1"/>
    <n v="0.4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36821"/>
    <n v="1"/>
    <s v="9519136821-1"/>
    <s v="No Priority"/>
    <s v="Released"/>
    <x v="0"/>
    <s v="GP03"/>
    <s v="ACRM GP#3 NARROW"/>
    <m/>
    <x v="2"/>
    <x v="6"/>
    <m/>
    <n v="2000"/>
    <s v="North"/>
    <m/>
    <m/>
    <n v="931235"/>
    <s v="K D J P STEELS PVT LTD"/>
    <n v="1851065"/>
    <m/>
    <s v="C02"/>
    <m/>
    <s v="GK09"/>
    <n v="0.2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36994"/>
    <n v="3"/>
    <s v="9519136994-3"/>
    <s v="Oct'25"/>
    <s v="Released"/>
    <x v="1"/>
    <s v="GP03"/>
    <s v="ACRM GP#3 NARROW"/>
    <m/>
    <x v="2"/>
    <x v="11"/>
    <m/>
    <n v="2000"/>
    <s v="North"/>
    <m/>
    <m/>
    <n v="115190"/>
    <s v="SHEYRUB AGENCIES"/>
    <n v="3897501"/>
    <m/>
    <s v="C05"/>
    <m/>
    <s v="GPH3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36994"/>
    <n v="2"/>
    <s v="9519136994-2"/>
    <s v="Oct'25"/>
    <s v="Released"/>
    <x v="1"/>
    <s v="GP03"/>
    <s v="ACRM GP#3 NARROW"/>
    <m/>
    <x v="2"/>
    <x v="11"/>
    <m/>
    <n v="2000"/>
    <s v="North"/>
    <m/>
    <m/>
    <n v="115190"/>
    <s v="SHEYRUB AGENCIES"/>
    <n v="3897430"/>
    <m/>
    <s v="C05"/>
    <m/>
    <s v="GPH3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36994"/>
    <n v="1"/>
    <s v="9519136994-1"/>
    <s v="Oct'25"/>
    <s v="Released"/>
    <x v="1"/>
    <s v="GP03"/>
    <s v="ACRM GP#3 NARROW"/>
    <m/>
    <x v="2"/>
    <x v="11"/>
    <m/>
    <n v="2000"/>
    <s v="North"/>
    <m/>
    <m/>
    <n v="115190"/>
    <s v="SHEYRUB AGENCIES"/>
    <n v="3897429"/>
    <m/>
    <s v="C05"/>
    <m/>
    <s v="GPH3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5T00:00:00"/>
    <s v="ZBTO"/>
    <n v="9519141094"/>
    <n v="1"/>
    <s v="9519141094-1"/>
    <s v="Oct'25"/>
    <s v="Released"/>
    <x v="1"/>
    <s v="GP03"/>
    <s v="ACRM GP#3 NARROW"/>
    <m/>
    <x v="2"/>
    <x v="6"/>
    <m/>
    <n v="2000"/>
    <s v="North"/>
    <s v="Uttar Pradesh"/>
    <m/>
    <n v="933952"/>
    <s v="AGARWAL STEEL TRADERS"/>
    <n v="1854418"/>
    <s v="GP COIL SOFT-TATXGP-GK09-0.5X900"/>
    <s v="C02"/>
    <s v="TATXGP"/>
    <s v="GK09"/>
    <n v="0.5"/>
    <n v="900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5T00:00:00"/>
    <s v="ZBTO"/>
    <n v="9519141143"/>
    <n v="1"/>
    <s v="9519141143-1"/>
    <s v="Oct'25"/>
    <s v="Released"/>
    <x v="1"/>
    <s v="GP03"/>
    <s v="ACRM GP#3 NARROW"/>
    <m/>
    <x v="2"/>
    <x v="6"/>
    <m/>
    <n v="2000"/>
    <s v="North"/>
    <s v="Uttar Pradesh"/>
    <m/>
    <n v="931525"/>
    <s v="INDIA STEEL INDUSTRIES"/>
    <n v="1191955"/>
    <s v="GP COIL SOFT-TATXGP-GK09-0.3X900"/>
    <s v="C02"/>
    <s v="TATXGP"/>
    <s v="GK09"/>
    <n v="0.3"/>
    <n v="900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5T00:00:00"/>
    <s v="ZBTO"/>
    <n v="9519141143"/>
    <n v="2"/>
    <s v="9519141143-2"/>
    <s v="Oct'25"/>
    <s v="Released"/>
    <x v="1"/>
    <s v="GP03"/>
    <s v="ACRM GP#3 NARROW"/>
    <m/>
    <x v="2"/>
    <x v="6"/>
    <m/>
    <n v="2000"/>
    <s v="North"/>
    <s v="Uttar Pradesh"/>
    <m/>
    <n v="931525"/>
    <s v="INDIA STEEL INDUSTRIES"/>
    <n v="1191956"/>
    <s v="GP COIL SOFT-TATXGP-GK09-0.35X900"/>
    <s v="C02"/>
    <s v="TATXGP"/>
    <s v="GK09"/>
    <n v="0.35"/>
    <n v="900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5T00:00:00"/>
    <s v="ZBTO"/>
    <n v="9519141143"/>
    <n v="3"/>
    <s v="9519141143-3"/>
    <s v="Oct'25"/>
    <s v="Released"/>
    <x v="1"/>
    <s v="GP03"/>
    <s v="ACRM GP#3 NARROW"/>
    <m/>
    <x v="2"/>
    <x v="6"/>
    <m/>
    <n v="2000"/>
    <s v="North"/>
    <s v="Uttar Pradesh"/>
    <m/>
    <n v="931525"/>
    <s v="INDIA STEEL INDUSTRIES"/>
    <n v="1178439"/>
    <s v="GP COIL SOFT-TATXGP-GK09-0.4X900"/>
    <s v="C02"/>
    <s v="TATXGP"/>
    <s v="GK09"/>
    <n v="0.4"/>
    <n v="900"/>
    <n v="0"/>
    <m/>
    <n v="80"/>
    <m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5T00:00:00"/>
    <s v="ZBTO"/>
    <n v="9519141143"/>
    <n v="4"/>
    <s v="9519141143-4"/>
    <s v="Oct'25"/>
    <s v="Released"/>
    <x v="1"/>
    <s v="GP03"/>
    <s v="ACRM GP#3 NARROW"/>
    <m/>
    <x v="2"/>
    <x v="6"/>
    <m/>
    <n v="2000"/>
    <s v="North"/>
    <s v="Uttar Pradesh"/>
    <m/>
    <n v="931525"/>
    <s v="INDIA STEEL INDUSTRIES"/>
    <n v="1854418"/>
    <s v="GP COIL SOFT-TATXGP-GK09-0.5X900"/>
    <s v="C02"/>
    <s v="TATXGP"/>
    <s v="GK09"/>
    <n v="0.5"/>
    <n v="900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7706"/>
    <n v="1"/>
    <s v="9519137706-1"/>
    <s v="Oct'25"/>
    <s v="Released"/>
    <x v="1"/>
    <s v="GP03"/>
    <s v="ACRM GP#3 NARROW"/>
    <m/>
    <x v="2"/>
    <x v="6"/>
    <m/>
    <n v="2000"/>
    <s v="East"/>
    <s v="Assam"/>
    <m/>
    <n v="116649"/>
    <s v="SAGAR STEELS"/>
    <n v="1853143"/>
    <s v="GP COIL SOFT-TATXGP-GLK1-0.4X900"/>
    <s v="C02"/>
    <s v="TATXGP"/>
    <s v="GLK1"/>
    <n v="0.4"/>
    <n v="900"/>
    <n v="0"/>
    <m/>
    <s v=""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7706"/>
    <n v="2"/>
    <s v="9519137706-2"/>
    <s v="Oct'25"/>
    <s v="Released"/>
    <x v="1"/>
    <s v="GP03"/>
    <s v="ACRM GP#3 NARROW"/>
    <m/>
    <x v="2"/>
    <x v="6"/>
    <m/>
    <n v="2000"/>
    <s v="East"/>
    <s v="Assam"/>
    <m/>
    <n v="116649"/>
    <s v="SAGAR STEELS"/>
    <n v="1142896"/>
    <s v="GP COIL SOFT-TATXGP-GLK1-0.55X900"/>
    <s v="C02"/>
    <s v="TATXGP"/>
    <s v="GLK1"/>
    <n v="0.55000000000000004"/>
    <n v="900"/>
    <n v="0"/>
    <m/>
    <s v=""/>
    <m/>
    <n v="6"/>
    <n v="24"/>
    <n v="63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7706"/>
    <n v="3"/>
    <s v="9519137706-3"/>
    <s v="Oct'25"/>
    <s v="Released"/>
    <x v="1"/>
    <s v="GP03"/>
    <s v="ACRM GP#3 NARROW"/>
    <m/>
    <x v="2"/>
    <x v="6"/>
    <m/>
    <n v="2000"/>
    <s v="East"/>
    <s v="Assam"/>
    <m/>
    <n v="116649"/>
    <s v="SAGAR STEELS"/>
    <n v="1142897"/>
    <s v="GP COIL SOFT-TATXGP-GLK1-0.6X900"/>
    <s v="C02"/>
    <s v="TATXGP"/>
    <s v="GLK1"/>
    <n v="0.6"/>
    <n v="900"/>
    <n v="0"/>
    <m/>
    <s v=""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7706"/>
    <n v="6"/>
    <s v="9519137706-6"/>
    <s v="Oct'25"/>
    <s v="Released"/>
    <x v="1"/>
    <s v="GP02"/>
    <s v="ACRM GP#3 WIDER SOFT"/>
    <m/>
    <x v="2"/>
    <x v="13"/>
    <m/>
    <n v="2000"/>
    <s v="East"/>
    <s v="Assam"/>
    <m/>
    <n v="116649"/>
    <s v="SAGAR STEELS"/>
    <n v="2233645"/>
    <s v="GP COIL SOFT TATXGP GLK1 0.35X1220"/>
    <s v="C02"/>
    <s v="TATXGP"/>
    <s v="GLK1"/>
    <n v="0.35"/>
    <n v="1220"/>
    <n v="0"/>
    <m/>
    <s v=""/>
    <m/>
    <n v="6"/>
    <n v="24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7706"/>
    <n v="7"/>
    <s v="9519137706-7"/>
    <s v="Oct'25"/>
    <s v="Released"/>
    <x v="1"/>
    <s v="GP02"/>
    <s v="ACRM GP#3 WIDER SOFT"/>
    <m/>
    <x v="2"/>
    <x v="13"/>
    <m/>
    <n v="2000"/>
    <s v="East"/>
    <s v="Assam"/>
    <m/>
    <n v="116649"/>
    <s v="SAGAR STEELS"/>
    <n v="1300229"/>
    <s v="GP COIL SOFT-TATXGP-GLK1-0.4X1220"/>
    <s v="C02"/>
    <s v="TATXGP"/>
    <s v="GLK1"/>
    <n v="0.4"/>
    <n v="1220"/>
    <n v="0"/>
    <m/>
    <s v=""/>
    <m/>
    <n v="6"/>
    <n v="24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7706"/>
    <n v="8"/>
    <s v="9519137706-8"/>
    <s v="Oct'25"/>
    <s v="Released"/>
    <x v="1"/>
    <s v="GP03"/>
    <s v="ACRM GP#3 NARROW"/>
    <m/>
    <x v="2"/>
    <x v="6"/>
    <m/>
    <n v="2000"/>
    <s v="East"/>
    <s v="Assam"/>
    <m/>
    <n v="116649"/>
    <s v="SAGAR STEELS"/>
    <n v="1142893"/>
    <s v="GP COIL SOFT-TATXGP-GLK1-0.35X900"/>
    <s v="C02"/>
    <s v="TATXGP"/>
    <s v="GLK1"/>
    <n v="0.35"/>
    <n v="900"/>
    <n v="0"/>
    <m/>
    <s v=""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7724"/>
    <n v="1"/>
    <s v="9519137724-1"/>
    <s v="Oct'25"/>
    <s v="Released"/>
    <x v="1"/>
    <s v="GP02"/>
    <s v="ACRM GP#3 WIDER SOFT"/>
    <m/>
    <x v="2"/>
    <x v="13"/>
    <m/>
    <n v="2000"/>
    <s v="East"/>
    <s v="Assam"/>
    <m/>
    <n v="936511"/>
    <s v="SAGAR STEELS PROCESSING &amp; MANU"/>
    <n v="2233645"/>
    <s v="GP COIL SOFT TATXGP GLK1 0.35X1220"/>
    <s v="C02"/>
    <s v="TATXGP"/>
    <s v="GLK1"/>
    <n v="0.35"/>
    <n v="1220"/>
    <n v="0"/>
    <m/>
    <s v=""/>
    <m/>
    <n v="6"/>
    <n v="24"/>
    <n v="56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4T00:00:00"/>
    <s v="ZBTO"/>
    <n v="9519137724"/>
    <n v="5"/>
    <s v="9519137724-5"/>
    <s v="Oct'25"/>
    <s v="Released"/>
    <x v="1"/>
    <s v="GP02"/>
    <s v="ACRM GP#3 WIDER SOFT"/>
    <m/>
    <x v="2"/>
    <x v="13"/>
    <m/>
    <n v="2000"/>
    <s v="East"/>
    <s v="Assam"/>
    <m/>
    <n v="936511"/>
    <s v="SAGAR STEELS PROCESSING &amp; MANU"/>
    <n v="3671523"/>
    <s v="GP COIL TATXGP GLK2 0.450X1220"/>
    <s v="C02"/>
    <s v="TATXGP"/>
    <s v="GLK2"/>
    <n v="0.45"/>
    <n v="1220"/>
    <n v="0"/>
    <m/>
    <s v=""/>
    <m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09-18T00:00:00"/>
    <s v="ZBTF"/>
    <n v="9519115421"/>
    <n v="1"/>
    <s v="9519115421-1"/>
    <s v="Oct'25"/>
    <s v="Released"/>
    <x v="1"/>
    <s v="CR03"/>
    <s v="ACRM CRCA SPM"/>
    <m/>
    <x v="0"/>
    <x v="7"/>
    <m/>
    <n v="2000"/>
    <s v="South"/>
    <m/>
    <m/>
    <n v="76004"/>
    <s v="TUBES DIVISION"/>
    <n v="2150940"/>
    <s v="CRCA COIL SA1008 TU98 1.200X1250"/>
    <s v="C01"/>
    <s v="SA1008"/>
    <s v="TU98"/>
    <n v="1.2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09-18T00:00:00"/>
    <s v="ZBTF"/>
    <n v="9519115421"/>
    <n v="3"/>
    <s v="9519115421-3"/>
    <s v="Oct'25"/>
    <s v="Released"/>
    <x v="1"/>
    <s v="CR03"/>
    <s v="ACRM CRCA SPM"/>
    <m/>
    <x v="0"/>
    <x v="7"/>
    <m/>
    <n v="2000"/>
    <s v="South"/>
    <m/>
    <m/>
    <n v="76004"/>
    <s v="TUBES DIVISION"/>
    <n v="2150938"/>
    <s v="CRCA COIL SA1008 TU98 1X1250"/>
    <s v="C01"/>
    <s v="SA1008"/>
    <s v="TU98"/>
    <n v="1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09-18T00:00:00"/>
    <s v="ZBTF"/>
    <n v="9519115421"/>
    <n v="4"/>
    <s v="9519115421-4"/>
    <s v="Oct'25"/>
    <s v="Released"/>
    <x v="1"/>
    <s v="CR03"/>
    <s v="ACRM CRCA SPM"/>
    <m/>
    <x v="0"/>
    <x v="7"/>
    <m/>
    <n v="2000"/>
    <s v="South"/>
    <m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09-18T00:00:00"/>
    <s v="ZBTF"/>
    <n v="9519115421"/>
    <n v="5"/>
    <s v="9519115421-5"/>
    <s v="Oct'25"/>
    <s v="Released"/>
    <x v="1"/>
    <s v="CR03"/>
    <s v="ACRM CRCA SPM"/>
    <m/>
    <x v="0"/>
    <x v="7"/>
    <m/>
    <n v="2000"/>
    <s v="South"/>
    <m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09-18T00:00:00"/>
    <s v="ZBTF"/>
    <n v="9519115421"/>
    <n v="7"/>
    <s v="9519115421-7"/>
    <s v="Oct'25"/>
    <s v="Released"/>
    <x v="1"/>
    <s v="CR03"/>
    <s v="ACRM CRCA SPM"/>
    <m/>
    <x v="0"/>
    <x v="7"/>
    <n v="1300"/>
    <n v="2000"/>
    <s v="South"/>
    <m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09-18T00:00:00"/>
    <s v="ZBTF"/>
    <n v="9519115421"/>
    <n v="8"/>
    <s v="9519115421-8"/>
    <s v="Oct'25"/>
    <s v="Released"/>
    <x v="1"/>
    <s v="CR03"/>
    <s v="ACRM CRCA SPM"/>
    <m/>
    <x v="0"/>
    <x v="7"/>
    <m/>
    <n v="2000"/>
    <s v="South"/>
    <m/>
    <m/>
    <n v="76004"/>
    <s v="TUBES DIVISION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87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92"/>
    <d v="2025-09-26T00:00:00"/>
    <s v="ZBTF"/>
    <n v="9519145140"/>
    <n v="1"/>
    <s v="9519145140-1"/>
    <s v="Oct'25"/>
    <s v="Released"/>
    <x v="1"/>
    <s v="GP03"/>
    <s v="ACRM GP#3 NARROW"/>
    <m/>
    <x v="2"/>
    <x v="11"/>
    <m/>
    <n v="2000"/>
    <s v="East"/>
    <m/>
    <m/>
    <n v="651192"/>
    <s v="Angul Galvanizing Plant"/>
    <n v="3777533"/>
    <s v="GP COIL TATGPH GP02 0.500X1015"/>
    <s v="C05"/>
    <s v="TATGPH"/>
    <s v="GP02"/>
    <n v="0.5"/>
    <n v="1015"/>
    <n v="92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92"/>
    <d v="2025-09-26T00:00:00"/>
    <s v="ZBTF"/>
    <n v="9519145140"/>
    <n v="2"/>
    <s v="9519145140-2"/>
    <s v="Oct'25"/>
    <s v="Released"/>
    <x v="1"/>
    <s v="GP01"/>
    <s v="ACRM GP#3 WIDER HARD"/>
    <m/>
    <x v="2"/>
    <x v="10"/>
    <m/>
    <n v="2000"/>
    <s v="East"/>
    <m/>
    <m/>
    <n v="651192"/>
    <s v="Angul Galvanizing Plant"/>
    <n v="3767014"/>
    <s v="GP COIL TATGPH GP02 0.400X1350"/>
    <s v="C05"/>
    <s v="TATGPH"/>
    <s v="GP02"/>
    <n v="0.4"/>
    <n v="1350"/>
    <n v="93"/>
    <m/>
    <m/>
    <m/>
    <m/>
    <m/>
    <n v="93"/>
    <n v="0"/>
    <n v="92.998999999999995"/>
    <n v="3.0089999999999999"/>
    <n v="0"/>
    <n v="0"/>
    <n v="0"/>
    <n v="0"/>
    <n v="0"/>
    <n v="0"/>
    <n v="89.99"/>
    <n v="0"/>
    <n v="0"/>
    <n v="0"/>
    <n v="0"/>
    <n v="0"/>
    <n v="0"/>
    <n v="0"/>
    <n v="0"/>
    <n v="0"/>
    <n v="0"/>
    <n v="0"/>
    <n v="0"/>
    <n v="89.99"/>
    <n v="0"/>
    <n v="89.99"/>
    <n v="0"/>
    <n v="92.99899999999999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92"/>
    <d v="2025-09-26T00:00:00"/>
    <s v="ZBTF"/>
    <n v="9519145140"/>
    <n v="3"/>
    <s v="9519145140-3"/>
    <s v="Oct'25"/>
    <s v="Released"/>
    <x v="1"/>
    <s v="GP01"/>
    <s v="ACRM GP#3 WIDER HARD"/>
    <m/>
    <x v="2"/>
    <x v="10"/>
    <m/>
    <n v="2000"/>
    <s v="East"/>
    <m/>
    <m/>
    <n v="651192"/>
    <s v="Angul Galvanizing Plant"/>
    <n v="3708868"/>
    <s v="GP COIL TATGPH GP02 0.500X1350"/>
    <s v="C05"/>
    <s v="TATGPH"/>
    <s v="GP02"/>
    <n v="0.5"/>
    <n v="1350"/>
    <n v="217"/>
    <m/>
    <m/>
    <m/>
    <m/>
    <m/>
    <n v="217"/>
    <n v="0"/>
    <n v="216.999"/>
    <n v="96.569000000000003"/>
    <n v="0"/>
    <n v="0"/>
    <n v="0"/>
    <n v="0"/>
    <n v="0"/>
    <n v="0"/>
    <n v="120.43"/>
    <n v="0"/>
    <n v="0"/>
    <n v="0"/>
    <n v="0"/>
    <n v="0"/>
    <n v="0"/>
    <n v="0"/>
    <n v="0"/>
    <n v="0"/>
    <n v="0"/>
    <n v="0"/>
    <n v="0"/>
    <n v="120.43"/>
    <n v="0"/>
    <n v="120.43"/>
    <n v="0"/>
    <n v="216.99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92"/>
    <d v="2025-09-26T00:00:00"/>
    <s v="ZBTF"/>
    <n v="9519145140"/>
    <n v="4"/>
    <s v="9519145140-4"/>
    <s v="Oct'25"/>
    <s v="Released"/>
    <x v="1"/>
    <s v="GP01"/>
    <s v="ACRM GP#3 WIDER HARD"/>
    <m/>
    <x v="2"/>
    <x v="10"/>
    <m/>
    <n v="2000"/>
    <s v="East"/>
    <m/>
    <m/>
    <n v="651192"/>
    <s v="Angul Galvanizing Plant"/>
    <n v="3767015"/>
    <s v="GP COIL TATGPH GP02 0.600X1350"/>
    <s v="C05"/>
    <s v="TATGPH"/>
    <s v="GP02"/>
    <n v="0.6"/>
    <n v="1350"/>
    <n v="93"/>
    <m/>
    <m/>
    <m/>
    <m/>
    <m/>
    <n v="93"/>
    <n v="0"/>
    <n v="93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8-01T00:00:00"/>
    <s v="ZBTO"/>
    <n v="9518972501"/>
    <n v="1"/>
    <s v="9518972501-1"/>
    <s v="No Priority"/>
    <s v="Released"/>
    <x v="0"/>
    <s v="GL03"/>
    <s v="ACRM GP#2 NON TBSPL"/>
    <m/>
    <x v="4"/>
    <x v="12"/>
    <m/>
    <n v="1000"/>
    <s v="West"/>
    <s v="SANAND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m/>
    <m/>
    <n v="327"/>
    <n v="305.75"/>
    <n v="21.25"/>
    <n v="-4.0199999999999996"/>
    <n v="0"/>
    <n v="0"/>
    <n v="0"/>
    <n v="0"/>
    <n v="0"/>
    <n v="25.27"/>
    <n v="0"/>
    <n v="0"/>
    <n v="0"/>
    <n v="0"/>
    <n v="0"/>
    <n v="0"/>
    <n v="0"/>
    <n v="0"/>
    <n v="0"/>
    <n v="0"/>
    <n v="0"/>
    <n v="0"/>
    <n v="0"/>
    <n v="25.27"/>
    <n v="25.27"/>
    <n v="0"/>
    <n v="0"/>
    <n v="-4.019999999999999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6T00:00:00"/>
    <s v="ZBTO"/>
    <n v="9519144743"/>
    <n v="1"/>
    <s v="9519144743-1"/>
    <s v="No Priority"/>
    <s v="Released"/>
    <x v="0"/>
    <s v="CR02"/>
    <s v="ACRM CRCA CRS"/>
    <m/>
    <x v="0"/>
    <x v="14"/>
    <m/>
    <n v="2200"/>
    <s v="North"/>
    <s v="ZOSOLA"/>
    <m/>
    <n v="184986"/>
    <s v="SWASTIK STEEL PROCESSOR LLP"/>
    <n v="2439201"/>
    <s v="CRCA COIL TSBSTA EL06 0.500X1170"/>
    <s v="C01"/>
    <s v="TSBSTA"/>
    <s v="EL06"/>
    <n v="0.5"/>
    <n v="1170"/>
    <n v="0"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6T00:00:00"/>
    <s v="ZBTO"/>
    <n v="9519144743"/>
    <n v="2"/>
    <s v="9519144743-2"/>
    <s v="No Priority"/>
    <s v="Released"/>
    <x v="0"/>
    <s v="CR02"/>
    <s v="ACRM CRCA CRS"/>
    <m/>
    <x v="0"/>
    <x v="14"/>
    <m/>
    <n v="2200"/>
    <s v="North"/>
    <s v="ZOSOLA"/>
    <m/>
    <n v="184986"/>
    <s v="SWASTIK STEEL PROCESSOR LLP"/>
    <n v="2439201"/>
    <s v="CRCA COIL TSBSTA EL06 0.500X1170"/>
    <s v="C01"/>
    <s v="TSBSTA"/>
    <s v="EL06"/>
    <n v="0.5"/>
    <n v="117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746"/>
    <n v="1"/>
    <s v="9519144746-1"/>
    <s v="Oct'25"/>
    <s v="Released"/>
    <x v="1"/>
    <s v="GL03"/>
    <s v="ACRM GP#2 NON TBSPL"/>
    <n v="8000"/>
    <x v="4"/>
    <x v="17"/>
    <m/>
    <n v="1000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204.01"/>
    <n v="75.989999999999995"/>
    <n v="47.11"/>
    <n v="204.01"/>
    <n v="0"/>
    <n v="0"/>
    <n v="28.400000000000002"/>
    <n v="0"/>
    <n v="113.5"/>
    <n v="0"/>
    <n v="0"/>
    <n v="0"/>
    <n v="0"/>
    <n v="0"/>
    <n v="0"/>
    <n v="0"/>
    <n v="0"/>
    <n v="0"/>
    <n v="0"/>
    <n v="0"/>
    <n v="0"/>
    <n v="0"/>
    <n v="141.9"/>
    <n v="113.5"/>
    <n v="28.400000000000006"/>
    <n v="0"/>
    <n v="-37.51000000000000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746"/>
    <n v="2"/>
    <s v="9519144746-2"/>
    <s v="Oct'25"/>
    <s v="Released"/>
    <x v="1"/>
    <s v="GL03"/>
    <s v="ACRM GP#2 NON TBSPL"/>
    <m/>
    <x v="4"/>
    <x v="17"/>
    <m/>
    <n v="1000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8-01T00:00:00"/>
    <s v="ZBTO"/>
    <n v="9518973357"/>
    <n v="1"/>
    <s v="9518973357-1"/>
    <s v="Oct'25"/>
    <s v="Released"/>
    <x v="1"/>
    <s v="GL03"/>
    <s v="ACRM GP#2 NON TBSPL"/>
    <m/>
    <x v="4"/>
    <x v="12"/>
    <m/>
    <n v="1000"/>
    <s v="West"/>
    <s v="LONI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m/>
    <m/>
    <n v="296.99900000000002"/>
    <n v="273.07499999999999"/>
    <n v="23.923999999999999"/>
    <n v="23.92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2399999999999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199"/>
    <n v="1"/>
    <s v="9519146199-1"/>
    <s v="Oct'25"/>
    <s v="Released"/>
    <x v="1"/>
    <s v="GL02"/>
    <s v="ACRM GP#2 TBSPL PPGL"/>
    <m/>
    <x v="3"/>
    <x v="3"/>
    <m/>
    <n v="1000"/>
    <s v="TBSPL"/>
    <s v="RAJASTHAN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24"/>
    <n v="0"/>
    <n v="224"/>
    <n v="52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199"/>
    <n v="2"/>
    <s v="9519146199-2"/>
    <s v="Oct'25"/>
    <s v="Released"/>
    <x v="1"/>
    <s v="GL02"/>
    <s v="ACRM GP#2 TBSPL PPGL"/>
    <m/>
    <x v="3"/>
    <x v="3"/>
    <m/>
    <n v="1000"/>
    <s v="TBSPL"/>
    <s v="RAJASTHAN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68"/>
    <n v="0"/>
    <n v="168"/>
    <n v="55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199"/>
    <n v="3"/>
    <s v="9519146199-3"/>
    <s v="Oct'25"/>
    <s v="Released"/>
    <x v="1"/>
    <s v="GL02"/>
    <s v="ACRM GP#2 TBSPL PPGL"/>
    <m/>
    <x v="3"/>
    <x v="3"/>
    <m/>
    <n v="1000"/>
    <s v="TBSPL"/>
    <s v="RAJASTHAN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6T00:00:00"/>
    <s v="ZBTO"/>
    <n v="9519105467"/>
    <n v="4"/>
    <s v="9519105467-4"/>
    <s v="No Priority"/>
    <s v="Released"/>
    <x v="0"/>
    <s v="CR01"/>
    <s v="ACRM CRCA CTL"/>
    <m/>
    <x v="0"/>
    <x v="5"/>
    <m/>
    <n v="2000"/>
    <s v="East"/>
    <s v="PATNA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6T00:00:00"/>
    <s v="ZBTO"/>
    <n v="9519109787"/>
    <n v="4"/>
    <s v="9519109787-4"/>
    <s v="No Priority"/>
    <s v="Released"/>
    <x v="0"/>
    <s v="CR01"/>
    <s v="ACRM CRCA CTL"/>
    <m/>
    <x v="0"/>
    <x v="5"/>
    <m/>
    <n v="2000"/>
    <s v="East"/>
    <s v="PURNIA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746"/>
    <n v="3"/>
    <s v="9519144746-3"/>
    <s v="Oct'25"/>
    <s v="Released"/>
    <x v="1"/>
    <s v="GL03"/>
    <s v="ACRM GP#2 NON TBSPL"/>
    <m/>
    <x v="4"/>
    <x v="17"/>
    <m/>
    <n v="1000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746"/>
    <n v="4"/>
    <s v="9519144746-4"/>
    <s v="Oct'25"/>
    <s v="Released"/>
    <x v="1"/>
    <s v="GL03"/>
    <s v="ACRM GP#2 NON TBSPL"/>
    <m/>
    <x v="4"/>
    <x v="17"/>
    <m/>
    <n v="1000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746"/>
    <n v="5"/>
    <s v="9519144746-5"/>
    <s v="Oct'25"/>
    <s v="Released"/>
    <x v="1"/>
    <s v="GL03"/>
    <s v="ACRM GP#2 NON TBSPL"/>
    <m/>
    <x v="4"/>
    <x v="17"/>
    <n v="2400"/>
    <n v="1000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746"/>
    <n v="6"/>
    <s v="9519144746-6"/>
    <s v="Oct'25"/>
    <s v="Released"/>
    <x v="1"/>
    <s v="GL03"/>
    <s v="ACRM GP#2 NON TBSPL"/>
    <m/>
    <x v="4"/>
    <x v="17"/>
    <m/>
    <n v="1000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746"/>
    <n v="7"/>
    <s v="9519144746-7"/>
    <s v="Oct'25"/>
    <s v="Released"/>
    <x v="1"/>
    <s v="GL03"/>
    <s v="ACRM GP#2 NON TBSPL"/>
    <m/>
    <x v="4"/>
    <x v="17"/>
    <m/>
    <n v="1000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271"/>
    <n v="1"/>
    <s v="9519146271-1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271"/>
    <n v="6"/>
    <s v="9519146271-6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8419"/>
    <n v="1"/>
    <s v="9519148419-1"/>
    <s v="Oct'25"/>
    <s v="Released"/>
    <x v="1"/>
    <s v="GL01"/>
    <s v="ACRM GP#2 TBSPL BGL"/>
    <m/>
    <x v="4"/>
    <x v="12"/>
    <m/>
    <n v="1000"/>
    <s v="TBSPL"/>
    <s v=" 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271"/>
    <n v="2"/>
    <s v="9519146271-2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058218"/>
    <n v="2"/>
    <s v="9519058218-2"/>
    <s v="No Priority"/>
    <s v="Released"/>
    <x v="0"/>
    <s v="GP03"/>
    <s v="ACRM GP#3 NARROW"/>
    <m/>
    <x v="2"/>
    <x v="6"/>
    <m/>
    <n v="2000"/>
    <s v="West"/>
    <s v="LONI"/>
    <m/>
    <n v="931235"/>
    <s v="K D J P STEELS PVT LTD"/>
    <n v="1851066"/>
    <s v="GP COIL SOFT-TATXGP-GLK1-0.25X900"/>
    <s v="C02"/>
    <s v="TATXGP"/>
    <s v="GLK1"/>
    <n v="0.2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058218"/>
    <n v="3"/>
    <s v="9519058218-3"/>
    <s v="Oct'25"/>
    <s v="Released"/>
    <x v="1"/>
    <s v="GP02"/>
    <s v="ACRM GP#3 WIDER SOFT"/>
    <m/>
    <x v="2"/>
    <x v="13"/>
    <m/>
    <n v="2000"/>
    <s v="West"/>
    <s v="LONI"/>
    <m/>
    <n v="931235"/>
    <s v="K D J P STEELS PVT LTD"/>
    <n v="1327809"/>
    <s v="GP COIL SOFT-TATXGP-GLK1-0.3X1250"/>
    <s v="C02"/>
    <s v="TATXGP"/>
    <s v="GLK1"/>
    <n v="0.3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36821"/>
    <n v="2"/>
    <s v="9519136821-2"/>
    <s v="No Priority"/>
    <s v="Released"/>
    <x v="0"/>
    <s v="GP03"/>
    <s v="ACRM GP#3 NARROW"/>
    <m/>
    <x v="2"/>
    <x v="6"/>
    <m/>
    <n v="2000"/>
    <s v="West"/>
    <s v="LONI"/>
    <m/>
    <n v="931235"/>
    <s v="K D J P STEELS PVT LTD"/>
    <n v="1851066"/>
    <s v="GP COIL SOFT-TATXGP-GLK1-0.25X900"/>
    <s v="C02"/>
    <s v="TATXGP"/>
    <s v="GLK1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36821"/>
    <n v="3"/>
    <s v="9519136821-3"/>
    <s v="Oct'25"/>
    <s v="Released"/>
    <x v="1"/>
    <s v="GP02"/>
    <s v="ACRM GP#3 WIDER SOFT"/>
    <m/>
    <x v="2"/>
    <x v="13"/>
    <m/>
    <n v="2000"/>
    <s v="West"/>
    <s v="LONI"/>
    <m/>
    <n v="931235"/>
    <s v="K D J P STEELS PVT LTD"/>
    <n v="1300230"/>
    <s v="GP COIL SOFT-TATXGP-GLK1-0.3X1220"/>
    <s v="C02"/>
    <s v="TATXGP"/>
    <s v="GLK1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9928"/>
    <n v="2"/>
    <s v="9519149928-2"/>
    <s v="No Priority"/>
    <s v="Released"/>
    <x v="0"/>
    <s v="GP03"/>
    <s v="ACRM GP#3 NARROW"/>
    <m/>
    <x v="2"/>
    <x v="6"/>
    <m/>
    <n v="2000"/>
    <s v="North"/>
    <s v="JAIPUR"/>
    <m/>
    <n v="117583"/>
    <s v="BIHANI ENTERPRISES"/>
    <n v="1326487"/>
    <s v="GP COIL SOFT-TATXGP-GK09-0.35X1000"/>
    <s v="C02"/>
    <s v="TATXGP"/>
    <s v="GK09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271"/>
    <n v="3"/>
    <s v="9519146271-3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271"/>
    <n v="4"/>
    <s v="9519146271-4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271"/>
    <n v="5"/>
    <s v="9519146271-5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9681"/>
    <n v="1"/>
    <s v="9519149681-1"/>
    <s v="No Priority"/>
    <s v="Released"/>
    <x v="0"/>
    <s v="GP03"/>
    <s v="ACRM GP#3 NARROW"/>
    <m/>
    <x v="2"/>
    <x v="6"/>
    <m/>
    <n v="2000"/>
    <s v="North"/>
    <s v="ZOSOLA"/>
    <m/>
    <n v="183259"/>
    <s v="Rakesh Steel Inds.(P) Ltd."/>
    <n v="1178444"/>
    <s v="GP COIL SOFT-TATXGP-GK09-0.4X1000"/>
    <s v="C02"/>
    <s v="TATXGP"/>
    <s v="GK09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2T00:00:00"/>
    <s v="ZBTO"/>
    <n v="9518763387"/>
    <n v="1"/>
    <s v="9518763387-1"/>
    <s v="No Priority"/>
    <s v="Released"/>
    <x v="0"/>
    <s v="CR01"/>
    <s v="ACRM CRCA CTL"/>
    <m/>
    <x v="0"/>
    <x v="5"/>
    <m/>
    <n v="2000"/>
    <s v="North"/>
    <s v="NEW DELHI"/>
    <m/>
    <n v="101446"/>
    <s v="BANSAL BROTHERS "/>
    <n v="3240812"/>
    <s v="CRCA SHEET TSBCRC SR15 0.800X1000X2500"/>
    <s v="C06"/>
    <s v="TSBCRC"/>
    <s v="SR15"/>
    <n v="0.8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5T00:00:00"/>
    <s v="ZBTF"/>
    <n v="9519143205"/>
    <n v="1"/>
    <s v="9519143205-1"/>
    <s v="Oct'25"/>
    <s v="Released"/>
    <x v="1"/>
    <s v="CR04"/>
    <s v="ACRM CRCA TLL"/>
    <m/>
    <x v="0"/>
    <x v="8"/>
    <m/>
    <n v="1000"/>
    <s v="North"/>
    <s v="SOHNA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7"/>
    <n v="169.27"/>
    <n v="127.73"/>
    <n v="-29.55"/>
    <n v="24.39"/>
    <n v="0"/>
    <n v="0"/>
    <n v="0"/>
    <n v="0"/>
    <n v="0"/>
    <n v="0"/>
    <n v="0"/>
    <n v="0"/>
    <n v="0"/>
    <n v="0"/>
    <n v="0"/>
    <n v="288.31"/>
    <n v="0"/>
    <n v="0"/>
    <n v="0"/>
    <n v="0"/>
    <n v="0"/>
    <n v="0"/>
    <n v="288.31"/>
    <n v="0"/>
    <n v="288.31"/>
    <n v="0"/>
    <n v="127.7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9928"/>
    <n v="4"/>
    <s v="9519149928-4"/>
    <s v="Oct'25"/>
    <s v="Released"/>
    <x v="1"/>
    <s v="GP02"/>
    <s v="ACRM GP#3 WIDER SOFT"/>
    <m/>
    <x v="2"/>
    <x v="13"/>
    <m/>
    <n v="2000"/>
    <s v="North"/>
    <s v="JAIPUR"/>
    <m/>
    <n v="117583"/>
    <s v="BIHANI ENTERPRISES"/>
    <n v="1854399"/>
    <s v="GP COIL SOFT-TATXGP-GK09-0.35X1220"/>
    <s v="C02"/>
    <s v="TATXGP"/>
    <s v="GK09"/>
    <n v="0.35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9928"/>
    <n v="5"/>
    <s v="9519149928-5"/>
    <s v="No Priority"/>
    <s v="Released"/>
    <x v="0"/>
    <s v="GP02"/>
    <s v="ACRM GP#3 WIDER SOFT"/>
    <m/>
    <x v="2"/>
    <x v="13"/>
    <m/>
    <n v="2000"/>
    <s v="North"/>
    <s v="JAIPUR"/>
    <m/>
    <n v="117583"/>
    <s v="BIHANI ENTERPRISES"/>
    <n v="1854410"/>
    <s v="GP COIL SOFT-TATXGP-GK09-0.4X1220"/>
    <s v="C02"/>
    <s v="TATXGP"/>
    <s v="GK09"/>
    <n v="0.4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5T00:00:00"/>
    <s v="ZBTO"/>
    <n v="9519142346"/>
    <n v="1"/>
    <s v="9519142346-1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5T00:00:00"/>
    <s v="ZBTO"/>
    <n v="9519142346"/>
    <n v="2"/>
    <s v="9519142346-2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150"/>
    <n v="2"/>
    <s v="9519146150-2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5T00:00:00"/>
    <s v="ZBTO"/>
    <n v="9519142746"/>
    <n v="1"/>
    <s v="9519142746-1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4001001"/>
    <s v="PPGL C HARD Y550PL D0C9 0.63(TPT)X1220"/>
    <s v="B18"/>
    <s v="Y550PL"/>
    <s v="D0C9"/>
    <n v="0.63"/>
    <n v="1220"/>
    <n v="0"/>
    <m/>
    <m/>
    <m/>
    <m/>
    <m/>
    <n v="56"/>
    <n v="0"/>
    <n v="56"/>
    <n v="28.4"/>
    <n v="0"/>
    <n v="28.6"/>
    <n v="0"/>
    <n v="0"/>
    <n v="0"/>
    <n v="0"/>
    <n v="0"/>
    <n v="0"/>
    <n v="0"/>
    <n v="0"/>
    <n v="0"/>
    <n v="0"/>
    <n v="0"/>
    <n v="0"/>
    <n v="0"/>
    <n v="0"/>
    <n v="0"/>
    <n v="0"/>
    <n v="0"/>
    <n v="28.6"/>
    <n v="0"/>
    <n v="28.6"/>
    <n v="0"/>
    <n v="5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5T00:00:00"/>
    <s v="ZBTO"/>
    <n v="9519142346"/>
    <n v="3"/>
    <s v="9519142346-3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5T00:00:00"/>
    <s v="ZBTO"/>
    <n v="9519142346"/>
    <n v="4"/>
    <s v="9519142346-4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150"/>
    <n v="1"/>
    <s v="9519146150-1"/>
    <s v="Oct'25"/>
    <s v="Released"/>
    <x v="1"/>
    <s v="GL02"/>
    <s v="ACRM GP#2 TBSPL PPGL"/>
    <m/>
    <x v="3"/>
    <x v="3"/>
    <m/>
    <n v="1000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9928"/>
    <n v="1"/>
    <s v="9519149928-1"/>
    <s v="No Priority"/>
    <s v="Failed"/>
    <x v="0"/>
    <s v="GP03"/>
    <s v="ACRM GP#3 NARROW"/>
    <m/>
    <x v="2"/>
    <x v="6"/>
    <m/>
    <n v="2000"/>
    <s v="North"/>
    <s v="Rajasthan"/>
    <m/>
    <n v="117583"/>
    <s v="BIHANI ENTERPRISES"/>
    <n v="1326486"/>
    <s v="GP COIL SOFT-TATXGP-GK09-0.3X1000"/>
    <s v="C02"/>
    <s v="TATXGP"/>
    <s v="GK09"/>
    <n v="0.3"/>
    <n v="1000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9928"/>
    <n v="3"/>
    <s v="9519149928-3"/>
    <s v="No Priority"/>
    <s v="Released"/>
    <x v="0"/>
    <s v="GP02"/>
    <s v="ACRM GP#3 WIDER SOFT"/>
    <m/>
    <x v="2"/>
    <x v="13"/>
    <m/>
    <n v="2000"/>
    <s v="North"/>
    <s v="Rajasthan"/>
    <m/>
    <n v="117583"/>
    <s v="BIHANI ENTERPRISES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936"/>
    <n v="4"/>
    <s v="9519144936-4"/>
    <s v="Oct'25"/>
    <s v="Released"/>
    <x v="0"/>
    <s v="GL03"/>
    <s v="ACRM GP#2 NON TBSPL"/>
    <m/>
    <x v="4"/>
    <x v="12"/>
    <m/>
    <n v="1000"/>
    <s v="South"/>
    <s v="Telangana"/>
    <m/>
    <n v="188152"/>
    <s v="Metalkraft Limited"/>
    <n v="3886090"/>
    <s v="GL COIL HARD  Y550GL GL6H 0.900X1250"/>
    <s v="B04"/>
    <s v="Y550GL"/>
    <s v="GL6H"/>
    <n v="0.9"/>
    <n v="1250"/>
    <n v="0"/>
    <m/>
    <n v="150"/>
    <m/>
    <n v="8"/>
    <n v="12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9703"/>
    <n v="1"/>
    <s v="9519149703-1"/>
    <s v="No Priority"/>
    <s v="Failed"/>
    <x v="0"/>
    <s v="GP03"/>
    <s v="ACRM GP#3 NARROW"/>
    <m/>
    <x v="2"/>
    <x v="6"/>
    <m/>
    <n v="2000"/>
    <s v="North"/>
    <s v="Delhi"/>
    <m/>
    <n v="183259"/>
    <s v="Rakesh Steel Inds.(P) Ltd.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8419"/>
    <n v="3"/>
    <s v="9519148419-3"/>
    <s v="Oct'25"/>
    <s v="Released"/>
    <x v="1"/>
    <s v="GL01"/>
    <s v="ACRM GP#2 TBSPL BGL"/>
    <m/>
    <x v="4"/>
    <x v="12"/>
    <m/>
    <n v="1000"/>
    <s v="TBSPL"/>
    <s v="Jharkhand"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8419"/>
    <n v="4"/>
    <s v="9519148419-4"/>
    <s v="Oct'25"/>
    <s v="Released"/>
    <x v="1"/>
    <s v="GL01"/>
    <s v="ACRM GP#2 TBSPL BGL"/>
    <m/>
    <x v="4"/>
    <x v="12"/>
    <n v="5000"/>
    <n v="1000"/>
    <s v="TBSPL"/>
    <s v="Jharkhand"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150"/>
    <n v="3"/>
    <s v="9519146150-3"/>
    <s v="Oct'25"/>
    <s v="Released"/>
    <x v="1"/>
    <s v="GL02"/>
    <s v="ACRM GP#2 TBSPL PPGL"/>
    <m/>
    <x v="3"/>
    <x v="3"/>
    <m/>
    <n v="1000"/>
    <s v="TBSPL"/>
    <s v="Jharkhand"/>
    <m/>
    <n v="940016"/>
    <s v="TATA BLUESCOPE STEEL PVT LTD.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199"/>
    <n v="5"/>
    <s v="9519146199-5"/>
    <s v="Oct'25"/>
    <s v="Released"/>
    <x v="1"/>
    <s v="GL02"/>
    <s v="ACRM GP#2 TBSPL PPGL"/>
    <m/>
    <x v="3"/>
    <x v="3"/>
    <m/>
    <n v="1000"/>
    <s v="TBSPL"/>
    <s v="Rajasthan"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936"/>
    <n v="1"/>
    <s v="9519144936-1"/>
    <s v="Oct'25"/>
    <s v="Released"/>
    <x v="1"/>
    <s v="GL03"/>
    <s v="ACRM GP#2 NON TBSPL"/>
    <m/>
    <x v="4"/>
    <x v="12"/>
    <m/>
    <n v="1000"/>
    <s v="South"/>
    <s v="Telangana"/>
    <m/>
    <n v="188152"/>
    <s v="Metalkraft Limited"/>
    <n v="3886090"/>
    <s v="GL COIL HARD  Y550GL GL6H 0.900X1250"/>
    <s v="B04"/>
    <s v="Y550GL"/>
    <s v="GL6H"/>
    <n v="0.9"/>
    <n v="1250"/>
    <n v="0"/>
    <m/>
    <n v="150"/>
    <m/>
    <n v="8"/>
    <n v="12"/>
    <n v="261"/>
    <n v="9.35"/>
    <n v="251.65"/>
    <n v="251.65"/>
    <n v="9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6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936"/>
    <n v="2"/>
    <s v="9519144936-2"/>
    <s v="Oct'25"/>
    <s v="Released"/>
    <x v="1"/>
    <s v="GL03"/>
    <s v="ACRM GP#2 NON TBSPL"/>
    <m/>
    <x v="4"/>
    <x v="12"/>
    <m/>
    <n v="1000"/>
    <s v="South"/>
    <s v="Telangana"/>
    <m/>
    <n v="188152"/>
    <s v="Metalkraft Limited"/>
    <n v="3886090"/>
    <s v="GL COIL HARD  Y550GL GL6H 0.900X1250"/>
    <s v="B04"/>
    <s v="Y550GL"/>
    <s v="GL6H"/>
    <n v="0.9"/>
    <n v="1250"/>
    <n v="0"/>
    <m/>
    <n v="150"/>
    <m/>
    <n v="8"/>
    <n v="12"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936"/>
    <n v="3"/>
    <s v="9519144936-3"/>
    <s v="Oct'25"/>
    <s v="Released"/>
    <x v="0"/>
    <s v="GL03"/>
    <s v="ACRM GP#2 NON TBSPL"/>
    <m/>
    <x v="4"/>
    <x v="12"/>
    <m/>
    <n v="1000"/>
    <s v="South"/>
    <s v="Telangana"/>
    <m/>
    <n v="188152"/>
    <s v="Metalkraft Limited"/>
    <n v="3886090"/>
    <s v="GL COIL HARD  Y550GL GL6H 0.900X1250"/>
    <s v="B04"/>
    <s v="Y550GL"/>
    <s v="GL6H"/>
    <n v="0.9"/>
    <n v="1250"/>
    <n v="0"/>
    <m/>
    <n v="150"/>
    <m/>
    <n v="8"/>
    <n v="12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746"/>
    <n v="8"/>
    <s v="9519144746-8"/>
    <s v="Oct'25"/>
    <s v="Released"/>
    <x v="1"/>
    <s v="GL03"/>
    <s v="ACRM GP#2 NON TBSPL"/>
    <m/>
    <x v="4"/>
    <x v="17"/>
    <m/>
    <n v="1000"/>
    <s v="East"/>
    <s v="West Bengal"/>
    <m/>
    <n v="101122"/>
    <s v="JINDAL INDIA LIMITED"/>
    <n v="3988091"/>
    <s v="GL COIL HARD  Y550GL H7GL 0.440X1240"/>
    <s v="B04"/>
    <s v="Y550GL"/>
    <s v="H7GL"/>
    <n v="0.44"/>
    <n v="1240"/>
    <n v="0"/>
    <m/>
    <n v="70"/>
    <m/>
    <n v="7.0010000000000003"/>
    <n v="28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746"/>
    <n v="9"/>
    <s v="9519144746-9"/>
    <s v="Oct'25"/>
    <s v="Released"/>
    <x v="1"/>
    <s v="GL03"/>
    <s v="ACRM GP#2 NON TBSPL"/>
    <m/>
    <x v="4"/>
    <x v="17"/>
    <m/>
    <n v="1000"/>
    <s v="East"/>
    <s v="West Bengal"/>
    <m/>
    <n v="101122"/>
    <s v="JINDAL INDIA LIMITED"/>
    <n v="3988091"/>
    <s v="GL COIL HARD  Y550GL H7GL 0.440X1240"/>
    <s v="B04"/>
    <s v="Y550GL"/>
    <s v="H7GL"/>
    <n v="0.44"/>
    <n v="1240"/>
    <n v="0"/>
    <m/>
    <n v="70"/>
    <m/>
    <n v="7.0010000000000003"/>
    <n v="28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5T00:00:00"/>
    <s v="ZBTO"/>
    <n v="9519142211"/>
    <n v="1"/>
    <s v="9519142211-1"/>
    <s v="Oct'25"/>
    <s v="Released"/>
    <x v="1"/>
    <s v="GL01"/>
    <s v="ACRM GP#2 TBSPL BGL"/>
    <m/>
    <x v="4"/>
    <x v="3"/>
    <m/>
    <n v="1000"/>
    <s v="TBSPL"/>
    <m/>
    <m/>
    <n v="942284"/>
    <s v="TATA BLUESCOPE STEEL PRIVATE L"/>
    <n v="4108810"/>
    <s v="GL COIL HARD  Y550GL M310 0.350X1220"/>
    <s v="B04"/>
    <s v="Y550GL"/>
    <s v="M310"/>
    <n v="0.35"/>
    <n v="1220"/>
    <n v="0"/>
    <m/>
    <n v="150"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8419"/>
    <n v="2"/>
    <s v="9519148419-2"/>
    <s v="Oct'25"/>
    <s v="Released"/>
    <x v="1"/>
    <s v="GL01"/>
    <s v="ACRM GP#2 TBSPL BGL"/>
    <m/>
    <x v="4"/>
    <x v="3"/>
    <m/>
    <n v="1000"/>
    <s v="TBSPL"/>
    <m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48534"/>
    <n v="1"/>
    <s v="9519148534-1"/>
    <s v="Oct'25"/>
    <s v="Released"/>
    <x v="1"/>
    <s v="GL01"/>
    <s v="ACRM GP#2 TBSPL BGL"/>
    <m/>
    <x v="4"/>
    <x v="12"/>
    <m/>
    <n v="1000"/>
    <s v="TBSPL"/>
    <m/>
    <m/>
    <n v="942284"/>
    <s v="TATA BLUESCOPE STEEL PRIVATE L"/>
    <n v="4124997"/>
    <s v="GL COIL HARD  Y550GL M308 0.630X1220"/>
    <s v="B04"/>
    <s v="Y550GL"/>
    <s v="M308"/>
    <n v="0.63"/>
    <n v="1220"/>
    <n v="0"/>
    <m/>
    <n v="150"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217"/>
    <n v="7"/>
    <s v="9519138217-7"/>
    <s v="Oct'25"/>
    <s v="Released"/>
    <x v="1"/>
    <s v="GL02"/>
    <s v="ACRM GP#2 TBSPL PPGL"/>
    <m/>
    <x v="3"/>
    <x v="3"/>
    <m/>
    <n v="1000"/>
    <s v="TBSPL"/>
    <m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m/>
    <n v="3"/>
    <n v="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4T00:00:00"/>
    <s v="ZBTO"/>
    <n v="9519138217"/>
    <n v="8"/>
    <s v="9519138217-8"/>
    <s v="Oct'25"/>
    <s v="Released"/>
    <x v="1"/>
    <s v="GL02"/>
    <s v="ACRM GP#2 TBSPL PPGL"/>
    <m/>
    <x v="3"/>
    <x v="3"/>
    <m/>
    <n v="1000"/>
    <s v="TBSPL"/>
    <m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m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09-26T00:00:00"/>
    <s v="ZBTO"/>
    <n v="9519146199"/>
    <n v="4"/>
    <s v="9519146199-4"/>
    <s v="Oct'25"/>
    <s v="Released"/>
    <x v="1"/>
    <s v="GL02"/>
    <s v="ACRM GP#2 TBSPL PPGL"/>
    <m/>
    <x v="3"/>
    <x v="3"/>
    <m/>
    <n v="1000"/>
    <s v="TBSPL"/>
    <m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m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18T00:00:00"/>
    <s v="ZBTO"/>
    <n v="9519114672"/>
    <n v="1"/>
    <s v="9519114672-1"/>
    <s v="Oct'25"/>
    <s v="Released"/>
    <x v="1"/>
    <s v="GP02"/>
    <s v="ACRM GP#3 WIDER SOFT"/>
    <m/>
    <x v="2"/>
    <x v="13"/>
    <m/>
    <n v="2000"/>
    <s v="East"/>
    <m/>
    <m/>
    <n v="116649"/>
    <s v="SAGAR STEELS"/>
    <n v="1300228"/>
    <s v="GP COIL SOFT-TATXGP-GLK1-0.5X1220"/>
    <s v="C02"/>
    <s v="TATXGP"/>
    <s v="GLK1"/>
    <n v="0.5"/>
    <n v="1220"/>
    <n v="0"/>
    <m/>
    <m/>
    <m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16T00:00:00"/>
    <s v="ZBTO"/>
    <n v="9519107755"/>
    <n v="2"/>
    <s v="9519107755-2"/>
    <s v="No Priority"/>
    <s v="Released"/>
    <x v="0"/>
    <s v="GP02"/>
    <s v="ACRM GP#3 WIDER SOFT"/>
    <m/>
    <x v="2"/>
    <x v="13"/>
    <m/>
    <n v="2000"/>
    <s v="North"/>
    <m/>
    <m/>
    <n v="150962"/>
    <s v="BIHANI INTERNATIONAL PVT LTD."/>
    <n v="1854390"/>
    <s v="GP COIL SOFT-TATXGP-GK09-0.3X1220"/>
    <s v="C02"/>
    <s v="TATXGP"/>
    <s v="GK09"/>
    <n v="0.3"/>
    <n v="1220"/>
    <n v="0"/>
    <m/>
    <m/>
    <m/>
    <n v="4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8-27T00:00:00"/>
    <s v="ZBTO"/>
    <n v="9519054625"/>
    <n v="10"/>
    <s v="9519054625-10"/>
    <s v="Oct'25"/>
    <s v="Released"/>
    <x v="1"/>
    <s v="GP02"/>
    <s v="ACRM GP#3 WIDER SOFT"/>
    <m/>
    <x v="2"/>
    <x v="13"/>
    <m/>
    <n v="2000"/>
    <s v="East"/>
    <m/>
    <m/>
    <n v="116649"/>
    <s v="SAGAR STEELS"/>
    <n v="1300230"/>
    <s v="GP COIL SOFT-TATXGP-GLK1-0.3X1220"/>
    <s v="C02"/>
    <s v="TATXGP"/>
    <s v="GLK1"/>
    <n v="0.3"/>
    <n v="1220"/>
    <n v="0"/>
    <m/>
    <m/>
    <m/>
    <n v="4"/>
    <n v="24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8975095"/>
    <n v="3"/>
    <s v="9518975095-3"/>
    <s v="Oct'25"/>
    <s v="Released"/>
    <x v="1"/>
    <s v="GP02"/>
    <s v="ACRM GP#3 WIDER SOFT"/>
    <m/>
    <x v="2"/>
    <x v="13"/>
    <m/>
    <n v="2000"/>
    <s v="East"/>
    <m/>
    <m/>
    <n v="936511"/>
    <s v="SAGAR STEELS PROCESSING &amp; MANUFACTU"/>
    <n v="3671523"/>
    <s v="GP COIL TATXGP GLK2 0.450X1220"/>
    <s v="C02"/>
    <s v="TATXGP"/>
    <s v="GLK2"/>
    <n v="0.45"/>
    <n v="1220"/>
    <n v="0"/>
    <m/>
    <m/>
    <m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9T00:00:00"/>
    <s v="ZBTO"/>
    <n v="9518921586"/>
    <n v="8"/>
    <s v="9518921586-8"/>
    <s v="Oct'25"/>
    <s v="Released"/>
    <x v="1"/>
    <s v="CR03"/>
    <s v="ACRM CRCA SPM"/>
    <m/>
    <x v="0"/>
    <x v="0"/>
    <m/>
    <n v="2000"/>
    <s v="South"/>
    <m/>
    <m/>
    <n v="939422"/>
    <s v="VIJAY VENKAT STEELS PRIVATE LIMITED"/>
    <n v="1804826"/>
    <s v="CRCA COIL-TATXXD-AU03-0.9X1250"/>
    <s v="C01"/>
    <s v="TATXXD"/>
    <s v="AU03"/>
    <n v="0.9"/>
    <n v="1250"/>
    <n v="0"/>
    <m/>
    <m/>
    <m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55004"/>
    <n v="1"/>
    <s v="9519155004-1"/>
    <s v="Oct'25"/>
    <s v="Released"/>
    <x v="1"/>
    <s v="GP02"/>
    <s v="ACRM GP#3 WIDER SOFT"/>
    <m/>
    <x v="2"/>
    <x v="18"/>
    <n v="400"/>
    <n v="2000"/>
    <s v="West"/>
    <m/>
    <m/>
    <m/>
    <s v="TEJRAM RAMNIWAS AGARWAL"/>
    <n v="2282960"/>
    <s v="GP COIL SOFT TATXGP ROS1 0.60X1220"/>
    <s v="C02"/>
    <s v="TATXGP"/>
    <s v="ROS1"/>
    <n v="0.6"/>
    <n v="1220"/>
    <n v="0"/>
    <m/>
    <m/>
    <m/>
    <m/>
    <m/>
    <n v="224"/>
    <n v="0"/>
    <n v="224"/>
    <n v="224"/>
    <n v="0"/>
    <m/>
    <m/>
    <m/>
    <m/>
    <m/>
    <m/>
    <m/>
    <m/>
    <m/>
    <m/>
    <m/>
    <m/>
    <m/>
    <m/>
    <m/>
    <m/>
    <m/>
    <m/>
    <n v="0"/>
    <n v="0"/>
    <n v="0"/>
    <m/>
    <n v="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55004"/>
    <n v="2"/>
    <s v="9519155004-2"/>
    <s v="Oct'25"/>
    <s v="Released"/>
    <x v="1"/>
    <s v="GP02"/>
    <s v="ACRM GP#3 WIDER SOFT"/>
    <m/>
    <x v="2"/>
    <x v="18"/>
    <m/>
    <n v="2000"/>
    <s v="West"/>
    <m/>
    <m/>
    <m/>
    <s v="TEJRAM RAMNIWAS AGARWAL"/>
    <n v="2282960"/>
    <s v="GP COIL SOFT TATXGP ROS1 0.60X1220"/>
    <s v="C02"/>
    <s v="TATXGP"/>
    <s v="ROS1"/>
    <n v="0.6"/>
    <n v="1220"/>
    <n v="0"/>
    <m/>
    <m/>
    <m/>
    <m/>
    <m/>
    <n v="196"/>
    <n v="0"/>
    <n v="196"/>
    <n v="196"/>
    <n v="0"/>
    <m/>
    <m/>
    <m/>
    <m/>
    <m/>
    <m/>
    <m/>
    <m/>
    <m/>
    <m/>
    <m/>
    <m/>
    <m/>
    <m/>
    <m/>
    <m/>
    <m/>
    <m/>
    <n v="0"/>
    <n v="0"/>
    <n v="0"/>
    <m/>
    <n v="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10"/>
    <d v="2025-09-30T00:00:00"/>
    <s v="ZBTF"/>
    <n v="9519157788"/>
    <n v="1"/>
    <s v="9519157788-1"/>
    <s v="Oct'25"/>
    <s v="Released"/>
    <x v="1"/>
    <s v="CR03"/>
    <s v="ACRM CRCA SPM"/>
    <m/>
    <x v="0"/>
    <x v="15"/>
    <m/>
    <n v="2000"/>
    <s v="South"/>
    <m/>
    <m/>
    <n v="600108"/>
    <s v="TATA CENTRE"/>
    <n v="2420514"/>
    <s v="CRCA COIL TATXXD AH03 0.800X1250"/>
    <s v="C01"/>
    <s v="TATXXD"/>
    <s v="AH03"/>
    <n v="0.8"/>
    <n v="1250"/>
    <n v="0"/>
    <m/>
    <m/>
    <m/>
    <m/>
    <m/>
    <n v="29"/>
    <n v="0"/>
    <n v="28.998999999999999"/>
    <n v="28.998999999999999"/>
    <n v="0"/>
    <m/>
    <m/>
    <m/>
    <m/>
    <m/>
    <m/>
    <m/>
    <m/>
    <m/>
    <m/>
    <m/>
    <m/>
    <m/>
    <m/>
    <m/>
    <m/>
    <m/>
    <m/>
    <n v="0"/>
    <n v="0"/>
    <n v="0"/>
    <m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10"/>
    <d v="2025-09-30T00:00:00"/>
    <s v="ZBTF"/>
    <n v="9519157788"/>
    <n v="2"/>
    <s v="9519157788-2"/>
    <s v="Oct'25"/>
    <s v="Released"/>
    <x v="1"/>
    <s v="CR03"/>
    <s v="ACRM CRCA SPM"/>
    <m/>
    <x v="0"/>
    <x v="15"/>
    <m/>
    <n v="2000"/>
    <s v="South"/>
    <m/>
    <m/>
    <n v="600108"/>
    <s v="TATA CENTRE"/>
    <n v="2420516"/>
    <s v="CRCA COIL TATXXD AH03 0.900X1250"/>
    <s v="C01"/>
    <s v="TATXXD"/>
    <s v="AH03"/>
    <n v="0.9"/>
    <n v="1250"/>
    <n v="0"/>
    <m/>
    <m/>
    <m/>
    <m/>
    <m/>
    <n v="145"/>
    <n v="0"/>
    <n v="144.999"/>
    <n v="25.298999999999999"/>
    <n v="0"/>
    <m/>
    <m/>
    <m/>
    <m/>
    <m/>
    <m/>
    <m/>
    <m/>
    <m/>
    <m/>
    <m/>
    <m/>
    <m/>
    <m/>
    <m/>
    <m/>
    <m/>
    <m/>
    <n v="0"/>
    <n v="0"/>
    <n v="0"/>
    <m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10"/>
    <d v="2025-09-30T00:00:00"/>
    <s v="ZBTF"/>
    <n v="9519157788"/>
    <n v="3"/>
    <s v="9519157788-3"/>
    <s v="Oct'25"/>
    <s v="Released"/>
    <x v="1"/>
    <s v="CR03"/>
    <s v="ACRM CRCA SPM"/>
    <m/>
    <x v="0"/>
    <x v="15"/>
    <m/>
    <n v="2000"/>
    <s v="South"/>
    <m/>
    <m/>
    <n v="600108"/>
    <s v="TATA CENTRE"/>
    <n v="2420518"/>
    <s v="CRCA COIL TATXXD AH03 1X1250"/>
    <s v="C01"/>
    <s v="TATXXD"/>
    <s v="AH03"/>
    <n v="1"/>
    <n v="1250"/>
    <n v="0"/>
    <m/>
    <m/>
    <m/>
    <m/>
    <m/>
    <n v="203"/>
    <n v="0"/>
    <n v="202.999"/>
    <n v="202.999"/>
    <n v="0"/>
    <m/>
    <m/>
    <m/>
    <m/>
    <m/>
    <m/>
    <m/>
    <m/>
    <m/>
    <m/>
    <m/>
    <m/>
    <m/>
    <m/>
    <m/>
    <m/>
    <m/>
    <m/>
    <n v="0"/>
    <n v="0"/>
    <n v="0"/>
    <m/>
    <n v="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10"/>
    <d v="2025-09-30T00:00:00"/>
    <s v="ZBTF"/>
    <n v="9519157788"/>
    <n v="4"/>
    <s v="9519157788-4"/>
    <s v="Oct'25"/>
    <s v="Released"/>
    <x v="1"/>
    <s v="CR03"/>
    <s v="ACRM CRCA SPM"/>
    <m/>
    <x v="0"/>
    <x v="15"/>
    <m/>
    <n v="2000"/>
    <s v="South"/>
    <m/>
    <m/>
    <n v="600108"/>
    <s v="TATA CENTRE"/>
    <n v="2420521"/>
    <s v="CRCA COIL TATXXD AH03 1.200X1250"/>
    <s v="C01"/>
    <s v="TATXXD"/>
    <s v="AH03"/>
    <n v="1.2"/>
    <n v="1250"/>
    <n v="0"/>
    <m/>
    <m/>
    <m/>
    <m/>
    <m/>
    <n v="290"/>
    <n v="0"/>
    <n v="289.99900000000002"/>
    <n v="289.99900000000002"/>
    <n v="0"/>
    <m/>
    <m/>
    <m/>
    <m/>
    <m/>
    <m/>
    <m/>
    <m/>
    <m/>
    <m/>
    <m/>
    <m/>
    <m/>
    <m/>
    <m/>
    <m/>
    <m/>
    <m/>
    <n v="0"/>
    <n v="0"/>
    <n v="0"/>
    <m/>
    <n v="2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1T00:00:00"/>
    <s v="ZBTO"/>
    <n v="9519126750"/>
    <n v="1"/>
    <s v="9519126750-1"/>
    <s v="Oct'25"/>
    <s v="Released"/>
    <x v="1"/>
    <s v="CR01"/>
    <s v="ACRM CRCA CTL"/>
    <m/>
    <x v="0"/>
    <x v="4"/>
    <m/>
    <n v="1000"/>
    <s v="West"/>
    <s v="Gujarat"/>
    <m/>
    <n v="189022"/>
    <s v="Balmer Lawrie And Company Limi"/>
    <n v="3492271"/>
    <s v="CRCA SHEET TATXXD BT02 0.900X913X1800"/>
    <s v="C06"/>
    <s v="TATXXD"/>
    <s v="BT02"/>
    <n v="0.9"/>
    <n v="913"/>
    <n v="1800"/>
    <m/>
    <m/>
    <m/>
    <m/>
    <m/>
    <n v="63"/>
    <n v="0"/>
    <n v="63"/>
    <n v="63"/>
    <n v="0"/>
    <m/>
    <m/>
    <m/>
    <m/>
    <m/>
    <m/>
    <m/>
    <m/>
    <m/>
    <m/>
    <m/>
    <m/>
    <m/>
    <m/>
    <m/>
    <m/>
    <m/>
    <m/>
    <m/>
    <m/>
    <m/>
    <m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1T00:00:00"/>
    <s v="ZBTO"/>
    <n v="9519126750"/>
    <n v="2"/>
    <s v="9519126750-2"/>
    <s v="Oct'25"/>
    <s v="Released"/>
    <x v="1"/>
    <s v="CR01"/>
    <s v="ACRM CRCA CTL"/>
    <m/>
    <x v="0"/>
    <x v="4"/>
    <m/>
    <n v="1000"/>
    <s v="West"/>
    <s v="Gujarat"/>
    <m/>
    <n v="189022"/>
    <s v="Balmer Lawrie And Company Limi"/>
    <n v="3404312"/>
    <s v="CRCA SHEET TATXXD BT02 0.970X913X1800"/>
    <s v="C06"/>
    <s v="TATXXD"/>
    <s v="BT02"/>
    <n v="0.97"/>
    <n v="913"/>
    <n v="1800"/>
    <m/>
    <m/>
    <m/>
    <m/>
    <m/>
    <n v="105"/>
    <n v="0"/>
    <n v="105"/>
    <n v="105"/>
    <n v="0"/>
    <m/>
    <m/>
    <m/>
    <m/>
    <m/>
    <m/>
    <m/>
    <m/>
    <m/>
    <m/>
    <m/>
    <m/>
    <m/>
    <m/>
    <m/>
    <m/>
    <m/>
    <m/>
    <m/>
    <m/>
    <m/>
    <m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1T00:00:00"/>
    <s v="ZBTO"/>
    <n v="9519126750"/>
    <n v="3"/>
    <s v="9519126750-3"/>
    <s v="Oct'25"/>
    <s v="Released"/>
    <x v="1"/>
    <s v="CR01"/>
    <s v="ACRM CRCA CTL"/>
    <m/>
    <x v="0"/>
    <x v="4"/>
    <m/>
    <n v="1000"/>
    <s v="West"/>
    <s v="Gujarat"/>
    <m/>
    <n v="189022"/>
    <s v="Balmer Lawrie And Company Limi"/>
    <n v="3492272"/>
    <s v="CRCA SHEET TATXXD BT02 1.200X910X1800"/>
    <s v="C06"/>
    <s v="TATXXD"/>
    <s v="BT02"/>
    <n v="1.2"/>
    <n v="910"/>
    <n v="1800"/>
    <m/>
    <m/>
    <m/>
    <m/>
    <m/>
    <n v="63"/>
    <n v="0"/>
    <n v="63"/>
    <n v="63"/>
    <n v="0"/>
    <m/>
    <m/>
    <m/>
    <m/>
    <m/>
    <m/>
    <m/>
    <m/>
    <m/>
    <m/>
    <m/>
    <m/>
    <m/>
    <m/>
    <m/>
    <m/>
    <m/>
    <m/>
    <m/>
    <m/>
    <m/>
    <m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1T00:00:00"/>
    <s v="ZBTO"/>
    <n v="9519126750"/>
    <n v="4"/>
    <s v="9519126750-4"/>
    <s v="Oct'25"/>
    <s v="Released"/>
    <x v="1"/>
    <s v="CR01"/>
    <s v="ACRM CRCA CTL"/>
    <m/>
    <x v="0"/>
    <x v="4"/>
    <m/>
    <n v="1000"/>
    <s v="West"/>
    <s v="Gujarat"/>
    <m/>
    <n v="189022"/>
    <s v="Balmer Lawrie And Company Limi"/>
    <n v="3409914"/>
    <s v="CRCA SHEET TATXXD BT02 1.200X914X1800"/>
    <s v="C06"/>
    <s v="TATXXD"/>
    <s v="BT02"/>
    <n v="1.2"/>
    <n v="914"/>
    <n v="1800"/>
    <m/>
    <m/>
    <m/>
    <m/>
    <m/>
    <n v="21"/>
    <n v="0"/>
    <n v="21"/>
    <n v="21"/>
    <n v="0"/>
    <m/>
    <m/>
    <m/>
    <m/>
    <m/>
    <m/>
    <m/>
    <m/>
    <m/>
    <m/>
    <m/>
    <m/>
    <m/>
    <m/>
    <m/>
    <m/>
    <m/>
    <m/>
    <m/>
    <m/>
    <m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2">
  <r>
    <n v="742"/>
    <d v="2025-06-03T00:00:00"/>
    <s v="ZBTO"/>
    <n v="9518823199"/>
    <n v="2"/>
    <s v="9518823199-2"/>
    <s v="Oct'25"/>
    <x v="0"/>
    <x v="0"/>
    <m/>
    <x v="0"/>
    <x v="0"/>
    <s v="East"/>
    <s v="TATANAGAR"/>
    <s v="JAMS"/>
    <n v="165053"/>
    <s v="SUDISA ENTERPRISES (P) LTD."/>
    <n v="3755738"/>
    <s v="CR COIL TSBHSQ CH03 1.200X1250"/>
    <s v="C01"/>
    <s v="TSBHSQ"/>
    <s v="CH03"/>
    <n v="1.2"/>
    <n v="1250"/>
    <n v="0"/>
    <n v="81.411000000000001"/>
    <n v="25.58"/>
    <n v="55.831000000000003"/>
    <n v="0"/>
    <n v="55.831000000000003"/>
    <n v="0"/>
    <n v="0"/>
    <n v="0"/>
    <n v="0"/>
    <n v="55.831000000000003"/>
    <n v="0"/>
    <n v="0"/>
    <n v="0"/>
    <n v="0"/>
    <n v="0"/>
    <n v="0"/>
    <n v="55.831000000000003"/>
    <s v="SUDISA ENTERPRISES (P) LTD."/>
  </r>
  <r>
    <n v="744"/>
    <d v="2025-05-29T00:00:00"/>
    <s v="ZBTO"/>
    <n v="9518809011"/>
    <n v="1"/>
    <s v="9518809011-1"/>
    <s v="Oct'25"/>
    <x v="1"/>
    <x v="1"/>
    <m/>
    <x v="1"/>
    <x v="1"/>
    <s v="TBSPL"/>
    <s v="GAMHARIA"/>
    <s v="BOMB"/>
    <n v="940016"/>
    <s v="TATA BLUESCOPE STEEL PVT LTD."/>
    <n v="3890482"/>
    <s v="PPGL C Y550 HPL6 0.30BMT(0.37TPT)X1220"/>
    <s v="B18"/>
    <s v="Y550PL"/>
    <s v="HPL6"/>
    <n v="0.3"/>
    <n v="1220"/>
    <n v="0"/>
    <n v="251.99799999999999"/>
    <n v="212.66499999999999"/>
    <n v="39.332999999999998"/>
    <n v="0"/>
    <n v="39.332999999999998"/>
    <n v="0"/>
    <n v="39.332999999999998"/>
    <n v="0"/>
    <n v="0"/>
    <n v="0"/>
    <n v="39.332999999999998"/>
    <n v="0"/>
    <n v="39.332999999999998"/>
    <n v="0"/>
    <n v="0"/>
    <n v="0"/>
    <n v="0"/>
    <s v="TATA BLUESCOPE STEEL PVT LTD."/>
  </r>
  <r>
    <n v="742"/>
    <d v="2025-07-08T00:00:00"/>
    <s v="ZBTO"/>
    <n v="9518914458"/>
    <n v="1"/>
    <s v="9518914458-1"/>
    <s v="Oct'25"/>
    <x v="0"/>
    <x v="2"/>
    <m/>
    <x v="1"/>
    <x v="1"/>
    <s v="South"/>
    <s v="PATTANCHERY"/>
    <s v="SBAD"/>
    <n v="947865"/>
    <s v="CHANDRA CONTAINER MANUFACTURERS"/>
    <n v="4005007"/>
    <s v="CR COIL TATXXD BT04 0.450X1020"/>
    <s v="C01"/>
    <s v="TATXXD"/>
    <s v="BT04"/>
    <n v="0.45"/>
    <n v="1020"/>
    <n v="0"/>
    <n v="67"/>
    <n v="40.18"/>
    <n v="26.82"/>
    <n v="0"/>
    <n v="26.82"/>
    <n v="26.82"/>
    <n v="0"/>
    <n v="0"/>
    <n v="0"/>
    <n v="0"/>
    <n v="26.82"/>
    <n v="0"/>
    <n v="26.82"/>
    <n v="0"/>
    <n v="0"/>
    <n v="0"/>
    <n v="0"/>
    <s v="CHANDRA CONTAINER MANUFACTURERS"/>
  </r>
  <r>
    <n v="742"/>
    <d v="2025-07-26T00:00:00"/>
    <s v="ZBTO"/>
    <n v="9518961702"/>
    <n v="1"/>
    <s v="9518961702-1"/>
    <s v="Oct'25"/>
    <x v="0"/>
    <x v="3"/>
    <m/>
    <x v="1"/>
    <x v="1"/>
    <s v="West"/>
    <s v="RAJKOT"/>
    <s v="AMED"/>
    <n v="188891"/>
    <s v="Galaxy Stamping Pvt. Ltd."/>
    <n v="2439203"/>
    <s v="CRCA COIL TSBSTA EL06 0.500X1160"/>
    <s v="C01"/>
    <s v="TSBSTA"/>
    <s v="EL06"/>
    <n v="0.5"/>
    <n v="1160"/>
    <n v="0"/>
    <n v="80"/>
    <n v="42.4"/>
    <n v="37.6"/>
    <n v="0"/>
    <n v="37.6"/>
    <n v="37.6"/>
    <n v="0"/>
    <n v="0"/>
    <n v="0"/>
    <n v="0"/>
    <n v="37.6"/>
    <n v="0"/>
    <n v="37.6"/>
    <n v="0"/>
    <n v="0"/>
    <n v="0"/>
    <n v="0"/>
    <s v="Galaxy Stamping Pvt. Ltd."/>
  </r>
  <r>
    <n v="742"/>
    <d v="2025-07-24T00:00:00"/>
    <s v="ZBTO"/>
    <n v="9518956389"/>
    <n v="3"/>
    <s v="9518956389-3"/>
    <s v="Oct'25"/>
    <x v="0"/>
    <x v="4"/>
    <m/>
    <x v="0"/>
    <x v="0"/>
    <s v="South"/>
    <s v="YESHWANTHPURA"/>
    <s v="BANG"/>
    <n v="932244"/>
    <s v="DURGA TRADERS"/>
    <n v="1801022"/>
    <s v="CRCA COIL-TATXXD-AU03-0.45X1250"/>
    <s v="C01"/>
    <s v="TATXXD"/>
    <s v="AU03"/>
    <n v="0.45"/>
    <n v="1250"/>
    <n v="0"/>
    <n v="29"/>
    <n v="0"/>
    <n v="29"/>
    <n v="0"/>
    <n v="29"/>
    <n v="29"/>
    <n v="0"/>
    <n v="0"/>
    <n v="0"/>
    <n v="0"/>
    <n v="29"/>
    <n v="0"/>
    <n v="29"/>
    <n v="0"/>
    <n v="0"/>
    <n v="0"/>
    <n v="0"/>
    <s v="DURGA TRADERS"/>
  </r>
  <r>
    <n v="742"/>
    <d v="2025-07-24T00:00:00"/>
    <s v="ZBTO"/>
    <n v="9518956389"/>
    <n v="5"/>
    <s v="9518956389-5"/>
    <s v="Oct'25"/>
    <x v="0"/>
    <x v="4"/>
    <m/>
    <x v="0"/>
    <x v="0"/>
    <s v="South"/>
    <s v="YESHWANTHPURA"/>
    <s v="BANG"/>
    <n v="932244"/>
    <s v="DURGA TRADERS"/>
    <n v="1801290"/>
    <s v="CRCA COIL-TATXXD-AU03-0.6X1250"/>
    <s v="C01"/>
    <s v="TATXXD"/>
    <s v="AU03"/>
    <n v="0.6"/>
    <n v="1250"/>
    <n v="0"/>
    <n v="45.151000000000003"/>
    <n v="12.85"/>
    <n v="32.301000000000002"/>
    <n v="0"/>
    <n v="32.301000000000002"/>
    <n v="0"/>
    <n v="32.301000000000002"/>
    <n v="0"/>
    <n v="0"/>
    <n v="0"/>
    <n v="32.301000000000002"/>
    <n v="0"/>
    <n v="32.301000000000002"/>
    <n v="0"/>
    <n v="0"/>
    <n v="0"/>
    <n v="0"/>
    <s v="DURGA TRADERS"/>
  </r>
  <r>
    <n v="743"/>
    <d v="2025-08-19T00:00:00"/>
    <s v="ZBTO"/>
    <n v="9519028704"/>
    <n v="1"/>
    <s v="9519028704-1"/>
    <s v="Stocks"/>
    <x v="2"/>
    <x v="5"/>
    <m/>
    <x v="0"/>
    <x v="0"/>
    <s v="North"/>
    <s v="VARANASI"/>
    <s v="KANP"/>
    <n v="931525"/>
    <s v="INDIA STEEL INDUSTRIES"/>
    <n v="1191955"/>
    <s v="GP COIL SOFT-TATXGP-GK09-0.3X900"/>
    <s v="C02"/>
    <s v="TATXGP"/>
    <s v="GK09"/>
    <n v="0.3"/>
    <n v="900"/>
    <n v="0"/>
    <n v="84"/>
    <n v="80.06"/>
    <n v="3.94"/>
    <n v="59.975000000000001"/>
    <n v="0"/>
    <n v="0"/>
    <n v="0"/>
    <n v="0"/>
    <n v="0"/>
    <n v="0"/>
    <n v="59.975000000000001"/>
    <n v="59.975000000000001"/>
    <n v="0"/>
    <n v="0"/>
    <n v="0"/>
    <n v="0"/>
    <n v="0"/>
    <s v="INDIA STEEL INDUSTRIES"/>
  </r>
  <r>
    <n v="742"/>
    <d v="2025-07-03T00:00:00"/>
    <s v="ZBTO"/>
    <n v="9518903517"/>
    <n v="1"/>
    <s v="9518903517-1"/>
    <s v="Stocks"/>
    <x v="0"/>
    <x v="4"/>
    <m/>
    <x v="0"/>
    <x v="0"/>
    <s v="South"/>
    <s v="YESHWANTHPURA"/>
    <s v="BANG"/>
    <n v="939268"/>
    <s v="TATA STEEL DOWNSTREAM PRODUCTS LIMI"/>
    <n v="1800890"/>
    <s v="CRCA COIL-TATXXD-AU03-0.35X1250"/>
    <s v="C01"/>
    <s v="TATXXD"/>
    <s v="AU03"/>
    <n v="0.35"/>
    <n v="1250"/>
    <n v="0"/>
    <n v="58"/>
    <n v="35.945"/>
    <n v="22.055"/>
    <n v="11.555"/>
    <n v="0"/>
    <n v="0"/>
    <n v="0"/>
    <n v="0"/>
    <n v="0"/>
    <n v="0"/>
    <n v="11.555"/>
    <n v="11.555"/>
    <n v="0"/>
    <n v="0"/>
    <n v="0"/>
    <n v="0"/>
    <n v="0"/>
    <s v="TATA STEEL DOWNSTREAM PRODUCTS LIMI"/>
  </r>
  <r>
    <n v="742"/>
    <d v="2025-07-03T00:00:00"/>
    <s v="ZBTO"/>
    <n v="9518903517"/>
    <n v="2"/>
    <s v="9518903517-2"/>
    <s v="Oct'25"/>
    <x v="0"/>
    <x v="4"/>
    <m/>
    <x v="0"/>
    <x v="0"/>
    <s v="South"/>
    <s v="YESHWANTHPURA"/>
    <s v="BANG"/>
    <n v="939268"/>
    <s v="TATA STEEL DOWNSTREAM PRODUCTS LIMI"/>
    <n v="1804772"/>
    <s v="CRCA COIL TATXXD AU03 0.4X1250"/>
    <s v="C01"/>
    <s v="TATXXD"/>
    <s v="AU03"/>
    <n v="0.4"/>
    <n v="1250"/>
    <n v="0"/>
    <n v="116"/>
    <n v="69.63"/>
    <n v="46.37"/>
    <n v="0"/>
    <n v="46.37"/>
    <n v="0"/>
    <n v="46.37"/>
    <n v="0"/>
    <n v="0"/>
    <n v="0"/>
    <n v="46.37"/>
    <n v="0"/>
    <n v="46.37"/>
    <n v="0"/>
    <n v="0"/>
    <n v="0"/>
    <n v="0"/>
    <s v="TATA STEEL DOWNSTREAM PRODUCTS LIMI"/>
  </r>
  <r>
    <n v="743"/>
    <d v="2025-06-16T00:00:00"/>
    <s v="ZBTF"/>
    <n v="9518851597"/>
    <n v="1"/>
    <s v="9518851597-1"/>
    <s v="Aug'25"/>
    <x v="2"/>
    <x v="6"/>
    <m/>
    <x v="0"/>
    <x v="2"/>
    <s v="East"/>
    <s v="GAMHARIA"/>
    <s v="COMD"/>
    <n v="651192"/>
    <s v="SPC AS JOB WORKER"/>
    <n v="3708868"/>
    <s v="GP COIL TATGPH GP02 0.500X1350"/>
    <s v="C05"/>
    <s v="TATGPH"/>
    <s v="GP02"/>
    <n v="0.5"/>
    <n v="1350"/>
    <n v="0"/>
    <n v="449.97"/>
    <n v="422.30500000000001"/>
    <n v="27.664999999999999"/>
    <n v="0"/>
    <n v="27.664999999999999"/>
    <n v="0"/>
    <n v="0"/>
    <n v="27.664999999999999"/>
    <n v="0"/>
    <n v="0"/>
    <n v="27.664999999999999"/>
    <n v="0"/>
    <n v="0"/>
    <n v="27.664999999999999"/>
    <n v="0"/>
    <n v="0"/>
    <n v="0"/>
    <s v="SPC AS JOB WORKER"/>
  </r>
  <r>
    <n v="743"/>
    <d v="2025-07-23T00:00:00"/>
    <s v="ZBTO"/>
    <n v="9518951602"/>
    <n v="1"/>
    <s v="9518951602-1"/>
    <s v="Sep'25"/>
    <x v="2"/>
    <x v="5"/>
    <m/>
    <x v="0"/>
    <x v="0"/>
    <s v="North"/>
    <s v="KANPUR"/>
    <s v="KANP"/>
    <n v="933952"/>
    <s v="AGARWAL STEEL TRADERS"/>
    <n v="1851054"/>
    <s v="GP COIL SOFT-TATXGP-GK09-0.2X900"/>
    <s v="C02"/>
    <s v="TATXGP"/>
    <s v="GK09"/>
    <n v="0.2"/>
    <n v="900"/>
    <n v="0"/>
    <n v="21"/>
    <n v="0"/>
    <n v="21"/>
    <n v="0"/>
    <n v="21"/>
    <n v="0"/>
    <n v="0"/>
    <n v="0"/>
    <n v="0"/>
    <n v="21"/>
    <n v="21"/>
    <n v="0"/>
    <n v="0"/>
    <n v="0"/>
    <n v="0"/>
    <n v="21"/>
    <n v="0"/>
    <s v="AGARWAL STEEL TRADERS"/>
  </r>
  <r>
    <n v="742"/>
    <d v="2025-07-19T00:00:00"/>
    <s v="ZBTO"/>
    <n v="9518942225"/>
    <n v="13"/>
    <s v="9518942225-13"/>
    <s v="Stocks"/>
    <x v="0"/>
    <x v="7"/>
    <m/>
    <x v="0"/>
    <x v="0"/>
    <s v="East"/>
    <s v="SILIGURI TOWN"/>
    <s v="GWAH"/>
    <n v="948783"/>
    <s v="SAGAR STEELS"/>
    <n v="3240778"/>
    <s v="CRCA SHEET TSBCRC SR15 0.600X1000X2500"/>
    <s v="C06"/>
    <s v="TSBCRC"/>
    <s v="SR15"/>
    <n v="0.6"/>
    <n v="1000"/>
    <n v="2500"/>
    <n v="24"/>
    <n v="13.41"/>
    <n v="10.585000000000001"/>
    <n v="4.835"/>
    <n v="0"/>
    <n v="0"/>
    <n v="0"/>
    <n v="0"/>
    <n v="0"/>
    <n v="0"/>
    <n v="4.835"/>
    <n v="4.835"/>
    <n v="0"/>
    <n v="0"/>
    <n v="0"/>
    <n v="0"/>
    <n v="0"/>
    <s v="SAGAR STEELS"/>
  </r>
  <r>
    <n v="742"/>
    <d v="2025-07-18T00:00:00"/>
    <s v="ZBTO"/>
    <n v="9518939680"/>
    <n v="9"/>
    <s v="9518939680-9"/>
    <s v="Oct'25"/>
    <x v="0"/>
    <x v="7"/>
    <m/>
    <x v="0"/>
    <x v="0"/>
    <s v="South"/>
    <s v="CHENNAI"/>
    <s v="MADS"/>
    <n v="938550"/>
    <s v="BASEER AND CO"/>
    <n v="3533339"/>
    <s v="CRCA SHEET TATCRC SR16 0.450X1000X2000"/>
    <s v="C06"/>
    <s v="TATCRC"/>
    <s v="SR16"/>
    <n v="0.45"/>
    <n v="1000"/>
    <n v="2000"/>
    <n v="24"/>
    <n v="0"/>
    <n v="24"/>
    <n v="0"/>
    <n v="24"/>
    <n v="0"/>
    <n v="0"/>
    <n v="0"/>
    <n v="24"/>
    <n v="0"/>
    <n v="24"/>
    <n v="0"/>
    <n v="0"/>
    <n v="0"/>
    <n v="24"/>
    <n v="0"/>
    <n v="0"/>
    <s v="BASEER AND CO"/>
  </r>
  <r>
    <n v="742"/>
    <d v="2025-07-31T00:00:00"/>
    <s v="ZBTO"/>
    <n v="9518980071"/>
    <n v="3"/>
    <s v="9518980071-3"/>
    <s v="Sep'25"/>
    <x v="0"/>
    <x v="7"/>
    <m/>
    <x v="0"/>
    <x v="0"/>
    <s v="East"/>
    <s v="HOWRAH"/>
    <s v="CALS"/>
    <n v="101278"/>
    <s v="RAMESH COMPANY"/>
    <n v="3239536"/>
    <s v="CRCA SHEET TATCRC SR16 0.350X900X2500"/>
    <s v="C06"/>
    <s v="TATCRC"/>
    <s v="SR16"/>
    <n v="0.35"/>
    <n v="900"/>
    <n v="2500"/>
    <n v="21"/>
    <n v="0"/>
    <n v="21"/>
    <n v="0"/>
    <n v="21"/>
    <n v="21"/>
    <n v="0"/>
    <n v="0"/>
    <n v="0"/>
    <n v="0"/>
    <n v="21"/>
    <n v="0"/>
    <n v="21"/>
    <n v="0"/>
    <n v="0"/>
    <n v="0"/>
    <n v="0"/>
    <s v="RAMESH COMPANY"/>
  </r>
  <r>
    <n v="742"/>
    <d v="2025-08-06T00:00:00"/>
    <s v="ZBTF"/>
    <n v="9518998049"/>
    <n v="5"/>
    <s v="9518998049-5"/>
    <s v="Stocks"/>
    <x v="0"/>
    <x v="3"/>
    <m/>
    <x v="1"/>
    <x v="3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n v="135"/>
    <n v="123.05500000000001"/>
    <n v="11.945"/>
    <n v="24.615000000000002"/>
    <n v="0"/>
    <n v="0"/>
    <n v="0"/>
    <n v="0"/>
    <n v="0"/>
    <n v="0"/>
    <n v="24.615000000000002"/>
    <n v="24.615000000000002"/>
    <n v="0"/>
    <n v="0"/>
    <n v="0"/>
    <n v="0"/>
    <n v="0"/>
    <s v="TATA CENTER"/>
  </r>
  <r>
    <n v="743"/>
    <d v="2025-08-21T00:00:00"/>
    <s v="ZBTO"/>
    <n v="9519035728"/>
    <n v="2"/>
    <s v="9519035728-2"/>
    <s v="Oct'25"/>
    <x v="3"/>
    <x v="1"/>
    <m/>
    <x v="1"/>
    <x v="1"/>
    <s v="TBSPL"/>
    <s v="TATANAGAR"/>
    <s v="BOMB"/>
    <n v="942284"/>
    <s v="TATA BLUESCOPE STEEL PRIVATE LIMITE"/>
    <n v="3931932"/>
    <s v="GL C YS550 M306 0.35BMT(0.37TCT)X900"/>
    <s v="B04"/>
    <s v="Y550GL"/>
    <s v="M306"/>
    <n v="0.35"/>
    <n v="900"/>
    <n v="0"/>
    <n v="84"/>
    <n v="13.725"/>
    <n v="70.275000000000006"/>
    <n v="13.725000000000001"/>
    <n v="70.275000000000006"/>
    <n v="0"/>
    <n v="0"/>
    <n v="0"/>
    <n v="0"/>
    <n v="70.275000000000006"/>
    <n v="0"/>
    <n v="0"/>
    <n v="0"/>
    <n v="0"/>
    <n v="0"/>
    <n v="0"/>
    <n v="84"/>
    <s v="TATA BLUESCOPE STEEL PRIVATE LIMITE"/>
  </r>
  <r>
    <n v="742"/>
    <d v="2025-07-19T00:00:00"/>
    <s v="ZBTO"/>
    <n v="9518941704"/>
    <n v="1"/>
    <s v="9518941704-1"/>
    <s v="Sep'25"/>
    <x v="0"/>
    <x v="7"/>
    <m/>
    <x v="0"/>
    <x v="0"/>
    <s v="East"/>
    <s v="WEST BOKARO"/>
    <s v="JAMS"/>
    <n v="185794"/>
    <s v="Shree Bajrang Steel Udyog"/>
    <n v="2427612"/>
    <s v="CRCA SHEET TATCRC SR16 0.300X900X2500"/>
    <s v="C06"/>
    <s v="TATCRC"/>
    <s v="SR16"/>
    <n v="0.3"/>
    <n v="900"/>
    <n v="2500"/>
    <n v="84"/>
    <n v="0"/>
    <n v="84"/>
    <n v="0"/>
    <n v="84"/>
    <n v="0"/>
    <n v="84"/>
    <n v="0"/>
    <n v="0"/>
    <n v="0"/>
    <n v="84"/>
    <n v="0"/>
    <n v="84"/>
    <n v="0"/>
    <n v="0"/>
    <n v="0"/>
    <n v="0"/>
    <s v="Shree Bajrang Steel Udyog"/>
  </r>
  <r>
    <n v="742"/>
    <d v="2025-07-19T00:00:00"/>
    <s v="ZBTO"/>
    <n v="9518941704"/>
    <n v="2"/>
    <s v="9518941704-2"/>
    <s v="Sep'25"/>
    <x v="0"/>
    <x v="7"/>
    <m/>
    <x v="0"/>
    <x v="0"/>
    <s v="East"/>
    <s v="WEST BOKARO"/>
    <s v="JAMS"/>
    <n v="185794"/>
    <s v="Shree Bajrang Steel Udyog"/>
    <n v="3239536"/>
    <s v="CRCA SHEET TATCRC SR16 0.350X900X2500"/>
    <s v="C06"/>
    <s v="TATCRC"/>
    <s v="SR16"/>
    <n v="0.35"/>
    <n v="900"/>
    <n v="2500"/>
    <n v="84"/>
    <n v="29.69"/>
    <n v="54.31"/>
    <n v="16.52"/>
    <n v="54.31"/>
    <n v="54.31"/>
    <n v="0"/>
    <n v="0"/>
    <n v="0"/>
    <n v="0"/>
    <n v="70.83"/>
    <n v="0"/>
    <n v="70.83"/>
    <n v="0"/>
    <n v="0"/>
    <n v="0"/>
    <n v="0"/>
    <s v="Shree Bajrang Steel Udyog"/>
  </r>
  <r>
    <n v="743"/>
    <d v="2025-07-15T00:00:00"/>
    <s v="ZBTO"/>
    <n v="9518930025"/>
    <n v="1"/>
    <s v="9518930025-1"/>
    <s v="Sep'25"/>
    <x v="2"/>
    <x v="5"/>
    <m/>
    <x v="0"/>
    <x v="0"/>
    <s v="East"/>
    <s v="PATNA"/>
    <s v="PATN"/>
    <n v="103227"/>
    <s v="BMW VENTURES LIMITED"/>
    <n v="1851054"/>
    <s v="GP COIL SOFT-TATXGP-GK09-0.2X900"/>
    <s v="C02"/>
    <s v="TATXGP"/>
    <s v="GK09"/>
    <n v="0.2"/>
    <n v="900"/>
    <n v="0"/>
    <n v="21"/>
    <n v="0"/>
    <n v="21"/>
    <n v="0"/>
    <n v="21"/>
    <n v="0"/>
    <n v="21"/>
    <n v="0"/>
    <n v="0"/>
    <n v="0"/>
    <n v="21"/>
    <n v="0"/>
    <n v="21"/>
    <n v="0"/>
    <n v="0"/>
    <n v="0"/>
    <n v="0"/>
    <s v="BMW VENTURES LIMITED"/>
  </r>
  <r>
    <n v="743"/>
    <d v="2025-08-01T00:00:00"/>
    <s v="ZBTF"/>
    <n v="9518985721"/>
    <n v="1"/>
    <s v="9518985721-1"/>
    <s v="Stocks"/>
    <x v="2"/>
    <x v="8"/>
    <m/>
    <x v="0"/>
    <x v="2"/>
    <s v="East"/>
    <s v="GAMHARIA"/>
    <s v="COMD"/>
    <n v="650743"/>
    <s v="ANGUL GALVANIZING PLANT"/>
    <n v="3708867"/>
    <s v="GP COIL TATGPH GP02 0.300X900"/>
    <s v="C05"/>
    <s v="TATGPH"/>
    <s v="GP02"/>
    <n v="0.3"/>
    <n v="900"/>
    <n v="0"/>
    <n v="104.999"/>
    <n v="66.174999999999997"/>
    <n v="38.823999999999998"/>
    <n v="9.9499999999999993"/>
    <n v="0"/>
    <n v="0"/>
    <n v="0"/>
    <n v="0"/>
    <n v="0"/>
    <n v="0"/>
    <n v="9.9499999999999993"/>
    <n v="9.9499999999999993"/>
    <n v="0"/>
    <n v="0"/>
    <n v="0"/>
    <n v="0"/>
    <n v="0"/>
    <s v="ANGUL GALVANIZING PLANT"/>
  </r>
  <r>
    <n v="743"/>
    <d v="2025-08-01T00:00:00"/>
    <s v="ZBTF"/>
    <n v="9518985721"/>
    <n v="4"/>
    <s v="9518985721-4"/>
    <s v="Aug'25"/>
    <x v="2"/>
    <x v="8"/>
    <m/>
    <x v="0"/>
    <x v="2"/>
    <s v="East"/>
    <s v="GAMHARIA"/>
    <s v="COMD"/>
    <n v="650743"/>
    <s v="ANGUL GALVANIZING PLANT"/>
    <n v="3776939"/>
    <s v="GP COIL TATGPH GP02 0.400X1015"/>
    <s v="C05"/>
    <s v="TATGPH"/>
    <s v="GP02"/>
    <n v="0.4"/>
    <n v="1015"/>
    <n v="0"/>
    <n v="149.995"/>
    <n v="121.31"/>
    <n v="28.684999999999999"/>
    <n v="0"/>
    <n v="28.684999999999999"/>
    <n v="28.684999999999999"/>
    <n v="0"/>
    <n v="0"/>
    <n v="0"/>
    <n v="0"/>
    <n v="28.684999999999999"/>
    <n v="28.684999999999999"/>
    <n v="0"/>
    <n v="0"/>
    <n v="0"/>
    <n v="0"/>
    <n v="0"/>
    <s v="ANGUL GALVANIZING PLANT"/>
  </r>
  <r>
    <n v="742"/>
    <d v="2025-07-19T00:00:00"/>
    <s v="ZBTO"/>
    <n v="9518942225"/>
    <n v="16"/>
    <s v="9518942225-16"/>
    <s v="Oct'25"/>
    <x v="0"/>
    <x v="7"/>
    <m/>
    <x v="0"/>
    <x v="0"/>
    <s v="East"/>
    <s v="SILIGURI TOWN"/>
    <s v="GWAH"/>
    <n v="948783"/>
    <s v="SAGAR STEELS"/>
    <n v="3402254"/>
    <s v="CRCA SHEET TSBCRC SR15 0.600X1000X2000"/>
    <s v="C06"/>
    <s v="TSBCRC"/>
    <s v="SR15"/>
    <n v="0.6"/>
    <n v="1000"/>
    <n v="2000"/>
    <n v="24"/>
    <n v="0"/>
    <n v="23.995000000000001"/>
    <n v="0"/>
    <n v="23.995000000000001"/>
    <n v="0"/>
    <n v="23.995000000000001"/>
    <n v="0"/>
    <n v="0"/>
    <n v="0"/>
    <n v="23.995000000000001"/>
    <n v="0"/>
    <n v="23.995000000000001"/>
    <n v="0"/>
    <n v="0"/>
    <n v="0"/>
    <n v="0"/>
    <s v="SAGAR STEELS"/>
  </r>
  <r>
    <n v="742"/>
    <d v="2025-08-22T00:00:00"/>
    <s v="ZBTO"/>
    <n v="9519040245"/>
    <n v="1"/>
    <s v="9519040245-1"/>
    <s v="Sep'25"/>
    <x v="0"/>
    <x v="2"/>
    <m/>
    <x v="1"/>
    <x v="1"/>
    <s v="South"/>
    <s v="CHENNAI"/>
    <s v="NPUR"/>
    <n v="187214"/>
    <s v="BALMER LAWRIE &amp; CO. LIMITED.."/>
    <n v="2164800"/>
    <s v="CRCA COIL TATXXD BT02 0.970X913"/>
    <s v="C01"/>
    <s v="TATXXD"/>
    <s v="BT02"/>
    <n v="0.97"/>
    <n v="913"/>
    <n v="0"/>
    <n v="126"/>
    <n v="32.575000000000003"/>
    <n v="93.424999999999997"/>
    <n v="7.49"/>
    <n v="93.424999999999997"/>
    <n v="0"/>
    <n v="0"/>
    <n v="93.424999999999997"/>
    <n v="0"/>
    <n v="0"/>
    <n v="100.91499999999999"/>
    <n v="0"/>
    <n v="0"/>
    <n v="0"/>
    <n v="100.91499999999999"/>
    <n v="0"/>
    <n v="0"/>
    <s v="BALMER LAWRIE &amp; CO. LIMITED.."/>
  </r>
  <r>
    <n v="742"/>
    <d v="2025-08-22T00:00:00"/>
    <s v="ZBTO"/>
    <n v="9519040469"/>
    <n v="3"/>
    <s v="9519040469-3"/>
    <s v="Oct'25"/>
    <x v="0"/>
    <x v="2"/>
    <m/>
    <x v="1"/>
    <x v="1"/>
    <s v="West"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n v="294"/>
    <n v="0"/>
    <n v="294"/>
    <n v="0"/>
    <n v="294"/>
    <n v="0"/>
    <n v="0"/>
    <n v="0"/>
    <n v="0"/>
    <n v="294"/>
    <n v="294"/>
    <n v="0"/>
    <n v="0"/>
    <n v="0"/>
    <n v="0"/>
    <n v="294"/>
    <n v="0"/>
    <s v="Balmer Lawrie And Co. Ltd."/>
  </r>
  <r>
    <n v="742"/>
    <d v="2025-08-22T00:00:00"/>
    <s v="ZBTO"/>
    <n v="9519040469"/>
    <n v="7"/>
    <s v="9519040469-7"/>
    <s v="Oct'25"/>
    <x v="0"/>
    <x v="2"/>
    <m/>
    <x v="1"/>
    <x v="1"/>
    <s v="West"/>
    <s v="VILLAGE DADRA"/>
    <s v="NPUR"/>
    <n v="189405"/>
    <s v="Balmer Lawrie And Co. Ltd."/>
    <n v="2164792"/>
    <s v="CRCA COIL TATXXD BT02 0.900X913"/>
    <s v="C01"/>
    <s v="TATXXD"/>
    <s v="BT02"/>
    <n v="0.9"/>
    <n v="913"/>
    <n v="0"/>
    <n v="63"/>
    <n v="0"/>
    <n v="63"/>
    <n v="0"/>
    <n v="63"/>
    <n v="0"/>
    <n v="0"/>
    <n v="63"/>
    <n v="0"/>
    <n v="0"/>
    <n v="63"/>
    <n v="0"/>
    <n v="0"/>
    <n v="0"/>
    <n v="63"/>
    <n v="0"/>
    <n v="0"/>
    <s v="Balmer Lawrie And Co. Ltd."/>
  </r>
  <r>
    <n v="743"/>
    <d v="2025-07-26T00:00:00"/>
    <s v="ZBTO"/>
    <n v="9518962848"/>
    <n v="1"/>
    <s v="9518962848-1"/>
    <s v="Stocks"/>
    <x v="3"/>
    <x v="1"/>
    <m/>
    <x v="1"/>
    <x v="1"/>
    <s v="TBSPL"/>
    <m/>
    <s v="BOMB"/>
    <n v="942283"/>
    <s v="TATA BLUESCOPE STEEL PRIVATE LIMITE"/>
    <n v="2148241"/>
    <s v="GL C Y300GL T12L 0.55BMT(0.60TCT)X1220"/>
    <s v="B03"/>
    <s v="Y300GL"/>
    <s v="T12L"/>
    <n v="0.55000000000000004"/>
    <n v="1220"/>
    <n v="0"/>
    <n v="112"/>
    <n v="102.155"/>
    <n v="9.8450000000000006"/>
    <n v="21.064999999999998"/>
    <n v="0"/>
    <n v="0"/>
    <n v="0"/>
    <n v="0"/>
    <n v="0"/>
    <n v="0"/>
    <n v="21.064999999999998"/>
    <n v="0"/>
    <n v="21.064999999999998"/>
    <n v="0"/>
    <n v="0"/>
    <n v="0"/>
    <n v="0"/>
    <s v="TATA BLUESCOPE STEEL PRIVATE LIMITE"/>
  </r>
  <r>
    <n v="742"/>
    <d v="2025-07-11T00:00:00"/>
    <s v="ZBTO"/>
    <n v="9518922956"/>
    <n v="2"/>
    <s v="9518922956-2"/>
    <s v="Sep'25"/>
    <x v="0"/>
    <x v="7"/>
    <m/>
    <x v="0"/>
    <x v="0"/>
    <s v="East"/>
    <s v="HOWRAH"/>
    <s v="CALS"/>
    <n v="101278"/>
    <s v="RAMESH COMPANY"/>
    <n v="3239536"/>
    <s v="CRCA SHEET TATCRC SR16 0.350X900X2500"/>
    <s v="C06"/>
    <s v="TATCRC"/>
    <s v="SR16"/>
    <n v="0.35"/>
    <n v="900"/>
    <n v="2500"/>
    <n v="20.998999999999999"/>
    <n v="19.184999999999999"/>
    <n v="1.8140000000000001"/>
    <n v="19.184999999999999"/>
    <n v="1.8140000000000001"/>
    <n v="0"/>
    <n v="1.8140000000000001"/>
    <n v="0"/>
    <n v="0"/>
    <n v="0"/>
    <n v="20.998999999999999"/>
    <n v="0"/>
    <n v="0"/>
    <n v="20.998999999999999"/>
    <n v="0"/>
    <n v="0"/>
    <n v="0"/>
    <s v="RAMESH COMPANY"/>
  </r>
  <r>
    <n v="742"/>
    <d v="2025-06-03T00:00:00"/>
    <s v="ZBTO"/>
    <n v="9518822216"/>
    <n v="7"/>
    <s v="9518822216-7"/>
    <s v="Stocks"/>
    <x v="0"/>
    <x v="4"/>
    <m/>
    <x v="0"/>
    <x v="0"/>
    <s v="West"/>
    <s v="LONI"/>
    <s v="FBAD"/>
    <n v="123052"/>
    <s v="G R GUPTA &amp; BROS"/>
    <n v="2193598"/>
    <s v="CRCA COIL TATXXD AU03 1.900X1250"/>
    <s v="C01"/>
    <s v="TATXXD"/>
    <s v="AU03"/>
    <n v="1.9"/>
    <n v="1250"/>
    <n v="0"/>
    <n v="116"/>
    <n v="110.18"/>
    <n v="5.82"/>
    <n v="17.414999999999999"/>
    <n v="0"/>
    <n v="0"/>
    <n v="0"/>
    <n v="0"/>
    <n v="0"/>
    <n v="0"/>
    <n v="17.414999999999999"/>
    <n v="17.414999999999999"/>
    <n v="0"/>
    <n v="0"/>
    <n v="0"/>
    <n v="0"/>
    <n v="0"/>
    <s v="G R GUPTA &amp; BROS"/>
  </r>
  <r>
    <n v="742"/>
    <d v="2025-07-23T00:00:00"/>
    <s v="ZBTF"/>
    <n v="9518952949"/>
    <n v="1"/>
    <s v="9518952949-1"/>
    <s v="Stocks"/>
    <x v="0"/>
    <x v="9"/>
    <m/>
    <x v="2"/>
    <x v="4"/>
    <s v="South"/>
    <s v="YESHWANTHPURA"/>
    <s v="TUBE"/>
    <n v="650742"/>
    <s v="Angul Cold Rolling Mill"/>
    <n v="2150940"/>
    <s v="CRCA COIL SA1008 TU98 1.200X1250"/>
    <s v="C01"/>
    <s v="SA1008"/>
    <s v="TU98"/>
    <n v="1.2"/>
    <n v="1250"/>
    <n v="0"/>
    <n v="261"/>
    <n v="247.42"/>
    <n v="13.58"/>
    <n v="13.355"/>
    <n v="0"/>
    <n v="0"/>
    <n v="0"/>
    <n v="0"/>
    <n v="0"/>
    <n v="0"/>
    <n v="13.355"/>
    <n v="13.355"/>
    <n v="0"/>
    <n v="0"/>
    <n v="0"/>
    <n v="0"/>
    <n v="0"/>
    <s v="Angul Cold Rolling Mill"/>
  </r>
  <r>
    <n v="742"/>
    <d v="2025-07-18T00:00:00"/>
    <s v="ZBTO"/>
    <n v="9518938766"/>
    <n v="1"/>
    <s v="9518938766-1"/>
    <s v="Oct'25"/>
    <x v="0"/>
    <x v="7"/>
    <m/>
    <x v="0"/>
    <x v="0"/>
    <s v="East"/>
    <s v="PURNIA"/>
    <s v="PATN"/>
    <n v="103227"/>
    <s v="BMW VENTURES LIMITED"/>
    <n v="3239408"/>
    <s v="CRCA SHEET TATCRC SR16 0.300X900X2500"/>
    <s v="C06"/>
    <s v="TATCRC"/>
    <s v="SR16"/>
    <n v="0.3"/>
    <n v="900"/>
    <n v="2500"/>
    <n v="21"/>
    <n v="0"/>
    <n v="21"/>
    <n v="0"/>
    <n v="21"/>
    <n v="0"/>
    <n v="0"/>
    <n v="21"/>
    <n v="0"/>
    <n v="0"/>
    <n v="21"/>
    <n v="0"/>
    <n v="0"/>
    <n v="21"/>
    <n v="0"/>
    <n v="0"/>
    <n v="0"/>
    <s v="BMW VENTURES LIMITED"/>
  </r>
  <r>
    <n v="742"/>
    <d v="2025-07-18T00:00:00"/>
    <s v="ZBTO"/>
    <n v="9518938044"/>
    <n v="1"/>
    <s v="9518938044-1"/>
    <s v="Sep'25"/>
    <x v="0"/>
    <x v="7"/>
    <m/>
    <x v="0"/>
    <x v="0"/>
    <s v="East"/>
    <s v="URLA"/>
    <s v="RPUR"/>
    <n v="931662"/>
    <s v="PRESTIGE METALLICS PRIVATE LIMITED"/>
    <n v="3239536"/>
    <s v="CRCA SHEET TATCRC SR16 0.350X900X2500"/>
    <s v="C06"/>
    <s v="TATCRC"/>
    <s v="SR16"/>
    <n v="0.35"/>
    <n v="900"/>
    <n v="2500"/>
    <n v="21"/>
    <n v="0"/>
    <n v="21"/>
    <n v="0"/>
    <n v="21"/>
    <n v="21"/>
    <n v="0"/>
    <n v="0"/>
    <n v="0"/>
    <n v="0"/>
    <n v="21"/>
    <n v="0"/>
    <n v="21"/>
    <n v="0"/>
    <n v="0"/>
    <n v="0"/>
    <n v="0"/>
    <s v="PRESTIGE METALLICS PRIVATE LIMITED"/>
  </r>
  <r>
    <n v="742"/>
    <d v="2025-07-18T00:00:00"/>
    <s v="ZBTO"/>
    <n v="9518938766"/>
    <n v="3"/>
    <s v="9518938766-3"/>
    <s v="Oct'25"/>
    <x v="0"/>
    <x v="7"/>
    <m/>
    <x v="0"/>
    <x v="0"/>
    <s v="East"/>
    <s v="PURNIA"/>
    <s v="PATN"/>
    <n v="103227"/>
    <s v="BMW VENTURES LIMITED"/>
    <n v="3239536"/>
    <s v="CRCA SHEET TATCRC SR16 0.350X900X2500"/>
    <s v="C06"/>
    <s v="TATCRC"/>
    <s v="SR16"/>
    <n v="0.35"/>
    <n v="900"/>
    <n v="2500"/>
    <n v="21"/>
    <n v="0"/>
    <n v="21"/>
    <n v="0"/>
    <n v="21"/>
    <n v="0"/>
    <n v="0"/>
    <n v="0"/>
    <n v="0"/>
    <n v="21"/>
    <n v="21"/>
    <n v="0"/>
    <n v="0"/>
    <n v="0"/>
    <n v="21"/>
    <n v="0"/>
    <n v="0"/>
    <s v="BMW VENTURES LIMITED"/>
  </r>
  <r>
    <n v="742"/>
    <d v="2025-07-18T00:00:00"/>
    <s v="ZBTO"/>
    <n v="9518938766"/>
    <n v="4"/>
    <s v="9518938766-4"/>
    <s v="Sep'25"/>
    <x v="0"/>
    <x v="7"/>
    <m/>
    <x v="0"/>
    <x v="0"/>
    <s v="East"/>
    <s v="PURNIA"/>
    <s v="PATN"/>
    <n v="103227"/>
    <s v="BMW VENTURES LIMITED"/>
    <n v="3539044"/>
    <s v="CRCA SHEET TATCRC SR16 0.380X900X2500"/>
    <s v="C06"/>
    <s v="TATCRC"/>
    <s v="SR16"/>
    <n v="0.38"/>
    <n v="900"/>
    <n v="2500"/>
    <n v="20.998999999999999"/>
    <n v="0"/>
    <n v="20.998999999999999"/>
    <n v="0"/>
    <n v="20.998999999999999"/>
    <n v="20.998999999999999"/>
    <n v="0"/>
    <n v="0"/>
    <n v="0"/>
    <n v="0"/>
    <n v="20.998999999999999"/>
    <n v="0"/>
    <n v="20.998999999999999"/>
    <n v="0"/>
    <n v="0"/>
    <n v="0"/>
    <n v="0"/>
    <s v="BMW VENTURES LIMITED"/>
  </r>
  <r>
    <n v="742"/>
    <d v="2025-07-25T00:00:00"/>
    <s v="ZBTO"/>
    <n v="9518957825"/>
    <n v="1"/>
    <s v="9518957825-1"/>
    <s v="Oct'25"/>
    <x v="0"/>
    <x v="7"/>
    <m/>
    <x v="0"/>
    <x v="0"/>
    <s v="East"/>
    <s v="HOWRAH"/>
    <s v="CALS"/>
    <n v="925093"/>
    <s v="PSPL STEEL PROCESSORS PRIVATE LIMIT"/>
    <n v="3239536"/>
    <s v="CRCA SHEET TATCRC SR16 0.350X900X2500"/>
    <s v="C06"/>
    <s v="TATCRC"/>
    <s v="SR16"/>
    <n v="0.35"/>
    <n v="900"/>
    <n v="2500"/>
    <n v="42"/>
    <n v="16.164999999999999"/>
    <n v="25.835000000000001"/>
    <n v="0"/>
    <n v="25.835000000000001"/>
    <n v="0"/>
    <n v="0"/>
    <n v="0"/>
    <n v="0"/>
    <n v="25.835000000000001"/>
    <n v="25.835000000000001"/>
    <n v="0"/>
    <n v="0"/>
    <n v="0"/>
    <n v="25.835000000000001"/>
    <n v="0"/>
    <n v="0"/>
    <s v="PSPL STEEL PROCESSORS PRIVATE LIMIT"/>
  </r>
  <r>
    <n v="742"/>
    <d v="2025-07-18T00:00:00"/>
    <s v="ZBTO"/>
    <n v="9518938765"/>
    <n v="3"/>
    <s v="9518938765-3"/>
    <s v="Oct'25"/>
    <x v="0"/>
    <x v="7"/>
    <m/>
    <x v="0"/>
    <x v="0"/>
    <s v="East"/>
    <s v="PATNA"/>
    <s v="PATN"/>
    <n v="103227"/>
    <s v="BMW VENTURES LIMITED"/>
    <n v="3239536"/>
    <s v="CRCA SHEET TATCRC SR16 0.350X900X2500"/>
    <s v="C06"/>
    <s v="TATCRC"/>
    <s v="SR16"/>
    <n v="0.35"/>
    <n v="900"/>
    <n v="2500"/>
    <n v="21"/>
    <n v="0"/>
    <n v="21"/>
    <n v="0"/>
    <n v="21"/>
    <n v="0"/>
    <n v="0"/>
    <n v="0"/>
    <n v="0"/>
    <n v="21"/>
    <n v="21"/>
    <n v="0"/>
    <n v="0"/>
    <n v="0"/>
    <n v="21"/>
    <n v="0"/>
    <n v="0"/>
    <s v="BMW VENTURES LIMITED"/>
  </r>
  <r>
    <n v="742"/>
    <d v="2025-07-18T00:00:00"/>
    <s v="ZBTO"/>
    <n v="9518938765"/>
    <n v="4"/>
    <s v="9518938765-4"/>
    <s v="Sep'25"/>
    <x v="0"/>
    <x v="7"/>
    <m/>
    <x v="0"/>
    <x v="0"/>
    <s v="East"/>
    <s v="PATNA"/>
    <s v="PATN"/>
    <n v="103227"/>
    <s v="BMW VENTURES LIMITED"/>
    <n v="3539044"/>
    <s v="CRCA SHEET TATCRC SR16 0.380X900X2500"/>
    <s v="C06"/>
    <s v="TATCRC"/>
    <s v="SR16"/>
    <n v="0.38"/>
    <n v="900"/>
    <n v="2500"/>
    <n v="20.998999999999999"/>
    <n v="16.399999999999999"/>
    <n v="4.5990000000000002"/>
    <n v="0"/>
    <n v="4.5990000000000002"/>
    <n v="4.5990000000000002"/>
    <n v="0"/>
    <n v="0"/>
    <n v="0"/>
    <n v="0"/>
    <n v="4.5990000000000002"/>
    <n v="0"/>
    <n v="4.5990000000000002"/>
    <n v="0"/>
    <n v="0"/>
    <n v="0"/>
    <n v="0"/>
    <s v="BMW VENTURES LIMITED"/>
  </r>
  <r>
    <n v="744"/>
    <d v="2025-08-01T00:00:00"/>
    <s v="ZBTO"/>
    <n v="9518985918"/>
    <n v="2"/>
    <s v="9518985918-2"/>
    <s v="Stocks"/>
    <x v="1"/>
    <x v="1"/>
    <m/>
    <x v="1"/>
    <x v="1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n v="55.997999999999998"/>
    <n v="55.78"/>
    <n v="0.218"/>
    <n v="38.555"/>
    <n v="0"/>
    <n v="0"/>
    <n v="0"/>
    <n v="0"/>
    <n v="0"/>
    <n v="0"/>
    <n v="38.555"/>
    <n v="38.555"/>
    <n v="0"/>
    <n v="0"/>
    <n v="0"/>
    <n v="0"/>
    <n v="0"/>
    <s v="TATA BLUESCOPE STEEL PRIVATE LIMITE"/>
  </r>
  <r>
    <n v="742"/>
    <d v="2025-08-26T00:00:00"/>
    <s v="ZBTO"/>
    <n v="9519050497"/>
    <n v="1"/>
    <s v="9519050497-1"/>
    <s v="Oct'25"/>
    <x v="0"/>
    <x v="7"/>
    <m/>
    <x v="0"/>
    <x v="0"/>
    <s v="West"/>
    <s v="JAIPUR"/>
    <s v="JPUR"/>
    <n v="116137"/>
    <s v="PELIKAN DOSSIER (P) LTD "/>
    <n v="3239557"/>
    <s v="CRCA SHEET TATCRC SR16 0.400X1250X2500"/>
    <s v="C06"/>
    <s v="TATCRC"/>
    <s v="SR16"/>
    <n v="0.4"/>
    <n v="1250"/>
    <n v="2500"/>
    <n v="58"/>
    <n v="0"/>
    <n v="58"/>
    <n v="0"/>
    <n v="58"/>
    <n v="0"/>
    <n v="0"/>
    <n v="58"/>
    <n v="0"/>
    <n v="0"/>
    <n v="58"/>
    <n v="0"/>
    <n v="0"/>
    <n v="58"/>
    <n v="0"/>
    <n v="0"/>
    <n v="0"/>
    <s v="PELIKAN DOSSIER (P) LTD "/>
  </r>
  <r>
    <n v="742"/>
    <d v="2025-08-20T00:00:00"/>
    <s v="ZBTO"/>
    <n v="9519031476"/>
    <n v="11"/>
    <s v="9519031476-11"/>
    <s v="Stocks"/>
    <x v="0"/>
    <x v="7"/>
    <m/>
    <x v="0"/>
    <x v="0"/>
    <s v="East"/>
    <s v="TANGI"/>
    <s v="BHUB"/>
    <n v="117061"/>
    <s v="BHARTIA  DISTRIBUTORS PVT. LTD."/>
    <n v="3240857"/>
    <s v="CRCA SHEET TSBCRC SR15 2X1250X2500"/>
    <s v="C06"/>
    <s v="TSBCRC"/>
    <s v="SR15"/>
    <n v="2"/>
    <n v="1250"/>
    <n v="2500"/>
    <n v="29"/>
    <n v="23.24"/>
    <n v="5.76"/>
    <n v="23.240000000000002"/>
    <n v="0"/>
    <n v="0"/>
    <n v="0"/>
    <n v="0"/>
    <n v="0"/>
    <n v="0"/>
    <n v="23.240000000000002"/>
    <n v="23.240000000000002"/>
    <n v="0"/>
    <n v="0"/>
    <n v="0"/>
    <n v="0"/>
    <n v="0"/>
    <s v="BHARTIA  DISTRIBUTORS PVT. LTD."/>
  </r>
  <r>
    <n v="742"/>
    <d v="2025-08-20T00:00:00"/>
    <s v="ZBTO"/>
    <n v="9519031476"/>
    <n v="9"/>
    <s v="9519031476-9"/>
    <s v="Oct'25"/>
    <x v="0"/>
    <x v="7"/>
    <m/>
    <x v="0"/>
    <x v="0"/>
    <s v="East"/>
    <s v="TANGI"/>
    <s v="BHUB"/>
    <n v="117061"/>
    <s v="BHARTIA  DISTRIBUTORS PVT. LTD."/>
    <n v="3240842"/>
    <s v="CRCA SHEET TSBCRC SR15 1X1250X2500"/>
    <s v="C06"/>
    <s v="TSBCRC"/>
    <s v="SR15"/>
    <n v="1"/>
    <n v="1250"/>
    <n v="2500"/>
    <n v="58"/>
    <n v="26.52"/>
    <n v="31.48"/>
    <n v="0"/>
    <n v="31.48"/>
    <n v="0"/>
    <n v="31.48"/>
    <n v="0"/>
    <n v="0"/>
    <n v="0"/>
    <n v="31.48"/>
    <n v="0"/>
    <n v="31.48"/>
    <n v="0"/>
    <n v="0"/>
    <n v="0"/>
    <n v="0"/>
    <s v="BHARTIA  DISTRIBUTORS PVT. LTD."/>
  </r>
  <r>
    <n v="742"/>
    <d v="2025-07-21T00:00:00"/>
    <s v="ZBTO"/>
    <n v="9518946015"/>
    <n v="7"/>
    <s v="9518946015-7"/>
    <s v="Sep'25"/>
    <x v="0"/>
    <x v="7"/>
    <m/>
    <x v="0"/>
    <x v="0"/>
    <s v="East"/>
    <s v="TANGI"/>
    <s v="BHUB"/>
    <n v="117061"/>
    <s v="BHARTIA  DISTRIBUTORS PVT. LTD."/>
    <n v="3240790"/>
    <s v="CRCA SHEET TSBCRC SR15 0.700X1000X2500"/>
    <s v="C06"/>
    <s v="TSBCRC"/>
    <s v="SR15"/>
    <n v="0.7"/>
    <n v="1000"/>
    <n v="2500"/>
    <n v="23"/>
    <n v="0"/>
    <n v="23"/>
    <n v="0"/>
    <n v="23"/>
    <n v="0"/>
    <n v="0"/>
    <n v="23"/>
    <n v="0"/>
    <n v="0"/>
    <n v="23"/>
    <n v="0"/>
    <n v="0"/>
    <n v="23"/>
    <n v="0"/>
    <n v="0"/>
    <n v="0"/>
    <s v="BHARTIA  DISTRIBUTORS PVT. LTD."/>
  </r>
  <r>
    <n v="742"/>
    <d v="2025-07-18T00:00:00"/>
    <s v="ZBTO"/>
    <n v="9518938044"/>
    <n v="3"/>
    <s v="9518938044-3"/>
    <s v="Stocks"/>
    <x v="0"/>
    <x v="7"/>
    <m/>
    <x v="0"/>
    <x v="0"/>
    <s v="East"/>
    <s v="URLA"/>
    <s v="RPUR"/>
    <n v="931662"/>
    <s v="PRESTIGE METALLICS PRIVATE LIMITED"/>
    <n v="3240778"/>
    <s v="CRCA SHEET TSBCRC SR15 0.600X1000X2500"/>
    <s v="C06"/>
    <s v="TSBCRC"/>
    <s v="SR15"/>
    <n v="0.6"/>
    <n v="1000"/>
    <n v="2500"/>
    <n v="23"/>
    <n v="19.995000000000001"/>
    <n v="3.0049999999999999"/>
    <n v="19.995000000000001"/>
    <n v="0"/>
    <n v="0"/>
    <n v="0"/>
    <n v="0"/>
    <n v="0"/>
    <n v="0"/>
    <n v="19.995000000000001"/>
    <n v="19.995000000000001"/>
    <n v="0"/>
    <n v="0"/>
    <n v="0"/>
    <n v="0"/>
    <n v="0"/>
    <s v="PRESTIGE METALLICS PRIVATE LIMITED"/>
  </r>
  <r>
    <n v="743"/>
    <d v="2025-08-07T00:00:00"/>
    <s v="ZBTO"/>
    <n v="9519001255"/>
    <n v="1"/>
    <s v="9519001255-1"/>
    <s v="Sep'25"/>
    <x v="3"/>
    <x v="10"/>
    <m/>
    <x v="1"/>
    <x v="1"/>
    <s v="South"/>
    <s v="VIKARABAD"/>
    <s v="SBAD"/>
    <n v="947959"/>
    <s v="PENNAR INDUSTRIES LIMITED"/>
    <n v="3924555"/>
    <s v="GL COIL HARD  Y550GL HGL6 0.900X1045"/>
    <s v="B04"/>
    <s v="Y550GL"/>
    <s v="HGL6"/>
    <n v="0.9"/>
    <n v="1045"/>
    <n v="0"/>
    <n v="120"/>
    <n v="0"/>
    <n v="120"/>
    <n v="0"/>
    <n v="120"/>
    <n v="120"/>
    <n v="0"/>
    <n v="0"/>
    <n v="0"/>
    <n v="0"/>
    <n v="120"/>
    <n v="120"/>
    <n v="0"/>
    <n v="0"/>
    <n v="0"/>
    <n v="0"/>
    <n v="0"/>
    <s v="PENNAR INDUSTRIES LIMITED"/>
  </r>
  <r>
    <n v="743"/>
    <d v="2025-07-15T00:00:00"/>
    <s v="ZBTO"/>
    <n v="9518930025"/>
    <n v="7"/>
    <s v="9518930025-7"/>
    <s v="Stocks"/>
    <x v="2"/>
    <x v="5"/>
    <m/>
    <x v="0"/>
    <x v="0"/>
    <s v="East"/>
    <s v="PATNA"/>
    <s v="PATN"/>
    <n v="103227"/>
    <s v="BMW VENTURES LIMITED"/>
    <n v="1854418"/>
    <s v="GP COIL SOFT-TATXGP-GK09-0.5X900"/>
    <s v="C02"/>
    <s v="TATXGP"/>
    <s v="GK09"/>
    <n v="0.5"/>
    <n v="900"/>
    <n v="0"/>
    <n v="252"/>
    <n v="231.03"/>
    <n v="20.97"/>
    <n v="5.75"/>
    <n v="0"/>
    <n v="0"/>
    <n v="0"/>
    <n v="0"/>
    <n v="0"/>
    <n v="0"/>
    <n v="5.75"/>
    <n v="5.75"/>
    <n v="0"/>
    <n v="0"/>
    <n v="0"/>
    <n v="0"/>
    <n v="0"/>
    <s v="BMW VENTURES LIMITED"/>
  </r>
  <r>
    <n v="743"/>
    <d v="2025-07-15T00:00:00"/>
    <s v="ZBTO"/>
    <n v="9518930025"/>
    <n v="8"/>
    <s v="9518930025-8"/>
    <s v="Sep'25"/>
    <x v="2"/>
    <x v="5"/>
    <m/>
    <x v="0"/>
    <x v="0"/>
    <s v="East"/>
    <s v="PATNA"/>
    <s v="PATN"/>
    <n v="103227"/>
    <s v="BMW VENTURES LIMITED"/>
    <n v="1854424"/>
    <s v="GP COIL SOFT-TATXGP-GK09-0.6X900"/>
    <s v="C02"/>
    <s v="TATXGP"/>
    <s v="GK09"/>
    <n v="0.6"/>
    <n v="900"/>
    <n v="0"/>
    <n v="210"/>
    <n v="111.14"/>
    <n v="98.86"/>
    <n v="0"/>
    <n v="98.86"/>
    <n v="98.86"/>
    <n v="0"/>
    <n v="0"/>
    <n v="0"/>
    <n v="0"/>
    <n v="98.86"/>
    <n v="98.86"/>
    <n v="0"/>
    <n v="0"/>
    <n v="0"/>
    <n v="0"/>
    <n v="0"/>
    <s v="BMW VENTURES LIMITED"/>
  </r>
  <r>
    <n v="742"/>
    <d v="2025-07-24T00:00:00"/>
    <s v="ZBTO"/>
    <n v="9518956389"/>
    <n v="17"/>
    <s v="9518956389-17"/>
    <s v="Oct'25"/>
    <x v="0"/>
    <x v="4"/>
    <m/>
    <x v="0"/>
    <x v="0"/>
    <s v="South"/>
    <s v="YESHWANTHPURA"/>
    <s v="BANG"/>
    <n v="932244"/>
    <s v="DURGA TRADERS"/>
    <n v="2229968"/>
    <s v="CRCA COIL TATXXD AU03 0.750X1250"/>
    <s v="C01"/>
    <s v="TATXXD"/>
    <s v="AU03"/>
    <n v="0.75"/>
    <n v="1250"/>
    <n v="0"/>
    <n v="58"/>
    <n v="0"/>
    <n v="58"/>
    <n v="0"/>
    <n v="58"/>
    <n v="58"/>
    <n v="0"/>
    <n v="0"/>
    <n v="0"/>
    <n v="0"/>
    <n v="58"/>
    <n v="0"/>
    <n v="58"/>
    <n v="0"/>
    <n v="0"/>
    <n v="0"/>
    <n v="0"/>
    <s v="DURGA TRADERS"/>
  </r>
  <r>
    <n v="742"/>
    <d v="2025-08-19T00:00:00"/>
    <s v="ZBTO"/>
    <n v="9519028293"/>
    <n v="2"/>
    <s v="9519028293-2"/>
    <s v="Oct'25"/>
    <x v="0"/>
    <x v="7"/>
    <m/>
    <x v="0"/>
    <x v="0"/>
    <s v="South"/>
    <s v="CHENNAI"/>
    <s v="MADS"/>
    <n v="938550"/>
    <s v="BASEER AND CO"/>
    <n v="3239552"/>
    <s v="CRCA SHEET TATCRC SR16 0.400X1000X1980"/>
    <s v="C06"/>
    <s v="TATCRC"/>
    <s v="SR16"/>
    <n v="0.4"/>
    <n v="1000"/>
    <n v="1980"/>
    <n v="46"/>
    <n v="0"/>
    <n v="46"/>
    <n v="0"/>
    <n v="46"/>
    <n v="0"/>
    <n v="0"/>
    <n v="0"/>
    <n v="46"/>
    <n v="0"/>
    <n v="46"/>
    <n v="0"/>
    <n v="0"/>
    <n v="0"/>
    <n v="46"/>
    <n v="0"/>
    <n v="0"/>
    <s v="BASEER AND CO"/>
  </r>
  <r>
    <n v="742"/>
    <d v="2025-08-19T00:00:00"/>
    <s v="ZBTO"/>
    <n v="9519028293"/>
    <n v="4"/>
    <s v="9519028293-4"/>
    <s v="Oct'25"/>
    <x v="0"/>
    <x v="7"/>
    <m/>
    <x v="0"/>
    <x v="0"/>
    <s v="South"/>
    <s v="CHENNAI"/>
    <s v="MADS"/>
    <n v="938550"/>
    <s v="BASEER AND CO"/>
    <n v="3239557"/>
    <s v="CRCA SHEET TATCRC SR16 0.400X1250X2500"/>
    <s v="C06"/>
    <s v="TATCRC"/>
    <s v="SR16"/>
    <n v="0.4"/>
    <n v="1250"/>
    <n v="2500"/>
    <n v="58"/>
    <n v="0"/>
    <n v="58"/>
    <n v="0"/>
    <n v="58"/>
    <n v="0"/>
    <n v="58"/>
    <n v="0"/>
    <n v="0"/>
    <n v="0"/>
    <n v="58"/>
    <n v="0"/>
    <n v="58"/>
    <n v="0"/>
    <n v="0"/>
    <n v="0"/>
    <n v="0"/>
    <s v="BASEER AND CO"/>
  </r>
  <r>
    <n v="742"/>
    <d v="2025-08-18T00:00:00"/>
    <s v="ZBTO"/>
    <n v="9519025273"/>
    <n v="4"/>
    <s v="9519025273-4"/>
    <s v="Oct'25"/>
    <x v="0"/>
    <x v="7"/>
    <m/>
    <x v="0"/>
    <x v="0"/>
    <s v="East"/>
    <s v="HOWRAH"/>
    <s v="CALS"/>
    <n v="925093"/>
    <s v="PSPL STEEL PROCESSORS PRIVATE LIMIT"/>
    <n v="3239560"/>
    <s v="CRCA SHEET TATCRC SR16 0.450X900X2500"/>
    <s v="C06"/>
    <s v="TATCRC"/>
    <s v="SR16"/>
    <n v="0.45"/>
    <n v="900"/>
    <n v="2500"/>
    <n v="84"/>
    <n v="0"/>
    <n v="84"/>
    <n v="0"/>
    <n v="84"/>
    <n v="0"/>
    <n v="0"/>
    <n v="84"/>
    <n v="0"/>
    <n v="0"/>
    <n v="84"/>
    <n v="0"/>
    <n v="0"/>
    <n v="84"/>
    <n v="0"/>
    <n v="0"/>
    <n v="0"/>
    <s v="PSPL STEEL PROCESSORS PRIVATE LIMIT"/>
  </r>
  <r>
    <n v="742"/>
    <d v="2025-08-07T00:00:00"/>
    <s v="ZBTO"/>
    <n v="9518999629"/>
    <n v="1"/>
    <s v="9518999629-1"/>
    <s v="Sep'25"/>
    <x v="0"/>
    <x v="2"/>
    <m/>
    <x v="1"/>
    <x v="1"/>
    <s v="South"/>
    <s v="PATTANCHERY"/>
    <s v="SBAD"/>
    <n v="947865"/>
    <s v="CHANDRA CONTAINER MANUFACTURERS"/>
    <n v="4006905"/>
    <s v="CR COIL TATXXD BT04 0.450X848"/>
    <s v="C01"/>
    <s v="TATXXD"/>
    <s v="BT04"/>
    <n v="0.45"/>
    <n v="848"/>
    <n v="0"/>
    <n v="99.99"/>
    <n v="0"/>
    <n v="99.99"/>
    <n v="0"/>
    <n v="99.99"/>
    <n v="0"/>
    <n v="0"/>
    <n v="0"/>
    <n v="99.99"/>
    <n v="0"/>
    <n v="99.99"/>
    <n v="0"/>
    <n v="0"/>
    <n v="0"/>
    <n v="99.99"/>
    <n v="0"/>
    <n v="0"/>
    <s v="CHANDRA CONTAINER MANUFACTURERS"/>
  </r>
  <r>
    <n v="742"/>
    <d v="2025-08-07T00:00:00"/>
    <s v="ZBTO"/>
    <n v="9518999629"/>
    <n v="2"/>
    <s v="9518999629-2"/>
    <s v="Sep'25"/>
    <x v="0"/>
    <x v="2"/>
    <m/>
    <x v="1"/>
    <x v="1"/>
    <s v="South"/>
    <s v="PATTANCHERY"/>
    <s v="SBAD"/>
    <n v="947865"/>
    <s v="CHANDRA CONTAINER MANUFACTURERS"/>
    <n v="4005822"/>
    <s v="CR COIL TATXXD BT04 0.500X1020"/>
    <s v="C01"/>
    <s v="TATXXD"/>
    <s v="BT04"/>
    <n v="0.5"/>
    <n v="1020"/>
    <n v="0"/>
    <n v="22.99"/>
    <n v="0"/>
    <n v="22.99"/>
    <n v="0"/>
    <n v="22.99"/>
    <n v="22.99"/>
    <n v="0"/>
    <n v="0"/>
    <n v="0"/>
    <n v="0"/>
    <n v="22.99"/>
    <n v="0"/>
    <n v="22.99"/>
    <n v="0"/>
    <n v="0"/>
    <n v="0"/>
    <n v="0"/>
    <s v="CHANDRA CONTAINER MANUFACTURERS"/>
  </r>
  <r>
    <n v="742"/>
    <d v="2025-08-07T00:00:00"/>
    <s v="ZBTO"/>
    <n v="9518999629"/>
    <n v="3"/>
    <s v="9518999629-3"/>
    <s v="Sep'25"/>
    <x v="0"/>
    <x v="2"/>
    <m/>
    <x v="1"/>
    <x v="1"/>
    <s v="South"/>
    <s v="PATTANCHERY"/>
    <s v="SBAD"/>
    <n v="947865"/>
    <s v="CHANDRA CONTAINER MANUFACTURERS"/>
    <n v="3878062"/>
    <s v="CR COIL TATXXD BT04 0.500X1000"/>
    <s v="C01"/>
    <s v="TATXXD"/>
    <s v="BT04"/>
    <n v="0.5"/>
    <n v="1000"/>
    <n v="0"/>
    <n v="45.99"/>
    <n v="0"/>
    <n v="45.99"/>
    <n v="0"/>
    <n v="45.99"/>
    <n v="0"/>
    <n v="0"/>
    <n v="0"/>
    <n v="45.99"/>
    <n v="0"/>
    <n v="45.99"/>
    <n v="0"/>
    <n v="0"/>
    <n v="0"/>
    <n v="45.99"/>
    <n v="0"/>
    <n v="0"/>
    <s v="CHANDRA CONTAINER MANUFACTURERS"/>
  </r>
  <r>
    <n v="742"/>
    <d v="2025-08-07T00:00:00"/>
    <s v="ZBTO"/>
    <n v="9518999629"/>
    <n v="5"/>
    <s v="9518999629-5"/>
    <s v="Sep'25"/>
    <x v="0"/>
    <x v="2"/>
    <m/>
    <x v="1"/>
    <x v="1"/>
    <s v="South"/>
    <s v="PATTANCHERY"/>
    <s v="SBAD"/>
    <n v="947865"/>
    <s v="CHANDRA CONTAINER MANUFACTURERS"/>
    <n v="4005007"/>
    <s v="CR COIL TATXXD BT04 0.450X1020"/>
    <s v="C01"/>
    <s v="TATXXD"/>
    <s v="BT04"/>
    <n v="0.45"/>
    <n v="1020"/>
    <n v="0"/>
    <n v="45.99"/>
    <n v="0"/>
    <n v="45.99"/>
    <n v="0"/>
    <n v="45.99"/>
    <n v="0"/>
    <n v="45.99"/>
    <n v="0"/>
    <n v="0"/>
    <n v="0"/>
    <n v="91.98"/>
    <n v="0"/>
    <n v="45.99"/>
    <n v="45.99"/>
    <n v="0"/>
    <n v="0"/>
    <n v="0"/>
    <s v="CHANDRA CONTAINER MANUFACTURERS"/>
  </r>
  <r>
    <n v="742"/>
    <d v="2025-08-07T00:00:00"/>
    <s v="ZBTO"/>
    <n v="9518999629"/>
    <n v="6"/>
    <s v="9518999629-6"/>
    <s v="Sep'25"/>
    <x v="0"/>
    <x v="2"/>
    <m/>
    <x v="1"/>
    <x v="1"/>
    <s v="South"/>
    <s v="PATTANCHERY"/>
    <s v="SBAD"/>
    <n v="947865"/>
    <s v="CHANDRA CONTAINER MANUFACTURERS"/>
    <n v="4042197"/>
    <s v="CR COIL TATXXD BT04 0.400X1020"/>
    <s v="C01"/>
    <s v="TATXXD"/>
    <s v="BT04"/>
    <n v="0.4"/>
    <n v="1020"/>
    <n v="0"/>
    <n v="22.99"/>
    <n v="0"/>
    <n v="22.99"/>
    <n v="0"/>
    <n v="22.99"/>
    <n v="22.99"/>
    <n v="0"/>
    <n v="0"/>
    <n v="0"/>
    <n v="0"/>
    <n v="22.99"/>
    <n v="0"/>
    <n v="22.99"/>
    <n v="0"/>
    <n v="0"/>
    <n v="0"/>
    <n v="0"/>
    <s v="CHANDRA CONTAINER MANUFACTURERS"/>
  </r>
  <r>
    <n v="742"/>
    <d v="2025-08-07T00:00:00"/>
    <s v="ZBTO"/>
    <n v="9518999629"/>
    <n v="7"/>
    <s v="9518999629-7"/>
    <s v="Stocks"/>
    <x v="0"/>
    <x v="2"/>
    <m/>
    <x v="1"/>
    <x v="1"/>
    <s v="South"/>
    <s v="PATTANCHERY"/>
    <s v="SBAD"/>
    <n v="947865"/>
    <s v="CHANDRA CONTAINER MANUFACTURERS"/>
    <n v="3884110"/>
    <s v="CR COIL TATXXD BT04 0.450X900"/>
    <s v="C01"/>
    <s v="TATXXD"/>
    <s v="BT04"/>
    <n v="0.45"/>
    <n v="900"/>
    <n v="0"/>
    <n v="20.99"/>
    <n v="18.504999999999999"/>
    <n v="2.4849999999999999"/>
    <n v="18.505000000000003"/>
    <n v="0"/>
    <n v="0"/>
    <n v="0"/>
    <n v="0"/>
    <n v="0"/>
    <n v="0"/>
    <n v="18.505000000000003"/>
    <n v="18.505000000000003"/>
    <n v="0"/>
    <n v="0"/>
    <n v="0"/>
    <n v="0"/>
    <n v="0"/>
    <s v="CHANDRA CONTAINER MANUFACTURERS"/>
  </r>
  <r>
    <n v="742"/>
    <d v="2025-08-07T00:00:00"/>
    <s v="ZBTO"/>
    <n v="9518999629"/>
    <n v="8"/>
    <s v="9518999629-8"/>
    <s v="Sep'25"/>
    <x v="0"/>
    <x v="2"/>
    <m/>
    <x v="1"/>
    <x v="1"/>
    <s v="South"/>
    <s v="PATTANCHERY"/>
    <s v="SBAD"/>
    <n v="947865"/>
    <s v="CHANDRA CONTAINER MANUFACTURERS"/>
    <n v="4099869"/>
    <s v="CR COIL TATXXD BT04 0.400X1000"/>
    <s v="C01"/>
    <s v="TATXXD"/>
    <s v="BT04"/>
    <n v="0.4"/>
    <n v="1000"/>
    <n v="0"/>
    <n v="22.99"/>
    <n v="0"/>
    <n v="22.99"/>
    <n v="0"/>
    <n v="22.99"/>
    <n v="22.99"/>
    <n v="0"/>
    <n v="0"/>
    <n v="0"/>
    <n v="0"/>
    <n v="22.99"/>
    <n v="0"/>
    <n v="22.99"/>
    <n v="0"/>
    <n v="0"/>
    <n v="0"/>
    <n v="0"/>
    <s v="CHANDRA CONTAINER MANUFACTURERS"/>
  </r>
  <r>
    <n v="742"/>
    <d v="2025-08-13T00:00:00"/>
    <s v="ZBTO"/>
    <n v="9519013975"/>
    <n v="1"/>
    <s v="9519013975-1"/>
    <s v="Sep'25"/>
    <x v="0"/>
    <x v="2"/>
    <m/>
    <x v="1"/>
    <x v="1"/>
    <s v="South"/>
    <s v="PATTANCHERY"/>
    <s v="SBAD"/>
    <n v="947865"/>
    <s v="CHANDRA CONTAINER MANUFACTURERS"/>
    <n v="4101931"/>
    <s v="CR COIL TATXXD BT04 0.400X848"/>
    <s v="C01"/>
    <s v="TATXXD"/>
    <s v="BT04"/>
    <n v="0.4"/>
    <n v="848"/>
    <n v="0"/>
    <n v="40"/>
    <n v="35.435000000000002"/>
    <n v="4.5650000000000004"/>
    <n v="35.434999999999995"/>
    <n v="0"/>
    <n v="0"/>
    <n v="0"/>
    <n v="0"/>
    <n v="0"/>
    <n v="0"/>
    <n v="35.434999999999995"/>
    <n v="35.434999999999995"/>
    <n v="0"/>
    <n v="0"/>
    <n v="0"/>
    <n v="0"/>
    <n v="0"/>
    <s v="CHANDRA CONTAINER MANUFACTURERS"/>
  </r>
  <r>
    <n v="742"/>
    <d v="2025-07-29T00:00:00"/>
    <s v="ZBTO"/>
    <n v="9518972719"/>
    <n v="13"/>
    <s v="9518972719-13"/>
    <s v="Stocks"/>
    <x v="0"/>
    <x v="4"/>
    <m/>
    <x v="0"/>
    <x v="0"/>
    <s v="South"/>
    <s v="VALPARAI"/>
    <s v="MADS"/>
    <n v="116465"/>
    <s v="SRI BALAJI STEEL TRADERS"/>
    <n v="325986"/>
    <s v="CRCA SHEET TATXXD AU03 2.5X1250X2500"/>
    <s v="C06"/>
    <s v="TATXXD"/>
    <s v="AU03"/>
    <n v="2.5"/>
    <n v="1250"/>
    <n v="2500"/>
    <n v="28.998999999999999"/>
    <n v="21.295000000000002"/>
    <n v="7.7039999999999997"/>
    <n v="8.5649999999999995"/>
    <n v="0"/>
    <n v="0"/>
    <n v="0"/>
    <n v="0"/>
    <n v="0"/>
    <n v="0"/>
    <n v="8.5649999999999995"/>
    <n v="8.5649999999999995"/>
    <n v="0"/>
    <n v="0"/>
    <n v="0"/>
    <n v="0"/>
    <n v="0"/>
    <s v="SRI BALAJI STEEL TRADERS"/>
  </r>
  <r>
    <n v="744"/>
    <d v="2025-08-21T00:00:00"/>
    <s v="ZBTO"/>
    <n v="9519034052"/>
    <n v="1"/>
    <s v="9519034052-1"/>
    <s v="Stocks"/>
    <x v="1"/>
    <x v="1"/>
    <m/>
    <x v="1"/>
    <x v="1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n v="84"/>
    <n v="83.49"/>
    <n v="0.51"/>
    <n v="4.2549999999999999"/>
    <n v="0"/>
    <n v="0"/>
    <n v="0"/>
    <n v="0"/>
    <n v="0"/>
    <n v="0"/>
    <n v="4.2549999999999999"/>
    <n v="4.2549999999999999"/>
    <n v="0"/>
    <n v="0"/>
    <n v="0"/>
    <n v="0"/>
    <n v="0"/>
    <s v="TATA BLUESCOPE STEEL PVT LTD."/>
  </r>
  <r>
    <n v="742"/>
    <d v="2025-08-21T00:00:00"/>
    <s v="ZBTF"/>
    <n v="9519034241"/>
    <n v="1"/>
    <s v="9519034241-1"/>
    <s v="Oct'25"/>
    <x v="0"/>
    <x v="4"/>
    <m/>
    <x v="0"/>
    <x v="3"/>
    <s v="South"/>
    <s v="THIRUVALLUR"/>
    <s v="TATA"/>
    <n v="600250"/>
    <s v="TATA CENTER"/>
    <n v="27569"/>
    <s v="CR COIL-ICF  DQ TATXXD AU03 0.60 X 1250"/>
    <s v="C01"/>
    <s v="TATXXD"/>
    <s v="AU03"/>
    <n v="0.6"/>
    <n v="1250"/>
    <n v="0"/>
    <n v="167.995"/>
    <n v="114.235"/>
    <n v="53.76"/>
    <n v="0"/>
    <n v="53.76"/>
    <n v="0"/>
    <n v="53.76"/>
    <n v="0"/>
    <n v="0"/>
    <n v="0"/>
    <n v="53.76"/>
    <n v="0"/>
    <n v="53.76"/>
    <n v="0"/>
    <n v="0"/>
    <n v="0"/>
    <n v="0"/>
    <s v="TATA CENTER"/>
  </r>
  <r>
    <n v="742"/>
    <d v="2025-08-21T00:00:00"/>
    <s v="ZBTF"/>
    <n v="9519034241"/>
    <n v="3"/>
    <s v="9519034241-3"/>
    <s v="Oct'25"/>
    <x v="0"/>
    <x v="4"/>
    <m/>
    <x v="0"/>
    <x v="3"/>
    <s v="South"/>
    <s v="THIRUVALLUR"/>
    <s v="TATA"/>
    <n v="600250"/>
    <s v="TATA CENTER"/>
    <n v="187529"/>
    <s v="CR COIL-ICF  DQ TATXXD AU03 1.20 X 1250"/>
    <s v="C01"/>
    <s v="TATXXD"/>
    <s v="AU03"/>
    <n v="1.2"/>
    <n v="1250"/>
    <n v="0"/>
    <n v="215.995"/>
    <n v="208.89500000000001"/>
    <n v="7.1"/>
    <n v="0"/>
    <n v="7.1"/>
    <n v="0"/>
    <n v="7.1"/>
    <n v="0"/>
    <n v="0"/>
    <n v="0"/>
    <n v="7.1"/>
    <n v="0"/>
    <n v="7.1"/>
    <n v="0"/>
    <n v="0"/>
    <n v="0"/>
    <n v="0"/>
    <s v="TATA CENTER"/>
  </r>
  <r>
    <n v="742"/>
    <d v="2025-08-21T00:00:00"/>
    <s v="ZBTF"/>
    <n v="9519034241"/>
    <n v="4"/>
    <s v="9519034241-4"/>
    <s v="Oct'25"/>
    <x v="0"/>
    <x v="4"/>
    <m/>
    <x v="0"/>
    <x v="3"/>
    <s v="South"/>
    <s v="THIRUVALLUR"/>
    <s v="TATA"/>
    <n v="600250"/>
    <s v="TATA CENTER"/>
    <n v="185675"/>
    <s v="CRCA COIL-TATXXD-AU03-0.5X1250"/>
    <s v="C01"/>
    <s v="TATXXD"/>
    <s v="AU03"/>
    <n v="0.5"/>
    <n v="1250"/>
    <n v="0"/>
    <n v="287.995"/>
    <n v="20.63"/>
    <n v="267.36500000000001"/>
    <n v="0"/>
    <n v="267.36500000000001"/>
    <n v="0"/>
    <n v="0"/>
    <n v="0"/>
    <n v="267.36500000000001"/>
    <n v="0"/>
    <n v="267.36500000000001"/>
    <n v="0"/>
    <n v="0"/>
    <n v="0"/>
    <n v="0"/>
    <n v="267.36500000000001"/>
    <n v="0"/>
    <s v="TATA CENTER"/>
  </r>
  <r>
    <n v="743"/>
    <d v="2025-08-14T00:00:00"/>
    <s v="ZBTO"/>
    <n v="9519017657"/>
    <n v="1"/>
    <s v="9519017657-1"/>
    <s v="Sep'25"/>
    <x v="3"/>
    <x v="2"/>
    <m/>
    <x v="1"/>
    <x v="1"/>
    <s v="South"/>
    <s v="ZAHIRABAD"/>
    <s v="SBAD"/>
    <n v="188152"/>
    <s v="Metalkraft Forming Industries Pvt L"/>
    <n v="4031999"/>
    <s v="GL COIL SOFT  Y300GL T12L 0.500X1221"/>
    <s v="B03"/>
    <s v="Y300GL"/>
    <s v="T12L"/>
    <n v="0.5"/>
    <n v="1221"/>
    <n v="0"/>
    <n v="224"/>
    <n v="167.71"/>
    <n v="56.29"/>
    <n v="0"/>
    <n v="56.29"/>
    <n v="0"/>
    <n v="56.29"/>
    <n v="0"/>
    <n v="0"/>
    <n v="0"/>
    <n v="56.29"/>
    <n v="0"/>
    <n v="56.29"/>
    <n v="0"/>
    <n v="0"/>
    <n v="0"/>
    <n v="0"/>
    <s v="Metalkraft Forming Industries Pvt L"/>
  </r>
  <r>
    <n v="742"/>
    <d v="2025-09-01T00:00:00"/>
    <s v="ZBTO"/>
    <n v="9519071445"/>
    <n v="1"/>
    <s v="9519071445-1"/>
    <s v="Oct'25"/>
    <x v="0"/>
    <x v="7"/>
    <m/>
    <x v="0"/>
    <x v="0"/>
    <s v="West"/>
    <s v="JAIPUR"/>
    <s v="JPUR"/>
    <n v="116137"/>
    <s v="PELIKAN DOSSIER (P) LTD "/>
    <n v="3240765"/>
    <s v="CRCA SHEET TSBCRC SR15 0.500X1250X2500"/>
    <s v="C06"/>
    <s v="TSBCRC"/>
    <s v="SR15"/>
    <n v="0.5"/>
    <n v="1250"/>
    <n v="2500"/>
    <n v="87"/>
    <n v="0"/>
    <n v="87"/>
    <n v="0"/>
    <n v="87"/>
    <n v="0"/>
    <n v="0"/>
    <n v="87"/>
    <n v="0"/>
    <n v="0"/>
    <n v="87"/>
    <n v="0"/>
    <n v="0"/>
    <n v="87"/>
    <n v="0"/>
    <n v="0"/>
    <n v="0"/>
    <s v="PELIKAN DOSSIER (P) LTD "/>
  </r>
  <r>
    <n v="743"/>
    <d v="2025-07-29T00:00:00"/>
    <s v="ZBTO"/>
    <n v="9518971601"/>
    <n v="1"/>
    <s v="9518971601-1"/>
    <s v="Sep'25"/>
    <x v="2"/>
    <x v="11"/>
    <m/>
    <x v="0"/>
    <x v="0"/>
    <s v="West"/>
    <s v="LONI"/>
    <s v="GBAD"/>
    <n v="931234"/>
    <s v="JAI LAXMI STEELS"/>
    <n v="1327809"/>
    <s v="GP COIL SOFT-TATXGP-GLK1-0.3X1250"/>
    <s v="C02"/>
    <s v="TATXGP"/>
    <s v="GLK1"/>
    <n v="0.3"/>
    <n v="1250"/>
    <n v="0"/>
    <n v="29"/>
    <n v="0"/>
    <n v="29"/>
    <n v="0"/>
    <n v="29"/>
    <n v="0"/>
    <n v="29"/>
    <n v="0"/>
    <n v="0"/>
    <n v="0"/>
    <n v="29"/>
    <n v="0"/>
    <n v="29"/>
    <n v="0"/>
    <n v="0"/>
    <n v="0"/>
    <n v="0"/>
    <s v="JAI LAXMI STEELS"/>
  </r>
  <r>
    <n v="742"/>
    <d v="2025-08-26T00:00:00"/>
    <s v="ZBTO"/>
    <n v="9519050823"/>
    <n v="1"/>
    <s v="9519050823-1"/>
    <s v="Oct'25"/>
    <x v="0"/>
    <x v="4"/>
    <m/>
    <x v="0"/>
    <x v="0"/>
    <s v="West"/>
    <s v="JAIPUR"/>
    <s v="JPUR"/>
    <n v="116137"/>
    <s v="PELIKAN DOSSIER (P) LTD "/>
    <n v="1800890"/>
    <s v="CRCA COIL-TATXXD-AU03-0.35X1250"/>
    <s v="C01"/>
    <s v="TATXXD"/>
    <s v="AU03"/>
    <n v="0.35"/>
    <n v="1250"/>
    <n v="0"/>
    <n v="29"/>
    <n v="0"/>
    <n v="29"/>
    <n v="0"/>
    <n v="29"/>
    <n v="0"/>
    <n v="29"/>
    <n v="0"/>
    <n v="0"/>
    <n v="0"/>
    <n v="29"/>
    <n v="0"/>
    <n v="29"/>
    <n v="0"/>
    <n v="0"/>
    <n v="0"/>
    <n v="0"/>
    <s v="PELIKAN DOSSIER (P) LTD "/>
  </r>
  <r>
    <n v="743"/>
    <d v="2025-08-21T00:00:00"/>
    <s v="ZBTO"/>
    <n v="9519035790"/>
    <n v="1"/>
    <s v="9519035790-1"/>
    <s v="Sep'25"/>
    <x v="2"/>
    <x v="5"/>
    <m/>
    <x v="0"/>
    <x v="0"/>
    <s v="East"/>
    <s v="Jharkhand"/>
    <s v="JAMS"/>
    <n v="121328"/>
    <s v="R. S. BOKARO METAL (P) LTD."/>
    <n v="1851065"/>
    <s v="GP COIL SOFT-TATXGP-GK09-0.25X900"/>
    <s v="C02"/>
    <s v="TATXGP"/>
    <s v="GK09"/>
    <n v="0.25"/>
    <n v="900"/>
    <n v="0"/>
    <n v="21"/>
    <n v="0"/>
    <n v="21"/>
    <n v="0"/>
    <n v="21"/>
    <n v="0"/>
    <n v="0"/>
    <n v="21"/>
    <n v="0"/>
    <n v="0"/>
    <n v="21"/>
    <n v="0"/>
    <n v="0"/>
    <n v="21"/>
    <n v="0"/>
    <n v="0"/>
    <n v="0"/>
    <s v="R. S. BOKARO METAL (P) LTD."/>
  </r>
  <r>
    <n v="744"/>
    <d v="2025-08-14T00:00:00"/>
    <s v="ZBTO"/>
    <n v="9519016553"/>
    <n v="1"/>
    <s v="9519016553-1"/>
    <s v="Stocks"/>
    <x v="1"/>
    <x v="1"/>
    <m/>
    <x v="1"/>
    <x v="1"/>
    <s v="TBSPL"/>
    <s v="Jharkhand"/>
    <s v="BOMB"/>
    <n v="941597"/>
    <s v="TATA BLUESCOPE STEEL PRIVATE LIMITE"/>
    <n v="3941967"/>
    <s v="PPGL C HARD Y550PL D0C9 0.60(TPT)X1220"/>
    <s v="B18"/>
    <s v="Y550PL"/>
    <s v="D0C9"/>
    <n v="0.6"/>
    <n v="1220"/>
    <n v="0"/>
    <n v="27.998999999999999"/>
    <n v="20.93"/>
    <n v="7.069"/>
    <n v="3.59"/>
    <n v="0"/>
    <n v="0"/>
    <n v="0"/>
    <n v="0"/>
    <n v="0"/>
    <n v="0"/>
    <n v="3.59"/>
    <n v="3.59"/>
    <n v="0"/>
    <n v="0"/>
    <n v="0"/>
    <n v="0"/>
    <n v="0"/>
    <s v="TATA BLUESCOPE STEEL PRIVATE LIMITE"/>
  </r>
  <r>
    <n v="743"/>
    <d v="2025-08-21T00:00:00"/>
    <s v="ZBTO"/>
    <n v="9519036674"/>
    <n v="1"/>
    <s v="9519036674-1"/>
    <s v="Stocks"/>
    <x v="3"/>
    <x v="2"/>
    <m/>
    <x v="1"/>
    <x v="1"/>
    <s v="East"/>
    <s v="DANKUNI"/>
    <s v="CALS"/>
    <n v="101122"/>
    <s v="JINDAL INDIA LIMITED"/>
    <n v="3988091"/>
    <s v="GL COIL HARD  Y550GL H7GL 0.440X1240"/>
    <s v="B04"/>
    <s v="Y550GL"/>
    <s v="H7GL"/>
    <n v="0.44"/>
    <n v="1240"/>
    <n v="0"/>
    <n v="330"/>
    <n v="313.04000000000002"/>
    <n v="16.96"/>
    <n v="8.6300000000000008"/>
    <n v="0"/>
    <n v="0"/>
    <n v="0"/>
    <n v="0"/>
    <n v="0"/>
    <n v="0"/>
    <n v="8.6300000000000008"/>
    <n v="8.6300000000000008"/>
    <n v="0"/>
    <n v="0"/>
    <n v="0"/>
    <n v="0"/>
    <n v="0"/>
    <s v="JINDAL INDIA LIMITED"/>
  </r>
  <r>
    <n v="743"/>
    <d v="2025-08-21T00:00:00"/>
    <s v="ZBTO"/>
    <n v="9519036674"/>
    <n v="3"/>
    <s v="9519036674-3"/>
    <s v="Sep'25"/>
    <x v="3"/>
    <x v="2"/>
    <n v="1100"/>
    <x v="1"/>
    <x v="1"/>
    <s v="East"/>
    <s v="DANKUNI"/>
    <s v="CALS"/>
    <n v="101122"/>
    <s v="JINDAL INDIA LIMITED"/>
    <n v="3988091"/>
    <s v="GL COIL HARD  Y550GL H7GL 0.440X1240"/>
    <s v="B04"/>
    <s v="Y550GL"/>
    <s v="H7GL"/>
    <n v="0.44"/>
    <n v="1240"/>
    <n v="0"/>
    <n v="279.99900000000002"/>
    <n v="249.34"/>
    <n v="55.66"/>
    <n v="8.4749999999999996"/>
    <n v="55.66"/>
    <n v="0"/>
    <n v="0"/>
    <n v="55.66"/>
    <n v="0"/>
    <n v="0"/>
    <n v="64.134999999999991"/>
    <n v="0"/>
    <n v="0"/>
    <n v="0"/>
    <n v="64.134999999999991"/>
    <n v="0"/>
    <n v="0"/>
    <s v="JINDAL INDIA LIMITED"/>
  </r>
  <r>
    <n v="743"/>
    <d v="2025-08-21T00:00:00"/>
    <s v="ZBTO"/>
    <n v="9519036674"/>
    <n v="4"/>
    <s v="9519036674-4"/>
    <s v="Stocks"/>
    <x v="3"/>
    <x v="2"/>
    <m/>
    <x v="1"/>
    <x v="1"/>
    <s v="East"/>
    <s v="DANKUNI"/>
    <s v="CALS"/>
    <n v="101122"/>
    <s v="JINDAL INDIA LIMITED"/>
    <n v="3988091"/>
    <s v="GL COIL HARD  Y550GL H7GL 0.440X1240"/>
    <s v="B04"/>
    <s v="Y550GL"/>
    <s v="H7GL"/>
    <n v="0.44"/>
    <n v="1240"/>
    <n v="0"/>
    <n v="279.99900000000002"/>
    <n v="276.83999999999997"/>
    <n v="3.1589999999999998"/>
    <n v="45.314999999999998"/>
    <n v="0"/>
    <n v="0"/>
    <n v="0"/>
    <n v="0"/>
    <n v="0"/>
    <n v="0"/>
    <n v="45.314999999999998"/>
    <n v="45.314999999999998"/>
    <n v="0"/>
    <n v="0"/>
    <n v="0"/>
    <n v="0"/>
    <n v="0"/>
    <s v="JINDAL INDIA LIMITED"/>
  </r>
  <r>
    <n v="743"/>
    <d v="2025-08-21T00:00:00"/>
    <s v="ZBTO"/>
    <n v="9519036674"/>
    <n v="8"/>
    <s v="9519036674-8"/>
    <s v="Stocks"/>
    <x v="3"/>
    <x v="2"/>
    <m/>
    <x v="1"/>
    <x v="1"/>
    <s v="East"/>
    <s v="DANKUNI"/>
    <s v="CALS"/>
    <n v="101122"/>
    <s v="JINDAL INDIA LIMITED"/>
    <n v="3988091"/>
    <s v="GL COIL HARD  Y550GL H7GL 0.440X1240"/>
    <s v="B04"/>
    <s v="Y550GL"/>
    <s v="H7GL"/>
    <n v="0.44"/>
    <n v="1240"/>
    <n v="0"/>
    <n v="279.99900000000002"/>
    <n v="275.76"/>
    <n v="4.2389999999999999"/>
    <n v="13.8"/>
    <n v="0"/>
    <n v="0"/>
    <n v="0"/>
    <n v="0"/>
    <n v="0"/>
    <n v="0"/>
    <n v="13.8"/>
    <n v="13.8"/>
    <n v="0"/>
    <n v="0"/>
    <n v="0"/>
    <n v="0"/>
    <n v="0"/>
    <s v="JINDAL INDIA LIMITED"/>
  </r>
  <r>
    <n v="742"/>
    <d v="2025-07-22T00:00:00"/>
    <s v="ZBTO"/>
    <n v="9518949530"/>
    <n v="2"/>
    <s v="9518949530-2"/>
    <s v="Stocks"/>
    <x v="0"/>
    <x v="7"/>
    <m/>
    <x v="0"/>
    <x v="0"/>
    <s v="East"/>
    <s v="URLA"/>
    <s v="RPUR"/>
    <n v="139336"/>
    <s v="PASA ASSOCIATES PRIVATE LIMITED"/>
    <n v="3240869"/>
    <s v="CRCA SHEET TSBCRC SR15 2X1250X2500"/>
    <s v="C06"/>
    <s v="TSBCRC"/>
    <s v="SR15"/>
    <n v="2"/>
    <n v="1250"/>
    <n v="2500"/>
    <n v="29"/>
    <n v="23.41"/>
    <n v="5.59"/>
    <n v="23.410000000000004"/>
    <n v="0"/>
    <n v="0"/>
    <n v="0"/>
    <n v="0"/>
    <n v="0"/>
    <n v="0"/>
    <n v="23.410000000000004"/>
    <n v="23.410000000000004"/>
    <n v="0"/>
    <n v="0"/>
    <n v="0"/>
    <n v="0"/>
    <n v="0"/>
    <s v="PASA ASSOCIATES PRIVATE LIMITED"/>
  </r>
  <r>
    <n v="742"/>
    <d v="2025-08-02T00:00:00"/>
    <s v="ZBTO"/>
    <n v="9518988369"/>
    <n v="1"/>
    <s v="9518988369-1"/>
    <s v="Oct'25"/>
    <x v="0"/>
    <x v="4"/>
    <m/>
    <x v="0"/>
    <x v="0"/>
    <s v="North"/>
    <s v="FARIDABAD"/>
    <s v="GBAD"/>
    <n v="184986"/>
    <s v="SWASTIK STEEL PROCESSOR LLP"/>
    <n v="1804772"/>
    <s v="CRCA COIL TATXXD AU03 0.4X1250"/>
    <s v="C01"/>
    <s v="TATXXD"/>
    <s v="AU03"/>
    <n v="0.4"/>
    <n v="1250"/>
    <n v="0"/>
    <n v="116"/>
    <n v="0"/>
    <n v="116"/>
    <n v="0"/>
    <n v="116"/>
    <n v="0"/>
    <n v="116"/>
    <n v="0"/>
    <n v="0"/>
    <n v="0"/>
    <n v="116"/>
    <n v="0"/>
    <n v="116"/>
    <n v="0"/>
    <n v="0"/>
    <n v="0"/>
    <n v="0"/>
    <s v="SWASTIK STEEL PROCESSOR LLP"/>
  </r>
  <r>
    <n v="742"/>
    <d v="2025-07-24T00:00:00"/>
    <s v="ZBTO"/>
    <n v="9518956389"/>
    <n v="14"/>
    <s v="9518956389-14"/>
    <s v="Oct'25"/>
    <x v="0"/>
    <x v="4"/>
    <m/>
    <x v="0"/>
    <x v="0"/>
    <s v="South"/>
    <s v="YESHWANTHPURA"/>
    <s v="BANG"/>
    <n v="932244"/>
    <s v="DURGA TRADERS"/>
    <n v="2193598"/>
    <s v="CRCA COIL TATXXD AU03 1.900X1250"/>
    <s v="C01"/>
    <s v="TATXXD"/>
    <s v="AU03"/>
    <n v="1.9"/>
    <n v="1250"/>
    <n v="0"/>
    <n v="116"/>
    <n v="51.765000000000001"/>
    <n v="64.234999999999999"/>
    <n v="0"/>
    <n v="64.234999999999999"/>
    <n v="0"/>
    <n v="64.234999999999999"/>
    <n v="0"/>
    <n v="0"/>
    <n v="0"/>
    <n v="64.234999999999999"/>
    <n v="0"/>
    <n v="64.234999999999999"/>
    <n v="0"/>
    <n v="0"/>
    <n v="0"/>
    <n v="0"/>
    <s v="DURGA TRADERS"/>
  </r>
  <r>
    <n v="743"/>
    <d v="2025-09-02T00:00:00"/>
    <s v="ZBTO"/>
    <n v="9519072501"/>
    <n v="2"/>
    <s v="9519072501-2"/>
    <s v="Oct'25"/>
    <x v="3"/>
    <x v="2"/>
    <m/>
    <x v="1"/>
    <x v="1"/>
    <s v="West"/>
    <s v="TAMBATI"/>
    <s v="BOMB"/>
    <n v="942186"/>
    <s v="PRABHAT GLOBAL COLOURCOATED PRIVATE"/>
    <n v="1882436"/>
    <s v="GL COIL HARD -Y550GL-H7GL-0.37X1220"/>
    <s v="B04"/>
    <s v="Y550GL"/>
    <s v="H7GL"/>
    <n v="0.37"/>
    <n v="1220"/>
    <n v="0"/>
    <n v="56"/>
    <n v="0"/>
    <n v="56"/>
    <n v="0"/>
    <n v="56"/>
    <n v="0"/>
    <n v="0"/>
    <n v="56"/>
    <n v="0"/>
    <n v="0"/>
    <n v="56"/>
    <n v="0"/>
    <n v="0"/>
    <n v="56"/>
    <n v="0"/>
    <n v="0"/>
    <n v="0"/>
    <s v="PRABHAT GLOBAL COLOURCOATED PRIVATE"/>
  </r>
  <r>
    <n v="742"/>
    <d v="2025-08-02T00:00:00"/>
    <s v="ZBTO"/>
    <n v="9518988288"/>
    <n v="3"/>
    <s v="9518988288-3"/>
    <s v="Stocks"/>
    <x v="0"/>
    <x v="7"/>
    <m/>
    <x v="0"/>
    <x v="0"/>
    <s v="East"/>
    <s v="SILIGURI TOWN"/>
    <s v="GWAH"/>
    <n v="948783"/>
    <s v="SAGAR STEELS"/>
    <n v="2427624"/>
    <s v="CRCA SHEET TSBCRC SR15 0.500X1000X2000"/>
    <s v="C06"/>
    <s v="TSBCRC"/>
    <s v="SR15"/>
    <n v="0.5"/>
    <n v="1000"/>
    <n v="2000"/>
    <n v="22.998999999999999"/>
    <n v="22.82"/>
    <n v="0.17899999999999999"/>
    <n v="22.82"/>
    <n v="0"/>
    <n v="0"/>
    <n v="0"/>
    <n v="0"/>
    <n v="0"/>
    <n v="0"/>
    <n v="22.82"/>
    <n v="22.82"/>
    <n v="0"/>
    <n v="0"/>
    <n v="0"/>
    <n v="0"/>
    <n v="0"/>
    <s v="SAGAR STEELS"/>
  </r>
  <r>
    <n v="742"/>
    <d v="2025-08-22T00:00:00"/>
    <s v="ZBTO"/>
    <n v="9519040469"/>
    <n v="5"/>
    <s v="9519040469-5"/>
    <s v="Sep'25"/>
    <x v="0"/>
    <x v="2"/>
    <m/>
    <x v="1"/>
    <x v="1"/>
    <s v="West"/>
    <s v="VILLAGE DADRA"/>
    <s v="NPUR"/>
    <n v="189405"/>
    <s v="Balmer Lawrie And Co. Ltd."/>
    <n v="2170009"/>
    <s v="CRCA COIL TATXXD BT02 1.200X914"/>
    <s v="C01"/>
    <s v="TATXXD"/>
    <s v="BT02"/>
    <n v="1.2"/>
    <n v="914"/>
    <n v="0"/>
    <n v="42"/>
    <n v="0"/>
    <n v="42"/>
    <n v="0"/>
    <n v="42"/>
    <n v="42"/>
    <n v="0"/>
    <n v="0"/>
    <n v="0"/>
    <n v="0"/>
    <n v="42"/>
    <n v="0"/>
    <n v="42"/>
    <n v="0"/>
    <n v="0"/>
    <n v="0"/>
    <n v="0"/>
    <s v="Balmer Lawrie And Co. Ltd."/>
  </r>
  <r>
    <n v="743"/>
    <d v="2025-08-22T00:00:00"/>
    <s v="ZBTO"/>
    <n v="9519037676"/>
    <n v="1"/>
    <s v="9519037676-1"/>
    <s v="Oct'25"/>
    <x v="2"/>
    <x v="11"/>
    <m/>
    <x v="0"/>
    <x v="0"/>
    <s v="South"/>
    <s v="CHENNAI"/>
    <s v="MADS"/>
    <n v="822271"/>
    <s v="TATA STEEL DOWNSTREAM PRODUCTS LIMI"/>
    <n v="1851847"/>
    <s v="GP COIL SOFT-TSBXGP-T1GP-0.3X1220"/>
    <s v="C02"/>
    <s v="TSBXGP"/>
    <s v="T1GP"/>
    <n v="0.3"/>
    <n v="1220"/>
    <n v="0"/>
    <n v="280"/>
    <n v="196.245"/>
    <n v="83.754999999999995"/>
    <n v="0"/>
    <n v="83.754999999999995"/>
    <n v="0"/>
    <n v="83.754999999999995"/>
    <n v="0"/>
    <n v="0"/>
    <n v="0"/>
    <n v="83.754999999999995"/>
    <n v="0"/>
    <n v="83.754999999999995"/>
    <n v="0"/>
    <n v="0"/>
    <n v="0"/>
    <n v="0"/>
    <s v="TATA STEEL DOWNSTREAM PRODUCTS LIMI"/>
  </r>
  <r>
    <n v="743"/>
    <d v="2025-07-29T00:00:00"/>
    <s v="ZBTO"/>
    <n v="9518973099"/>
    <n v="1"/>
    <s v="9518973099-1"/>
    <s v="Aug'25"/>
    <x v="2"/>
    <x v="8"/>
    <m/>
    <x v="0"/>
    <x v="0"/>
    <s v="East"/>
    <s v="GAUHATI"/>
    <s v="GWAH"/>
    <n v="103671"/>
    <s v="BAJRANG STEEL (SALES) CORPORATION"/>
    <n v="3708867"/>
    <s v="GP COIL TATGPH GP02 0.300X900"/>
    <s v="C05"/>
    <s v="TATGPH"/>
    <s v="GP02"/>
    <n v="0.3"/>
    <n v="900"/>
    <n v="0"/>
    <n v="42"/>
    <n v="0"/>
    <n v="42"/>
    <n v="0"/>
    <n v="42"/>
    <n v="42"/>
    <n v="0"/>
    <n v="0"/>
    <n v="0"/>
    <n v="0"/>
    <n v="42"/>
    <n v="42"/>
    <n v="0"/>
    <n v="0"/>
    <n v="0"/>
    <n v="0"/>
    <n v="0"/>
    <s v="BAJRANG STEEL (SALES) CORPORATION"/>
  </r>
  <r>
    <n v="742"/>
    <d v="2025-07-18T00:00:00"/>
    <s v="ZBTO"/>
    <n v="9518940039"/>
    <n v="3"/>
    <s v="9518940039-3"/>
    <s v="Oct'25"/>
    <x v="0"/>
    <x v="4"/>
    <m/>
    <x v="0"/>
    <x v="0"/>
    <s v="South"/>
    <s v="YESHWANTHPURA"/>
    <s v="BANG"/>
    <n v="939268"/>
    <s v="TATA STEEL DOWNSTREAM PRODUCTS LIMI"/>
    <n v="1804772"/>
    <s v="CRCA COIL TATXXD AU03 0.4X1250"/>
    <s v="C01"/>
    <s v="TATXXD"/>
    <s v="AU03"/>
    <n v="0.4"/>
    <n v="1250"/>
    <n v="0"/>
    <n v="145"/>
    <n v="0"/>
    <n v="145"/>
    <n v="0"/>
    <n v="145"/>
    <n v="0"/>
    <n v="145"/>
    <n v="0"/>
    <n v="0"/>
    <n v="0"/>
    <n v="145"/>
    <n v="0"/>
    <n v="145"/>
    <n v="0"/>
    <n v="0"/>
    <n v="0"/>
    <n v="0"/>
    <s v="TATA STEEL DOWNSTREAM PRODUCTS LIMI"/>
  </r>
  <r>
    <n v="742"/>
    <d v="2025-07-18T00:00:00"/>
    <s v="ZBTO"/>
    <n v="9518940039"/>
    <n v="4"/>
    <s v="9518940039-4"/>
    <s v="Oct'25"/>
    <x v="0"/>
    <x v="4"/>
    <m/>
    <x v="0"/>
    <x v="0"/>
    <s v="South"/>
    <s v="YESHWANTHPURA"/>
    <s v="BANG"/>
    <n v="939268"/>
    <s v="TATA STEEL DOWNSTREAM PRODUCTS LIMI"/>
    <n v="1801022"/>
    <s v="CRCA COIL-TATXXD-AU03-0.45X1250"/>
    <s v="C01"/>
    <s v="TATXXD"/>
    <s v="AU03"/>
    <n v="0.45"/>
    <n v="1250"/>
    <n v="0"/>
    <n v="87"/>
    <n v="0"/>
    <n v="87"/>
    <n v="0"/>
    <n v="87"/>
    <n v="0"/>
    <n v="0"/>
    <n v="87"/>
    <n v="0"/>
    <n v="0"/>
    <n v="87"/>
    <n v="0"/>
    <n v="0"/>
    <n v="0"/>
    <n v="87"/>
    <n v="0"/>
    <n v="0"/>
    <s v="TATA STEEL DOWNSTREAM PRODUCTS LIMI"/>
  </r>
  <r>
    <n v="742"/>
    <d v="2025-07-18T00:00:00"/>
    <s v="ZBTO"/>
    <n v="9518940039"/>
    <n v="5"/>
    <s v="9518940039-5"/>
    <s v="Oct'25"/>
    <x v="0"/>
    <x v="4"/>
    <m/>
    <x v="0"/>
    <x v="0"/>
    <s v="South"/>
    <s v="YESHWANTHPURA"/>
    <s v="BANG"/>
    <n v="939268"/>
    <s v="TATA STEEL DOWNSTREAM PRODUCTS LIMI"/>
    <n v="185675"/>
    <s v="CRCA COIL-TATXXD-AU03-0.5X1250"/>
    <s v="C01"/>
    <s v="TATXXD"/>
    <s v="AU03"/>
    <n v="0.5"/>
    <n v="1250"/>
    <n v="0"/>
    <n v="203"/>
    <n v="24.08"/>
    <n v="178.92"/>
    <n v="0"/>
    <n v="178.92"/>
    <n v="0"/>
    <n v="0"/>
    <n v="178.92"/>
    <n v="0"/>
    <n v="0"/>
    <n v="178.92"/>
    <n v="0"/>
    <n v="0"/>
    <n v="0"/>
    <n v="178.92"/>
    <n v="0"/>
    <n v="0"/>
    <s v="TATA STEEL DOWNSTREAM PRODUCTS LIMI"/>
  </r>
  <r>
    <n v="743"/>
    <d v="2025-09-02T00:00:00"/>
    <s v="ZBTO"/>
    <n v="9519073218"/>
    <n v="3"/>
    <s v="9519073218-3"/>
    <s v="Stocks"/>
    <x v="2"/>
    <x v="11"/>
    <m/>
    <x v="0"/>
    <x v="0"/>
    <s v="North"/>
    <s v="KANPUR"/>
    <s v="KANP"/>
    <n v="933952"/>
    <s v="AGARWAL STEEL TRADERS"/>
    <n v="2428450"/>
    <s v="GP COIL SOFT TATXGP GK09 0.350X1250"/>
    <s v="C02"/>
    <s v="TATXGP"/>
    <s v="GK09"/>
    <n v="0.35"/>
    <n v="1250"/>
    <n v="0"/>
    <n v="29"/>
    <n v="22.47"/>
    <n v="6.43"/>
    <n v="11.295"/>
    <n v="0"/>
    <n v="0"/>
    <n v="0"/>
    <n v="0"/>
    <n v="0"/>
    <n v="0"/>
    <n v="11.295"/>
    <n v="11.295"/>
    <n v="0"/>
    <n v="0"/>
    <n v="0"/>
    <n v="0"/>
    <n v="0"/>
    <s v="AGARWAL STEEL TRADERS"/>
  </r>
  <r>
    <n v="742"/>
    <d v="2025-09-17T00:00:00"/>
    <s v="ZBTO"/>
    <n v="9519113382"/>
    <n v="1"/>
    <s v="9519113382-1"/>
    <s v="Oct'25"/>
    <x v="0"/>
    <x v="7"/>
    <m/>
    <x v="0"/>
    <x v="0"/>
    <s v="West"/>
    <s v="JAIPUR"/>
    <s v="JPUR"/>
    <n v="116137"/>
    <s v="PELIKAN DOSSIER (P) LTD "/>
    <n v="3240765"/>
    <s v="CRCA SHEET TSBCRC SR15 0.500X1250X2500"/>
    <s v="C06"/>
    <s v="TSBCRC"/>
    <s v="SR15"/>
    <n v="0.5"/>
    <n v="1250"/>
    <n v="2500"/>
    <n v="29"/>
    <n v="0"/>
    <n v="29"/>
    <n v="0"/>
    <n v="29"/>
    <n v="0"/>
    <n v="0"/>
    <n v="29"/>
    <n v="0"/>
    <n v="0"/>
    <n v="29"/>
    <n v="0"/>
    <n v="0"/>
    <n v="29"/>
    <n v="0"/>
    <n v="0"/>
    <n v="0"/>
    <s v="PELIKAN DOSSIER (P) LTD "/>
  </r>
  <r>
    <n v="742"/>
    <d v="2025-09-17T00:00:00"/>
    <s v="ZBTO"/>
    <n v="9519113382"/>
    <n v="2"/>
    <s v="9519113382-2"/>
    <s v="Oct'25"/>
    <x v="0"/>
    <x v="7"/>
    <m/>
    <x v="0"/>
    <x v="0"/>
    <s v="West"/>
    <s v="JAIPUR"/>
    <s v="JPUR"/>
    <n v="116137"/>
    <s v="PELIKAN DOSSIER (P) LTD "/>
    <n v="3240793"/>
    <s v="CRCA SHEET TSBCRC SR15 0.700X1250X2500"/>
    <s v="C06"/>
    <s v="TSBCRC"/>
    <s v="SR15"/>
    <n v="0.7"/>
    <n v="1250"/>
    <n v="2500"/>
    <n v="87"/>
    <n v="0"/>
    <n v="87"/>
    <n v="0"/>
    <n v="87"/>
    <n v="0"/>
    <n v="0"/>
    <n v="87"/>
    <n v="0"/>
    <n v="0"/>
    <n v="87"/>
    <n v="0"/>
    <n v="0"/>
    <n v="87"/>
    <n v="0"/>
    <n v="0"/>
    <n v="0"/>
    <s v="PELIKAN DOSSIER (P) LTD "/>
  </r>
  <r>
    <n v="742"/>
    <d v="2025-07-18T00:00:00"/>
    <s v="ZBTO"/>
    <n v="9518939680"/>
    <n v="19"/>
    <s v="9518939680-19"/>
    <s v="Sep'25"/>
    <x v="0"/>
    <x v="4"/>
    <m/>
    <x v="0"/>
    <x v="0"/>
    <s v="South"/>
    <s v="CHENNAI"/>
    <s v="MADS"/>
    <n v="938550"/>
    <s v="BASEER AND CO"/>
    <n v="1804770"/>
    <s v="CRCA COIL-TATXXD-AU03-0.4X900"/>
    <s v="C01"/>
    <s v="TATXXD"/>
    <s v="AU03"/>
    <n v="0.4"/>
    <n v="900"/>
    <n v="0"/>
    <n v="42"/>
    <n v="0"/>
    <n v="42"/>
    <n v="0"/>
    <n v="42"/>
    <n v="0"/>
    <n v="42"/>
    <n v="0"/>
    <n v="0"/>
    <n v="0"/>
    <n v="42"/>
    <n v="0"/>
    <n v="42"/>
    <n v="0"/>
    <n v="0"/>
    <n v="0"/>
    <n v="0"/>
    <s v="BASEER AND CO"/>
  </r>
  <r>
    <n v="743"/>
    <d v="2025-07-05T00:00:00"/>
    <s v="ZBTO"/>
    <n v="9518908638"/>
    <n v="1"/>
    <s v="9518908638-1"/>
    <s v="Sep'25"/>
    <x v="2"/>
    <x v="8"/>
    <m/>
    <x v="0"/>
    <x v="0"/>
    <s v="North"/>
    <s v="SRINAGAR"/>
    <s v="LUDH"/>
    <n v="115190"/>
    <s v="SHEYRUB AGENCIES"/>
    <n v="3897501"/>
    <s v="GP COIL XXXGPH GPH3 0.500X900"/>
    <s v="C05"/>
    <s v="XXXGPH"/>
    <s v="GPH3"/>
    <n v="0.5"/>
    <n v="900"/>
    <n v="0"/>
    <n v="42"/>
    <n v="19.484999999999999"/>
    <n v="22.515000000000001"/>
    <n v="0"/>
    <n v="22.515000000000001"/>
    <n v="0"/>
    <n v="0"/>
    <n v="0"/>
    <n v="0"/>
    <n v="22.515000000000001"/>
    <n v="22.515000000000001"/>
    <n v="0"/>
    <n v="0"/>
    <n v="0"/>
    <n v="0"/>
    <n v="22.515000000000001"/>
    <n v="0"/>
    <s v="SHEYRUB AGENCIES"/>
  </r>
  <r>
    <n v="743"/>
    <d v="2025-08-20T00:00:00"/>
    <s v="ZBTO"/>
    <n v="9519031945"/>
    <n v="1"/>
    <s v="9519031945-1"/>
    <s v="Stocks"/>
    <x v="2"/>
    <x v="5"/>
    <m/>
    <x v="0"/>
    <x v="0"/>
    <s v="East"/>
    <s v="TANGI"/>
    <s v="BHUB"/>
    <n v="117061"/>
    <s v="BHARTIA  DISTRIBUTORS PVT. LTD."/>
    <n v="3484324"/>
    <s v="GP SH SOFT TATXGP GK09 0.300X900X2500"/>
    <s v="B11"/>
    <s v="TATXGP"/>
    <s v="GK09"/>
    <n v="0.3"/>
    <n v="900"/>
    <n v="2500"/>
    <n v="90"/>
    <n v="88.944999999999993"/>
    <n v="1.0549999999999999"/>
    <n v="22.995000000000001"/>
    <n v="0"/>
    <n v="0"/>
    <n v="0"/>
    <n v="0"/>
    <n v="0"/>
    <n v="0"/>
    <n v="22.995000000000001"/>
    <n v="22.995000000000001"/>
    <n v="0"/>
    <n v="0"/>
    <n v="0"/>
    <n v="0"/>
    <n v="0"/>
    <s v="BHARTIA  DISTRIBUTORS PVT. LTD."/>
  </r>
  <r>
    <n v="742"/>
    <d v="2025-07-23T00:00:00"/>
    <s v="ZBTO"/>
    <n v="9518951771"/>
    <n v="2"/>
    <s v="9518951771-2"/>
    <s v="Sep'25"/>
    <x v="0"/>
    <x v="4"/>
    <m/>
    <x v="0"/>
    <x v="0"/>
    <s v="South"/>
    <s v="GUMMIDIPOONDI"/>
    <s v="MADS"/>
    <n v="161312"/>
    <s v="GOVINDARAJA MUDALIAR SONS PVT LTD"/>
    <n v="2390540"/>
    <s v="CRCA COIL TATXXD AU03 1.800X1250"/>
    <s v="C01"/>
    <s v="TATXXD"/>
    <s v="AU03"/>
    <n v="1.8"/>
    <n v="1250"/>
    <n v="0"/>
    <n v="87"/>
    <n v="0"/>
    <n v="87"/>
    <n v="0"/>
    <n v="87"/>
    <n v="0"/>
    <n v="87"/>
    <n v="0"/>
    <n v="0"/>
    <n v="0"/>
    <n v="87"/>
    <n v="0"/>
    <n v="87"/>
    <n v="0"/>
    <n v="0"/>
    <n v="0"/>
    <n v="0"/>
    <s v="GOVINDARAJA MUDALIAR SONS PVT LTD"/>
  </r>
  <r>
    <n v="742"/>
    <d v="2025-07-07T00:00:00"/>
    <s v="ZBTO"/>
    <n v="9518911415"/>
    <n v="8"/>
    <s v="9518911415-8"/>
    <s v="Sep'25"/>
    <x v="0"/>
    <x v="7"/>
    <m/>
    <x v="0"/>
    <x v="0"/>
    <s v="North"/>
    <s v="VARANASI"/>
    <s v="KANP"/>
    <n v="931525"/>
    <s v="INDIA STEEL INDUSTRIES"/>
    <n v="3912457"/>
    <s v="CRCA SHEET TATCRC SR16 0.400X1250X2020"/>
    <s v="C06"/>
    <s v="TATCRC"/>
    <s v="SR16"/>
    <n v="0.4"/>
    <n v="1250"/>
    <n v="2020"/>
    <n v="29"/>
    <n v="0"/>
    <n v="29"/>
    <n v="0"/>
    <n v="29"/>
    <n v="0"/>
    <n v="0"/>
    <n v="0"/>
    <n v="0"/>
    <n v="29"/>
    <n v="29"/>
    <n v="0"/>
    <n v="0"/>
    <n v="0"/>
    <n v="29"/>
    <n v="0"/>
    <n v="0"/>
    <s v="INDIA STEEL INDUSTRIES"/>
  </r>
  <r>
    <n v="742"/>
    <d v="2025-08-22T00:00:00"/>
    <s v="ZBTO"/>
    <n v="9519038135"/>
    <n v="3"/>
    <s v="9519038135-3"/>
    <s v="Oct'25"/>
    <x v="0"/>
    <x v="4"/>
    <m/>
    <x v="0"/>
    <x v="0"/>
    <s v="South"/>
    <s v="VALPARAI"/>
    <s v="MADS"/>
    <n v="116465"/>
    <s v="SRI BALAJI STEEL TRADERS"/>
    <n v="1804854"/>
    <s v="CRCA COIL-TATXXD-AU03-1.2X1250"/>
    <s v="C01"/>
    <s v="TATXXD"/>
    <s v="AU03"/>
    <n v="1.2"/>
    <n v="1250"/>
    <n v="0"/>
    <n v="29"/>
    <n v="23.37"/>
    <n v="5.63"/>
    <n v="0"/>
    <n v="5.63"/>
    <n v="0"/>
    <n v="5.63"/>
    <n v="0"/>
    <n v="0"/>
    <n v="0"/>
    <n v="5.63"/>
    <n v="0"/>
    <n v="5.63"/>
    <n v="0"/>
    <n v="0"/>
    <n v="0"/>
    <n v="0"/>
    <s v="SRI BALAJI STEEL TRADERS"/>
  </r>
  <r>
    <n v="743"/>
    <d v="2025-08-30T00:00:00"/>
    <s v="ZBTO"/>
    <n v="9519065058"/>
    <n v="1"/>
    <s v="9519065058-1"/>
    <s v="Oct'25"/>
    <x v="3"/>
    <x v="1"/>
    <m/>
    <x v="1"/>
    <x v="1"/>
    <s v="TBSPL"/>
    <s v="TAMILNADU"/>
    <s v="BOMB"/>
    <n v="942294"/>
    <s v="TATA BLUESCOPE STEEL PRIVATE LIMITE"/>
    <n v="4108810"/>
    <s v="GL COIL HARD  Y550GL M310 0.350X1220"/>
    <s v="B04"/>
    <s v="Y550GL"/>
    <s v="M310"/>
    <n v="0.35"/>
    <n v="1220"/>
    <n v="0"/>
    <n v="56"/>
    <n v="48.94"/>
    <n v="7.06"/>
    <n v="0"/>
    <n v="7.06"/>
    <n v="7.06"/>
    <n v="0"/>
    <n v="0"/>
    <n v="0"/>
    <n v="0"/>
    <n v="7.06"/>
    <n v="7.06"/>
    <n v="0"/>
    <n v="0"/>
    <n v="0"/>
    <n v="0"/>
    <n v="0"/>
    <s v="TATA BLUESCOPE STEEL PRIVATE LIMITE"/>
  </r>
  <r>
    <n v="743"/>
    <d v="2025-08-26T00:00:00"/>
    <s v="ZBTO"/>
    <n v="9519051518"/>
    <n v="1"/>
    <s v="9519051518-1"/>
    <s v="Stocks"/>
    <x v="3"/>
    <x v="1"/>
    <m/>
    <x v="1"/>
    <x v="1"/>
    <s v="TBSPL"/>
    <s v="TATANAGAR"/>
    <s v="BOMB"/>
    <n v="942284"/>
    <s v="TATA BLUESCOPE STEEL PRIVATE LIMITE"/>
    <n v="4108810"/>
    <s v="GL COIL HARD  Y550GL M310 0.350X1220"/>
    <s v="B04"/>
    <s v="Y550GL"/>
    <s v="M310"/>
    <n v="0.35"/>
    <n v="1220"/>
    <n v="0"/>
    <n v="28"/>
    <n v="24.11"/>
    <n v="3.89"/>
    <n v="24.11"/>
    <n v="0"/>
    <n v="0"/>
    <n v="0"/>
    <n v="0"/>
    <n v="0"/>
    <n v="0"/>
    <n v="24.11"/>
    <n v="0"/>
    <n v="24.11"/>
    <n v="0"/>
    <n v="0"/>
    <n v="0"/>
    <n v="0"/>
    <s v="TATA BLUESCOPE STEEL PRIVATE LIMITE"/>
  </r>
  <r>
    <n v="743"/>
    <d v="2025-09-16T00:00:00"/>
    <s v="ZBTO"/>
    <n v="9519107089"/>
    <n v="5"/>
    <s v="9519107089-5"/>
    <s v="Oct'25"/>
    <x v="2"/>
    <x v="5"/>
    <m/>
    <x v="0"/>
    <x v="0"/>
    <s v="East"/>
    <s v="URLA"/>
    <s v="RPUR"/>
    <n v="139336"/>
    <s v="PASA ASSOCIATES PRIVATE LIMITED"/>
    <n v="1854424"/>
    <s v="GP COIL SOFT-TATXGP-GK09-0.6X900"/>
    <s v="C02"/>
    <s v="TATXGP"/>
    <s v="GK09"/>
    <n v="0.6"/>
    <n v="900"/>
    <n v="0"/>
    <n v="21"/>
    <n v="0"/>
    <n v="21"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2"/>
    <d v="2025-08-20T00:00:00"/>
    <s v="ZBTO"/>
    <n v="9519031476"/>
    <n v="4"/>
    <s v="9519031476-4"/>
    <s v="Oct'25"/>
    <x v="0"/>
    <x v="7"/>
    <m/>
    <x v="0"/>
    <x v="0"/>
    <s v="East"/>
    <s v="TANGI"/>
    <s v="BHUB"/>
    <n v="117061"/>
    <s v="BHARTIA  DISTRIBUTORS PVT. LTD."/>
    <n v="3240778"/>
    <s v="CRCA SHEET TSBCRC SR15 0.600X1000X2500"/>
    <s v="C06"/>
    <s v="TSBCRC"/>
    <s v="SR15"/>
    <n v="0.6"/>
    <n v="1000"/>
    <n v="2500"/>
    <n v="23"/>
    <n v="0"/>
    <n v="23"/>
    <n v="0"/>
    <n v="23"/>
    <n v="0"/>
    <n v="0"/>
    <n v="0"/>
    <n v="23"/>
    <n v="0"/>
    <n v="23"/>
    <n v="0"/>
    <n v="0"/>
    <n v="0"/>
    <n v="23"/>
    <n v="0"/>
    <n v="0"/>
    <s v="BHARTIA  DISTRIBUTORS PVT. LTD."/>
  </r>
  <r>
    <n v="742"/>
    <d v="2025-07-10T00:00:00"/>
    <s v="ZBTO"/>
    <n v="9518919381"/>
    <n v="1"/>
    <s v="9518919381-1"/>
    <s v="Oct'25"/>
    <x v="0"/>
    <x v="12"/>
    <m/>
    <x v="0"/>
    <x v="0"/>
    <s v="East"/>
    <s v="HOWRAH"/>
    <s v="CALS"/>
    <n v="154464"/>
    <s v="TATA STEEL DOWNSTREAM PRODUCTS LIMI"/>
    <n v="2438381"/>
    <s v="CRCA COIL TATXXD AH03 0.900X1320"/>
    <s v="C01"/>
    <s v="TATXXD"/>
    <s v="AH03"/>
    <n v="0.9"/>
    <n v="1320"/>
    <n v="0"/>
    <n v="120"/>
    <n v="0"/>
    <n v="120"/>
    <n v="0"/>
    <n v="120"/>
    <n v="0"/>
    <n v="0"/>
    <n v="120"/>
    <n v="0"/>
    <n v="0"/>
    <n v="120"/>
    <n v="0"/>
    <n v="0"/>
    <n v="0"/>
    <n v="120"/>
    <n v="0"/>
    <n v="0"/>
    <s v="TATA STEEL DOWNSTREAM PRODUCTS LIMI"/>
  </r>
  <r>
    <n v="742"/>
    <d v="2025-07-02T00:00:00"/>
    <s v="ZBTO"/>
    <n v="9518902661"/>
    <n v="1"/>
    <s v="9518902661-1"/>
    <s v="Sep'25"/>
    <x v="0"/>
    <x v="12"/>
    <m/>
    <x v="0"/>
    <x v="0"/>
    <s v="East"/>
    <s v="HOWRAH"/>
    <s v="CALS"/>
    <n v="154464"/>
    <s v="TATA STEEL DOWNSTREAM PRODUCTS LIMI"/>
    <n v="2438381"/>
    <s v="CRCA COIL TATXXD AH03 0.900X1320"/>
    <s v="C01"/>
    <s v="TATXXD"/>
    <s v="AH03"/>
    <n v="0.9"/>
    <n v="1320"/>
    <n v="0"/>
    <n v="120"/>
    <n v="54.16"/>
    <n v="65.84"/>
    <n v="0"/>
    <n v="65.84"/>
    <n v="0"/>
    <n v="65.84"/>
    <n v="0"/>
    <n v="0"/>
    <n v="0"/>
    <n v="65.84"/>
    <n v="0"/>
    <n v="0"/>
    <n v="65.84"/>
    <n v="0"/>
    <n v="0"/>
    <n v="0"/>
    <s v="TATA STEEL DOWNSTREAM PRODUCTS LIMI"/>
  </r>
  <r>
    <n v="742"/>
    <d v="2025-07-23T00:00:00"/>
    <s v="ZBTO"/>
    <n v="9518952391"/>
    <n v="2"/>
    <s v="9518952391-2"/>
    <s v="Aug'25"/>
    <x v="0"/>
    <x v="2"/>
    <m/>
    <x v="1"/>
    <x v="1"/>
    <s v="West"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n v="168"/>
    <n v="158.958"/>
    <n v="9.0419999999999998"/>
    <n v="0"/>
    <n v="9.0419999999999998"/>
    <n v="9.0419999999999998"/>
    <n v="0"/>
    <n v="0"/>
    <n v="0"/>
    <n v="0"/>
    <n v="9.0419999999999998"/>
    <n v="0"/>
    <n v="9.0419999999999998"/>
    <n v="0"/>
    <n v="0"/>
    <n v="0"/>
    <n v="0"/>
    <s v="Balmer Lawrie And Co. Ltd."/>
  </r>
  <r>
    <n v="742"/>
    <d v="2025-07-31T00:00:00"/>
    <s v="ZBTO"/>
    <n v="9518980071"/>
    <n v="2"/>
    <s v="9518980071-2"/>
    <s v="Sep'25"/>
    <x v="0"/>
    <x v="7"/>
    <m/>
    <x v="0"/>
    <x v="0"/>
    <s v="East"/>
    <s v="HOWRAH"/>
    <s v="CALS"/>
    <n v="101278"/>
    <s v="RAMESH COMPANY"/>
    <n v="2441000"/>
    <s v="CRCA SHEET TATCRC SR16 0.330X1250X2500"/>
    <s v="C06"/>
    <s v="TATCRC"/>
    <s v="SR16"/>
    <n v="0.33"/>
    <n v="1250"/>
    <n v="2500"/>
    <n v="29"/>
    <n v="8.27"/>
    <n v="20.73"/>
    <n v="0"/>
    <n v="20.73"/>
    <n v="0"/>
    <n v="0"/>
    <n v="0"/>
    <n v="0"/>
    <n v="20.73"/>
    <n v="20.73"/>
    <n v="0"/>
    <n v="0"/>
    <n v="0"/>
    <n v="20.73"/>
    <n v="0"/>
    <n v="0"/>
    <s v="RAMESH COMPANY"/>
  </r>
  <r>
    <n v="744"/>
    <d v="2025-08-30T00:00:00"/>
    <s v="ZBTO"/>
    <n v="9519064390"/>
    <n v="1"/>
    <s v="9519064390-1"/>
    <s v="Sep'25"/>
    <x v="1"/>
    <x v="1"/>
    <m/>
    <x v="1"/>
    <x v="1"/>
    <s v="TBSPL"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n v="112"/>
    <n v="97.415000000000006"/>
    <n v="14.585000000000001"/>
    <n v="63.704999999999998"/>
    <n v="14.585000000000001"/>
    <n v="14.585000000000001"/>
    <n v="0"/>
    <n v="0"/>
    <n v="0"/>
    <n v="0"/>
    <n v="78.289999999999992"/>
    <n v="0"/>
    <n v="0"/>
    <n v="78.289999999999992"/>
    <n v="0"/>
    <n v="0"/>
    <n v="0"/>
    <s v="TATA BLUESCOPE STEEL PVT LTD."/>
  </r>
  <r>
    <n v="742"/>
    <d v="2025-08-29T00:00:00"/>
    <s v="ZBTO"/>
    <n v="9519062631"/>
    <n v="2"/>
    <s v="9519062631-2"/>
    <s v="Oct'25"/>
    <x v="0"/>
    <x v="7"/>
    <m/>
    <x v="0"/>
    <x v="0"/>
    <s v="North"/>
    <s v="VARANASI"/>
    <s v="FBAD"/>
    <n v="931525"/>
    <s v="INDIA STEEL INDUSTRIES"/>
    <n v="3409561"/>
    <s v="CRCA SHEET TSBCRC SR15 0.600X1000X1930"/>
    <s v="C06"/>
    <s v="TSBCRC"/>
    <s v="SR15"/>
    <n v="0.6"/>
    <n v="1000"/>
    <n v="1930"/>
    <n v="46"/>
    <n v="0"/>
    <n v="46"/>
    <n v="0"/>
    <n v="46"/>
    <n v="0"/>
    <n v="0"/>
    <n v="0"/>
    <n v="46"/>
    <n v="0"/>
    <n v="46"/>
    <n v="0"/>
    <n v="0"/>
    <n v="0"/>
    <n v="46"/>
    <n v="0"/>
    <n v="0"/>
    <s v="INDIA STEEL INDUSTRIES"/>
  </r>
  <r>
    <n v="742"/>
    <d v="2025-08-29T00:00:00"/>
    <s v="ZBTO"/>
    <n v="9519062631"/>
    <n v="3"/>
    <s v="9519062631-3"/>
    <s v="Stocks"/>
    <x v="0"/>
    <x v="7"/>
    <m/>
    <x v="0"/>
    <x v="0"/>
    <s v="North"/>
    <s v="VARANASI"/>
    <s v="FBAD"/>
    <n v="931525"/>
    <s v="INDIA STEEL INDUSTRIES"/>
    <n v="3912459"/>
    <s v="CRCA SHEET TSBCRC SR15 0.700X1000X1925"/>
    <s v="C06"/>
    <s v="TSBCRC"/>
    <s v="SR15"/>
    <n v="0.7"/>
    <n v="1000"/>
    <n v="1925"/>
    <n v="22.998999999999999"/>
    <n v="19.734999999999999"/>
    <n v="3.2639999999999998"/>
    <n v="2.8149999999999999"/>
    <n v="0"/>
    <n v="0"/>
    <n v="0"/>
    <n v="0"/>
    <n v="0"/>
    <n v="0"/>
    <n v="2.8149999999999999"/>
    <n v="2.8149999999999999"/>
    <n v="0"/>
    <n v="0"/>
    <n v="0"/>
    <n v="0"/>
    <n v="0"/>
    <s v="INDIA STEEL INDUSTRIES"/>
  </r>
  <r>
    <n v="742"/>
    <d v="2025-08-29T00:00:00"/>
    <s v="ZBTO"/>
    <n v="9519062631"/>
    <n v="4"/>
    <s v="9519062631-4"/>
    <s v="Oct'25"/>
    <x v="0"/>
    <x v="7"/>
    <m/>
    <x v="0"/>
    <x v="0"/>
    <s v="North"/>
    <s v="VARANASI"/>
    <s v="FBAD"/>
    <n v="931525"/>
    <s v="INDIA STEEL INDUSTRIES"/>
    <n v="3247971"/>
    <s v="CRCA SHEET TSBCRC SR15 0.500X1250X2020"/>
    <s v="C06"/>
    <s v="TSBCRC"/>
    <s v="SR15"/>
    <n v="0.5"/>
    <n v="1250"/>
    <n v="2020"/>
    <n v="29"/>
    <n v="0"/>
    <n v="29"/>
    <n v="0"/>
    <n v="29"/>
    <n v="0"/>
    <n v="0"/>
    <n v="29"/>
    <n v="0"/>
    <n v="0"/>
    <n v="29"/>
    <n v="0"/>
    <n v="0"/>
    <n v="29"/>
    <n v="0"/>
    <n v="0"/>
    <n v="0"/>
    <s v="INDIA STEEL INDUSTRIES"/>
  </r>
  <r>
    <n v="742"/>
    <d v="2025-08-12T00:00:00"/>
    <s v="ZBTO"/>
    <n v="9519011538"/>
    <n v="3"/>
    <s v="9519011538-3"/>
    <s v="Oct'25"/>
    <x v="0"/>
    <x v="7"/>
    <m/>
    <x v="0"/>
    <x v="0"/>
    <s v="North"/>
    <s v="VARANASI"/>
    <s v="KANP"/>
    <n v="115841"/>
    <s v="O.V.S. ISPAT UDYOG"/>
    <n v="3240781"/>
    <s v="CRCA SHEET TSBCRC SR15 0.600X1250X2030"/>
    <s v="C06"/>
    <s v="TSBCRC"/>
    <s v="SR15"/>
    <n v="0.6"/>
    <n v="1250"/>
    <n v="2030"/>
    <n v="29"/>
    <n v="0"/>
    <n v="29"/>
    <n v="0"/>
    <n v="29"/>
    <n v="0"/>
    <n v="0"/>
    <n v="29"/>
    <n v="0"/>
    <n v="0"/>
    <n v="29"/>
    <n v="0"/>
    <n v="0"/>
    <n v="29"/>
    <n v="0"/>
    <n v="0"/>
    <n v="0"/>
    <s v="O.V.S. ISPAT UDYOG"/>
  </r>
  <r>
    <n v="742"/>
    <d v="2025-08-21T00:00:00"/>
    <s v="ZBTO"/>
    <n v="9519036272"/>
    <n v="7"/>
    <s v="9519036272-7"/>
    <s v="Oct'25"/>
    <x v="0"/>
    <x v="7"/>
    <m/>
    <x v="0"/>
    <x v="0"/>
    <s v="East"/>
    <s v="WEST BOKARO"/>
    <s v="JAMS"/>
    <n v="185794"/>
    <s v="Shree Bajrang Steel Udyog"/>
    <n v="3240760"/>
    <s v="CRCA SHEET TSBCRC SR15 0.500X1000X2500"/>
    <s v="C06"/>
    <s v="TSBCRC"/>
    <s v="SR15"/>
    <n v="0.5"/>
    <n v="1000"/>
    <n v="2500"/>
    <n v="92"/>
    <n v="0"/>
    <n v="92"/>
    <n v="0"/>
    <n v="92"/>
    <n v="0"/>
    <n v="0"/>
    <n v="0"/>
    <n v="92"/>
    <n v="0"/>
    <n v="92"/>
    <n v="0"/>
    <n v="0"/>
    <n v="0"/>
    <n v="92"/>
    <n v="0"/>
    <n v="0"/>
    <s v="Shree Bajrang Steel Udyog"/>
  </r>
  <r>
    <n v="742"/>
    <d v="2025-08-21T00:00:00"/>
    <s v="ZBTO"/>
    <n v="9519036272"/>
    <n v="8"/>
    <s v="9519036272-8"/>
    <s v="Oct'25"/>
    <x v="0"/>
    <x v="7"/>
    <m/>
    <x v="0"/>
    <x v="0"/>
    <s v="East"/>
    <s v="WEST BOKARO"/>
    <s v="JAMS"/>
    <n v="185794"/>
    <s v="Shree Bajrang Steel Udyog"/>
    <n v="3240765"/>
    <s v="CRCA SHEET TSBCRC SR15 0.500X1250X2500"/>
    <s v="C06"/>
    <s v="TSBCRC"/>
    <s v="SR15"/>
    <n v="0.5"/>
    <n v="1250"/>
    <n v="2500"/>
    <n v="58"/>
    <n v="0"/>
    <n v="58"/>
    <n v="0"/>
    <n v="58"/>
    <n v="0"/>
    <n v="58"/>
    <n v="0"/>
    <n v="0"/>
    <n v="0"/>
    <n v="58"/>
    <n v="0"/>
    <n v="58"/>
    <n v="0"/>
    <n v="0"/>
    <n v="0"/>
    <n v="0"/>
    <s v="Shree Bajrang Steel Udyog"/>
  </r>
  <r>
    <n v="742"/>
    <d v="2025-08-28T00:00:00"/>
    <s v="ZBTO"/>
    <n v="9519056703"/>
    <n v="3"/>
    <s v="9519056703-3"/>
    <s v="Oct'25"/>
    <x v="0"/>
    <x v="7"/>
    <m/>
    <x v="0"/>
    <x v="0"/>
    <s v="North"/>
    <s v="VARANASI"/>
    <s v="FBAD"/>
    <n v="931525"/>
    <s v="INDIA STEEL INDUSTRIES"/>
    <n v="3765561"/>
    <s v="CRCA SHEET TSBCRC SR15 0.700X1000X1930"/>
    <s v="C06"/>
    <s v="TSBCRC"/>
    <s v="SR15"/>
    <n v="0.7"/>
    <n v="1000"/>
    <n v="1930"/>
    <n v="23"/>
    <n v="0"/>
    <n v="23"/>
    <n v="0"/>
    <n v="23"/>
    <n v="0"/>
    <n v="0"/>
    <n v="23"/>
    <n v="0"/>
    <n v="0"/>
    <n v="23"/>
    <n v="0"/>
    <n v="0"/>
    <n v="23"/>
    <n v="0"/>
    <n v="0"/>
    <n v="0"/>
    <s v="INDIA STEEL INDUSTRIES"/>
  </r>
  <r>
    <n v="742"/>
    <d v="2025-08-28T00:00:00"/>
    <s v="ZBTO"/>
    <n v="9519056703"/>
    <n v="4"/>
    <s v="9519056703-4"/>
    <s v="Stocks"/>
    <x v="0"/>
    <x v="7"/>
    <m/>
    <x v="0"/>
    <x v="0"/>
    <s v="North"/>
    <s v="VARANASI"/>
    <s v="FBAD"/>
    <n v="931525"/>
    <s v="INDIA STEEL INDUSTRIES"/>
    <n v="3240794"/>
    <s v="CRCA SHEET TSBCRC SR15 0.700X1250X1930"/>
    <s v="C06"/>
    <s v="TSBCRC"/>
    <s v="SR15"/>
    <n v="0.7"/>
    <n v="1250"/>
    <n v="1930"/>
    <n v="28.998999999999999"/>
    <n v="16.524999999999999"/>
    <n v="12.474"/>
    <n v="16.524999999999999"/>
    <n v="0"/>
    <n v="0"/>
    <n v="0"/>
    <n v="0"/>
    <n v="0"/>
    <n v="0"/>
    <n v="16.524999999999999"/>
    <n v="16.524999999999999"/>
    <n v="0"/>
    <n v="0"/>
    <n v="0"/>
    <n v="0"/>
    <n v="0"/>
    <s v="INDIA STEEL INDUSTRIES"/>
  </r>
  <r>
    <n v="742"/>
    <d v="2025-08-18T00:00:00"/>
    <s v="ZBTO"/>
    <n v="9519025593"/>
    <n v="3"/>
    <s v="9519025593-3"/>
    <s v="Oct'25"/>
    <x v="0"/>
    <x v="7"/>
    <m/>
    <x v="0"/>
    <x v="0"/>
    <s v="North"/>
    <s v="VARANASI"/>
    <s v="KANP"/>
    <n v="115841"/>
    <s v="O.V.S. ISPAT UDYOG"/>
    <n v="3240761"/>
    <s v="CRCA SHEET TSBCRC SR15 0.500X1250X2030"/>
    <s v="C06"/>
    <s v="TSBCRC"/>
    <s v="SR15"/>
    <n v="0.5"/>
    <n v="1250"/>
    <n v="2030"/>
    <n v="57.999000000000002"/>
    <n v="3"/>
    <n v="54.999000000000002"/>
    <n v="3"/>
    <n v="54.999000000000002"/>
    <n v="0"/>
    <n v="54.999000000000002"/>
    <n v="0"/>
    <n v="0"/>
    <n v="0"/>
    <n v="57.999000000000002"/>
    <n v="0"/>
    <n v="0"/>
    <n v="57.999000000000002"/>
    <n v="0"/>
    <n v="0"/>
    <n v="0"/>
    <s v="O.V.S. ISPAT UDYOG"/>
  </r>
  <r>
    <n v="742"/>
    <d v="2025-08-18T00:00:00"/>
    <s v="ZBTO"/>
    <n v="9519025593"/>
    <n v="4"/>
    <s v="9519025593-4"/>
    <s v="Oct'25"/>
    <x v="0"/>
    <x v="7"/>
    <m/>
    <x v="0"/>
    <x v="0"/>
    <s v="North"/>
    <s v="VARANASI"/>
    <s v="KANP"/>
    <n v="115841"/>
    <s v="O.V.S. ISPAT UDYOG"/>
    <n v="3240781"/>
    <s v="CRCA SHEET TSBCRC SR15 0.600X1250X2030"/>
    <s v="C06"/>
    <s v="TSBCRC"/>
    <s v="SR15"/>
    <n v="0.6"/>
    <n v="1250"/>
    <n v="2030"/>
    <n v="29"/>
    <n v="0"/>
    <n v="29"/>
    <n v="0"/>
    <n v="29"/>
    <n v="0"/>
    <n v="0"/>
    <n v="29"/>
    <n v="0"/>
    <n v="0"/>
    <n v="29"/>
    <n v="0"/>
    <n v="0"/>
    <n v="29"/>
    <n v="0"/>
    <n v="0"/>
    <n v="0"/>
    <s v="O.V.S. ISPAT UDYOG"/>
  </r>
  <r>
    <n v="742"/>
    <d v="2025-08-20T00:00:00"/>
    <s v="ZBTO"/>
    <n v="9519031476"/>
    <n v="3"/>
    <s v="9519031476-3"/>
    <s v="Stocks"/>
    <x v="0"/>
    <x v="7"/>
    <m/>
    <x v="0"/>
    <x v="0"/>
    <s v="East"/>
    <s v="TANGI"/>
    <s v="BHUB"/>
    <n v="117061"/>
    <s v="BHARTIA  DISTRIBUTORS PVT. LTD."/>
    <n v="3240760"/>
    <s v="CRCA SHEET TSBCRC SR15 0.500X1000X2500"/>
    <s v="C06"/>
    <s v="TSBCRC"/>
    <s v="SR15"/>
    <n v="0.5"/>
    <n v="1000"/>
    <n v="2500"/>
    <n v="23"/>
    <n v="22.565000000000001"/>
    <n v="0.435"/>
    <n v="22.565000000000001"/>
    <n v="0"/>
    <n v="0"/>
    <n v="0"/>
    <n v="0"/>
    <n v="0"/>
    <n v="0"/>
    <n v="22.565000000000001"/>
    <n v="22.565000000000001"/>
    <n v="0"/>
    <n v="0"/>
    <n v="0"/>
    <n v="0"/>
    <n v="0"/>
    <s v="BHARTIA  DISTRIBUTORS PVT. LTD."/>
  </r>
  <r>
    <n v="742"/>
    <d v="2025-08-20T00:00:00"/>
    <s v="ZBTO"/>
    <n v="9519032783"/>
    <n v="1"/>
    <s v="9519032783-1"/>
    <s v="Oct'25"/>
    <x v="0"/>
    <x v="7"/>
    <m/>
    <x v="0"/>
    <x v="0"/>
    <s v="East"/>
    <s v="SILIGURI TOWN"/>
    <s v="GWAH"/>
    <n v="948783"/>
    <s v="SAGAR STEELS"/>
    <n v="3239543"/>
    <s v="CRCA SHEET TATCRC SR16 0.350X1250X2500"/>
    <s v="C06"/>
    <s v="TATCRC"/>
    <s v="SR16"/>
    <n v="0.35"/>
    <n v="1250"/>
    <n v="2500"/>
    <n v="29"/>
    <n v="0"/>
    <n v="29"/>
    <n v="0"/>
    <n v="29"/>
    <n v="0"/>
    <n v="29"/>
    <n v="0"/>
    <n v="0"/>
    <n v="0"/>
    <n v="29"/>
    <n v="0"/>
    <n v="29"/>
    <n v="0"/>
    <n v="0"/>
    <n v="0"/>
    <n v="0"/>
    <s v="SAGAR STEELS"/>
  </r>
  <r>
    <n v="742"/>
    <d v="2025-08-18T00:00:00"/>
    <s v="ZBTO"/>
    <n v="9519025273"/>
    <n v="2"/>
    <s v="9519025273-2"/>
    <s v="Oct'25"/>
    <x v="0"/>
    <x v="7"/>
    <m/>
    <x v="0"/>
    <x v="0"/>
    <s v="East"/>
    <s v="HOWRAH"/>
    <s v="CALS"/>
    <n v="925093"/>
    <s v="PSPL STEEL PROCESSORS PRIVATE LIMIT"/>
    <n v="3239536"/>
    <s v="CRCA SHEET TATCRC SR16 0.350X900X2500"/>
    <s v="C06"/>
    <s v="TATCRC"/>
    <s v="SR16"/>
    <n v="0.35"/>
    <n v="900"/>
    <n v="2500"/>
    <n v="42"/>
    <n v="0"/>
    <n v="42"/>
    <n v="0"/>
    <n v="42"/>
    <n v="0"/>
    <n v="0"/>
    <n v="0"/>
    <n v="0"/>
    <n v="42"/>
    <n v="42"/>
    <n v="0"/>
    <n v="0"/>
    <n v="0"/>
    <n v="42"/>
    <n v="0"/>
    <n v="0"/>
    <s v="PSPL STEEL PROCESSORS PRIVATE LIMIT"/>
  </r>
  <r>
    <n v="744"/>
    <d v="2025-08-31T00:00:00"/>
    <s v="ZBTO"/>
    <n v="9519068944"/>
    <n v="1"/>
    <s v="9519068944-1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28"/>
    <n v="25.515000000000001"/>
    <n v="2.4849999999999999"/>
    <n v="4.3250000000000002"/>
    <n v="0"/>
    <n v="0"/>
    <n v="0"/>
    <n v="0"/>
    <n v="0"/>
    <n v="0"/>
    <n v="4.3250000000000002"/>
    <n v="4.3250000000000002"/>
    <n v="0"/>
    <n v="0"/>
    <n v="0"/>
    <n v="0"/>
    <n v="0"/>
    <s v="TATA BLUESCOPE STEEL PRIVATE LIMITE"/>
  </r>
  <r>
    <n v="744"/>
    <d v="2025-08-31T00:00:00"/>
    <s v="ZBTO"/>
    <n v="9519068944"/>
    <n v="3"/>
    <s v="9519068944-3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83.998999999999995"/>
    <n v="69.825000000000003"/>
    <n v="14.173999999999999"/>
    <n v="49.86"/>
    <n v="0"/>
    <n v="0"/>
    <n v="0"/>
    <n v="0"/>
    <n v="0"/>
    <n v="0"/>
    <n v="49.86"/>
    <n v="49.86"/>
    <n v="0"/>
    <n v="0"/>
    <n v="0"/>
    <n v="0"/>
    <n v="0"/>
    <s v="TATA BLUESCOPE STEEL PRIVATE LIMITE"/>
  </r>
  <r>
    <n v="744"/>
    <d v="2025-08-31T00:00:00"/>
    <s v="ZBTO"/>
    <n v="9519068944"/>
    <n v="4"/>
    <s v="9519068944-4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84"/>
    <n v="69.724999999999994"/>
    <n v="14.275"/>
    <n v="13.12"/>
    <n v="14.275"/>
    <n v="0"/>
    <n v="14.275"/>
    <n v="0"/>
    <n v="0"/>
    <n v="0"/>
    <n v="27.395"/>
    <n v="0"/>
    <n v="0"/>
    <n v="0"/>
    <n v="27.395"/>
    <n v="0"/>
    <n v="0"/>
    <s v="TATA BLUESCOPE STEEL PRIVATE LIMITE"/>
  </r>
  <r>
    <n v="744"/>
    <d v="2025-08-31T00:00:00"/>
    <s v="ZBTO"/>
    <n v="9519068944"/>
    <n v="5"/>
    <s v="9519068944-5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28"/>
    <n v="16.41"/>
    <n v="11.59"/>
    <n v="7.8449999999999998"/>
    <n v="11.59"/>
    <n v="0"/>
    <n v="11.59"/>
    <n v="0"/>
    <n v="0"/>
    <n v="0"/>
    <n v="19.434999999999999"/>
    <n v="0"/>
    <n v="0"/>
    <n v="0"/>
    <n v="19.434999999999999"/>
    <n v="0"/>
    <n v="0"/>
    <s v="TATA BLUESCOPE STEEL PRIVATE LIMITE"/>
  </r>
  <r>
    <n v="744"/>
    <d v="2025-08-31T00:00:00"/>
    <s v="ZBTO"/>
    <n v="9519068944"/>
    <n v="6"/>
    <s v="9519068944-6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83.998999999999995"/>
    <n v="77.394999999999996"/>
    <n v="6.6040000000000001"/>
    <n v="18.739999999999998"/>
    <n v="0"/>
    <n v="0"/>
    <n v="0"/>
    <n v="0"/>
    <n v="0"/>
    <n v="0"/>
    <n v="18.739999999999998"/>
    <n v="18.739999999999998"/>
    <n v="0"/>
    <n v="0"/>
    <n v="0"/>
    <n v="0"/>
    <n v="0"/>
    <s v="TATA BLUESCOPE STEEL PRIVATE LIMITE"/>
  </r>
  <r>
    <n v="742"/>
    <d v="2025-08-29T00:00:00"/>
    <s v="ZBTO"/>
    <n v="9519062631"/>
    <n v="1"/>
    <s v="9519062631-1"/>
    <s v="Oct'25"/>
    <x v="0"/>
    <x v="7"/>
    <m/>
    <x v="0"/>
    <x v="0"/>
    <s v="North"/>
    <s v="VARANASI"/>
    <s v="FBAD"/>
    <n v="931525"/>
    <s v="INDIA STEEL INDUSTRIES"/>
    <n v="3247971"/>
    <s v="CRCA SHEET TSBCRC SR15 0.500X1250X2020"/>
    <s v="C06"/>
    <s v="TSBCRC"/>
    <s v="SR15"/>
    <n v="0.5"/>
    <n v="1250"/>
    <n v="2020"/>
    <n v="29"/>
    <n v="0"/>
    <n v="29"/>
    <n v="0"/>
    <n v="29"/>
    <n v="0"/>
    <n v="0"/>
    <n v="29"/>
    <n v="0"/>
    <n v="0"/>
    <n v="29"/>
    <n v="0"/>
    <n v="0"/>
    <n v="29"/>
    <n v="0"/>
    <n v="0"/>
    <n v="0"/>
    <s v="INDIA STEEL INDUSTRIES"/>
  </r>
  <r>
    <n v="743"/>
    <d v="2025-09-16T00:00:00"/>
    <s v="ZBTO"/>
    <n v="9519107089"/>
    <n v="2"/>
    <s v="9519107089-2"/>
    <s v="Oct'25"/>
    <x v="2"/>
    <x v="5"/>
    <m/>
    <x v="0"/>
    <x v="0"/>
    <s v="East"/>
    <s v="URLA"/>
    <s v="RPUR"/>
    <n v="139336"/>
    <s v="PASA ASSOCIATES PRIVATE LIMITED"/>
    <n v="1178439"/>
    <s v="GP COIL SOFT-TATXGP-GK09-0.4X900"/>
    <s v="C02"/>
    <s v="TATXGP"/>
    <s v="GK09"/>
    <n v="0.4"/>
    <n v="900"/>
    <n v="0"/>
    <n v="21"/>
    <n v="0"/>
    <n v="21"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3"/>
    <d v="2025-09-16T00:00:00"/>
    <s v="ZBTO"/>
    <n v="9519107089"/>
    <n v="4"/>
    <s v="9519107089-4"/>
    <s v="Oct'25"/>
    <x v="2"/>
    <x v="5"/>
    <m/>
    <x v="0"/>
    <x v="0"/>
    <s v="East"/>
    <s v="URLA"/>
    <s v="RPUR"/>
    <n v="139336"/>
    <s v="PASA ASSOCIATES PRIVATE LIMITED"/>
    <n v="1353179"/>
    <s v="GP COIL TATXGP GK09 0.500X900"/>
    <s v="C02"/>
    <s v="TATXGP"/>
    <s v="GK09"/>
    <n v="0.5"/>
    <n v="900"/>
    <n v="0"/>
    <n v="21"/>
    <n v="0"/>
    <n v="21"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4"/>
    <d v="2025-08-26T00:00:00"/>
    <s v="ZBTO"/>
    <n v="9519050617"/>
    <n v="4"/>
    <s v="9519050617-4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55.999000000000002"/>
    <n v="45.59"/>
    <n v="10.409000000000001"/>
    <n v="21.215"/>
    <n v="0"/>
    <n v="0"/>
    <n v="0"/>
    <n v="0"/>
    <n v="0"/>
    <n v="0"/>
    <n v="21.215"/>
    <n v="21.215"/>
    <n v="0"/>
    <n v="0"/>
    <n v="0"/>
    <n v="0"/>
    <n v="0"/>
    <s v="TATA BLUESCOPE STEEL PRIVATE LIMITE"/>
  </r>
  <r>
    <n v="744"/>
    <d v="2025-08-26T00:00:00"/>
    <s v="ZBTO"/>
    <n v="9519050617"/>
    <n v="5"/>
    <s v="9519050617-5"/>
    <s v="Sep'25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27.998999999999999"/>
    <n v="7.9649999999999999"/>
    <n v="20.033999999999999"/>
    <n v="7.9649999999999999"/>
    <n v="20.033999999999999"/>
    <n v="0"/>
    <n v="20.033999999999999"/>
    <n v="0"/>
    <n v="0"/>
    <n v="0"/>
    <n v="27.998999999999999"/>
    <n v="0"/>
    <n v="0"/>
    <n v="0"/>
    <n v="27.998999999999999"/>
    <n v="0"/>
    <n v="0"/>
    <s v="TATA BLUESCOPE STEEL PRIVATE LIMITE"/>
  </r>
  <r>
    <n v="744"/>
    <d v="2025-08-26T00:00:00"/>
    <s v="ZBTO"/>
    <n v="9519050617"/>
    <n v="6"/>
    <s v="9519050617-6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112"/>
    <n v="97.12"/>
    <n v="14.879"/>
    <n v="16.475000000000001"/>
    <n v="0"/>
    <n v="0"/>
    <n v="0"/>
    <n v="0"/>
    <n v="0"/>
    <n v="0"/>
    <n v="16.475000000000001"/>
    <n v="16.475000000000001"/>
    <n v="0"/>
    <n v="0"/>
    <n v="0"/>
    <n v="0"/>
    <n v="0"/>
    <s v="TATA BLUESCOPE STEEL PRIVATE LIMITE"/>
  </r>
  <r>
    <n v="744"/>
    <d v="2025-08-26T00:00:00"/>
    <s v="ZBTO"/>
    <n v="9519050617"/>
    <n v="7"/>
    <s v="9519050617-7"/>
    <s v="Stocks"/>
    <x v="1"/>
    <x v="1"/>
    <m/>
    <x v="1"/>
    <x v="1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n v="28"/>
    <n v="20.11"/>
    <n v="7.89"/>
    <n v="20.11"/>
    <n v="0"/>
    <n v="0"/>
    <n v="0"/>
    <n v="0"/>
    <n v="0"/>
    <n v="0"/>
    <n v="20.11"/>
    <n v="20.11"/>
    <n v="0"/>
    <n v="0"/>
    <n v="0"/>
    <n v="0"/>
    <n v="0"/>
    <s v="TATA BLUESCOPE STEEL PRIVATE LIMITE"/>
  </r>
  <r>
    <n v="744"/>
    <d v="2025-08-26T00:00:00"/>
    <s v="ZBTO"/>
    <n v="9519050617"/>
    <n v="8"/>
    <s v="9519050617-8"/>
    <s v="Stocks"/>
    <x v="1"/>
    <x v="1"/>
    <m/>
    <x v="1"/>
    <x v="1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n v="56"/>
    <n v="50.484999999999999"/>
    <n v="5.5149999999999997"/>
    <n v="32.130000000000003"/>
    <n v="0"/>
    <n v="0"/>
    <n v="0"/>
    <n v="0"/>
    <n v="0"/>
    <n v="0"/>
    <n v="32.130000000000003"/>
    <n v="32.130000000000003"/>
    <n v="0"/>
    <n v="0"/>
    <n v="0"/>
    <n v="0"/>
    <n v="0"/>
    <s v="TATA BLUESCOPE STEEL PRIVATE LIMITE"/>
  </r>
  <r>
    <n v="744"/>
    <d v="2025-08-26T00:00:00"/>
    <s v="ZBTO"/>
    <n v="9519050617"/>
    <n v="9"/>
    <s v="9519050617-9"/>
    <s v="Stocks"/>
    <x v="1"/>
    <x v="1"/>
    <m/>
    <x v="1"/>
    <x v="1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n v="28"/>
    <n v="26.84"/>
    <n v="1.159"/>
    <n v="26.84"/>
    <n v="0"/>
    <n v="0"/>
    <n v="0"/>
    <n v="0"/>
    <n v="0"/>
    <n v="0"/>
    <n v="26.84"/>
    <n v="26.84"/>
    <n v="0"/>
    <n v="0"/>
    <n v="0"/>
    <n v="0"/>
    <n v="0"/>
    <s v="TATA BLUESCOPE STEEL PRIVATE LIMITE"/>
  </r>
  <r>
    <n v="744"/>
    <d v="2025-08-26T00:00:00"/>
    <s v="ZBTO"/>
    <n v="9519050617"/>
    <n v="13"/>
    <s v="9519050617-13"/>
    <s v="Stocks"/>
    <x v="1"/>
    <x v="1"/>
    <m/>
    <x v="1"/>
    <x v="1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n v="84"/>
    <n v="73.819999999999993"/>
    <n v="10.18"/>
    <n v="73.819999999999993"/>
    <n v="10.18"/>
    <n v="0"/>
    <n v="10.18"/>
    <n v="0"/>
    <n v="0"/>
    <n v="0"/>
    <n v="84"/>
    <n v="0"/>
    <n v="0"/>
    <n v="0"/>
    <n v="84"/>
    <n v="0"/>
    <n v="0"/>
    <s v="TATA BLUESCOPE STEEL PRIVATE LIMITE"/>
  </r>
  <r>
    <n v="744"/>
    <d v="2025-08-26T00:00:00"/>
    <s v="ZBTO"/>
    <n v="9519050617"/>
    <n v="14"/>
    <s v="9519050617-14"/>
    <s v="Stocks"/>
    <x v="1"/>
    <x v="1"/>
    <m/>
    <x v="1"/>
    <x v="1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n v="28"/>
    <n v="26.765000000000001"/>
    <n v="1.2350000000000001"/>
    <n v="26.765000000000004"/>
    <n v="0"/>
    <n v="0"/>
    <n v="0"/>
    <n v="0"/>
    <n v="0"/>
    <n v="0"/>
    <n v="26.765000000000004"/>
    <n v="26.765000000000004"/>
    <n v="0"/>
    <n v="0"/>
    <n v="0"/>
    <n v="0"/>
    <n v="0"/>
    <s v="TATA BLUESCOPE STEEL PRIVATE LIMITE"/>
  </r>
  <r>
    <n v="744"/>
    <d v="2025-08-26T00:00:00"/>
    <s v="ZBTO"/>
    <n v="9519050617"/>
    <n v="15"/>
    <s v="9519050617-15"/>
    <s v="Stocks"/>
    <x v="1"/>
    <x v="1"/>
    <m/>
    <x v="1"/>
    <x v="1"/>
    <s v="TBSPL"/>
    <s v="Jharkhand"/>
    <s v="BOMB"/>
    <n v="941597"/>
    <s v="TATA BLUESCOPE STEEL PRIVATE LIMITE"/>
    <n v="3940122"/>
    <s v="PPGL C HARD Y550PL D0C9 0.470(TPT)X1220"/>
    <s v="B18"/>
    <s v="Y550PL"/>
    <s v="D0C9"/>
    <n v="0.47"/>
    <n v="1220"/>
    <n v="0"/>
    <n v="56"/>
    <n v="55.234999999999999"/>
    <n v="0.76500000000000001"/>
    <n v="55.235000000000014"/>
    <n v="0"/>
    <n v="0"/>
    <n v="0"/>
    <n v="0"/>
    <n v="0"/>
    <n v="0"/>
    <n v="55.235000000000014"/>
    <n v="55.235000000000014"/>
    <n v="0"/>
    <n v="0"/>
    <n v="0"/>
    <n v="0"/>
    <n v="0"/>
    <s v="TATA BLUESCOPE STEEL PRIVATE LIMITE"/>
  </r>
  <r>
    <n v="744"/>
    <d v="2025-08-30T00:00:00"/>
    <s v="ZBTO"/>
    <n v="9519065717"/>
    <n v="1"/>
    <s v="9519065717-1"/>
    <s v="Stocks"/>
    <x v="1"/>
    <x v="1"/>
    <m/>
    <x v="1"/>
    <x v="1"/>
    <s v="TBSPL"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n v="280"/>
    <n v="272.73"/>
    <n v="7.27"/>
    <n v="46.984999999999999"/>
    <n v="0"/>
    <n v="0"/>
    <n v="0"/>
    <n v="0"/>
    <n v="0"/>
    <n v="0"/>
    <n v="46.984999999999999"/>
    <n v="46.984999999999999"/>
    <n v="0"/>
    <n v="0"/>
    <n v="0"/>
    <n v="0"/>
    <n v="0"/>
    <s v="TATA BLUESCOPE STEEL PVT LTD."/>
  </r>
  <r>
    <n v="742"/>
    <d v="2025-08-18T00:00:00"/>
    <s v="ZBTO"/>
    <n v="9519025593"/>
    <n v="1"/>
    <s v="9519025593-1"/>
    <s v="Oct'25"/>
    <x v="0"/>
    <x v="7"/>
    <m/>
    <x v="0"/>
    <x v="0"/>
    <s v="North"/>
    <s v="VARANASI"/>
    <s v="KANP"/>
    <n v="115841"/>
    <s v="O.V.S. ISPAT UDYOG"/>
    <n v="3437524"/>
    <s v="CRCA SHEET TATCRC SR16 0.400X1250X2030"/>
    <s v="C06"/>
    <s v="TATCRC"/>
    <s v="SR16"/>
    <n v="0.4"/>
    <n v="1250"/>
    <n v="2030"/>
    <n v="29"/>
    <n v="0"/>
    <n v="29"/>
    <n v="0"/>
    <n v="29"/>
    <n v="0"/>
    <n v="29"/>
    <n v="0"/>
    <n v="0"/>
    <n v="0"/>
    <n v="29"/>
    <n v="0"/>
    <n v="29"/>
    <n v="0"/>
    <n v="0"/>
    <n v="0"/>
    <n v="0"/>
    <s v="O.V.S. ISPAT UDYOG"/>
  </r>
  <r>
    <n v="744"/>
    <d v="2025-08-20T00:00:00"/>
    <s v="ZBTO"/>
    <n v="9519032766"/>
    <n v="3"/>
    <s v="9519032766-3"/>
    <s v="Stocks"/>
    <x v="1"/>
    <x v="1"/>
    <m/>
    <x v="1"/>
    <x v="1"/>
    <s v="TBSPL"/>
    <s v="Jharkhand"/>
    <s v="BOMB"/>
    <n v="941597"/>
    <s v="TATA BLUESCOPE STEEL PRIVATE LIMITE"/>
    <n v="3960726"/>
    <s v="PPGL C HARD Y550PL D0C9 0.450(TPT)X1220"/>
    <s v="B18"/>
    <s v="Y550PL"/>
    <s v="D0C9"/>
    <n v="0.45"/>
    <n v="1220"/>
    <n v="0"/>
    <n v="28"/>
    <n v="24.22"/>
    <n v="3.7789999999999999"/>
    <n v="24.22"/>
    <n v="0"/>
    <n v="0"/>
    <n v="0"/>
    <n v="0"/>
    <n v="0"/>
    <n v="0"/>
    <n v="24.22"/>
    <n v="24.22"/>
    <n v="0"/>
    <n v="0"/>
    <n v="0"/>
    <n v="0"/>
    <n v="0"/>
    <s v="TATA BLUESCOPE STEEL PRIVATE LIMITE"/>
  </r>
  <r>
    <n v="744"/>
    <d v="2025-08-23T00:00:00"/>
    <s v="ZBTO"/>
    <n v="9519042679"/>
    <n v="2"/>
    <s v="9519042679-2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56"/>
    <n v="45.295000000000002"/>
    <n v="10.705"/>
    <n v="21.325000000000003"/>
    <n v="0"/>
    <n v="0"/>
    <n v="0"/>
    <n v="0"/>
    <n v="0"/>
    <n v="0"/>
    <n v="21.325000000000003"/>
    <n v="21.325000000000003"/>
    <n v="0"/>
    <n v="0"/>
    <n v="0"/>
    <n v="0"/>
    <n v="0"/>
    <s v="TATA BLUESCOPE STEEL PRIVATE LIMITE"/>
  </r>
  <r>
    <n v="744"/>
    <d v="2025-08-23T00:00:00"/>
    <s v="ZBTO"/>
    <n v="9519042679"/>
    <n v="4"/>
    <s v="9519042679-4"/>
    <s v="Sep'25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112"/>
    <n v="85.37"/>
    <n v="26.63"/>
    <n v="23.599999999999998"/>
    <n v="26.63"/>
    <n v="0"/>
    <n v="26.63"/>
    <n v="0"/>
    <n v="0"/>
    <n v="0"/>
    <n v="50.23"/>
    <n v="0"/>
    <n v="0"/>
    <n v="0"/>
    <n v="50.23"/>
    <n v="0"/>
    <n v="0"/>
    <s v="TATA BLUESCOPE STEEL PRIVATE LIMITE"/>
  </r>
  <r>
    <n v="744"/>
    <d v="2025-08-23T00:00:00"/>
    <s v="ZBTO"/>
    <n v="9519042679"/>
    <n v="5"/>
    <s v="9519042679-5"/>
    <s v="Sep'25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168"/>
    <n v="140.71"/>
    <n v="27.289000000000001"/>
    <n v="63.22"/>
    <n v="27.289000000000001"/>
    <n v="0"/>
    <n v="27.289000000000001"/>
    <n v="0"/>
    <n v="0"/>
    <n v="0"/>
    <n v="90.509"/>
    <n v="0"/>
    <n v="0"/>
    <n v="0"/>
    <n v="90.509"/>
    <n v="0"/>
    <n v="0"/>
    <s v="TATA BLUESCOPE STEEL PRIVATE LIMITE"/>
  </r>
  <r>
    <n v="744"/>
    <d v="2025-08-23T00:00:00"/>
    <s v="ZBTO"/>
    <n v="9519042679"/>
    <n v="6"/>
    <s v="9519042679-6"/>
    <s v="Sep'25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84"/>
    <n v="42.765000000000001"/>
    <n v="41.234000000000002"/>
    <n v="18.490000000000002"/>
    <n v="41.234000000000002"/>
    <n v="0"/>
    <n v="41.234000000000002"/>
    <n v="0"/>
    <n v="0"/>
    <n v="0"/>
    <n v="59.724000000000004"/>
    <n v="0"/>
    <n v="0"/>
    <n v="0"/>
    <n v="59.724000000000004"/>
    <n v="0"/>
    <n v="0"/>
    <s v="TATA BLUESCOPE STEEL PRIVATE LIMITE"/>
  </r>
  <r>
    <n v="744"/>
    <d v="2025-08-23T00:00:00"/>
    <s v="ZBTO"/>
    <n v="9519042679"/>
    <n v="7"/>
    <s v="9519042679-7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112"/>
    <n v="109.985"/>
    <n v="2.0139999999999998"/>
    <n v="28.07"/>
    <n v="0"/>
    <n v="0"/>
    <n v="0"/>
    <n v="0"/>
    <n v="0"/>
    <n v="0"/>
    <n v="28.07"/>
    <n v="28.07"/>
    <n v="0"/>
    <n v="0"/>
    <n v="0"/>
    <n v="0"/>
    <n v="0"/>
    <s v="TATA BLUESCOPE STEEL PRIVATE LIMITE"/>
  </r>
  <r>
    <n v="744"/>
    <d v="2025-08-23T00:00:00"/>
    <s v="ZBTO"/>
    <n v="9519042679"/>
    <n v="8"/>
    <s v="9519042679-8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168"/>
    <n v="157.04"/>
    <n v="10.959"/>
    <n v="45.08"/>
    <n v="10.959"/>
    <n v="0"/>
    <n v="10.959"/>
    <n v="0"/>
    <n v="0"/>
    <n v="0"/>
    <n v="56.039000000000001"/>
    <n v="0"/>
    <n v="0"/>
    <n v="0"/>
    <n v="56.039000000000001"/>
    <n v="0"/>
    <n v="0"/>
    <s v="TATA BLUESCOPE STEEL PRIVATE LIMITE"/>
  </r>
  <r>
    <n v="742"/>
    <d v="2025-08-29T00:00:00"/>
    <s v="ZBTO"/>
    <n v="9519062631"/>
    <n v="10"/>
    <s v="9519062631-10"/>
    <s v="Oct'25"/>
    <x v="0"/>
    <x v="7"/>
    <m/>
    <x v="0"/>
    <x v="0"/>
    <s v="North"/>
    <s v="VARANASI"/>
    <s v="FBAD"/>
    <n v="931525"/>
    <s v="INDIA STEEL INDUSTRIES"/>
    <n v="3437524"/>
    <s v="CRCA SHEET TATCRC SR16 0.400X1250X2030"/>
    <s v="C06"/>
    <s v="TATCRC"/>
    <s v="SR16"/>
    <n v="0.4"/>
    <n v="1250"/>
    <n v="2030"/>
    <n v="58"/>
    <n v="0"/>
    <n v="58"/>
    <n v="0"/>
    <n v="58"/>
    <n v="0"/>
    <n v="0"/>
    <n v="0"/>
    <n v="0"/>
    <n v="58"/>
    <n v="58"/>
    <n v="0"/>
    <n v="0"/>
    <n v="0"/>
    <n v="58"/>
    <n v="0"/>
    <n v="0"/>
    <s v="INDIA STEEL INDUSTRIES"/>
  </r>
  <r>
    <n v="742"/>
    <d v="2025-08-29T00:00:00"/>
    <s v="ZBTO"/>
    <n v="9519062631"/>
    <n v="11"/>
    <s v="9519062631-11"/>
    <s v="Oct'25"/>
    <x v="0"/>
    <x v="7"/>
    <m/>
    <x v="0"/>
    <x v="0"/>
    <s v="North"/>
    <s v="VARANASI"/>
    <s v="FBAD"/>
    <n v="931525"/>
    <s v="INDIA STEEL INDUSTRIES"/>
    <n v="3444592"/>
    <s v="CRCA SHEET TATCRC SR16 0.450X1250X2030"/>
    <s v="C06"/>
    <s v="TATCRC"/>
    <s v="SR16"/>
    <n v="0.45"/>
    <n v="1250"/>
    <n v="2030"/>
    <n v="58"/>
    <n v="0"/>
    <n v="58"/>
    <n v="0"/>
    <n v="58"/>
    <n v="0"/>
    <n v="0"/>
    <n v="0"/>
    <n v="0"/>
    <n v="58"/>
    <n v="58"/>
    <n v="0"/>
    <n v="0"/>
    <n v="0"/>
    <n v="58"/>
    <n v="0"/>
    <n v="0"/>
    <s v="INDIA STEEL INDUSTRIES"/>
  </r>
  <r>
    <n v="742"/>
    <d v="2025-08-21T00:00:00"/>
    <s v="ZBTO"/>
    <n v="9519036388"/>
    <n v="4"/>
    <s v="9519036388-4"/>
    <s v="Oct'25"/>
    <x v="0"/>
    <x v="7"/>
    <m/>
    <x v="0"/>
    <x v="0"/>
    <s v="East"/>
    <s v="Jharkhand"/>
    <s v="JAMS"/>
    <n v="121328"/>
    <s v="R. S. BOKARO METAL (P) LTD."/>
    <n v="2441006"/>
    <s v="CRCA SHEET TATCRC SR16 0.480X1250X2500"/>
    <s v="C06"/>
    <s v="TATCRC"/>
    <s v="SR16"/>
    <n v="0.48"/>
    <n v="1250"/>
    <n v="2500"/>
    <n v="29"/>
    <n v="0"/>
    <n v="29"/>
    <n v="0"/>
    <n v="29"/>
    <n v="0"/>
    <n v="0"/>
    <n v="0"/>
    <n v="0"/>
    <n v="29"/>
    <n v="29"/>
    <n v="0"/>
    <n v="0"/>
    <n v="0"/>
    <n v="29"/>
    <n v="0"/>
    <n v="0"/>
    <s v="R. S. BOKARO METAL (P) LTD."/>
  </r>
  <r>
    <n v="742"/>
    <d v="2025-08-18T00:00:00"/>
    <s v="ZBTO"/>
    <n v="9519025593"/>
    <n v="2"/>
    <s v="9519025593-2"/>
    <s v="Oct'25"/>
    <x v="0"/>
    <x v="7"/>
    <m/>
    <x v="0"/>
    <x v="0"/>
    <s v="North"/>
    <s v="VARANASI"/>
    <s v="KANP"/>
    <n v="115841"/>
    <s v="O.V.S. ISPAT UDYOG"/>
    <n v="3444592"/>
    <s v="CRCA SHEET TATCRC SR16 0.450X1250X2030"/>
    <s v="C06"/>
    <s v="TATCRC"/>
    <s v="SR16"/>
    <n v="0.45"/>
    <n v="1250"/>
    <n v="2030"/>
    <n v="29"/>
    <n v="0"/>
    <n v="29"/>
    <n v="0"/>
    <n v="29"/>
    <n v="0"/>
    <n v="0"/>
    <n v="0"/>
    <n v="0"/>
    <n v="29"/>
    <n v="29"/>
    <n v="0"/>
    <n v="0"/>
    <n v="0"/>
    <n v="29"/>
    <n v="0"/>
    <n v="0"/>
    <s v="O.V.S. ISPAT UDYOG"/>
  </r>
  <r>
    <n v="742"/>
    <d v="2025-09-02T00:00:00"/>
    <s v="ZBTO"/>
    <n v="9519073326"/>
    <n v="1"/>
    <s v="9519073326-1"/>
    <s v="Oct'25"/>
    <x v="0"/>
    <x v="4"/>
    <m/>
    <x v="0"/>
    <x v="0"/>
    <s v="North"/>
    <s v="ZOSOLA"/>
    <s v="GBAD"/>
    <n v="184986"/>
    <s v="SWASTIK STEEL PROCESSOR LLP"/>
    <n v="259534"/>
    <s v="CR COIL-ICF  DQ TATXXD AU03 0.35 X 1250"/>
    <s v="C01"/>
    <s v="TATXXD"/>
    <s v="AU03"/>
    <n v="0.35"/>
    <n v="1250"/>
    <n v="0"/>
    <n v="116"/>
    <n v="0"/>
    <n v="116"/>
    <n v="0"/>
    <n v="116"/>
    <n v="0"/>
    <n v="0"/>
    <n v="0"/>
    <n v="116"/>
    <n v="0"/>
    <n v="116"/>
    <n v="0"/>
    <n v="0"/>
    <n v="0"/>
    <n v="0"/>
    <n v="116"/>
    <n v="0"/>
    <s v="SWASTIK STEEL PROCESSOR LLP"/>
  </r>
  <r>
    <n v="742"/>
    <d v="2025-08-22T00:00:00"/>
    <s v="ZBTO"/>
    <n v="9519040022"/>
    <n v="2"/>
    <s v="9519040022-2"/>
    <s v="Sep'25"/>
    <x v="0"/>
    <x v="2"/>
    <m/>
    <x v="1"/>
    <x v="1"/>
    <s v="West"/>
    <s v="VADODARA"/>
    <s v="NPUR"/>
    <n v="189022"/>
    <s v="Balmer Lawrie And Company Limited"/>
    <n v="2164800"/>
    <s v="CRCA COIL TATXXD BT02 0.970X913"/>
    <s v="C01"/>
    <s v="TATXXD"/>
    <s v="BT02"/>
    <n v="0.97"/>
    <n v="913"/>
    <n v="0"/>
    <n v="63"/>
    <n v="47.435000000000002"/>
    <n v="15.565"/>
    <n v="22.07"/>
    <n v="15.565"/>
    <n v="15.565"/>
    <n v="0"/>
    <n v="0"/>
    <n v="0"/>
    <n v="0"/>
    <n v="37.634999999999998"/>
    <n v="0"/>
    <n v="37.634999999999998"/>
    <n v="0"/>
    <n v="0"/>
    <n v="0"/>
    <n v="0"/>
    <s v="Balmer Lawrie And Company Limited"/>
  </r>
  <r>
    <n v="742"/>
    <d v="2025-07-18T00:00:00"/>
    <s v="ZBTO"/>
    <n v="9518939375"/>
    <n v="2"/>
    <s v="9518939375-2"/>
    <s v="Oct'25"/>
    <x v="0"/>
    <x v="12"/>
    <m/>
    <x v="0"/>
    <x v="0"/>
    <s v="East"/>
    <s v="JSR"/>
    <s v="CALS"/>
    <n v="155536"/>
    <s v="TATA STEEL DOWNSTREAM PRODUCTS LIMI"/>
    <n v="2420525"/>
    <s v="CRCA COIL TATXXD AH03 2X1250"/>
    <s v="C01"/>
    <s v="TATXXD"/>
    <s v="AH03"/>
    <n v="2"/>
    <n v="1250"/>
    <n v="0"/>
    <n v="185"/>
    <n v="156.89500000000001"/>
    <n v="28.105"/>
    <n v="0"/>
    <n v="28.105"/>
    <n v="28.105"/>
    <n v="0"/>
    <n v="0"/>
    <n v="0"/>
    <n v="0"/>
    <n v="28.105"/>
    <n v="0"/>
    <n v="28.105"/>
    <n v="0"/>
    <n v="0"/>
    <n v="0"/>
    <n v="0"/>
    <s v="TATA STEEL DOWNSTREAM PRODUCTS LIMI"/>
  </r>
  <r>
    <n v="742"/>
    <d v="2025-08-21T00:00:00"/>
    <s v="ZBTO"/>
    <n v="9519036272"/>
    <n v="3"/>
    <s v="9519036272-3"/>
    <s v="Oct'25"/>
    <x v="0"/>
    <x v="7"/>
    <m/>
    <x v="0"/>
    <x v="0"/>
    <s v="East"/>
    <s v="WEST BOKARO"/>
    <s v="JAMS"/>
    <n v="185794"/>
    <s v="Shree Bajrang Steel Udyog"/>
    <n v="2441002"/>
    <s v="CRCA SHEET TATCRC SR16 0.380X1250X2500"/>
    <s v="C06"/>
    <s v="TATCRC"/>
    <s v="SR16"/>
    <n v="0.38"/>
    <n v="1250"/>
    <n v="2500"/>
    <n v="58"/>
    <n v="0"/>
    <n v="58"/>
    <n v="0"/>
    <n v="58"/>
    <n v="0"/>
    <n v="0"/>
    <n v="58"/>
    <n v="0"/>
    <n v="0"/>
    <n v="58"/>
    <n v="0"/>
    <n v="0"/>
    <n v="58"/>
    <n v="0"/>
    <n v="0"/>
    <n v="0"/>
    <s v="Shree Bajrang Steel Udyog"/>
  </r>
  <r>
    <n v="742"/>
    <d v="2025-07-25T00:00:00"/>
    <s v="ZBTO"/>
    <n v="9518957749"/>
    <n v="1"/>
    <s v="9518957749-1"/>
    <s v="Oct'25"/>
    <x v="0"/>
    <x v="4"/>
    <m/>
    <x v="0"/>
    <x v="0"/>
    <s v="South"/>
    <s v="YESHWANTHPURA"/>
    <s v="BANG"/>
    <n v="932244"/>
    <s v="DURGA TRADERS"/>
    <n v="1804772"/>
    <s v="CRCA COIL TATXXD AU03 0.4X1250"/>
    <s v="C01"/>
    <s v="TATXXD"/>
    <s v="AU03"/>
    <n v="0.4"/>
    <n v="1250"/>
    <n v="0"/>
    <n v="116"/>
    <n v="25.045000000000002"/>
    <n v="90.954999999999998"/>
    <n v="0"/>
    <n v="90.954999999999998"/>
    <n v="0"/>
    <n v="90.954999999999998"/>
    <n v="0"/>
    <n v="0"/>
    <n v="0"/>
    <n v="90.954999999999998"/>
    <n v="0"/>
    <n v="90.954999999999998"/>
    <n v="0"/>
    <n v="0"/>
    <n v="0"/>
    <n v="0"/>
    <s v="DURGA TRADERS"/>
  </r>
  <r>
    <n v="742"/>
    <d v="2025-07-24T00:00:00"/>
    <s v="ZBTO"/>
    <n v="9518954637"/>
    <n v="1"/>
    <s v="9518954637-1"/>
    <s v="Sep'25"/>
    <x v="0"/>
    <x v="4"/>
    <m/>
    <x v="0"/>
    <x v="0"/>
    <s v="East"/>
    <s v="TATANAGAR"/>
    <s v="JAMS"/>
    <n v="165053"/>
    <s v="SUDISA ENTERPRISES (P) LTD."/>
    <n v="1804772"/>
    <s v="CRCA COIL TATXXD AU03 0.4X1250"/>
    <s v="C01"/>
    <s v="TATXXD"/>
    <s v="AU03"/>
    <n v="0.4"/>
    <n v="1250"/>
    <n v="0"/>
    <n v="58"/>
    <n v="0"/>
    <n v="58"/>
    <n v="0"/>
    <n v="58"/>
    <n v="0"/>
    <n v="0"/>
    <n v="0"/>
    <n v="58"/>
    <n v="0"/>
    <n v="58"/>
    <n v="0"/>
    <n v="0"/>
    <n v="0"/>
    <n v="0"/>
    <n v="58"/>
    <n v="0"/>
    <s v="SUDISA ENTERPRISES (P) LTD."/>
  </r>
  <r>
    <n v="742"/>
    <d v="2025-07-25T00:00:00"/>
    <s v="ZBTO"/>
    <n v="9518958168"/>
    <n v="1"/>
    <s v="9518958168-1"/>
    <s v="Sep'25"/>
    <x v="0"/>
    <x v="4"/>
    <m/>
    <x v="0"/>
    <x v="0"/>
    <s v="South"/>
    <s v="YESHWANTHPURA"/>
    <s v="BANG"/>
    <n v="165992"/>
    <s v="G.K.ISPAT PVT.LTD"/>
    <n v="1804772"/>
    <s v="CRCA COIL TATXXD AU03 0.4X1250"/>
    <s v="C01"/>
    <s v="TATXXD"/>
    <s v="AU03"/>
    <n v="0.4"/>
    <n v="1250"/>
    <n v="0"/>
    <n v="116"/>
    <n v="25.215"/>
    <n v="90.784999999999997"/>
    <n v="0"/>
    <n v="90.784999999999997"/>
    <n v="0"/>
    <n v="90.784999999999997"/>
    <n v="0"/>
    <n v="0"/>
    <n v="0"/>
    <n v="90.784999999999997"/>
    <n v="0"/>
    <n v="0"/>
    <n v="90.784999999999997"/>
    <n v="0"/>
    <n v="0"/>
    <n v="0"/>
    <s v="G.K.ISPAT PVT.LTD"/>
  </r>
  <r>
    <n v="742"/>
    <d v="2025-07-18T00:00:00"/>
    <s v="ZBTO"/>
    <n v="9518939324"/>
    <n v="1"/>
    <s v="9518939324-1"/>
    <s v="Oct'25"/>
    <x v="0"/>
    <x v="4"/>
    <m/>
    <x v="0"/>
    <x v="0"/>
    <s v="East"/>
    <s v="HOWRAH"/>
    <s v="CALS"/>
    <n v="154464"/>
    <s v="TATA STEEL DOWNSTREAM PRODUCTS LIMI"/>
    <n v="185675"/>
    <s v="CRCA COIL-TATXXD-AU03-0.5X1250"/>
    <s v="C01"/>
    <s v="TATXXD"/>
    <s v="AU03"/>
    <n v="0.5"/>
    <n v="1250"/>
    <n v="0"/>
    <n v="58"/>
    <n v="0"/>
    <n v="58"/>
    <n v="0"/>
    <n v="58"/>
    <n v="0"/>
    <n v="0"/>
    <n v="58"/>
    <n v="0"/>
    <n v="0"/>
    <n v="58"/>
    <n v="0"/>
    <n v="0"/>
    <n v="0"/>
    <n v="58"/>
    <n v="0"/>
    <n v="0"/>
    <s v="TATA STEEL DOWNSTREAM PRODUCTS LIMI"/>
  </r>
  <r>
    <n v="742"/>
    <d v="2025-07-25T00:00:00"/>
    <s v="ZBTO"/>
    <n v="9518959342"/>
    <n v="1"/>
    <s v="9518959342-1"/>
    <s v="Oct'25"/>
    <x v="0"/>
    <x v="4"/>
    <m/>
    <x v="0"/>
    <x v="0"/>
    <s v="South"/>
    <s v="GUMMIDIPOONDI"/>
    <s v="MADS"/>
    <n v="822271"/>
    <s v="TATA STEEL DOWNSTREAM PRODUCTS LIMI"/>
    <n v="1801290"/>
    <s v="CRCA COIL-TATXXD-AU03-0.6X1250"/>
    <s v="C01"/>
    <s v="TATXXD"/>
    <s v="AU03"/>
    <n v="0.6"/>
    <n v="1250"/>
    <n v="0"/>
    <n v="116"/>
    <n v="58.215000000000003"/>
    <n v="57.784999999999997"/>
    <n v="0"/>
    <n v="57.784999999999997"/>
    <n v="0"/>
    <n v="57.784999999999997"/>
    <n v="0"/>
    <n v="0"/>
    <n v="0"/>
    <n v="57.784999999999997"/>
    <n v="0"/>
    <n v="0"/>
    <n v="57.784999999999997"/>
    <n v="0"/>
    <n v="0"/>
    <n v="0"/>
    <s v="TATA STEEL DOWNSTREAM PRODUCTS LIMI"/>
  </r>
  <r>
    <n v="744"/>
    <d v="2025-08-08T00:00:00"/>
    <s v="ZBTO"/>
    <n v="9519003169"/>
    <n v="3"/>
    <s v="9519003169-3"/>
    <s v="Stocks"/>
    <x v="1"/>
    <x v="1"/>
    <m/>
    <x v="1"/>
    <x v="1"/>
    <s v="TBSPL"/>
    <s v="Jharkhand"/>
    <s v="BOMB"/>
    <n v="941597"/>
    <s v="TATA BLUESCOPE STEEL PRIVATE LIMITE"/>
    <n v="3902332"/>
    <s v="PPGL C HARD Y550PL D0C9 0.50(TPT)X1220"/>
    <s v="B18"/>
    <s v="Y550PL"/>
    <s v="D0C9"/>
    <n v="0.5"/>
    <n v="1220"/>
    <n v="0"/>
    <n v="27.998999999999999"/>
    <n v="15.57"/>
    <n v="12.429"/>
    <n v="4.2450000000000001"/>
    <n v="0"/>
    <n v="0"/>
    <n v="0"/>
    <n v="0"/>
    <n v="0"/>
    <n v="0"/>
    <n v="4.2450000000000001"/>
    <n v="4.2450000000000001"/>
    <n v="0"/>
    <n v="0"/>
    <n v="0"/>
    <n v="0"/>
    <n v="0"/>
    <s v="TATA BLUESCOPE STEEL PRIVATE LIMITE"/>
  </r>
  <r>
    <n v="743"/>
    <d v="2025-08-21T00:00:00"/>
    <s v="ZBTO"/>
    <n v="9519036122"/>
    <n v="6"/>
    <s v="9519036122-6"/>
    <s v="Stocks"/>
    <x v="3"/>
    <x v="1"/>
    <m/>
    <x v="1"/>
    <x v="1"/>
    <s v="TBSPL"/>
    <s v="TATANAGAR"/>
    <s v="BOMB"/>
    <n v="942284"/>
    <s v="TATA BLUESCOPE STEEL PRIVATE LIMITE"/>
    <n v="3946362"/>
    <s v="GL COIL HARD Y550GL M308 0.47 (TCT)X1220"/>
    <s v="B04"/>
    <s v="Y550GL"/>
    <s v="M308"/>
    <n v="0.47"/>
    <n v="1220"/>
    <n v="0"/>
    <n v="280"/>
    <n v="275.62"/>
    <n v="4.38"/>
    <n v="182.61999999999998"/>
    <n v="0"/>
    <n v="0"/>
    <n v="0"/>
    <n v="0"/>
    <n v="0"/>
    <n v="0"/>
    <n v="182.61999999999998"/>
    <n v="0"/>
    <n v="182.61999999999998"/>
    <n v="0"/>
    <n v="0"/>
    <n v="0"/>
    <n v="0"/>
    <s v="TATA BLUESCOPE STEEL PRIVATE LIMITE"/>
  </r>
  <r>
    <n v="743"/>
    <d v="2025-08-21T00:00:00"/>
    <s v="ZBTO"/>
    <n v="9519036122"/>
    <n v="8"/>
    <s v="9519036122-8"/>
    <s v="Sep'25"/>
    <x v="3"/>
    <x v="1"/>
    <m/>
    <x v="1"/>
    <x v="1"/>
    <s v="TBSPL"/>
    <s v="TATANAGAR"/>
    <s v="BOMB"/>
    <n v="942284"/>
    <s v="TATA BLUESCOPE STEEL PRIVATE LIMITE"/>
    <n v="3946362"/>
    <s v="GL COIL HARD Y550GL M308 0.47 (TCT)X1220"/>
    <s v="B04"/>
    <s v="Y550GL"/>
    <s v="M308"/>
    <n v="0.47"/>
    <n v="1220"/>
    <n v="0"/>
    <n v="224"/>
    <n v="164.33"/>
    <n v="59.67"/>
    <n v="117.99000000000001"/>
    <n v="59.67"/>
    <n v="0"/>
    <n v="59.67"/>
    <n v="0"/>
    <n v="0"/>
    <n v="0"/>
    <n v="177.66000000000003"/>
    <n v="0"/>
    <n v="0"/>
    <n v="177.66000000000003"/>
    <n v="0"/>
    <n v="0"/>
    <n v="0"/>
    <s v="TATA BLUESCOPE STEEL PRIVATE LIMITE"/>
  </r>
  <r>
    <n v="742"/>
    <d v="2025-07-22T00:00:00"/>
    <s v="ZBTO"/>
    <n v="9518948157"/>
    <n v="1"/>
    <s v="9518948157-1"/>
    <s v="Sep'25"/>
    <x v="0"/>
    <x v="7"/>
    <m/>
    <x v="0"/>
    <x v="0"/>
    <s v="East"/>
    <s v="TATANAGAR"/>
    <s v="JAMS"/>
    <n v="165053"/>
    <s v="SUDISA ENTERPRISES (P) LTD."/>
    <n v="2427612"/>
    <s v="CRCA SHEET TATCRC SR16 0.300X900X2500"/>
    <s v="C06"/>
    <s v="TATCRC"/>
    <s v="SR16"/>
    <n v="0.3"/>
    <n v="900"/>
    <n v="2500"/>
    <n v="21"/>
    <n v="0"/>
    <n v="21"/>
    <n v="0"/>
    <n v="21"/>
    <n v="21"/>
    <n v="0"/>
    <n v="0"/>
    <n v="0"/>
    <n v="0"/>
    <n v="21"/>
    <n v="0"/>
    <n v="21"/>
    <n v="0"/>
    <n v="0"/>
    <n v="0"/>
    <n v="0"/>
    <s v="SUDISA ENTERPRISES (P) LTD."/>
  </r>
  <r>
    <n v="743"/>
    <d v="2025-09-02T00:00:00"/>
    <s v="ZBTO"/>
    <n v="9519072913"/>
    <n v="4"/>
    <s v="9519072913-4"/>
    <s v="Sep'25"/>
    <x v="2"/>
    <x v="5"/>
    <n v="7100"/>
    <x v="0"/>
    <x v="0"/>
    <s v="East"/>
    <s v="Jharkhand"/>
    <s v="JAMS"/>
    <n v="121328"/>
    <s v="R. S. BOKARO METAL (P) LTD."/>
    <n v="1854413"/>
    <s v="GP COIL SOFT-TATXGP-GK09-0.45X900"/>
    <s v="C02"/>
    <s v="TATXGP"/>
    <s v="GK09"/>
    <n v="0.45"/>
    <n v="900"/>
    <n v="0"/>
    <n v="21"/>
    <n v="0"/>
    <n v="21"/>
    <n v="0"/>
    <n v="21"/>
    <n v="0"/>
    <n v="0"/>
    <n v="21"/>
    <n v="0"/>
    <n v="0"/>
    <n v="21"/>
    <n v="0"/>
    <n v="0"/>
    <n v="21"/>
    <n v="0"/>
    <n v="0"/>
    <n v="0"/>
    <s v="R. S. BOKARO METAL (P) LTD."/>
  </r>
  <r>
    <n v="743"/>
    <d v="2025-09-02T00:00:00"/>
    <s v="ZBTO"/>
    <n v="9519072913"/>
    <n v="6"/>
    <s v="9519072913-6"/>
    <s v="Sep'25"/>
    <x v="2"/>
    <x v="5"/>
    <m/>
    <x v="0"/>
    <x v="0"/>
    <s v="East"/>
    <s v="Jharkhand"/>
    <s v="JAMS"/>
    <n v="121328"/>
    <s v="R. S. BOKARO METAL (P) LTD."/>
    <n v="1854429"/>
    <s v="GP COIL SOFT-TATXGP-GK09-0.63X900"/>
    <s v="C02"/>
    <s v="TATXGP"/>
    <s v="GK09"/>
    <n v="0.63"/>
    <n v="900"/>
    <n v="0"/>
    <n v="21"/>
    <n v="0"/>
    <n v="21"/>
    <n v="0"/>
    <n v="21"/>
    <n v="0"/>
    <n v="0"/>
    <n v="21"/>
    <n v="0"/>
    <n v="0"/>
    <n v="21"/>
    <n v="0"/>
    <n v="0"/>
    <n v="21"/>
    <n v="0"/>
    <n v="0"/>
    <n v="0"/>
    <s v="R. S. BOKARO METAL (P) LTD."/>
  </r>
  <r>
    <n v="743"/>
    <d v="2025-09-07T00:00:00"/>
    <s v="ZBTO"/>
    <n v="9519084425"/>
    <n v="1"/>
    <s v="9519084425-1"/>
    <s v="Oct'25"/>
    <x v="3"/>
    <x v="10"/>
    <m/>
    <x v="1"/>
    <x v="1"/>
    <s v="West"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n v="249.999"/>
    <n v="0"/>
    <n v="249.999"/>
    <n v="0"/>
    <n v="249.999"/>
    <n v="249.999"/>
    <n v="0"/>
    <n v="0"/>
    <n v="0"/>
    <n v="0"/>
    <n v="249.999"/>
    <n v="249.999"/>
    <n v="0"/>
    <n v="0"/>
    <n v="0"/>
    <n v="0"/>
    <n v="0"/>
    <s v="RAYDEAN ENTERPRISES PRIVATE LIMITED"/>
  </r>
  <r>
    <n v="743"/>
    <d v="2025-09-07T00:00:00"/>
    <s v="ZBTO"/>
    <n v="9519084425"/>
    <n v="2"/>
    <s v="9519084425-2"/>
    <s v="Oct'25"/>
    <x v="3"/>
    <x v="10"/>
    <m/>
    <x v="1"/>
    <x v="1"/>
    <s v="West"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n v="252.999"/>
    <n v="0"/>
    <n v="252.999"/>
    <n v="0"/>
    <n v="252.999"/>
    <n v="252.999"/>
    <n v="0"/>
    <n v="0"/>
    <n v="0"/>
    <n v="0"/>
    <n v="252.999"/>
    <n v="252.999"/>
    <n v="0"/>
    <n v="0"/>
    <n v="0"/>
    <n v="0"/>
    <n v="0"/>
    <s v="RAYDEAN ENTERPRISES PRIVATE LIMITED"/>
  </r>
  <r>
    <n v="743"/>
    <d v="2025-09-07T00:00:00"/>
    <s v="ZBTO"/>
    <n v="9519084425"/>
    <n v="3"/>
    <s v="9519084425-3"/>
    <s v="Oct'25"/>
    <x v="3"/>
    <x v="10"/>
    <m/>
    <x v="1"/>
    <x v="1"/>
    <s v="West"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n v="252.999"/>
    <n v="0"/>
    <n v="252.999"/>
    <n v="0"/>
    <n v="252.999"/>
    <n v="252.999"/>
    <n v="0"/>
    <n v="0"/>
    <n v="0"/>
    <n v="0"/>
    <n v="252.999"/>
    <n v="0"/>
    <n v="252.999"/>
    <n v="0"/>
    <n v="0"/>
    <n v="0"/>
    <n v="0"/>
    <s v="RAYDEAN ENTERPRISES PRIVATE LIMITED"/>
  </r>
  <r>
    <n v="743"/>
    <d v="2025-09-07T00:00:00"/>
    <s v="ZBTO"/>
    <n v="9519084425"/>
    <n v="4"/>
    <s v="9519084425-4"/>
    <s v="Oct'25"/>
    <x v="3"/>
    <x v="10"/>
    <m/>
    <x v="1"/>
    <x v="1"/>
    <s v="West"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n v="252.999"/>
    <n v="0"/>
    <n v="252.999"/>
    <n v="0"/>
    <n v="252.999"/>
    <n v="252.999"/>
    <n v="0"/>
    <n v="0"/>
    <n v="0"/>
    <n v="0"/>
    <n v="252.999"/>
    <n v="0"/>
    <n v="252.999"/>
    <n v="0"/>
    <n v="0"/>
    <n v="0"/>
    <n v="0"/>
    <s v="RAYDEAN ENTERPRISES PRIVATE LIMITED"/>
  </r>
  <r>
    <n v="743"/>
    <d v="2025-09-07T00:00:00"/>
    <s v="ZBTO"/>
    <n v="9519084425"/>
    <n v="5"/>
    <s v="9519084425-5"/>
    <s v="Oct'25"/>
    <x v="3"/>
    <x v="10"/>
    <m/>
    <x v="1"/>
    <x v="1"/>
    <s v="West"/>
    <s v="JAIPUR"/>
    <s v="AMED"/>
    <n v="950529"/>
    <s v="RAYDEAN ENTERPRISES PRIVATE LIMITED"/>
    <n v="4113961"/>
    <s v="GL COIL HARD  Y550GL HGL6 0.900X1020"/>
    <s v="B04"/>
    <s v="Y550GL"/>
    <s v="HGL6"/>
    <n v="0.9"/>
    <n v="1020"/>
    <n v="0"/>
    <n v="252.999"/>
    <n v="0"/>
    <n v="252.999"/>
    <n v="0"/>
    <n v="252.999"/>
    <n v="252.999"/>
    <n v="0"/>
    <n v="0"/>
    <n v="0"/>
    <n v="0"/>
    <n v="252.999"/>
    <n v="0"/>
    <n v="252.999"/>
    <n v="0"/>
    <n v="0"/>
    <n v="0"/>
    <n v="0"/>
    <s v="RAYDEAN ENTERPRISES PRIVATE LIMITED"/>
  </r>
  <r>
    <n v="742"/>
    <d v="2025-09-03T00:00:00"/>
    <s v="ZBTO"/>
    <n v="9519077019"/>
    <n v="2"/>
    <s v="9519077019-2"/>
    <s v="Oct'25"/>
    <x v="0"/>
    <x v="4"/>
    <m/>
    <x v="0"/>
    <x v="0"/>
    <s v="South"/>
    <s v="YESHWANTHPURA"/>
    <s v="BANG"/>
    <n v="939268"/>
    <s v="TATA STEEL DOWNSTREAM PRODUCTS LIMI"/>
    <n v="1804814"/>
    <s v="CRCA COIL TATXXD AU03 0.8X1250"/>
    <s v="C01"/>
    <s v="TATXXD"/>
    <s v="AU03"/>
    <n v="0.8"/>
    <n v="1250"/>
    <n v="0"/>
    <n v="87"/>
    <n v="79.344999999999999"/>
    <n v="7.5"/>
    <n v="35.299999999999997"/>
    <n v="0"/>
    <n v="0"/>
    <n v="0"/>
    <n v="0"/>
    <n v="0"/>
    <n v="0"/>
    <n v="35.299999999999997"/>
    <n v="35.299999999999997"/>
    <n v="0"/>
    <n v="0"/>
    <n v="0"/>
    <n v="0"/>
    <n v="0"/>
    <s v="TATA STEEL DOWNSTREAM PRODUCTS LIMI"/>
  </r>
  <r>
    <n v="742"/>
    <d v="2025-07-07T00:00:00"/>
    <s v="ZBTO"/>
    <n v="9518911415"/>
    <n v="6"/>
    <s v="9518911415-6"/>
    <s v="Stocks"/>
    <x v="0"/>
    <x v="7"/>
    <m/>
    <x v="0"/>
    <x v="0"/>
    <s v="North"/>
    <s v="VARANASI"/>
    <s v="KANP"/>
    <n v="931525"/>
    <s v="INDIA STEEL INDUSTRIES"/>
    <n v="3912459"/>
    <s v="CRCA SHEET TSBCRC SR15 0.700X1000X1925"/>
    <s v="C06"/>
    <s v="TSBCRC"/>
    <s v="SR15"/>
    <n v="0.7"/>
    <n v="1000"/>
    <n v="1925"/>
    <n v="45.999000000000002"/>
    <n v="40.765000000000001"/>
    <n v="5.234"/>
    <n v="2.73"/>
    <n v="0"/>
    <n v="0"/>
    <n v="0"/>
    <n v="0"/>
    <n v="0"/>
    <n v="0"/>
    <n v="2.73"/>
    <n v="2.73"/>
    <n v="0"/>
    <n v="0"/>
    <n v="0"/>
    <n v="0"/>
    <n v="0"/>
    <s v="INDIA STEEL INDUSTRIES"/>
  </r>
  <r>
    <n v="744"/>
    <d v="2025-08-31T00:00:00"/>
    <s v="ZBTO"/>
    <n v="9519069645"/>
    <n v="1"/>
    <s v="9519069645-1"/>
    <s v="Sep'25"/>
    <x v="1"/>
    <x v="1"/>
    <m/>
    <x v="1"/>
    <x v="1"/>
    <s v="TBSPL"/>
    <s v="Jharkhand"/>
    <s v="BOMB"/>
    <n v="941597"/>
    <s v="TATA BLUESCOPE STEEL PRIVATE LIMITE"/>
    <n v="4111268"/>
    <s v="PPGL C HARD Y550PL HPL9 0.750X1220"/>
    <s v="B18"/>
    <s v="Y550PL"/>
    <s v="HPL9"/>
    <n v="0.75"/>
    <n v="1220"/>
    <n v="0"/>
    <n v="196"/>
    <n v="0"/>
    <n v="196"/>
    <n v="0"/>
    <n v="196"/>
    <n v="196"/>
    <n v="0"/>
    <n v="0"/>
    <n v="0"/>
    <n v="0"/>
    <n v="196"/>
    <n v="0"/>
    <n v="196"/>
    <n v="0"/>
    <n v="0"/>
    <n v="0"/>
    <n v="0"/>
    <s v="TATA BLUESCOPE STEEL PRIVATE LIMITE"/>
  </r>
  <r>
    <n v="742"/>
    <d v="2025-07-25T00:00:00"/>
    <s v="ZBTO"/>
    <n v="9518957825"/>
    <n v="2"/>
    <s v="9518957825-2"/>
    <s v="Stocks"/>
    <x v="0"/>
    <x v="7"/>
    <m/>
    <x v="0"/>
    <x v="0"/>
    <s v="East"/>
    <s v="HOWRAH"/>
    <s v="CALS"/>
    <n v="925093"/>
    <s v="PSPL STEEL PROCESSORS PRIVATE LIMIT"/>
    <n v="3239548"/>
    <s v="CRCA SHEET TATCRC SR16 0.400X900X2500"/>
    <s v="C06"/>
    <s v="TATCRC"/>
    <s v="SR16"/>
    <n v="0.4"/>
    <n v="900"/>
    <n v="2500"/>
    <n v="41.999000000000002"/>
    <n v="29.155000000000001"/>
    <n v="12.843999999999999"/>
    <n v="11"/>
    <n v="12.843999999999999"/>
    <n v="0"/>
    <n v="12.843999999999999"/>
    <n v="0"/>
    <n v="0"/>
    <n v="0"/>
    <n v="23.844000000000001"/>
    <n v="0"/>
    <n v="0"/>
    <n v="23.844000000000001"/>
    <n v="0"/>
    <n v="0"/>
    <n v="0"/>
    <s v="PSPL STEEL PROCESSORS PRIVATE LIMIT"/>
  </r>
  <r>
    <n v="743"/>
    <d v="2025-09-03T00:00:00"/>
    <s v="ZBTF"/>
    <n v="9519074568"/>
    <n v="1"/>
    <s v="9519074568-1"/>
    <s v="Stocks"/>
    <x v="2"/>
    <x v="5"/>
    <m/>
    <x v="0"/>
    <x v="2"/>
    <s v="East"/>
    <s v="JAMSHEDPUR"/>
    <s v="COMD"/>
    <n v="600250"/>
    <s v="TATA CENTER"/>
    <n v="1191955"/>
    <s v="GP COIL SOFT-TATXGP-GK09-0.3X900"/>
    <s v="C02"/>
    <s v="TATXGP"/>
    <s v="GK09"/>
    <n v="0.3"/>
    <n v="900"/>
    <n v="0"/>
    <n v="63"/>
    <n v="60.064999999999998"/>
    <n v="2.9350000000000001"/>
    <n v="10.035"/>
    <n v="0"/>
    <n v="0"/>
    <n v="0"/>
    <n v="0"/>
    <n v="0"/>
    <n v="0"/>
    <n v="10.035"/>
    <n v="10.035"/>
    <n v="0"/>
    <n v="0"/>
    <n v="0"/>
    <n v="0"/>
    <n v="0"/>
    <s v="TATA CENTER"/>
  </r>
  <r>
    <n v="743"/>
    <d v="2025-09-03T00:00:00"/>
    <s v="ZBTF"/>
    <n v="9519074568"/>
    <n v="2"/>
    <s v="9519074568-2"/>
    <s v="Oct'25"/>
    <x v="2"/>
    <x v="5"/>
    <m/>
    <x v="0"/>
    <x v="2"/>
    <s v="East"/>
    <s v="JAMSHEDPUR"/>
    <s v="COMD"/>
    <n v="600250"/>
    <s v="TATA CENTER"/>
    <n v="1191956"/>
    <s v="GP COIL SOFT-TATXGP-GK09-0.35X900"/>
    <s v="C02"/>
    <s v="TATXGP"/>
    <s v="GK09"/>
    <n v="0.35"/>
    <n v="900"/>
    <n v="0"/>
    <n v="147"/>
    <n v="113.58"/>
    <n v="33.42"/>
    <n v="0"/>
    <n v="33.42"/>
    <n v="33.42"/>
    <n v="0"/>
    <n v="0"/>
    <n v="0"/>
    <n v="0"/>
    <n v="33.42"/>
    <n v="33.42"/>
    <n v="0"/>
    <n v="0"/>
    <n v="0"/>
    <n v="0"/>
    <n v="0"/>
    <s v="TATA CENTER"/>
  </r>
  <r>
    <n v="743"/>
    <d v="2025-09-03T00:00:00"/>
    <s v="ZBTF"/>
    <n v="9519074568"/>
    <n v="3"/>
    <s v="9519074568-3"/>
    <s v="Stocks"/>
    <x v="2"/>
    <x v="5"/>
    <m/>
    <x v="0"/>
    <x v="2"/>
    <s v="East"/>
    <s v="JAMSHEDPUR"/>
    <s v="COMD"/>
    <n v="600250"/>
    <s v="TATA CENTER"/>
    <n v="1178439"/>
    <s v="GP COIL SOFT-TATXGP-GK09-0.4X900"/>
    <s v="C02"/>
    <s v="TATXGP"/>
    <s v="GK09"/>
    <n v="0.4"/>
    <n v="900"/>
    <n v="0"/>
    <n v="126"/>
    <n v="107.37"/>
    <n v="18.63"/>
    <n v="67.74499999999999"/>
    <n v="18.63"/>
    <n v="18.63"/>
    <n v="0"/>
    <n v="0"/>
    <n v="0"/>
    <n v="0"/>
    <n v="86.374999999999986"/>
    <n v="0"/>
    <n v="86.374999999999986"/>
    <n v="0"/>
    <n v="0"/>
    <n v="0"/>
    <n v="0"/>
    <s v="TATA CENTER"/>
  </r>
  <r>
    <n v="743"/>
    <d v="2025-09-03T00:00:00"/>
    <s v="ZBTF"/>
    <n v="9519074568"/>
    <n v="4"/>
    <s v="9519074568-4"/>
    <s v="Stocks"/>
    <x v="2"/>
    <x v="5"/>
    <m/>
    <x v="0"/>
    <x v="2"/>
    <s v="East"/>
    <s v="JAMSHEDPUR"/>
    <s v="COMD"/>
    <n v="600250"/>
    <s v="TATA CENTER"/>
    <n v="1854418"/>
    <s v="GP COIL SOFT-TATXGP-GK09-0.5X900"/>
    <s v="C02"/>
    <s v="TATXGP"/>
    <s v="GK09"/>
    <n v="0.5"/>
    <n v="900"/>
    <n v="0"/>
    <n v="168"/>
    <n v="159.66999999999999"/>
    <n v="8.33"/>
    <n v="139.70500000000001"/>
    <n v="0"/>
    <n v="0"/>
    <n v="0"/>
    <n v="0"/>
    <n v="0"/>
    <n v="0"/>
    <n v="139.70500000000001"/>
    <n v="139.70500000000001"/>
    <n v="0"/>
    <n v="0"/>
    <n v="0"/>
    <n v="0"/>
    <n v="0"/>
    <s v="TATA CENTER"/>
  </r>
  <r>
    <n v="743"/>
    <d v="2025-09-03T00:00:00"/>
    <s v="ZBTF"/>
    <n v="9519074568"/>
    <n v="5"/>
    <s v="9519074568-5"/>
    <s v="Stocks"/>
    <x v="2"/>
    <x v="5"/>
    <m/>
    <x v="0"/>
    <x v="2"/>
    <s v="East"/>
    <s v="JAMSHEDPUR"/>
    <s v="COMD"/>
    <n v="600250"/>
    <s v="TATA CENTER"/>
    <n v="1854424"/>
    <s v="GP COIL SOFT-TATXGP-GK09-0.6X900"/>
    <s v="C02"/>
    <s v="TATXGP"/>
    <s v="GK09"/>
    <n v="0.6"/>
    <n v="900"/>
    <n v="0"/>
    <n v="105"/>
    <n v="87.254999999999995"/>
    <n v="17.745000000000001"/>
    <n v="48.805"/>
    <n v="17.745000000000001"/>
    <n v="17.745000000000001"/>
    <n v="0"/>
    <n v="0"/>
    <n v="0"/>
    <n v="0"/>
    <n v="66.55"/>
    <n v="0"/>
    <n v="66.55"/>
    <n v="0"/>
    <n v="0"/>
    <n v="0"/>
    <n v="0"/>
    <s v="TATA CENTER"/>
  </r>
  <r>
    <n v="743"/>
    <d v="2025-09-15T00:00:00"/>
    <s v="ZBTO"/>
    <n v="9519105231"/>
    <n v="2"/>
    <s v="9519105231-2"/>
    <s v="Oct'25"/>
    <x v="2"/>
    <x v="5"/>
    <m/>
    <x v="0"/>
    <x v="0"/>
    <s v="North"/>
    <s v="VARANASI"/>
    <s v="KANP"/>
    <n v="931525"/>
    <s v="INDIA STEEL INDUSTRIES"/>
    <n v="1191956"/>
    <s v="GP COIL SOFT-TATXGP-GK09-0.35X900"/>
    <s v="C02"/>
    <s v="TATXGP"/>
    <s v="GK09"/>
    <n v="0.35"/>
    <n v="900"/>
    <n v="0"/>
    <n v="63"/>
    <n v="0"/>
    <n v="63"/>
    <n v="0"/>
    <n v="63"/>
    <n v="0"/>
    <n v="0"/>
    <n v="0"/>
    <n v="0"/>
    <n v="63"/>
    <n v="63"/>
    <n v="0"/>
    <n v="0"/>
    <n v="0"/>
    <n v="0"/>
    <n v="63"/>
    <n v="0"/>
    <s v="INDIA STEEL INDUSTRIES"/>
  </r>
  <r>
    <n v="742"/>
    <d v="2025-07-25T00:00:00"/>
    <s v="ZBTO"/>
    <n v="9518959342"/>
    <n v="2"/>
    <s v="9518959342-2"/>
    <s v="Oct'25"/>
    <x v="0"/>
    <x v="4"/>
    <m/>
    <x v="0"/>
    <x v="0"/>
    <s v="South"/>
    <s v="GUMMIDIPOONDI"/>
    <s v="MADS"/>
    <n v="822271"/>
    <s v="TATA STEEL DOWNSTREAM PRODUCTS LIMI"/>
    <n v="1801290"/>
    <s v="CRCA COIL-TATXXD-AU03-0.6X1250"/>
    <s v="C01"/>
    <s v="TATXXD"/>
    <s v="AU03"/>
    <n v="0.6"/>
    <n v="1250"/>
    <n v="0"/>
    <n v="116"/>
    <n v="0"/>
    <n v="116"/>
    <n v="0"/>
    <n v="116"/>
    <n v="0"/>
    <n v="116"/>
    <n v="0"/>
    <n v="0"/>
    <n v="0"/>
    <n v="116"/>
    <n v="0"/>
    <n v="0"/>
    <n v="116"/>
    <n v="0"/>
    <n v="0"/>
    <n v="0"/>
    <s v="TATA STEEL DOWNSTREAM PRODUCTS LIMI"/>
  </r>
  <r>
    <n v="742"/>
    <d v="2025-08-19T00:00:00"/>
    <s v="ZBTO"/>
    <n v="9519027787"/>
    <n v="4"/>
    <s v="9519027787-4"/>
    <s v="Stocks"/>
    <x v="0"/>
    <x v="7"/>
    <m/>
    <x v="0"/>
    <x v="0"/>
    <s v="South"/>
    <s v="VISHAKHAPATNAM"/>
    <s v="SBAD"/>
    <n v="946077"/>
    <s v="SITARAM IRON AND STEEL PVT LTD"/>
    <n v="3240759"/>
    <s v="CRCA SHEET TSBCRC SR15 0.500X1000X2440"/>
    <s v="C06"/>
    <s v="TSBCRC"/>
    <s v="SR15"/>
    <n v="0.5"/>
    <n v="1000"/>
    <n v="2440"/>
    <n v="22.998999999999999"/>
    <n v="27.914999999999999"/>
    <n v="-4.9160000000000004"/>
    <n v="2.81"/>
    <n v="0"/>
    <n v="0"/>
    <n v="0"/>
    <n v="0"/>
    <n v="0"/>
    <n v="0"/>
    <n v="2.81"/>
    <n v="2.81"/>
    <n v="0"/>
    <n v="0"/>
    <n v="0"/>
    <n v="0"/>
    <n v="0"/>
    <s v="SITARAM IRON AND STEEL PVT LTD"/>
  </r>
  <r>
    <n v="743"/>
    <d v="2025-08-02T00:00:00"/>
    <s v="ZBTO"/>
    <n v="9518988805"/>
    <n v="1"/>
    <s v="9518988805-1"/>
    <s v="Sep'25"/>
    <x v="2"/>
    <x v="5"/>
    <m/>
    <x v="0"/>
    <x v="0"/>
    <s v="East"/>
    <s v="GUWAHATI"/>
    <s v="GWAH"/>
    <n v="116649"/>
    <s v="SAGAR STEELS"/>
    <n v="1854363"/>
    <s v="GP COIL SOFT-TATXGP-GLK1-0.22X900"/>
    <s v="C02"/>
    <s v="TATXGP"/>
    <s v="GLK1"/>
    <n v="0.22"/>
    <n v="900"/>
    <n v="0"/>
    <n v="42"/>
    <n v="0"/>
    <n v="42"/>
    <n v="0"/>
    <n v="42"/>
    <n v="0"/>
    <n v="0"/>
    <n v="0"/>
    <n v="42"/>
    <n v="0"/>
    <n v="42"/>
    <n v="0"/>
    <n v="0"/>
    <n v="0"/>
    <n v="42"/>
    <n v="0"/>
    <n v="0"/>
    <s v="SAGAR STEELS"/>
  </r>
  <r>
    <n v="743"/>
    <d v="2025-08-02T00:00:00"/>
    <s v="ZBTO"/>
    <n v="9518988805"/>
    <n v="2"/>
    <s v="9518988805-2"/>
    <s v="Sep'25"/>
    <x v="2"/>
    <x v="5"/>
    <m/>
    <x v="0"/>
    <x v="0"/>
    <s v="East"/>
    <s v="GUWAHATI"/>
    <s v="GWAH"/>
    <n v="116649"/>
    <s v="SAGAR STEELS"/>
    <n v="1319275"/>
    <s v="GP COIL SOFT-TATXGP-GLK1-0.2X900"/>
    <s v="C02"/>
    <s v="TATXGP"/>
    <s v="GLK1"/>
    <n v="0.2"/>
    <n v="900"/>
    <n v="0"/>
    <n v="42"/>
    <n v="0"/>
    <n v="42"/>
    <n v="0"/>
    <n v="42"/>
    <n v="0"/>
    <n v="0"/>
    <n v="42"/>
    <n v="0"/>
    <n v="0"/>
    <n v="42"/>
    <n v="0"/>
    <n v="0"/>
    <n v="42"/>
    <n v="0"/>
    <n v="0"/>
    <n v="0"/>
    <s v="SAGAR STEELS"/>
  </r>
  <r>
    <n v="743"/>
    <d v="2025-09-12T00:00:00"/>
    <s v="ZBTO"/>
    <n v="9519097824"/>
    <n v="1"/>
    <s v="9519097824-1"/>
    <s v="Stocks"/>
    <x v="3"/>
    <x v="1"/>
    <m/>
    <x v="1"/>
    <x v="1"/>
    <s v="TBSPL"/>
    <s v="Jharkhand"/>
    <s v="BOMB"/>
    <n v="942283"/>
    <s v="TATA BLUESCOPE STEEL PRIVATE LIMITE"/>
    <n v="1881969"/>
    <s v="GL C YS550 H6GL 0.45BMT(0.50TCT)X1220"/>
    <s v="B04"/>
    <s v="Y550GL"/>
    <s v="H6GL"/>
    <n v="0.45"/>
    <n v="1220"/>
    <n v="0"/>
    <n v="280"/>
    <n v="274.23"/>
    <n v="5.77"/>
    <n v="99.10499999999999"/>
    <n v="0"/>
    <n v="0"/>
    <n v="0"/>
    <n v="0"/>
    <n v="0"/>
    <n v="0"/>
    <n v="99.10499999999999"/>
    <n v="0"/>
    <n v="99.10499999999999"/>
    <n v="0"/>
    <n v="0"/>
    <n v="0"/>
    <n v="0"/>
    <s v="TATA BLUESCOPE STEEL PRIVATE LIMITE"/>
  </r>
  <r>
    <n v="743"/>
    <d v="2025-09-12T00:00:00"/>
    <s v="ZBTO"/>
    <n v="9519097824"/>
    <n v="2"/>
    <s v="9519097824-2"/>
    <s v="Oct'25"/>
    <x v="3"/>
    <x v="1"/>
    <m/>
    <x v="1"/>
    <x v="1"/>
    <s v="TBSPL"/>
    <s v="Jharkhand"/>
    <s v="BOMB"/>
    <n v="942283"/>
    <s v="TATA BLUESCOPE STEEL PRIVATE LIMITE"/>
    <n v="1881969"/>
    <s v="GL C YS550 H6GL 0.45BMT(0.50TCT)X1220"/>
    <s v="B04"/>
    <s v="Y550GL"/>
    <s v="H6GL"/>
    <n v="0.45"/>
    <n v="1220"/>
    <n v="0"/>
    <n v="84"/>
    <n v="56.524999999999999"/>
    <n v="27.475000000000001"/>
    <n v="43.645000000000003"/>
    <n v="27.475000000000001"/>
    <n v="27.475000000000001"/>
    <n v="0"/>
    <n v="0"/>
    <n v="0"/>
    <n v="0"/>
    <n v="71.12"/>
    <n v="0"/>
    <n v="71.12"/>
    <n v="0"/>
    <n v="0"/>
    <n v="0"/>
    <n v="0"/>
    <s v="TATA BLUESCOPE STEEL PRIVATE LIMITE"/>
  </r>
  <r>
    <n v="743"/>
    <d v="2025-09-12T00:00:00"/>
    <s v="ZBTO"/>
    <n v="9519097824"/>
    <n v="3"/>
    <s v="9519097824-3"/>
    <s v="Oct'25"/>
    <x v="3"/>
    <x v="1"/>
    <m/>
    <x v="1"/>
    <x v="1"/>
    <s v="TBSPL"/>
    <s v="Jharkhand"/>
    <s v="BOMB"/>
    <n v="942283"/>
    <s v="TATA BLUESCOPE STEEL PRIVATE LIMITE"/>
    <n v="1882004"/>
    <s v="GL C YS550 H6GL 0.55BMT(0.60TCT)X1220"/>
    <s v="B04"/>
    <s v="Y550GL"/>
    <s v="H6GL"/>
    <n v="0.55000000000000004"/>
    <n v="1220"/>
    <n v="0"/>
    <n v="140"/>
    <n v="108.96"/>
    <n v="31.04"/>
    <n v="90.804999999999993"/>
    <n v="31.04"/>
    <n v="31.04"/>
    <n v="0"/>
    <n v="0"/>
    <n v="0"/>
    <n v="0"/>
    <n v="121.845"/>
    <n v="0"/>
    <n v="121.845"/>
    <n v="0"/>
    <n v="0"/>
    <n v="0"/>
    <n v="0"/>
    <s v="TATA BLUESCOPE STEEL PRIVATE LIMITE"/>
  </r>
  <r>
    <n v="742"/>
    <d v="2025-09-09T00:00:00"/>
    <s v="ZBTO"/>
    <n v="9519088655"/>
    <n v="9"/>
    <s v="9519088655-9"/>
    <s v="Oct'25"/>
    <x v="0"/>
    <x v="7"/>
    <m/>
    <x v="0"/>
    <x v="0"/>
    <s v="East"/>
    <s v="TANGI"/>
    <s v="BHUB"/>
    <n v="117061"/>
    <s v="BHARTIA  DISTRIBUTORS PVT. LTD."/>
    <n v="3240799"/>
    <s v="CRCA SHEET TSBCRC SR15 0.750X1250X2500"/>
    <s v="C06"/>
    <s v="TSBCRC"/>
    <s v="SR15"/>
    <n v="0.75"/>
    <n v="1250"/>
    <n v="2500"/>
    <n v="29"/>
    <n v="0"/>
    <n v="29"/>
    <n v="0"/>
    <n v="29"/>
    <n v="29"/>
    <n v="0"/>
    <n v="0"/>
    <n v="0"/>
    <n v="0"/>
    <n v="29"/>
    <n v="0"/>
    <n v="29"/>
    <n v="0"/>
    <n v="0"/>
    <n v="0"/>
    <n v="0"/>
    <s v="BHARTIA  DISTRIBUTORS PVT. LTD."/>
  </r>
  <r>
    <n v="742"/>
    <d v="2025-09-09T00:00:00"/>
    <s v="ZBTO"/>
    <n v="9519088655"/>
    <n v="13"/>
    <s v="9519088655-13"/>
    <s v="Oct'25"/>
    <x v="0"/>
    <x v="7"/>
    <m/>
    <x v="0"/>
    <x v="0"/>
    <s v="East"/>
    <s v="TANGI"/>
    <s v="BHUB"/>
    <n v="117061"/>
    <s v="BHARTIA  DISTRIBUTORS PVT. LTD."/>
    <n v="3240851"/>
    <s v="CRCA SHEET TSBCRC SR15 1.200X1250X2500"/>
    <s v="C06"/>
    <s v="TSBCRC"/>
    <s v="SR15"/>
    <n v="1.2"/>
    <n v="1250"/>
    <n v="2500"/>
    <n v="58"/>
    <n v="16.585000000000001"/>
    <n v="41.414999999999999"/>
    <n v="16.585000000000001"/>
    <n v="41.414999999999999"/>
    <n v="0"/>
    <n v="0"/>
    <n v="41.414999999999999"/>
    <n v="0"/>
    <n v="0"/>
    <n v="58"/>
    <n v="0"/>
    <n v="0"/>
    <n v="58"/>
    <n v="0"/>
    <n v="0"/>
    <n v="0"/>
    <s v="BHARTIA  DISTRIBUTORS PVT. LTD."/>
  </r>
  <r>
    <n v="742"/>
    <d v="2025-07-11T00:00:00"/>
    <s v="ZBTO"/>
    <n v="9518921586"/>
    <n v="5"/>
    <s v="9518921586-5"/>
    <s v="Oct'25"/>
    <x v="0"/>
    <x v="4"/>
    <m/>
    <x v="0"/>
    <x v="0"/>
    <s v="South"/>
    <s v="PATTANCHERY"/>
    <s v="SBAD"/>
    <n v="939422"/>
    <s v="VIJAY VENKAT STEELS PRIVATE LIMITED"/>
    <n v="1801456"/>
    <s v="CRCA COIL-TATXXD-AU03-0.7X1250"/>
    <s v="C01"/>
    <s v="TATXXD"/>
    <s v="AU03"/>
    <n v="0.7"/>
    <n v="1250"/>
    <n v="0"/>
    <n v="29"/>
    <n v="0"/>
    <n v="29"/>
    <n v="0"/>
    <n v="29"/>
    <n v="0"/>
    <n v="0"/>
    <n v="29"/>
    <n v="0"/>
    <n v="0"/>
    <n v="29"/>
    <n v="0"/>
    <n v="0"/>
    <n v="0"/>
    <n v="29"/>
    <n v="0"/>
    <n v="0"/>
    <s v="VIJAY VENKAT STEELS PRIVATE LIMITED"/>
  </r>
  <r>
    <n v="742"/>
    <d v="2025-07-18T00:00:00"/>
    <s v="ZBTO"/>
    <n v="9518939324"/>
    <n v="3"/>
    <s v="9518939324-3"/>
    <s v="Oct'25"/>
    <x v="0"/>
    <x v="12"/>
    <m/>
    <x v="0"/>
    <x v="0"/>
    <s v="East"/>
    <s v="HOWRAH"/>
    <s v="CALS"/>
    <n v="154464"/>
    <s v="TATA STEEL DOWNSTREAM PRODUCTS LIMI"/>
    <n v="3853362"/>
    <s v="CR COIL TATXXD AH03 1.100X1320"/>
    <s v="C01"/>
    <s v="TATXXD"/>
    <s v="AH03"/>
    <n v="1.1000000000000001"/>
    <n v="1320"/>
    <n v="0"/>
    <n v="60"/>
    <n v="28.45"/>
    <n v="31.55"/>
    <n v="0"/>
    <n v="31.55"/>
    <n v="31.55"/>
    <n v="0"/>
    <n v="0"/>
    <n v="0"/>
    <n v="0"/>
    <n v="31.55"/>
    <n v="0"/>
    <n v="31.55"/>
    <n v="0"/>
    <n v="0"/>
    <n v="0"/>
    <n v="0"/>
    <s v="TATA STEEL DOWNSTREAM PRODUCTS LIMI"/>
  </r>
  <r>
    <n v="742"/>
    <d v="2025-08-12T00:00:00"/>
    <s v="ZBTO"/>
    <n v="9519011538"/>
    <n v="5"/>
    <s v="9519011538-5"/>
    <s v="Oct'25"/>
    <x v="0"/>
    <x v="7"/>
    <m/>
    <x v="0"/>
    <x v="0"/>
    <s v="North"/>
    <s v="VARANASI"/>
    <s v="KANP"/>
    <n v="115841"/>
    <s v="O.V.S. ISPAT UDYOG"/>
    <n v="3765561"/>
    <s v="CRCA SHEET TSBCRC SR15 0.700X1000X1930"/>
    <s v="C06"/>
    <s v="TSBCRC"/>
    <s v="SR15"/>
    <n v="0.7"/>
    <n v="1000"/>
    <n v="1930"/>
    <n v="46"/>
    <n v="0"/>
    <n v="46"/>
    <n v="0"/>
    <n v="46"/>
    <n v="0"/>
    <n v="0"/>
    <n v="0"/>
    <n v="46"/>
    <n v="0"/>
    <n v="46"/>
    <n v="0"/>
    <n v="0"/>
    <n v="0"/>
    <n v="46"/>
    <n v="0"/>
    <n v="0"/>
    <s v="O.V.S. ISPAT UDYOG"/>
  </r>
  <r>
    <n v="742"/>
    <d v="2025-08-19T00:00:00"/>
    <s v="ZBTO"/>
    <n v="9519028293"/>
    <n v="1"/>
    <s v="9519028293-1"/>
    <s v="Oct'25"/>
    <x v="0"/>
    <x v="7"/>
    <m/>
    <x v="0"/>
    <x v="0"/>
    <s v="South"/>
    <s v="CHENNAI"/>
    <s v="MADS"/>
    <n v="938550"/>
    <s v="BASEER AND CO"/>
    <n v="3239536"/>
    <s v="CRCA SHEET TATCRC SR16 0.350X900X2500"/>
    <s v="C06"/>
    <s v="TATCRC"/>
    <s v="SR16"/>
    <n v="0.35"/>
    <n v="900"/>
    <n v="2500"/>
    <n v="42"/>
    <n v="0"/>
    <n v="42"/>
    <n v="0"/>
    <n v="42"/>
    <n v="0"/>
    <n v="0"/>
    <n v="0"/>
    <n v="0"/>
    <n v="42"/>
    <n v="42"/>
    <n v="0"/>
    <n v="0"/>
    <n v="0"/>
    <n v="42"/>
    <n v="0"/>
    <n v="0"/>
    <s v="BASEER AND CO"/>
  </r>
  <r>
    <n v="742"/>
    <d v="2025-08-05T00:00:00"/>
    <s v="ZBTO"/>
    <n v="9518995069"/>
    <n v="1"/>
    <s v="9518995069-1"/>
    <s v="Oct'25"/>
    <x v="0"/>
    <x v="7"/>
    <m/>
    <x v="0"/>
    <x v="0"/>
    <s v="North"/>
    <s v="KANPUR"/>
    <s v="FBAD"/>
    <n v="933952"/>
    <s v="AGARWAL STEEL TRADERS"/>
    <n v="3240761"/>
    <s v="CRCA SHEET TSBCRC SR15 0.500X1250X2030"/>
    <s v="C06"/>
    <s v="TSBCRC"/>
    <s v="SR15"/>
    <n v="0.5"/>
    <n v="1250"/>
    <n v="2030"/>
    <n v="87"/>
    <n v="0"/>
    <n v="87"/>
    <n v="0"/>
    <n v="87"/>
    <n v="0"/>
    <n v="0"/>
    <n v="0"/>
    <n v="87"/>
    <n v="0"/>
    <n v="87"/>
    <n v="0"/>
    <n v="0"/>
    <n v="0"/>
    <n v="87"/>
    <n v="0"/>
    <n v="0"/>
    <s v="AGARWAL STEEL TRADERS"/>
  </r>
  <r>
    <n v="742"/>
    <d v="2025-08-22T00:00:00"/>
    <s v="ZBTO"/>
    <n v="9519040245"/>
    <n v="4"/>
    <s v="9519040245-4"/>
    <s v="Sep'25"/>
    <x v="0"/>
    <x v="2"/>
    <m/>
    <x v="1"/>
    <x v="1"/>
    <s v="South"/>
    <s v="CHENNAI"/>
    <s v="NPUR"/>
    <n v="187214"/>
    <s v="BALMER LAWRIE &amp; CO. LIMITED.."/>
    <n v="3701960"/>
    <s v="CR COIL TATXXD BT01 1.200X1310"/>
    <s v="C01"/>
    <s v="TATXXD"/>
    <s v="BT01"/>
    <n v="1.2"/>
    <n v="1310"/>
    <n v="0"/>
    <n v="30"/>
    <n v="27.184999999999999"/>
    <n v="2.8149999999999999"/>
    <n v="27.185000000000002"/>
    <n v="0"/>
    <n v="0"/>
    <n v="0"/>
    <n v="0"/>
    <n v="0"/>
    <n v="0"/>
    <n v="27.185000000000002"/>
    <n v="27.185000000000002"/>
    <n v="0"/>
    <n v="0"/>
    <n v="0"/>
    <n v="0"/>
    <n v="0"/>
    <s v="BALMER LAWRIE &amp; CO. LIMITED.."/>
  </r>
  <r>
    <n v="742"/>
    <d v="2025-07-25T00:00:00"/>
    <s v="ZBTO"/>
    <n v="9518959342"/>
    <n v="3"/>
    <s v="9518959342-3"/>
    <s v="Oct'25"/>
    <x v="0"/>
    <x v="4"/>
    <m/>
    <x v="0"/>
    <x v="0"/>
    <s v="South"/>
    <s v="GUMMIDIPOONDI"/>
    <s v="MADS"/>
    <n v="822271"/>
    <s v="TATA STEEL DOWNSTREAM PRODUCTS LIMI"/>
    <n v="1801290"/>
    <s v="CRCA COIL-TATXXD-AU03-0.6X1250"/>
    <s v="C01"/>
    <s v="TATXXD"/>
    <s v="AU03"/>
    <n v="0.6"/>
    <n v="1250"/>
    <n v="0"/>
    <n v="87"/>
    <n v="0"/>
    <n v="87"/>
    <n v="0"/>
    <n v="87"/>
    <n v="0"/>
    <n v="87"/>
    <n v="0"/>
    <n v="0"/>
    <n v="0"/>
    <n v="87"/>
    <n v="0"/>
    <n v="0"/>
    <n v="87"/>
    <n v="0"/>
    <n v="0"/>
    <n v="0"/>
    <s v="TATA STEEL DOWNSTREAM PRODUCTS LIMI"/>
  </r>
  <r>
    <n v="742"/>
    <d v="2025-08-29T00:00:00"/>
    <s v="ZBTF"/>
    <n v="9519061304"/>
    <n v="1"/>
    <s v="9519061304-1"/>
    <s v="Oct'25"/>
    <x v="0"/>
    <x v="2"/>
    <m/>
    <x v="1"/>
    <x v="3"/>
    <s v="North"/>
    <s v="SANHEWAL"/>
    <s v="CDGH"/>
    <n v="925428"/>
    <s v="TUBE INVESTMENTS OF INDIA LIMITED"/>
    <n v="3741589"/>
    <s v="CR COIL SA1010 TU97 1.500X1250"/>
    <s v="C01"/>
    <s v="SA1010"/>
    <s v="TU97"/>
    <n v="1.5"/>
    <n v="1250"/>
    <n v="0"/>
    <n v="290"/>
    <n v="0"/>
    <n v="290"/>
    <n v="0"/>
    <n v="290"/>
    <n v="0"/>
    <n v="290"/>
    <n v="0"/>
    <n v="0"/>
    <n v="0"/>
    <n v="580"/>
    <n v="0"/>
    <n v="290"/>
    <n v="290"/>
    <n v="0"/>
    <n v="0"/>
    <n v="0"/>
    <s v="TUBE INVESTMENTS OF INDIA LIMITED"/>
  </r>
  <r>
    <n v="742"/>
    <d v="2025-08-26T00:00:00"/>
    <s v="ZBTO"/>
    <n v="9519050808"/>
    <n v="1"/>
    <s v="9519050808-1"/>
    <s v="Stocks"/>
    <x v="0"/>
    <x v="2"/>
    <m/>
    <x v="1"/>
    <x v="1"/>
    <s v="West"/>
    <s v="VILLAGE DADRA"/>
    <s v="NPUR"/>
    <n v="187157"/>
    <s v="T &amp; D GALIAKOT CONTAINERS PVT LTD"/>
    <n v="2170008"/>
    <s v="CRCA COIL TATXXD BT01 0.970X1220"/>
    <s v="C01"/>
    <s v="TATXXD"/>
    <s v="BT01"/>
    <n v="0.97"/>
    <n v="1220"/>
    <n v="0"/>
    <n v="83.99"/>
    <n v="72.22"/>
    <n v="11.77"/>
    <n v="25.21"/>
    <n v="0"/>
    <n v="0"/>
    <n v="0"/>
    <n v="0"/>
    <n v="0"/>
    <n v="0"/>
    <n v="25.21"/>
    <n v="25.21"/>
    <n v="0"/>
    <n v="0"/>
    <n v="0"/>
    <n v="0"/>
    <n v="0"/>
    <s v="T &amp; D GALIAKOT CONTAINERS PVT LTD"/>
  </r>
  <r>
    <n v="743"/>
    <d v="2025-09-02T00:00:00"/>
    <s v="ZBTO"/>
    <n v="9519072913"/>
    <n v="2"/>
    <s v="9519072913-2"/>
    <s v="Sep'25"/>
    <x v="2"/>
    <x v="5"/>
    <m/>
    <x v="0"/>
    <x v="0"/>
    <s v="East"/>
    <s v="Jharkhand"/>
    <s v="JAMS"/>
    <n v="121328"/>
    <s v="R. S. BOKARO METAL (P) LTD."/>
    <n v="1191956"/>
    <s v="GP COIL SOFT-TATXGP-GK09-0.35X900"/>
    <s v="C02"/>
    <s v="TATXGP"/>
    <s v="GK09"/>
    <n v="0.35"/>
    <n v="900"/>
    <n v="0"/>
    <n v="126"/>
    <n v="0"/>
    <n v="126"/>
    <n v="0"/>
    <n v="126"/>
    <n v="0"/>
    <n v="126"/>
    <n v="0"/>
    <n v="0"/>
    <n v="0"/>
    <n v="126"/>
    <n v="0"/>
    <n v="126"/>
    <n v="0"/>
    <n v="0"/>
    <n v="0"/>
    <n v="0"/>
    <s v="R. S. BOKARO METAL (P) LTD."/>
  </r>
  <r>
    <n v="743"/>
    <d v="2025-09-15T00:00:00"/>
    <s v="ZBTO"/>
    <n v="9519105231"/>
    <n v="1"/>
    <s v="9519105231-1"/>
    <s v="Oct'25"/>
    <x v="2"/>
    <x v="5"/>
    <m/>
    <x v="0"/>
    <x v="0"/>
    <s v="North"/>
    <s v="VARANASI"/>
    <s v="KANP"/>
    <n v="931525"/>
    <s v="INDIA STEEL INDUSTRIES"/>
    <n v="1191955"/>
    <s v="GP COIL SOFT-TATXGP-GK09-0.3X900"/>
    <s v="C02"/>
    <s v="TATXGP"/>
    <s v="GK09"/>
    <n v="0.3"/>
    <n v="900"/>
    <n v="0"/>
    <n v="63"/>
    <n v="0"/>
    <n v="63"/>
    <n v="0"/>
    <n v="63"/>
    <n v="0"/>
    <n v="0"/>
    <n v="0"/>
    <n v="0"/>
    <n v="63"/>
    <n v="63"/>
    <n v="0"/>
    <n v="0"/>
    <n v="0"/>
    <n v="0"/>
    <n v="63"/>
    <n v="0"/>
    <s v="INDIA STEEL INDUSTRIES"/>
  </r>
  <r>
    <n v="743"/>
    <d v="2025-09-12T00:00:00"/>
    <s v="ZBTO"/>
    <n v="9519098404"/>
    <n v="3"/>
    <s v="9519098404-3"/>
    <s v="Stocks"/>
    <x v="2"/>
    <x v="11"/>
    <m/>
    <x v="0"/>
    <x v="0"/>
    <s v="West"/>
    <s v="JAIPUR"/>
    <s v="JPUR"/>
    <n v="117583"/>
    <s v="BIHANI ENTERPRISES"/>
    <n v="1854399"/>
    <s v="GP COIL SOFT-TATXGP-GK09-0.35X1220"/>
    <s v="C02"/>
    <s v="TATXGP"/>
    <s v="GK09"/>
    <n v="0.35"/>
    <n v="1220"/>
    <n v="0"/>
    <n v="56"/>
    <n v="53.02"/>
    <n v="2.98"/>
    <n v="6.77"/>
    <n v="0"/>
    <n v="0"/>
    <n v="0"/>
    <n v="0"/>
    <n v="0"/>
    <n v="0"/>
    <n v="6.77"/>
    <n v="6.77"/>
    <n v="0"/>
    <n v="0"/>
    <n v="0"/>
    <n v="0"/>
    <n v="0"/>
    <s v="BIHANI ENTERPRISES"/>
  </r>
  <r>
    <n v="743"/>
    <d v="2025-08-27T00:00:00"/>
    <s v="ZBTO"/>
    <n v="9519054625"/>
    <n v="4"/>
    <s v="9519054625-4"/>
    <s v="Oct'25"/>
    <x v="2"/>
    <x v="5"/>
    <m/>
    <x v="0"/>
    <x v="0"/>
    <s v="East"/>
    <s v="GUWAHATI"/>
    <s v="GWAH"/>
    <n v="116649"/>
    <s v="SAGAR STEELS"/>
    <n v="1142414"/>
    <s v="GP COIL SOFT-TATXGP-GLK1-0.45X900"/>
    <s v="C02"/>
    <s v="TATXGP"/>
    <s v="GLK1"/>
    <n v="0.45"/>
    <n v="900"/>
    <n v="0"/>
    <n v="42"/>
    <n v="0"/>
    <n v="42"/>
    <n v="0"/>
    <n v="42"/>
    <n v="0"/>
    <n v="0"/>
    <n v="0"/>
    <n v="42"/>
    <n v="0"/>
    <n v="42"/>
    <n v="0"/>
    <n v="0"/>
    <n v="0"/>
    <n v="42"/>
    <n v="0"/>
    <n v="0"/>
    <s v="SAGAR STEELS"/>
  </r>
  <r>
    <n v="742"/>
    <d v="2025-08-18T00:00:00"/>
    <s v="ZBTO"/>
    <n v="9519025430"/>
    <n v="8"/>
    <s v="9519025430-8"/>
    <s v="Oct'25"/>
    <x v="0"/>
    <x v="7"/>
    <m/>
    <x v="0"/>
    <x v="0"/>
    <s v="South"/>
    <s v="SALEM"/>
    <s v="MADS"/>
    <n v="116465"/>
    <s v="SRI BALAJI STEEL TRADERS"/>
    <n v="3239557"/>
    <s v="CRCA SHEET TATCRC SR16 0.400X1250X2500"/>
    <s v="C06"/>
    <s v="TATCRC"/>
    <s v="SR16"/>
    <n v="0.4"/>
    <n v="1250"/>
    <n v="2500"/>
    <n v="29"/>
    <n v="0"/>
    <n v="29"/>
    <n v="0"/>
    <n v="29"/>
    <n v="0"/>
    <n v="0"/>
    <n v="0"/>
    <n v="0"/>
    <n v="29"/>
    <n v="29"/>
    <n v="0"/>
    <n v="0"/>
    <n v="0"/>
    <n v="29"/>
    <n v="0"/>
    <n v="0"/>
    <s v="SRI BALAJI STEEL TRADERS"/>
  </r>
  <r>
    <n v="742"/>
    <d v="2025-09-10T00:00:00"/>
    <s v="ZBTO"/>
    <n v="9519093436"/>
    <n v="1"/>
    <s v="9519093436-1"/>
    <s v="Oct'25"/>
    <x v="0"/>
    <x v="7"/>
    <m/>
    <x v="0"/>
    <x v="0"/>
    <s v="East"/>
    <s v="GUWAHATI"/>
    <s v="GWAH"/>
    <n v="116649"/>
    <s v="SAGAR STEELS"/>
    <n v="3727343"/>
    <s v="CR COIL TSBCRC SR25 0.430X1250"/>
    <s v="C01"/>
    <s v="TSBCRC"/>
    <s v="SR25"/>
    <n v="0.43"/>
    <n v="1250"/>
    <n v="0"/>
    <n v="29"/>
    <n v="0"/>
    <n v="29"/>
    <n v="0"/>
    <n v="29"/>
    <n v="0"/>
    <n v="0"/>
    <n v="0"/>
    <n v="29"/>
    <n v="0"/>
    <n v="29"/>
    <n v="0"/>
    <n v="0"/>
    <n v="0"/>
    <n v="29"/>
    <n v="0"/>
    <n v="0"/>
    <s v="SAGAR STEELS"/>
  </r>
  <r>
    <n v="742"/>
    <d v="2025-08-19T00:00:00"/>
    <s v="ZBTO"/>
    <n v="9519029782"/>
    <n v="7"/>
    <s v="9519029782-7"/>
    <s v="Oct'25"/>
    <x v="0"/>
    <x v="7"/>
    <m/>
    <x v="0"/>
    <x v="0"/>
    <s v="East"/>
    <s v="PATNA"/>
    <s v="PATN"/>
    <n v="103227"/>
    <s v="BMW VENTURES LIMITED"/>
    <n v="3239568"/>
    <s v="CRCA SHEET TATCRC SR16 0.450X1250X2500"/>
    <s v="C06"/>
    <s v="TATCRC"/>
    <s v="SR16"/>
    <n v="0.45"/>
    <n v="1250"/>
    <n v="2500"/>
    <n v="29"/>
    <n v="0"/>
    <n v="29"/>
    <n v="0"/>
    <n v="29"/>
    <n v="29"/>
    <n v="0"/>
    <n v="0"/>
    <n v="0"/>
    <n v="0"/>
    <n v="29"/>
    <n v="0"/>
    <n v="29"/>
    <n v="0"/>
    <n v="0"/>
    <n v="0"/>
    <n v="0"/>
    <s v="BMW VENTURES LIMITED"/>
  </r>
  <r>
    <n v="743"/>
    <d v="2025-09-15T00:00:00"/>
    <s v="ZBTO"/>
    <n v="9519105662"/>
    <n v="2"/>
    <s v="9519105662-2"/>
    <s v="Oct'25"/>
    <x v="2"/>
    <x v="5"/>
    <m/>
    <x v="0"/>
    <x v="0"/>
    <s v="East"/>
    <s v="PATNA"/>
    <s v="PATN"/>
    <n v="103227"/>
    <s v="BMW VENTURES LIMITED"/>
    <n v="1191955"/>
    <s v="GP COIL SOFT-TATXGP-GK09-0.3X900"/>
    <s v="C02"/>
    <s v="TATXGP"/>
    <s v="GK09"/>
    <n v="0.3"/>
    <n v="900"/>
    <n v="0"/>
    <n v="147"/>
    <n v="0"/>
    <n v="147"/>
    <n v="0"/>
    <n v="147"/>
    <n v="0"/>
    <n v="147"/>
    <n v="0"/>
    <n v="0"/>
    <n v="0"/>
    <n v="147"/>
    <n v="0"/>
    <n v="147"/>
    <n v="0"/>
    <n v="0"/>
    <n v="0"/>
    <n v="0"/>
    <s v="BMW VENTURES LIMITED"/>
  </r>
  <r>
    <n v="743"/>
    <d v="2025-09-15T00:00:00"/>
    <s v="ZBTO"/>
    <n v="9519105662"/>
    <n v="3"/>
    <s v="9519105662-3"/>
    <s v="Oct'25"/>
    <x v="2"/>
    <x v="5"/>
    <m/>
    <x v="0"/>
    <x v="0"/>
    <s v="East"/>
    <s v="PATNA"/>
    <s v="PATN"/>
    <n v="103227"/>
    <s v="BMW VENTURES LIMITED"/>
    <n v="1191956"/>
    <s v="GP COIL SOFT-TATXGP-GK09-0.35X900"/>
    <s v="C02"/>
    <s v="TATXGP"/>
    <s v="GK09"/>
    <n v="0.35"/>
    <n v="900"/>
    <n v="0"/>
    <n v="189"/>
    <n v="0"/>
    <n v="189"/>
    <n v="0"/>
    <n v="189"/>
    <n v="0"/>
    <n v="189"/>
    <n v="0"/>
    <n v="0"/>
    <n v="0"/>
    <n v="189"/>
    <n v="0"/>
    <n v="189"/>
    <n v="0"/>
    <n v="0"/>
    <n v="0"/>
    <n v="0"/>
    <s v="BMW VENTURES LIMITED"/>
  </r>
  <r>
    <n v="743"/>
    <d v="2025-09-15T00:00:00"/>
    <s v="ZBTO"/>
    <n v="9519105662"/>
    <n v="4"/>
    <s v="9519105662-4"/>
    <s v="Oct'25"/>
    <x v="2"/>
    <x v="5"/>
    <m/>
    <x v="0"/>
    <x v="0"/>
    <s v="East"/>
    <s v="PATNA"/>
    <s v="PATN"/>
    <n v="103227"/>
    <s v="BMW VENTURES LIMITED"/>
    <n v="1178439"/>
    <s v="GP COIL SOFT-TATXGP-GK09-0.4X900"/>
    <s v="C02"/>
    <s v="TATXGP"/>
    <s v="GK09"/>
    <n v="0.4"/>
    <n v="900"/>
    <n v="0"/>
    <n v="252"/>
    <n v="0"/>
    <n v="252"/>
    <n v="0"/>
    <n v="252"/>
    <n v="0"/>
    <n v="252"/>
    <n v="0"/>
    <n v="0"/>
    <n v="0"/>
    <n v="252"/>
    <n v="0"/>
    <n v="0"/>
    <n v="252"/>
    <n v="0"/>
    <n v="0"/>
    <n v="0"/>
    <s v="BMW VENTURES LIMITED"/>
  </r>
  <r>
    <n v="743"/>
    <d v="2025-09-15T00:00:00"/>
    <s v="ZBTO"/>
    <n v="9519105662"/>
    <n v="5"/>
    <s v="9519105662-5"/>
    <s v="Oct'25"/>
    <x v="2"/>
    <x v="5"/>
    <m/>
    <x v="0"/>
    <x v="0"/>
    <s v="East"/>
    <s v="PATNA"/>
    <s v="PATN"/>
    <n v="103227"/>
    <s v="BMW VENTURES LIMITED"/>
    <n v="1854418"/>
    <s v="GP COIL SOFT-TATXGP-GK09-0.5X900"/>
    <s v="C02"/>
    <s v="TATXGP"/>
    <s v="GK09"/>
    <n v="0.5"/>
    <n v="900"/>
    <n v="0"/>
    <n v="294"/>
    <n v="0"/>
    <n v="294"/>
    <n v="0"/>
    <n v="294"/>
    <n v="0"/>
    <n v="294"/>
    <n v="0"/>
    <n v="0"/>
    <n v="0"/>
    <n v="294"/>
    <n v="0"/>
    <n v="0"/>
    <n v="294"/>
    <n v="0"/>
    <n v="0"/>
    <n v="0"/>
    <s v="BMW VENTURES LIMITED"/>
  </r>
  <r>
    <n v="743"/>
    <d v="2025-09-15T00:00:00"/>
    <s v="ZBTO"/>
    <n v="9519105662"/>
    <n v="6"/>
    <s v="9519105662-6"/>
    <s v="Oct'25"/>
    <x v="2"/>
    <x v="5"/>
    <m/>
    <x v="0"/>
    <x v="0"/>
    <s v="East"/>
    <s v="PATNA"/>
    <s v="PATN"/>
    <n v="103227"/>
    <s v="BMW VENTURES LIMITED"/>
    <n v="1854424"/>
    <s v="GP COIL SOFT-TATXGP-GK09-0.6X900"/>
    <s v="C02"/>
    <s v="TATXGP"/>
    <s v="GK09"/>
    <n v="0.6"/>
    <n v="900"/>
    <n v="0"/>
    <n v="189"/>
    <n v="0"/>
    <n v="189"/>
    <n v="0"/>
    <n v="189"/>
    <n v="0"/>
    <n v="189"/>
    <n v="0"/>
    <n v="0"/>
    <n v="0"/>
    <n v="189"/>
    <n v="0"/>
    <n v="0"/>
    <n v="189"/>
    <n v="0"/>
    <n v="0"/>
    <n v="0"/>
    <s v="BMW VENTURES LIMITED"/>
  </r>
  <r>
    <n v="743"/>
    <d v="2025-09-15T00:00:00"/>
    <s v="ZBTO"/>
    <n v="9519105662"/>
    <n v="11"/>
    <s v="9519105662-11"/>
    <s v="Stocks"/>
    <x v="2"/>
    <x v="11"/>
    <m/>
    <x v="0"/>
    <x v="0"/>
    <s v="East"/>
    <s v="PATNA"/>
    <s v="PATN"/>
    <n v="103227"/>
    <s v="BMW VENTURES LIMITED"/>
    <n v="1334725"/>
    <s v="GP COIL SOFT-TATXGP-GK09-0.6X1220"/>
    <s v="C02"/>
    <s v="TATXGP"/>
    <s v="GK09"/>
    <n v="0.6"/>
    <n v="1220"/>
    <n v="0"/>
    <n v="84"/>
    <n v="82.85"/>
    <n v="0"/>
    <n v="3.605"/>
    <n v="0"/>
    <n v="0"/>
    <n v="0"/>
    <n v="0"/>
    <n v="0"/>
    <n v="0"/>
    <n v="3.605"/>
    <n v="3.605"/>
    <n v="0"/>
    <n v="0"/>
    <n v="0"/>
    <n v="0"/>
    <n v="0"/>
    <s v="BMW VENTURES LIMITED"/>
  </r>
  <r>
    <n v="743"/>
    <d v="2025-09-15T00:00:00"/>
    <s v="ZBTO"/>
    <n v="9519105662"/>
    <n v="7"/>
    <s v="9519105662-7"/>
    <s v="Oct'25"/>
    <x v="2"/>
    <x v="5"/>
    <m/>
    <x v="0"/>
    <x v="0"/>
    <s v="East"/>
    <s v="PATNA"/>
    <s v="PATN"/>
    <n v="103227"/>
    <s v="BMW VENTURES LIMITED"/>
    <n v="1854429"/>
    <s v="GP COIL SOFT-TATXGP-GK09-0.63X900"/>
    <s v="C02"/>
    <s v="TATXGP"/>
    <s v="GK09"/>
    <n v="0.63"/>
    <n v="900"/>
    <n v="0"/>
    <n v="105"/>
    <n v="0"/>
    <n v="105"/>
    <n v="0"/>
    <n v="105"/>
    <n v="0"/>
    <n v="105"/>
    <n v="0"/>
    <n v="0"/>
    <n v="0"/>
    <n v="105"/>
    <n v="0"/>
    <n v="0"/>
    <n v="105"/>
    <n v="0"/>
    <n v="0"/>
    <n v="0"/>
    <s v="BMW VENTURES LIMITED"/>
  </r>
  <r>
    <n v="742"/>
    <d v="2025-09-12T00:00:00"/>
    <s v="ZBTO"/>
    <n v="9519097662"/>
    <n v="3"/>
    <s v="9519097662-3"/>
    <s v="Oct'25"/>
    <x v="0"/>
    <x v="4"/>
    <m/>
    <x v="0"/>
    <x v="0"/>
    <s v="South"/>
    <s v="YESHWANTHPURA"/>
    <s v="BANG"/>
    <n v="932244"/>
    <s v="DURGA TRADERS"/>
    <n v="2334995"/>
    <s v="CRCA COIL TATXXD AU03 1.500X1250"/>
    <s v="C01"/>
    <s v="TATXXD"/>
    <s v="AU03"/>
    <n v="1.5"/>
    <n v="1250"/>
    <n v="0"/>
    <n v="87"/>
    <n v="64.930000000000007"/>
    <n v="22.07"/>
    <n v="10.81"/>
    <n v="22.07"/>
    <n v="0"/>
    <n v="22.07"/>
    <n v="0"/>
    <n v="0"/>
    <n v="0"/>
    <n v="32.880000000000003"/>
    <n v="0"/>
    <n v="0"/>
    <n v="32.880000000000003"/>
    <n v="0"/>
    <n v="0"/>
    <n v="0"/>
    <s v="DURGA TRADERS"/>
  </r>
  <r>
    <n v="743"/>
    <d v="2025-09-15T00:00:00"/>
    <s v="ZBTO"/>
    <n v="9519105231"/>
    <n v="3"/>
    <s v="9519105231-3"/>
    <s v="Oct'25"/>
    <x v="2"/>
    <x v="5"/>
    <m/>
    <x v="0"/>
    <x v="0"/>
    <s v="North"/>
    <s v="VARANASI"/>
    <s v="KANP"/>
    <n v="931525"/>
    <s v="INDIA STEEL INDUSTRIES"/>
    <n v="1178439"/>
    <s v="GP COIL SOFT-TATXGP-GK09-0.4X900"/>
    <s v="C02"/>
    <s v="TATXGP"/>
    <s v="GK09"/>
    <n v="0.4"/>
    <n v="900"/>
    <n v="0"/>
    <n v="63"/>
    <n v="0"/>
    <n v="63"/>
    <n v="0"/>
    <n v="63"/>
    <n v="0"/>
    <n v="0"/>
    <n v="0"/>
    <n v="0"/>
    <n v="63"/>
    <n v="63"/>
    <n v="0"/>
    <n v="0"/>
    <n v="0"/>
    <n v="0"/>
    <n v="63"/>
    <n v="0"/>
    <s v="INDIA STEEL INDUSTRIES"/>
  </r>
  <r>
    <n v="743"/>
    <d v="2025-09-15T00:00:00"/>
    <s v="ZBTO"/>
    <n v="9519105231"/>
    <n v="5"/>
    <s v="9519105231-5"/>
    <s v="Oct'25"/>
    <x v="2"/>
    <x v="5"/>
    <m/>
    <x v="0"/>
    <x v="0"/>
    <s v="North"/>
    <s v="VARANASI"/>
    <s v="KANP"/>
    <n v="931525"/>
    <s v="INDIA STEEL INDUSTRIES"/>
    <n v="1854424"/>
    <s v="GP COIL SOFT-TATXGP-GK09-0.6X900"/>
    <s v="C02"/>
    <s v="TATXGP"/>
    <s v="GK09"/>
    <n v="0.6"/>
    <n v="900"/>
    <n v="0"/>
    <n v="42"/>
    <n v="0"/>
    <n v="42"/>
    <n v="0"/>
    <n v="42"/>
    <n v="0"/>
    <n v="0"/>
    <n v="0"/>
    <n v="0"/>
    <n v="42"/>
    <n v="42"/>
    <n v="0"/>
    <n v="0"/>
    <n v="0"/>
    <n v="0"/>
    <n v="42"/>
    <n v="0"/>
    <s v="INDIA STEEL INDUSTRIES"/>
  </r>
  <r>
    <n v="742"/>
    <d v="2025-08-19T00:00:00"/>
    <s v="ZBTO"/>
    <n v="9519029800"/>
    <n v="7"/>
    <s v="9519029800-7"/>
    <s v="Oct'25"/>
    <x v="0"/>
    <x v="7"/>
    <m/>
    <x v="0"/>
    <x v="0"/>
    <s v="East"/>
    <s v="PURNIA"/>
    <s v="PATN"/>
    <n v="103227"/>
    <s v="BMW VENTURES LIMITED"/>
    <n v="3239568"/>
    <s v="CRCA SHEET TATCRC SR16 0.450X1250X2500"/>
    <s v="C06"/>
    <s v="TATCRC"/>
    <s v="SR16"/>
    <n v="0.45"/>
    <n v="1250"/>
    <n v="2500"/>
    <n v="29"/>
    <n v="0"/>
    <n v="29"/>
    <n v="0"/>
    <n v="29"/>
    <n v="29"/>
    <n v="0"/>
    <n v="0"/>
    <n v="0"/>
    <n v="0"/>
    <n v="29"/>
    <n v="0"/>
    <n v="29"/>
    <n v="0"/>
    <n v="0"/>
    <n v="0"/>
    <n v="0"/>
    <s v="BMW VENTURES LIMITED"/>
  </r>
  <r>
    <n v="743"/>
    <d v="2025-08-22T00:00:00"/>
    <s v="ZBTO"/>
    <n v="9519038273"/>
    <n v="4"/>
    <s v="9519038273-4"/>
    <s v="Stocks"/>
    <x v="2"/>
    <x v="6"/>
    <m/>
    <x v="0"/>
    <x v="0"/>
    <s v="East"/>
    <s v="PURNIA"/>
    <s v="PATN"/>
    <n v="931671"/>
    <s v="BMW VENTURES LIMITED"/>
    <n v="3708868"/>
    <s v="GP COIL TATGPH GP02 0.500X1350"/>
    <s v="C05"/>
    <s v="TATGPH"/>
    <s v="GP02"/>
    <n v="0.5"/>
    <n v="1350"/>
    <n v="0"/>
    <n v="93"/>
    <n v="89.905000000000001"/>
    <n v="3.0950000000000002"/>
    <n v="6.9949999999999992"/>
    <n v="0"/>
    <n v="0"/>
    <n v="0"/>
    <n v="0"/>
    <n v="0"/>
    <n v="0"/>
    <n v="6.9949999999999992"/>
    <n v="6.9949999999999992"/>
    <n v="0"/>
    <n v="0"/>
    <n v="0"/>
    <n v="0"/>
    <n v="0"/>
    <s v="BMW VENTURES LIMITED"/>
  </r>
  <r>
    <n v="742"/>
    <d v="2025-08-19T00:00:00"/>
    <s v="ZBTO"/>
    <n v="9519029782"/>
    <n v="6"/>
    <s v="9519029782-6"/>
    <s v="Oct'25"/>
    <x v="0"/>
    <x v="7"/>
    <m/>
    <x v="0"/>
    <x v="0"/>
    <s v="East"/>
    <s v="PATNA"/>
    <s v="PATN"/>
    <n v="103227"/>
    <s v="BMW VENTURES LIMITED"/>
    <n v="3239557"/>
    <s v="CRCA SHEET TATCRC SR16 0.400X1250X2500"/>
    <s v="C06"/>
    <s v="TATCRC"/>
    <s v="SR16"/>
    <n v="0.4"/>
    <n v="1250"/>
    <n v="2500"/>
    <n v="29"/>
    <n v="0"/>
    <n v="29"/>
    <n v="0"/>
    <n v="29"/>
    <n v="29"/>
    <n v="0"/>
    <n v="0"/>
    <n v="0"/>
    <n v="0"/>
    <n v="29"/>
    <n v="0"/>
    <n v="29"/>
    <n v="0"/>
    <n v="0"/>
    <n v="0"/>
    <n v="0"/>
    <s v="BMW VENTURES LIMITED"/>
  </r>
  <r>
    <n v="742"/>
    <d v="2025-08-06T00:00:00"/>
    <s v="ZBTF"/>
    <n v="9518998049"/>
    <n v="1"/>
    <s v="9518998049-1"/>
    <s v="Sep'25"/>
    <x v="0"/>
    <x v="3"/>
    <m/>
    <x v="1"/>
    <x v="3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n v="297"/>
    <n v="146.72"/>
    <n v="150.28"/>
    <n v="36.865000000000002"/>
    <n v="150.28"/>
    <n v="0"/>
    <n v="0"/>
    <n v="150.28"/>
    <n v="0"/>
    <n v="0"/>
    <n v="187.14500000000001"/>
    <n v="0"/>
    <n v="0"/>
    <n v="187.14500000000001"/>
    <n v="0"/>
    <n v="0"/>
    <n v="0"/>
    <s v="TATA CENTER"/>
  </r>
  <r>
    <n v="742"/>
    <d v="2025-08-06T00:00:00"/>
    <s v="ZBTF"/>
    <n v="9518998049"/>
    <n v="2"/>
    <s v="9518998049-2"/>
    <s v="Sep'25"/>
    <x v="0"/>
    <x v="3"/>
    <m/>
    <x v="1"/>
    <x v="3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n v="297"/>
    <n v="269.67"/>
    <n v="27.33"/>
    <n v="135.245"/>
    <n v="27.33"/>
    <n v="0"/>
    <n v="0"/>
    <n v="0"/>
    <n v="27.33"/>
    <n v="0"/>
    <n v="162.57499999999999"/>
    <n v="0"/>
    <n v="0"/>
    <n v="0"/>
    <n v="0"/>
    <n v="162.57499999999999"/>
    <n v="0"/>
    <s v="TATA CENTER"/>
  </r>
  <r>
    <n v="742"/>
    <d v="2025-08-06T00:00:00"/>
    <s v="ZBTF"/>
    <n v="9518998049"/>
    <n v="3"/>
    <s v="9518998049-3"/>
    <s v="Sep'25"/>
    <x v="0"/>
    <x v="3"/>
    <m/>
    <x v="1"/>
    <x v="3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n v="297"/>
    <n v="244.79499999999999"/>
    <n v="52.204999999999998"/>
    <n v="146.53"/>
    <n v="52.204999999999998"/>
    <n v="52.204999999999998"/>
    <n v="0"/>
    <n v="0"/>
    <n v="0"/>
    <n v="0"/>
    <n v="198.73500000000001"/>
    <n v="0"/>
    <n v="198.73500000000001"/>
    <n v="0"/>
    <n v="0"/>
    <n v="0"/>
    <n v="0"/>
    <s v="TATA CENTER"/>
  </r>
  <r>
    <n v="742"/>
    <d v="2025-08-06T00:00:00"/>
    <s v="ZBTF"/>
    <n v="9518998049"/>
    <n v="4"/>
    <s v="9518998049-4"/>
    <s v="Sep'25"/>
    <x v="0"/>
    <x v="3"/>
    <m/>
    <x v="1"/>
    <x v="3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n v="297"/>
    <n v="208.45500000000001"/>
    <n v="88.545000000000002"/>
    <n v="135.09000000000003"/>
    <n v="88.545000000000002"/>
    <n v="0"/>
    <n v="0"/>
    <n v="88.545000000000002"/>
    <n v="0"/>
    <n v="0"/>
    <n v="223.63500000000005"/>
    <n v="0"/>
    <n v="0"/>
    <n v="223.63500000000005"/>
    <n v="0"/>
    <n v="0"/>
    <n v="0"/>
    <s v="TATA CENTER"/>
  </r>
  <r>
    <n v="743"/>
    <d v="2025-09-12T00:00:00"/>
    <s v="ZBTO"/>
    <n v="9519099563"/>
    <n v="15"/>
    <s v="9519099563-15"/>
    <s v="Oct'25"/>
    <x v="2"/>
    <x v="5"/>
    <m/>
    <x v="0"/>
    <x v="0"/>
    <s v="East"/>
    <s v="WEST BOKARO"/>
    <s v="JAMS"/>
    <n v="185794"/>
    <s v="Shree Bajrang Steel Udyog"/>
    <n v="1854424"/>
    <s v="GP COIL SOFT-TATXGP-GK09-0.6X900"/>
    <s v="C02"/>
    <s v="TATXGP"/>
    <s v="GK09"/>
    <n v="0.6"/>
    <n v="900"/>
    <n v="0"/>
    <n v="126"/>
    <n v="0"/>
    <n v="126"/>
    <n v="0"/>
    <n v="126"/>
    <n v="0"/>
    <n v="0"/>
    <n v="126"/>
    <n v="0"/>
    <n v="0"/>
    <n v="126"/>
    <n v="0"/>
    <n v="0"/>
    <n v="126"/>
    <n v="0"/>
    <n v="0"/>
    <n v="0"/>
    <s v="Shree Bajrang Steel Udyog"/>
  </r>
  <r>
    <n v="743"/>
    <d v="2025-09-15T00:00:00"/>
    <s v="ZBTO"/>
    <n v="9519105231"/>
    <n v="4"/>
    <s v="9519105231-4"/>
    <s v="Oct'25"/>
    <x v="2"/>
    <x v="5"/>
    <m/>
    <x v="0"/>
    <x v="0"/>
    <s v="North"/>
    <s v="VARANASI"/>
    <s v="KANP"/>
    <n v="931525"/>
    <s v="INDIA STEEL INDUSTRIES"/>
    <n v="1854418"/>
    <s v="GP COIL SOFT-TATXGP-GK09-0.5X900"/>
    <s v="C02"/>
    <s v="TATXGP"/>
    <s v="GK09"/>
    <n v="0.5"/>
    <n v="900"/>
    <n v="0"/>
    <n v="84"/>
    <n v="0"/>
    <n v="84"/>
    <n v="0"/>
    <n v="84"/>
    <n v="0"/>
    <n v="0"/>
    <n v="0"/>
    <n v="0"/>
    <n v="84"/>
    <n v="84"/>
    <n v="0"/>
    <n v="0"/>
    <n v="0"/>
    <n v="0"/>
    <n v="84"/>
    <n v="0"/>
    <s v="INDIA STEEL INDUSTRIES"/>
  </r>
  <r>
    <n v="742"/>
    <d v="2025-08-19T00:00:00"/>
    <s v="ZBTO"/>
    <n v="9519029782"/>
    <n v="5"/>
    <s v="9519029782-5"/>
    <s v="Oct'25"/>
    <x v="0"/>
    <x v="7"/>
    <m/>
    <x v="0"/>
    <x v="0"/>
    <s v="East"/>
    <s v="PATNA"/>
    <s v="PATN"/>
    <n v="103227"/>
    <s v="BMW VENTURES LIMITED"/>
    <n v="2441002"/>
    <s v="CRCA SHEET TATCRC SR16 0.380X1250X2500"/>
    <s v="C06"/>
    <s v="TATCRC"/>
    <s v="SR16"/>
    <n v="0.38"/>
    <n v="1250"/>
    <n v="2500"/>
    <n v="29"/>
    <n v="0"/>
    <n v="29"/>
    <n v="0"/>
    <n v="29"/>
    <n v="0"/>
    <n v="29"/>
    <n v="0"/>
    <n v="0"/>
    <n v="0"/>
    <n v="29"/>
    <n v="0"/>
    <n v="29"/>
    <n v="0"/>
    <n v="0"/>
    <n v="0"/>
    <n v="0"/>
    <s v="BMW VENTURES LIMITED"/>
  </r>
  <r>
    <n v="742"/>
    <d v="2025-08-19T00:00:00"/>
    <s v="ZBTO"/>
    <n v="9519029800"/>
    <n v="5"/>
    <s v="9519029800-5"/>
    <s v="Oct'25"/>
    <x v="0"/>
    <x v="7"/>
    <m/>
    <x v="0"/>
    <x v="0"/>
    <s v="East"/>
    <s v="PURNIA"/>
    <s v="PATN"/>
    <n v="103227"/>
    <s v="BMW VENTURES LIMITED"/>
    <n v="2441002"/>
    <s v="CRCA SHEET TATCRC SR16 0.380X1250X2500"/>
    <s v="C06"/>
    <s v="TATCRC"/>
    <s v="SR16"/>
    <n v="0.38"/>
    <n v="1250"/>
    <n v="2500"/>
    <n v="29"/>
    <n v="0"/>
    <n v="29"/>
    <n v="0"/>
    <n v="29"/>
    <n v="0"/>
    <n v="0"/>
    <n v="0"/>
    <n v="0"/>
    <n v="29"/>
    <n v="0"/>
    <n v="0"/>
    <n v="0"/>
    <n v="0"/>
    <n v="0"/>
    <n v="0"/>
    <n v="29"/>
    <s v="BMW VENTURES LIMITED"/>
  </r>
  <r>
    <n v="742"/>
    <d v="2025-08-12T00:00:00"/>
    <s v="ZBTO"/>
    <n v="9519011585"/>
    <n v="1"/>
    <s v="9519011585-1"/>
    <s v="Oct'25"/>
    <x v="0"/>
    <x v="4"/>
    <m/>
    <x v="0"/>
    <x v="0"/>
    <s v="West"/>
    <s v="LONI"/>
    <s v="GBAD"/>
    <n v="116734"/>
    <s v="R.S. STEELS "/>
    <n v="1804772"/>
    <s v="CRCA COIL TATXXD AU03 0.4X1250"/>
    <s v="C01"/>
    <s v="TATXXD"/>
    <s v="AU03"/>
    <n v="0.4"/>
    <n v="1250"/>
    <n v="0"/>
    <n v="58"/>
    <n v="0"/>
    <n v="58"/>
    <n v="0"/>
    <n v="58"/>
    <n v="0"/>
    <n v="58"/>
    <n v="0"/>
    <n v="0"/>
    <n v="0"/>
    <n v="58"/>
    <n v="0"/>
    <n v="0"/>
    <n v="58"/>
    <n v="0"/>
    <n v="0"/>
    <n v="0"/>
    <s v="R.S. STEELS "/>
  </r>
  <r>
    <n v="742"/>
    <d v="2025-08-27T00:00:00"/>
    <s v="ZBTO"/>
    <n v="9519054316"/>
    <n v="2"/>
    <s v="9519054316-2"/>
    <s v="Oct'25"/>
    <x v="0"/>
    <x v="0"/>
    <m/>
    <x v="0"/>
    <x v="0"/>
    <s v="East"/>
    <s v="TATANAGAR"/>
    <s v="JAMS"/>
    <n v="165053"/>
    <s v="SUDISA ENTERPRISES (P) LTD."/>
    <n v="3755738"/>
    <s v="CR COIL TSBHSQ CH03 1.200X1250"/>
    <s v="C01"/>
    <s v="TSBHSQ"/>
    <s v="CH03"/>
    <n v="1.2"/>
    <n v="1250"/>
    <n v="0"/>
    <n v="116"/>
    <n v="0"/>
    <n v="115.999"/>
    <n v="0"/>
    <n v="115.999"/>
    <n v="0"/>
    <n v="0"/>
    <n v="0"/>
    <n v="0"/>
    <n v="115.999"/>
    <n v="0"/>
    <n v="0"/>
    <n v="0"/>
    <n v="0"/>
    <n v="0"/>
    <n v="0"/>
    <n v="115.999"/>
    <s v="SUDISA ENTERPRISES (P) LTD."/>
  </r>
  <r>
    <n v="744"/>
    <d v="2025-07-26T00:00:00"/>
    <s v="ZBTO"/>
    <n v="9518962673"/>
    <n v="5"/>
    <s v="9518962673-5"/>
    <s v="Stocks"/>
    <x v="1"/>
    <x v="1"/>
    <m/>
    <x v="1"/>
    <x v="1"/>
    <s v="TBSPL"/>
    <m/>
    <s v="BOMB"/>
    <n v="941597"/>
    <s v="TATA BLUESCOPE STEEL PRIVATE LIMITE"/>
    <n v="3902332"/>
    <s v="PPGL C HARD Y550PL D0C9 0.50(TPT)X1220"/>
    <s v="B18"/>
    <s v="Y550PL"/>
    <s v="D0C9"/>
    <n v="0.5"/>
    <n v="1220"/>
    <n v="0"/>
    <n v="251.99600000000001"/>
    <n v="247.62"/>
    <n v="4.3760000000000003"/>
    <n v="9.129999999999999"/>
    <n v="0"/>
    <n v="0"/>
    <n v="0"/>
    <n v="0"/>
    <n v="0"/>
    <n v="0"/>
    <n v="9.129999999999999"/>
    <n v="9.129999999999999"/>
    <n v="0"/>
    <n v="0"/>
    <n v="0"/>
    <n v="0"/>
    <n v="0"/>
    <s v="TATA BLUESCOPE STEEL PRIVATE LIMITE"/>
  </r>
  <r>
    <n v="742"/>
    <d v="2025-08-19T00:00:00"/>
    <s v="ZBTO"/>
    <n v="9519029800"/>
    <n v="6"/>
    <s v="9519029800-6"/>
    <s v="Oct'25"/>
    <x v="0"/>
    <x v="7"/>
    <m/>
    <x v="0"/>
    <x v="0"/>
    <s v="East"/>
    <s v="PURNIA"/>
    <s v="PATN"/>
    <n v="103227"/>
    <s v="BMW VENTURES LIMITED"/>
    <n v="3239557"/>
    <s v="CRCA SHEET TATCRC SR16 0.400X1250X2500"/>
    <s v="C06"/>
    <s v="TATCRC"/>
    <s v="SR16"/>
    <n v="0.4"/>
    <n v="1250"/>
    <n v="2500"/>
    <n v="29"/>
    <n v="0"/>
    <n v="29"/>
    <n v="0"/>
    <n v="29"/>
    <n v="0"/>
    <n v="0"/>
    <n v="0"/>
    <n v="0"/>
    <n v="29"/>
    <n v="0"/>
    <n v="0"/>
    <n v="0"/>
    <n v="0"/>
    <n v="0"/>
    <n v="0"/>
    <n v="29"/>
    <s v="BMW VENTURES LIMITED"/>
  </r>
  <r>
    <n v="742"/>
    <d v="2025-08-05T00:00:00"/>
    <s v="ZBTO"/>
    <n v="9518995071"/>
    <n v="4"/>
    <s v="9518995071-4"/>
    <s v="Stocks"/>
    <x v="0"/>
    <x v="4"/>
    <m/>
    <x v="0"/>
    <x v="0"/>
    <s v="North"/>
    <s v="KANPUR"/>
    <s v="FBAD"/>
    <n v="933952"/>
    <s v="AGARWAL STEEL TRADERS"/>
    <n v="1804854"/>
    <s v="CRCA COIL-TATXXD-AU03-1.2X1250"/>
    <s v="C01"/>
    <s v="TATXXD"/>
    <s v="AU03"/>
    <n v="1.2"/>
    <n v="1250"/>
    <n v="0"/>
    <n v="29"/>
    <n v="23.9"/>
    <n v="5.0999999999999996"/>
    <n v="23.9"/>
    <n v="5.0999999999999996"/>
    <n v="0"/>
    <n v="5.0999999999999996"/>
    <n v="0"/>
    <n v="0"/>
    <n v="0"/>
    <n v="29"/>
    <n v="0"/>
    <n v="0"/>
    <n v="29"/>
    <n v="0"/>
    <n v="0"/>
    <n v="0"/>
    <s v="AGARWAL STEEL TRADERS"/>
  </r>
  <r>
    <n v="743"/>
    <d v="2025-08-22T00:00:00"/>
    <s v="ZBTO"/>
    <n v="9519038643"/>
    <n v="2"/>
    <s v="9519038643-2"/>
    <s v="Oct'25"/>
    <x v="2"/>
    <x v="5"/>
    <m/>
    <x v="0"/>
    <x v="0"/>
    <s v="East"/>
    <s v="WEST BENGAL"/>
    <s v="CALS"/>
    <n v="100922"/>
    <s v="BUBNA COMMERCIAL COMPANY"/>
    <n v="1191956"/>
    <s v="GP COIL SOFT-TATXGP-GK09-0.35X900"/>
    <s v="C02"/>
    <s v="TATXGP"/>
    <s v="GK09"/>
    <n v="0.35"/>
    <n v="900"/>
    <n v="0"/>
    <n v="105"/>
    <n v="0"/>
    <n v="105"/>
    <n v="0"/>
    <n v="105"/>
    <n v="0"/>
    <n v="0"/>
    <n v="0"/>
    <n v="105"/>
    <n v="0"/>
    <n v="105"/>
    <n v="0"/>
    <n v="0"/>
    <n v="0"/>
    <n v="105"/>
    <n v="0"/>
    <n v="0"/>
    <s v="BUBNA COMMERCIAL COMPANY"/>
  </r>
  <r>
    <n v="742"/>
    <d v="2025-08-18T00:00:00"/>
    <s v="ZBTF"/>
    <n v="9519023959"/>
    <n v="1"/>
    <s v="9519023959-1"/>
    <s v="Oct'25"/>
    <x v="0"/>
    <x v="3"/>
    <m/>
    <x v="1"/>
    <x v="3"/>
    <s v="South"/>
    <s v="THIRUVALLUR"/>
    <s v="MADS"/>
    <n v="600250"/>
    <s v="TATA CENTER"/>
    <n v="3659268"/>
    <s v="CR COIL TSBSTA EL03 0.500X1217"/>
    <s v="C01"/>
    <s v="TSBSTA"/>
    <s v="EL03"/>
    <n v="0.5"/>
    <n v="1217"/>
    <n v="0"/>
    <n v="280"/>
    <n v="0"/>
    <n v="280"/>
    <n v="0"/>
    <n v="280"/>
    <n v="0"/>
    <n v="0"/>
    <n v="280"/>
    <n v="0"/>
    <n v="0"/>
    <n v="280"/>
    <n v="0"/>
    <n v="0"/>
    <n v="0"/>
    <n v="280"/>
    <n v="0"/>
    <n v="0"/>
    <s v="TATA CENTER"/>
  </r>
  <r>
    <n v="742"/>
    <d v="2025-08-18T00:00:00"/>
    <s v="ZBTF"/>
    <n v="9519023959"/>
    <n v="2"/>
    <s v="9519023959-2"/>
    <s v="Oct'25"/>
    <x v="0"/>
    <x v="3"/>
    <m/>
    <x v="1"/>
    <x v="3"/>
    <s v="South"/>
    <s v="THIRUVALLUR"/>
    <s v="MADS"/>
    <n v="600250"/>
    <s v="TATA CENTER"/>
    <n v="3704262"/>
    <s v="CR COIL TSBSTA EL03 1X1250"/>
    <s v="C01"/>
    <s v="TSBSTA"/>
    <s v="EL03"/>
    <n v="1"/>
    <n v="1250"/>
    <n v="0"/>
    <n v="29"/>
    <n v="0"/>
    <n v="29"/>
    <n v="0"/>
    <n v="29"/>
    <n v="0"/>
    <n v="0"/>
    <n v="0"/>
    <n v="0"/>
    <n v="29"/>
    <n v="0"/>
    <n v="0"/>
    <n v="0"/>
    <n v="0"/>
    <n v="0"/>
    <n v="0"/>
    <n v="29"/>
    <s v="TATA CENTER"/>
  </r>
  <r>
    <n v="743"/>
    <d v="2025-09-02T00:00:00"/>
    <s v="ZBTO"/>
    <n v="9519073218"/>
    <n v="2"/>
    <s v="9519073218-2"/>
    <s v="Sep'25"/>
    <x v="2"/>
    <x v="11"/>
    <m/>
    <x v="0"/>
    <x v="0"/>
    <s v="North"/>
    <s v="KANPUR"/>
    <s v="KANP"/>
    <n v="933952"/>
    <s v="AGARWAL STEEL TRADERS"/>
    <n v="2332906"/>
    <s v="GP COIL SOFT TATXGP GK09 0.300X1250"/>
    <s v="C02"/>
    <s v="TATXGP"/>
    <s v="GK09"/>
    <n v="0.3"/>
    <n v="1250"/>
    <n v="0"/>
    <n v="29"/>
    <n v="0"/>
    <n v="29"/>
    <n v="0"/>
    <n v="29"/>
    <n v="0"/>
    <n v="29"/>
    <n v="0"/>
    <n v="0"/>
    <n v="0"/>
    <n v="29"/>
    <n v="0"/>
    <n v="0"/>
    <n v="29"/>
    <n v="0"/>
    <n v="0"/>
    <n v="0"/>
    <s v="AGARWAL STEEL TRADERS"/>
  </r>
  <r>
    <n v="742"/>
    <d v="2025-07-21T00:00:00"/>
    <s v="ZBTO"/>
    <n v="9518945284"/>
    <n v="1"/>
    <s v="9518945284-1"/>
    <s v="Oct'25"/>
    <x v="0"/>
    <x v="4"/>
    <m/>
    <x v="0"/>
    <x v="0"/>
    <s v="South"/>
    <s v="CHENNAI"/>
    <s v="MADS"/>
    <n v="822271"/>
    <s v="TATA STEEL DOWNSTREAM PRODUCTS LIMI"/>
    <n v="1884117"/>
    <s v="CRCA COIL-TATXXD-AU03-2X1250"/>
    <s v="C01"/>
    <s v="TATXXD"/>
    <s v="AU03"/>
    <n v="2"/>
    <n v="1250"/>
    <n v="0"/>
    <n v="58"/>
    <n v="31.07"/>
    <n v="26.93"/>
    <n v="0"/>
    <n v="26.93"/>
    <n v="26.93"/>
    <n v="0"/>
    <n v="0"/>
    <n v="0"/>
    <n v="0"/>
    <n v="26.93"/>
    <n v="0"/>
    <n v="26.93"/>
    <n v="0"/>
    <n v="0"/>
    <n v="0"/>
    <n v="0"/>
    <s v="TATA STEEL DOWNSTREAM PRODUCTS LIMI"/>
  </r>
  <r>
    <n v="742"/>
    <d v="2025-07-21T00:00:00"/>
    <s v="ZBTO"/>
    <n v="9518946840"/>
    <n v="1"/>
    <s v="9518946840-1"/>
    <s v="Oct'25"/>
    <x v="0"/>
    <x v="4"/>
    <m/>
    <x v="0"/>
    <x v="0"/>
    <s v="West"/>
    <s v="LONI"/>
    <s v="FBAD"/>
    <n v="123052"/>
    <s v="G R GUPTA &amp; BROS"/>
    <n v="1801290"/>
    <s v="CRCA COIL-TATXXD-AU03-0.6X1250"/>
    <s v="C01"/>
    <s v="TATXXD"/>
    <s v="AU03"/>
    <n v="0.6"/>
    <n v="1250"/>
    <n v="0"/>
    <n v="58"/>
    <n v="0"/>
    <n v="57.999000000000002"/>
    <n v="0"/>
    <n v="57.999000000000002"/>
    <n v="0"/>
    <n v="57.999000000000002"/>
    <n v="0"/>
    <n v="0"/>
    <n v="0"/>
    <n v="57.999000000000002"/>
    <n v="0"/>
    <n v="0"/>
    <n v="57.999000000000002"/>
    <n v="0"/>
    <n v="0"/>
    <n v="0"/>
    <s v="G R GUPTA &amp; BROS"/>
  </r>
  <r>
    <n v="742"/>
    <d v="2025-07-21T00:00:00"/>
    <s v="ZBTO"/>
    <n v="9518946840"/>
    <n v="2"/>
    <s v="9518946840-2"/>
    <s v="Stocks"/>
    <x v="0"/>
    <x v="4"/>
    <m/>
    <x v="0"/>
    <x v="0"/>
    <s v="West"/>
    <s v="LONI"/>
    <s v="FBAD"/>
    <n v="123052"/>
    <s v="G R GUPTA &amp; BROS"/>
    <n v="1804814"/>
    <s v="CRCA COIL TATXXD AU03 0.8X1250"/>
    <s v="C01"/>
    <s v="TATXXD"/>
    <s v="AU03"/>
    <n v="0.8"/>
    <n v="1250"/>
    <n v="0"/>
    <n v="58"/>
    <n v="56.265000000000001"/>
    <n v="1.734"/>
    <n v="11.07"/>
    <n v="0"/>
    <n v="0"/>
    <n v="0"/>
    <n v="0"/>
    <n v="0"/>
    <n v="0"/>
    <n v="11.07"/>
    <n v="11.07"/>
    <n v="0"/>
    <n v="0"/>
    <n v="0"/>
    <n v="0"/>
    <n v="0"/>
    <s v="G R GUPTA &amp; BROS"/>
  </r>
  <r>
    <n v="743"/>
    <d v="2025-09-12T00:00:00"/>
    <s v="ZBTO"/>
    <n v="9519099563"/>
    <n v="2"/>
    <s v="9519099563-2"/>
    <s v="Oct'25"/>
    <x v="2"/>
    <x v="5"/>
    <m/>
    <x v="0"/>
    <x v="0"/>
    <s v="East"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n v="126"/>
    <n v="0"/>
    <n v="126"/>
    <n v="0"/>
    <n v="126"/>
    <n v="0"/>
    <n v="0"/>
    <n v="126"/>
    <n v="0"/>
    <n v="0"/>
    <n v="126"/>
    <n v="0"/>
    <n v="0"/>
    <n v="126"/>
    <n v="0"/>
    <n v="0"/>
    <n v="0"/>
    <s v="Shree Bajrang Steel Udyog"/>
  </r>
  <r>
    <n v="742"/>
    <d v="2025-08-19T00:00:00"/>
    <s v="ZBTO"/>
    <n v="9519028240"/>
    <n v="1"/>
    <s v="9519028240-1"/>
    <s v="Sep'25"/>
    <x v="0"/>
    <x v="2"/>
    <m/>
    <x v="1"/>
    <x v="1"/>
    <s v="South"/>
    <s v="VISHAKHAPATNAM"/>
    <s v="SBAD"/>
    <n v="186001"/>
    <s v="BABA CONTAINER MANUFACTURERS"/>
    <n v="3867646"/>
    <s v="CR COIL TATXXD BT04 0.600X900"/>
    <s v="C01"/>
    <s v="TATXXD"/>
    <s v="BT04"/>
    <n v="0.6"/>
    <n v="900"/>
    <n v="0"/>
    <n v="126"/>
    <n v="0"/>
    <n v="126"/>
    <n v="0"/>
    <n v="126"/>
    <n v="0"/>
    <n v="0"/>
    <n v="126"/>
    <n v="0"/>
    <n v="0"/>
    <n v="126"/>
    <n v="0"/>
    <n v="0"/>
    <n v="0"/>
    <n v="126"/>
    <n v="0"/>
    <n v="0"/>
    <s v="BABA CONTAINER MANUFACTURERS"/>
  </r>
  <r>
    <n v="742"/>
    <d v="2025-07-18T00:00:00"/>
    <s v="ZBTO"/>
    <n v="9518939588"/>
    <n v="4"/>
    <s v="9518939588-4"/>
    <s v="Oct'25"/>
    <x v="0"/>
    <x v="4"/>
    <m/>
    <x v="0"/>
    <x v="0"/>
    <s v="West"/>
    <s v="LONI"/>
    <s v="DELI"/>
    <n v="101499"/>
    <s v="G.R. GUPTA &amp; BROS."/>
    <n v="1801290"/>
    <s v="CRCA COIL-TATXXD-AU03-0.6X1250"/>
    <s v="C01"/>
    <s v="TATXXD"/>
    <s v="AU03"/>
    <n v="0.6"/>
    <n v="1250"/>
    <n v="0"/>
    <n v="29"/>
    <n v="0"/>
    <n v="29"/>
    <n v="0"/>
    <n v="29"/>
    <n v="0"/>
    <n v="29"/>
    <n v="0"/>
    <n v="0"/>
    <n v="0"/>
    <n v="29"/>
    <n v="0"/>
    <n v="0"/>
    <n v="29"/>
    <n v="0"/>
    <n v="0"/>
    <n v="0"/>
    <s v="G.R. GUPTA &amp; BROS."/>
  </r>
  <r>
    <n v="742"/>
    <d v="2025-08-18T00:00:00"/>
    <s v="ZBTO"/>
    <n v="9519024305"/>
    <n v="3"/>
    <s v="9519024305-3"/>
    <s v="Oct'25"/>
    <x v="0"/>
    <x v="7"/>
    <m/>
    <x v="0"/>
    <x v="0"/>
    <s v="East"/>
    <s v="HOWRAH"/>
    <s v="CALS"/>
    <n v="925093"/>
    <s v="PSPL STEEL PROCESSORS PRIVATE LIMIT"/>
    <n v="3239548"/>
    <s v="CRCA SHEET TATCRC SR16 0.400X900X2500"/>
    <s v="C06"/>
    <s v="TATCRC"/>
    <s v="SR16"/>
    <n v="0.4"/>
    <n v="900"/>
    <n v="2500"/>
    <n v="63"/>
    <n v="18.545000000000002"/>
    <n v="44.454999999999998"/>
    <n v="8.8000000000000007"/>
    <n v="44.454999999999998"/>
    <n v="0"/>
    <n v="44.454999999999998"/>
    <n v="0"/>
    <n v="0"/>
    <n v="0"/>
    <n v="53.254999999999995"/>
    <n v="0"/>
    <n v="0"/>
    <n v="53.254999999999995"/>
    <n v="0"/>
    <n v="0"/>
    <n v="0"/>
    <s v="PSPL STEEL PROCESSORS PRIVATE LIMIT"/>
  </r>
  <r>
    <n v="742"/>
    <d v="2025-08-18T00:00:00"/>
    <s v="ZBTO"/>
    <n v="9519024914"/>
    <n v="7"/>
    <s v="9519024914-7"/>
    <s v="Oct'25"/>
    <x v="0"/>
    <x v="7"/>
    <m/>
    <x v="0"/>
    <x v="0"/>
    <s v="South"/>
    <s v="CHENNAI"/>
    <s v="MADS"/>
    <n v="116465"/>
    <s v="SRI BALAJI STEEL TRADERS"/>
    <n v="3239557"/>
    <s v="CRCA SHEET TATCRC SR16 0.400X1250X2500"/>
    <s v="C06"/>
    <s v="TATCRC"/>
    <s v="SR16"/>
    <n v="0.4"/>
    <n v="1250"/>
    <n v="2500"/>
    <n v="29"/>
    <n v="0"/>
    <n v="29"/>
    <n v="0"/>
    <n v="29"/>
    <n v="0"/>
    <n v="0"/>
    <n v="0"/>
    <n v="0"/>
    <n v="29"/>
    <n v="0"/>
    <n v="0"/>
    <n v="0"/>
    <n v="0"/>
    <n v="0"/>
    <n v="0"/>
    <n v="29"/>
    <s v="SRI BALAJI STEEL TRADERS"/>
  </r>
  <r>
    <n v="742"/>
    <d v="2025-08-20T00:00:00"/>
    <s v="ZBTO"/>
    <n v="9519031476"/>
    <n v="2"/>
    <s v="9519031476-2"/>
    <s v="Oct'25"/>
    <x v="0"/>
    <x v="7"/>
    <m/>
    <x v="0"/>
    <x v="0"/>
    <s v="East"/>
    <s v="TANGI"/>
    <s v="BHUB"/>
    <n v="117061"/>
    <s v="BHARTIA  DISTRIBUTORS PVT. LTD."/>
    <n v="3239554"/>
    <s v="CRCA SHEET TATCRC SR16 0.400X1000X2500"/>
    <s v="C06"/>
    <s v="TATCRC"/>
    <s v="SR16"/>
    <n v="0.4"/>
    <n v="1000"/>
    <n v="2500"/>
    <n v="69"/>
    <n v="0"/>
    <n v="69"/>
    <n v="0"/>
    <n v="69"/>
    <n v="0"/>
    <n v="0"/>
    <n v="0"/>
    <n v="69"/>
    <n v="0"/>
    <n v="69"/>
    <n v="0"/>
    <n v="0"/>
    <n v="0"/>
    <n v="0"/>
    <n v="69"/>
    <n v="0"/>
    <s v="BHARTIA  DISTRIBUTORS PVT. LTD."/>
  </r>
  <r>
    <n v="742"/>
    <d v="2025-08-21T00:00:00"/>
    <s v="ZBTO"/>
    <n v="9519036272"/>
    <n v="5"/>
    <s v="9519036272-5"/>
    <s v="Oct'25"/>
    <x v="0"/>
    <x v="7"/>
    <m/>
    <x v="0"/>
    <x v="0"/>
    <s v="East"/>
    <s v="WEST BOKARO"/>
    <s v="JAMS"/>
    <n v="185794"/>
    <s v="Shree Bajrang Steel Udyog"/>
    <n v="3239554"/>
    <s v="CRCA SHEET TATCRC SR16 0.400X1000X2500"/>
    <s v="C06"/>
    <s v="TATCRC"/>
    <s v="SR16"/>
    <n v="0.4"/>
    <n v="1000"/>
    <n v="2500"/>
    <n v="92"/>
    <n v="40.44"/>
    <n v="51.56"/>
    <n v="0"/>
    <n v="51.56"/>
    <n v="0"/>
    <n v="0"/>
    <n v="0"/>
    <n v="51.56"/>
    <n v="0"/>
    <n v="51.56"/>
    <n v="0"/>
    <n v="0"/>
    <n v="0"/>
    <n v="0"/>
    <n v="51.56"/>
    <n v="0"/>
    <s v="Shree Bajrang Steel Udyog"/>
  </r>
  <r>
    <n v="743"/>
    <d v="2025-07-19T00:00:00"/>
    <s v="ZBTO"/>
    <n v="9518941556"/>
    <n v="1"/>
    <s v="9518941556-1"/>
    <s v="Sep'25"/>
    <x v="2"/>
    <x v="5"/>
    <m/>
    <x v="0"/>
    <x v="0"/>
    <s v="East"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n v="210"/>
    <n v="7.97"/>
    <n v="202.03"/>
    <n v="7.97"/>
    <n v="202.03"/>
    <n v="0"/>
    <n v="0"/>
    <n v="0"/>
    <n v="202.03"/>
    <n v="0"/>
    <n v="210"/>
    <n v="0"/>
    <n v="0"/>
    <n v="0"/>
    <n v="0"/>
    <n v="210"/>
    <n v="0"/>
    <s v="Shree Bajrang Steel Udyog"/>
  </r>
  <r>
    <n v="742"/>
    <d v="2025-07-20T00:00:00"/>
    <s v="ZBTO"/>
    <n v="9518944236"/>
    <n v="1"/>
    <s v="9518944236-1"/>
    <s v="Sep'25"/>
    <x v="0"/>
    <x v="7"/>
    <m/>
    <x v="0"/>
    <x v="0"/>
    <s v="South"/>
    <s v="VISHAKHAPATNAM"/>
    <s v="SBAD"/>
    <n v="946077"/>
    <s v="SITARAM IRON AND STEEL PVT LTD"/>
    <n v="3239535"/>
    <s v="CRCA SHEET TATCRC SR16 0.350X900X2440"/>
    <s v="C06"/>
    <s v="TATCRC"/>
    <s v="SR16"/>
    <n v="0.35"/>
    <n v="900"/>
    <n v="2440"/>
    <n v="41.999000000000002"/>
    <n v="38.145000000000003"/>
    <n v="3.8540000000000001"/>
    <n v="5.4050000000000002"/>
    <n v="3.8540000000000001"/>
    <n v="0"/>
    <n v="0"/>
    <n v="0"/>
    <n v="0"/>
    <n v="3.8540000000000001"/>
    <n v="9.2590000000000003"/>
    <n v="0"/>
    <n v="0"/>
    <n v="0"/>
    <n v="0"/>
    <n v="9.2590000000000003"/>
    <n v="0"/>
    <s v="SITARAM IRON AND STEEL PVT LTD"/>
  </r>
  <r>
    <n v="742"/>
    <d v="2025-07-20T00:00:00"/>
    <s v="ZBTO"/>
    <n v="9518944236"/>
    <n v="5"/>
    <s v="9518944236-5"/>
    <s v="Stocks"/>
    <x v="0"/>
    <x v="7"/>
    <m/>
    <x v="0"/>
    <x v="0"/>
    <s v="South"/>
    <s v="VISHAKHAPATNAM"/>
    <s v="SBAD"/>
    <n v="946077"/>
    <s v="SITARAM IRON AND STEEL PVT LTD"/>
    <n v="3240759"/>
    <s v="CRCA SHEET TSBCRC SR15 0.500X1000X2440"/>
    <s v="C06"/>
    <s v="TSBCRC"/>
    <s v="SR15"/>
    <n v="0.5"/>
    <n v="1000"/>
    <n v="2440"/>
    <n v="23.998999999999999"/>
    <n v="12.54"/>
    <n v="11.459"/>
    <n v="7.1549999999999994"/>
    <n v="0"/>
    <n v="0"/>
    <n v="0"/>
    <n v="0"/>
    <n v="0"/>
    <n v="0"/>
    <n v="7.1549999999999994"/>
    <n v="7.1549999999999994"/>
    <n v="0"/>
    <n v="0"/>
    <n v="0"/>
    <n v="0"/>
    <n v="0"/>
    <s v="SITARAM IRON AND STEEL PVT LTD"/>
  </r>
  <r>
    <n v="742"/>
    <d v="2025-08-18T00:00:00"/>
    <s v="ZBTO"/>
    <n v="9519024914"/>
    <n v="3"/>
    <s v="9519024914-3"/>
    <s v="Oct'25"/>
    <x v="0"/>
    <x v="7"/>
    <m/>
    <x v="0"/>
    <x v="0"/>
    <s v="South"/>
    <s v="CHENNAI"/>
    <s v="MADS"/>
    <n v="116465"/>
    <s v="SRI BALAJI STEEL TRADERS"/>
    <n v="3239408"/>
    <s v="CRCA SHEET TATCRC SR16 0.300X900X2500"/>
    <s v="C06"/>
    <s v="TATCRC"/>
    <s v="SR16"/>
    <n v="0.3"/>
    <n v="900"/>
    <n v="2500"/>
    <n v="21"/>
    <n v="0"/>
    <n v="21"/>
    <n v="0"/>
    <n v="21"/>
    <n v="0"/>
    <n v="0"/>
    <n v="0"/>
    <n v="21"/>
    <n v="0"/>
    <n v="21"/>
    <n v="0"/>
    <n v="0"/>
    <n v="0"/>
    <n v="0"/>
    <n v="21"/>
    <n v="0"/>
    <s v="SRI BALAJI STEEL TRADERS"/>
  </r>
  <r>
    <n v="742"/>
    <d v="2025-07-10T00:00:00"/>
    <s v="ZBTO"/>
    <n v="9518920175"/>
    <n v="1"/>
    <s v="9518920175-1"/>
    <s v="Oct'25"/>
    <x v="0"/>
    <x v="12"/>
    <m/>
    <x v="0"/>
    <x v="0"/>
    <s v="North"/>
    <s v="FARIDABAD"/>
    <s v="FBAD"/>
    <n v="116735"/>
    <s v="RAKESH STEELS"/>
    <n v="2420508"/>
    <s v="CRCA COIL TATXXD AH03 0.500X1250"/>
    <s v="C01"/>
    <s v="TATXXD"/>
    <s v="AH03"/>
    <n v="0.5"/>
    <n v="1250"/>
    <n v="0"/>
    <n v="58"/>
    <n v="53.55"/>
    <n v="4.45"/>
    <n v="35.004999999999995"/>
    <n v="0"/>
    <n v="0"/>
    <n v="0"/>
    <n v="0"/>
    <n v="0"/>
    <n v="0"/>
    <n v="35.004999999999995"/>
    <n v="35.004999999999995"/>
    <n v="0"/>
    <n v="0"/>
    <n v="0"/>
    <n v="0"/>
    <n v="0"/>
    <s v="RAKESH STEELS"/>
  </r>
  <r>
    <n v="743"/>
    <d v="2025-09-02T00:00:00"/>
    <s v="ZBTO"/>
    <n v="9519072526"/>
    <n v="2"/>
    <s v="9519072526-2"/>
    <s v="Stocks"/>
    <x v="2"/>
    <x v="6"/>
    <m/>
    <x v="0"/>
    <x v="0"/>
    <s v="East"/>
    <s v="PURNIA"/>
    <s v="PATN"/>
    <n v="931671"/>
    <s v="BMW VENTURES LIMITED"/>
    <n v="3907468"/>
    <s v="GP COIL TATXGP GP02 0.350X1350"/>
    <s v="C05"/>
    <s v="TATXGP"/>
    <s v="GP02"/>
    <n v="0.35"/>
    <n v="1350"/>
    <n v="0"/>
    <n v="62"/>
    <n v="9.02"/>
    <n v="0"/>
    <n v="9.02"/>
    <n v="0"/>
    <n v="0"/>
    <n v="0"/>
    <n v="0"/>
    <n v="0"/>
    <n v="0"/>
    <n v="9.02"/>
    <n v="9.02"/>
    <n v="0"/>
    <n v="0"/>
    <n v="0"/>
    <n v="0"/>
    <n v="0"/>
    <s v="BMW VENTURES LIMITED"/>
  </r>
  <r>
    <n v="743"/>
    <d v="2025-09-02T00:00:00"/>
    <s v="ZBTO"/>
    <n v="9519072526"/>
    <n v="3"/>
    <s v="9519072526-3"/>
    <s v="Oct'25"/>
    <x v="2"/>
    <x v="6"/>
    <m/>
    <x v="0"/>
    <x v="0"/>
    <s v="East"/>
    <s v="PURNIA"/>
    <s v="PATN"/>
    <n v="931671"/>
    <s v="BMW VENTURES LIMITED"/>
    <n v="3767014"/>
    <s v="GP COIL TATGPH GP02 0.400X1350"/>
    <s v="C05"/>
    <s v="TATGPH"/>
    <s v="GP02"/>
    <n v="0.4"/>
    <n v="1350"/>
    <n v="0"/>
    <n v="93"/>
    <n v="0"/>
    <n v="93"/>
    <n v="0"/>
    <n v="93"/>
    <n v="93"/>
    <n v="0"/>
    <n v="0"/>
    <n v="0"/>
    <n v="0"/>
    <n v="93"/>
    <n v="0"/>
    <n v="93"/>
    <n v="0"/>
    <n v="0"/>
    <n v="0"/>
    <n v="0"/>
    <s v="BMW VENTURES LIMITED"/>
  </r>
  <r>
    <n v="743"/>
    <d v="2025-09-12T00:00:00"/>
    <s v="ZBTO"/>
    <n v="9519099563"/>
    <n v="5"/>
    <s v="9519099563-5"/>
    <s v="Oct'25"/>
    <x v="2"/>
    <x v="5"/>
    <m/>
    <x v="0"/>
    <x v="0"/>
    <s v="East"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n v="126"/>
    <n v="0"/>
    <n v="126"/>
    <n v="0"/>
    <n v="126"/>
    <n v="0"/>
    <n v="0"/>
    <n v="126"/>
    <n v="0"/>
    <n v="0"/>
    <n v="126"/>
    <n v="0"/>
    <n v="0"/>
    <n v="126"/>
    <n v="0"/>
    <n v="0"/>
    <n v="0"/>
    <s v="Shree Bajrang Steel Udyog"/>
  </r>
  <r>
    <n v="743"/>
    <d v="2025-09-12T00:00:00"/>
    <s v="ZBTO"/>
    <n v="9519099563"/>
    <n v="10"/>
    <s v="9519099563-10"/>
    <s v="Oct'25"/>
    <x v="2"/>
    <x v="5"/>
    <m/>
    <x v="0"/>
    <x v="0"/>
    <s v="East"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n v="105"/>
    <n v="0"/>
    <n v="105"/>
    <n v="0"/>
    <n v="105"/>
    <n v="0"/>
    <n v="0"/>
    <n v="0"/>
    <n v="105"/>
    <n v="0"/>
    <n v="105"/>
    <n v="0"/>
    <n v="0"/>
    <n v="0"/>
    <n v="105"/>
    <n v="0"/>
    <n v="0"/>
    <s v="Shree Bajrang Steel Udyog"/>
  </r>
  <r>
    <n v="743"/>
    <d v="2025-09-12T00:00:00"/>
    <s v="ZBTO"/>
    <n v="9519099563"/>
    <n v="11"/>
    <s v="9519099563-11"/>
    <s v="Oct'25"/>
    <x v="2"/>
    <x v="5"/>
    <m/>
    <x v="0"/>
    <x v="0"/>
    <s v="East"/>
    <s v="WEST BOKARO"/>
    <s v="JAMS"/>
    <n v="185794"/>
    <s v="Shree Bajrang Steel Udyog"/>
    <n v="1854413"/>
    <s v="GP COIL SOFT-TATXGP-GK09-0.45X900"/>
    <s v="C02"/>
    <s v="TATXGP"/>
    <s v="GK09"/>
    <n v="0.45"/>
    <n v="900"/>
    <n v="0"/>
    <n v="42"/>
    <n v="0"/>
    <n v="42"/>
    <n v="0"/>
    <n v="42"/>
    <n v="0"/>
    <n v="0"/>
    <n v="0"/>
    <n v="42"/>
    <n v="0"/>
    <n v="42"/>
    <n v="0"/>
    <n v="0"/>
    <n v="0"/>
    <n v="42"/>
    <n v="0"/>
    <n v="0"/>
    <s v="Shree Bajrang Steel Udyog"/>
  </r>
  <r>
    <n v="744"/>
    <d v="2025-09-16T00:00:00"/>
    <s v="ZBTO"/>
    <n v="9519107996"/>
    <n v="1"/>
    <s v="9519107996-1"/>
    <s v="Oct'25"/>
    <x v="1"/>
    <x v="1"/>
    <m/>
    <x v="1"/>
    <x v="1"/>
    <s v="TBSPL"/>
    <s v="GAMHARIA"/>
    <s v="BOMB"/>
    <n v="940016"/>
    <s v="TATA BLUESCOPE STEEL PVT LTD."/>
    <n v="3996225"/>
    <s v="PPGL C Y550 HPL6 0.40BMT(0.47TPT)X1220"/>
    <s v="B18"/>
    <s v="Y550PL"/>
    <s v="HPL6"/>
    <n v="0.4"/>
    <n v="1220"/>
    <n v="0"/>
    <n v="252"/>
    <n v="0"/>
    <n v="252"/>
    <n v="0"/>
    <n v="252"/>
    <n v="0"/>
    <n v="0"/>
    <n v="252"/>
    <n v="0"/>
    <n v="0"/>
    <n v="252"/>
    <n v="0"/>
    <n v="0"/>
    <n v="0"/>
    <n v="0"/>
    <n v="252"/>
    <n v="0"/>
    <s v="TATA BLUESCOPE STEEL PVT LTD."/>
  </r>
  <r>
    <n v="742"/>
    <d v="2025-07-10T00:00:00"/>
    <s v="ZBTO"/>
    <n v="9518920185"/>
    <n v="1"/>
    <s v="9518920185-1"/>
    <s v="Oct'25"/>
    <x v="0"/>
    <x v="12"/>
    <m/>
    <x v="0"/>
    <x v="0"/>
    <s v="North"/>
    <s v="FARIDABAD"/>
    <s v="FBAD"/>
    <n v="116735"/>
    <s v="RAKESH STEELS"/>
    <n v="2420510"/>
    <s v="CRCA COIL TATXXD AH03 0.600X1250"/>
    <s v="C01"/>
    <s v="TATXXD"/>
    <s v="AH03"/>
    <n v="0.6"/>
    <n v="1250"/>
    <n v="0"/>
    <n v="58"/>
    <n v="49.75"/>
    <n v="8.25"/>
    <n v="24.22"/>
    <n v="0"/>
    <n v="0"/>
    <n v="0"/>
    <n v="0"/>
    <n v="0"/>
    <n v="0"/>
    <n v="24.22"/>
    <n v="24.22"/>
    <n v="0"/>
    <n v="0"/>
    <n v="0"/>
    <n v="0"/>
    <n v="0"/>
    <s v="RAKESH STEELS"/>
  </r>
  <r>
    <n v="742"/>
    <d v="2025-08-19T00:00:00"/>
    <s v="ZBTO"/>
    <n v="9519028090"/>
    <n v="3"/>
    <s v="9519028090-3"/>
    <s v="Oct'25"/>
    <x v="0"/>
    <x v="12"/>
    <m/>
    <x v="0"/>
    <x v="0"/>
    <s v="East"/>
    <s v="JSR"/>
    <s v="CALS"/>
    <n v="155536"/>
    <s v="TATA STEEL DOWNSTREAM PRODUCTS LIMI"/>
    <n v="2420609"/>
    <s v="CRCA COIL TATXXD AH03 1.900X1250"/>
    <s v="C01"/>
    <s v="TATXXD"/>
    <s v="AH03"/>
    <n v="1.9"/>
    <n v="1250"/>
    <n v="0"/>
    <n v="58"/>
    <n v="0"/>
    <n v="58"/>
    <n v="0"/>
    <n v="58"/>
    <n v="58"/>
    <n v="0"/>
    <n v="0"/>
    <n v="0"/>
    <n v="0"/>
    <n v="58"/>
    <n v="0"/>
    <n v="58"/>
    <n v="0"/>
    <n v="0"/>
    <n v="0"/>
    <n v="0"/>
    <s v="TATA STEEL DOWNSTREAM PRODUCTS LIMI"/>
  </r>
  <r>
    <n v="742"/>
    <d v="2025-08-06T00:00:00"/>
    <s v="ZBTO"/>
    <n v="9518997362"/>
    <n v="3"/>
    <s v="9518997362-3"/>
    <s v="Sep'25"/>
    <x v="0"/>
    <x v="4"/>
    <m/>
    <x v="0"/>
    <x v="0"/>
    <s v="North"/>
    <s v="RAILAPUR"/>
    <s v="SBAD"/>
    <n v="949570"/>
    <s v="G K ISPAT PRIVATE LIMITED"/>
    <n v="189861"/>
    <s v="CR COIL TATXXD AU03 1.150X1250"/>
    <s v="C01"/>
    <s v="TATXXD"/>
    <s v="AU03"/>
    <n v="1.1499999999999999"/>
    <n v="1250"/>
    <n v="0"/>
    <n v="57.999000000000002"/>
    <n v="37.795000000000002"/>
    <n v="20.202999999999999"/>
    <n v="12.17"/>
    <n v="20.202999999999999"/>
    <n v="0"/>
    <n v="0"/>
    <n v="20.202999999999999"/>
    <n v="0"/>
    <n v="0"/>
    <n v="32.372999999999998"/>
    <n v="0"/>
    <n v="0"/>
    <n v="0"/>
    <n v="32.372999999999998"/>
    <n v="0"/>
    <n v="0"/>
    <s v="G K ISPAT PRIVATE LIMITED"/>
  </r>
  <r>
    <n v="743"/>
    <d v="2025-08-21T00:00:00"/>
    <s v="ZBTO"/>
    <n v="9519035728"/>
    <n v="1"/>
    <s v="9519035728-1"/>
    <s v="Oct'25"/>
    <x v="3"/>
    <x v="1"/>
    <m/>
    <x v="1"/>
    <x v="1"/>
    <s v="TBSPL"/>
    <s v="TATANAGAR"/>
    <s v="BOMB"/>
    <n v="942284"/>
    <s v="TATA BLUESCOPE STEEL PRIVATE LIMITE"/>
    <n v="3856036"/>
    <s v="GL C YS550 M306 0.30BMT(0.32TCT)X900"/>
    <s v="B04"/>
    <s v="Y550GL"/>
    <s v="M306"/>
    <n v="0.3"/>
    <n v="900"/>
    <n v="0"/>
    <n v="147"/>
    <n v="3.68"/>
    <n v="143.32"/>
    <n v="3.68"/>
    <n v="143.32"/>
    <n v="0"/>
    <n v="0"/>
    <n v="0"/>
    <n v="0"/>
    <n v="143.32"/>
    <n v="0"/>
    <n v="0"/>
    <n v="0"/>
    <n v="0"/>
    <n v="0"/>
    <n v="0"/>
    <n v="147"/>
    <s v="TATA BLUESCOPE STEEL PRIVATE LIMITE"/>
  </r>
  <r>
    <n v="744"/>
    <d v="2025-08-21T00:00:00"/>
    <s v="ZBTO"/>
    <n v="9519035613"/>
    <n v="1"/>
    <s v="9519035613-1"/>
    <s v="Sep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80"/>
    <n v="248.19"/>
    <n v="31.809000000000001"/>
    <n v="229.68000000000004"/>
    <n v="31.809000000000001"/>
    <n v="31.809000000000001"/>
    <n v="0"/>
    <n v="0"/>
    <n v="0"/>
    <n v="0"/>
    <n v="261.48900000000003"/>
    <n v="0"/>
    <n v="0"/>
    <n v="261.48900000000003"/>
    <n v="0"/>
    <n v="0"/>
    <n v="0"/>
    <s v="TATA BLUESCOPE STEEL PVT LTD."/>
  </r>
  <r>
    <n v="742"/>
    <d v="2025-08-20T00:00:00"/>
    <s v="ZBTO"/>
    <n v="9519031476"/>
    <n v="5"/>
    <s v="9519031476-5"/>
    <s v="Oct'25"/>
    <x v="0"/>
    <x v="7"/>
    <m/>
    <x v="0"/>
    <x v="0"/>
    <s v="East"/>
    <s v="TANGI"/>
    <s v="BHUB"/>
    <n v="117061"/>
    <s v="BHARTIA  DISTRIBUTORS PVT. LTD."/>
    <n v="3240790"/>
    <s v="CRCA SHEET TSBCRC SR15 0.700X1000X2500"/>
    <s v="C06"/>
    <s v="TSBCRC"/>
    <s v="SR15"/>
    <n v="0.7"/>
    <n v="1000"/>
    <n v="2500"/>
    <n v="23"/>
    <n v="0"/>
    <n v="23"/>
    <n v="0"/>
    <n v="23"/>
    <n v="23"/>
    <n v="0"/>
    <n v="0"/>
    <n v="0"/>
    <n v="0"/>
    <n v="23"/>
    <n v="0"/>
    <n v="23"/>
    <n v="0"/>
    <n v="0"/>
    <n v="0"/>
    <n v="0"/>
    <s v="BHARTIA  DISTRIBUTORS PVT. LTD."/>
  </r>
  <r>
    <n v="742"/>
    <d v="2025-08-20T00:00:00"/>
    <s v="ZBTO"/>
    <n v="9519031476"/>
    <n v="6"/>
    <s v="9519031476-6"/>
    <s v="Stocks"/>
    <x v="0"/>
    <x v="7"/>
    <m/>
    <x v="0"/>
    <x v="0"/>
    <s v="East"/>
    <s v="TANGI"/>
    <s v="BHUB"/>
    <n v="117061"/>
    <s v="BHARTIA  DISTRIBUTORS PVT. LTD."/>
    <n v="3240799"/>
    <s v="CRCA SHEET TSBCRC SR15 0.750X1250X2500"/>
    <s v="C06"/>
    <s v="TSBCRC"/>
    <s v="SR15"/>
    <n v="0.75"/>
    <n v="1250"/>
    <n v="2500"/>
    <n v="29"/>
    <n v="7.96"/>
    <n v="21.04"/>
    <n v="5.18"/>
    <n v="0"/>
    <n v="0"/>
    <n v="0"/>
    <n v="0"/>
    <n v="0"/>
    <n v="0"/>
    <n v="5.18"/>
    <n v="5.18"/>
    <n v="0"/>
    <n v="0"/>
    <n v="0"/>
    <n v="0"/>
    <n v="0"/>
    <s v="BHARTIA  DISTRIBUTORS PVT. LTD."/>
  </r>
  <r>
    <n v="743"/>
    <d v="2025-09-02T00:00:00"/>
    <s v="ZBTO"/>
    <n v="9519072913"/>
    <n v="3"/>
    <s v="9519072913-3"/>
    <s v="Sep'25"/>
    <x v="2"/>
    <x v="5"/>
    <m/>
    <x v="0"/>
    <x v="0"/>
    <s v="East"/>
    <s v="Jharkhand"/>
    <s v="JAMS"/>
    <n v="121328"/>
    <s v="R. S. BOKARO METAL (P) LTD."/>
    <n v="1178439"/>
    <s v="GP COIL SOFT-TATXGP-GK09-0.4X900"/>
    <s v="C02"/>
    <s v="TATXGP"/>
    <s v="GK09"/>
    <n v="0.4"/>
    <n v="900"/>
    <n v="0"/>
    <n v="126"/>
    <n v="0"/>
    <n v="126"/>
    <n v="0"/>
    <n v="126"/>
    <n v="0"/>
    <n v="0"/>
    <n v="126"/>
    <n v="0"/>
    <n v="0"/>
    <n v="126"/>
    <n v="0"/>
    <n v="0"/>
    <n v="0"/>
    <n v="126"/>
    <n v="0"/>
    <n v="0"/>
    <s v="R. S. BOKARO METAL (P) LTD."/>
  </r>
  <r>
    <n v="743"/>
    <d v="2025-09-02T00:00:00"/>
    <s v="ZBTO"/>
    <n v="9519072913"/>
    <n v="5"/>
    <s v="9519072913-5"/>
    <s v="Sep'25"/>
    <x v="2"/>
    <x v="5"/>
    <m/>
    <x v="0"/>
    <x v="0"/>
    <s v="East"/>
    <s v="Jharkhand"/>
    <s v="JAMS"/>
    <n v="121328"/>
    <s v="R. S. BOKARO METAL (P) LTD."/>
    <n v="1854418"/>
    <s v="GP COIL SOFT-TATXGP-GK09-0.5X900"/>
    <s v="C02"/>
    <s v="TATXGP"/>
    <s v="GK09"/>
    <n v="0.5"/>
    <n v="900"/>
    <n v="0"/>
    <n v="126"/>
    <n v="0"/>
    <n v="126"/>
    <n v="0"/>
    <n v="126"/>
    <n v="0"/>
    <n v="0"/>
    <n v="126"/>
    <n v="0"/>
    <n v="0"/>
    <n v="126"/>
    <n v="0"/>
    <n v="0"/>
    <n v="0"/>
    <n v="126"/>
    <n v="0"/>
    <n v="0"/>
    <s v="R. S. BOKARO METAL (P) LTD."/>
  </r>
  <r>
    <n v="742"/>
    <d v="2025-09-11T00:00:00"/>
    <s v="ZBTO"/>
    <n v="9519094552"/>
    <n v="6"/>
    <s v="9519094552-6"/>
    <s v="Oct'25"/>
    <x v="0"/>
    <x v="7"/>
    <m/>
    <x v="0"/>
    <x v="0"/>
    <s v="East"/>
    <s v="SILIGURI TOWN"/>
    <s v="GWAH"/>
    <n v="948783"/>
    <s v="SAGAR STEELS"/>
    <n v="3240753"/>
    <s v="CRCA SHEET TSBCRC SR15 0.500X900X2500"/>
    <s v="C06"/>
    <s v="TSBCRC"/>
    <s v="SR15"/>
    <n v="0.5"/>
    <n v="900"/>
    <n v="2500"/>
    <n v="21"/>
    <n v="0"/>
    <n v="21"/>
    <n v="0"/>
    <n v="21"/>
    <n v="0"/>
    <n v="0"/>
    <n v="21"/>
    <n v="0"/>
    <n v="0"/>
    <n v="21"/>
    <n v="0"/>
    <n v="0"/>
    <n v="0"/>
    <n v="21"/>
    <n v="0"/>
    <n v="0"/>
    <s v="SAGAR STEELS"/>
  </r>
  <r>
    <n v="742"/>
    <d v="2025-08-29T00:00:00"/>
    <s v="ZBTO"/>
    <n v="9519062631"/>
    <n v="12"/>
    <s v="9519062631-12"/>
    <s v="Oct'25"/>
    <x v="0"/>
    <x v="7"/>
    <m/>
    <x v="0"/>
    <x v="0"/>
    <s v="North"/>
    <s v="VARANASI"/>
    <s v="FBAD"/>
    <n v="931525"/>
    <s v="INDIA STEEL INDUSTRIES"/>
    <n v="3240863"/>
    <s v="CRCA SHEET TSBCRC SR15 1.500X1250X2500"/>
    <s v="C06"/>
    <s v="TSBCRC"/>
    <s v="SR15"/>
    <n v="1.5"/>
    <n v="1250"/>
    <n v="2500"/>
    <n v="29"/>
    <n v="0"/>
    <n v="29"/>
    <n v="0"/>
    <n v="29"/>
    <n v="0"/>
    <n v="29"/>
    <n v="0"/>
    <n v="0"/>
    <n v="0"/>
    <n v="29"/>
    <n v="0"/>
    <n v="29"/>
    <n v="0"/>
    <n v="0"/>
    <n v="0"/>
    <n v="0"/>
    <s v="INDIA STEEL INDUSTRIES"/>
  </r>
  <r>
    <n v="742"/>
    <d v="2025-09-09T00:00:00"/>
    <s v="ZBTN"/>
    <n v="9519088402"/>
    <n v="1"/>
    <s v="9519088402-1"/>
    <s v="Oct'25"/>
    <x v="0"/>
    <x v="13"/>
    <m/>
    <x v="0"/>
    <x v="0"/>
    <s v="South"/>
    <s v="VISHAKHAPATNAM"/>
    <s v="EXPO"/>
    <n v="189881"/>
    <s v="Magni Steel Pvt Ltd"/>
    <n v="3532124"/>
    <s v="CRCA SHEET TATCRC EX08 0.300X1219X2438"/>
    <s v="C06"/>
    <s v="TATCRC"/>
    <s v="EX08"/>
    <n v="0.3"/>
    <n v="1219"/>
    <n v="2438"/>
    <n v="26"/>
    <n v="0"/>
    <n v="26"/>
    <n v="0"/>
    <n v="26"/>
    <n v="26"/>
    <n v="0"/>
    <n v="0"/>
    <n v="0"/>
    <n v="0"/>
    <n v="26"/>
    <n v="0"/>
    <n v="0"/>
    <n v="26"/>
    <n v="0"/>
    <n v="0"/>
    <n v="0"/>
    <s v="Angul Cold Rolling Mill"/>
  </r>
  <r>
    <n v="742"/>
    <d v="2025-09-09T00:00:00"/>
    <s v="ZBTN"/>
    <n v="9519088402"/>
    <n v="2"/>
    <s v="9519088402-2"/>
    <s v="Oct'25"/>
    <x v="0"/>
    <x v="13"/>
    <m/>
    <x v="0"/>
    <x v="0"/>
    <s v="South"/>
    <s v="VISHAKHAPATNAM"/>
    <s v="EXPO"/>
    <n v="189881"/>
    <s v="Magni Steel Pvt Ltd"/>
    <n v="3532126"/>
    <s v="CRCA SHEET TATCRC EX08 0.350X1219X2438"/>
    <s v="C06"/>
    <s v="TATCRC"/>
    <s v="EX08"/>
    <n v="0.35"/>
    <n v="1219"/>
    <n v="2438"/>
    <n v="26"/>
    <n v="0"/>
    <n v="26"/>
    <n v="0"/>
    <n v="26"/>
    <n v="0"/>
    <n v="26"/>
    <n v="0"/>
    <n v="0"/>
    <n v="0"/>
    <n v="26"/>
    <n v="0"/>
    <n v="0"/>
    <n v="26"/>
    <n v="0"/>
    <n v="0"/>
    <n v="0"/>
    <s v="Angul Cold Rolling Mill"/>
  </r>
  <r>
    <n v="742"/>
    <d v="2025-08-26T00:00:00"/>
    <s v="ZBTO"/>
    <n v="9519051309"/>
    <n v="1"/>
    <s v="9519051309-1"/>
    <s v="Oct'25"/>
    <x v="0"/>
    <x v="7"/>
    <m/>
    <x v="0"/>
    <x v="0"/>
    <s v="East"/>
    <s v="SILIGURI TOWN"/>
    <s v="GWAH"/>
    <n v="948783"/>
    <s v="SAGAR STEELS"/>
    <n v="3240778"/>
    <s v="CRCA SHEET TSBCRC SR15 0.600X1000X2500"/>
    <s v="C06"/>
    <s v="TSBCRC"/>
    <s v="SR15"/>
    <n v="0.6"/>
    <n v="1000"/>
    <n v="2500"/>
    <n v="22.98"/>
    <n v="0"/>
    <n v="22.98"/>
    <n v="0"/>
    <n v="22.98"/>
    <n v="0"/>
    <n v="0"/>
    <n v="0"/>
    <n v="22.98"/>
    <n v="0"/>
    <n v="22.98"/>
    <n v="0"/>
    <n v="0"/>
    <n v="0"/>
    <n v="0"/>
    <n v="22.98"/>
    <n v="0"/>
    <s v="SAGAR STEELS"/>
  </r>
  <r>
    <n v="744"/>
    <d v="2025-08-30T00:00:00"/>
    <s v="ZBTO"/>
    <n v="9519065717"/>
    <n v="3"/>
    <s v="9519065717-3"/>
    <s v="Sep'25"/>
    <x v="1"/>
    <x v="1"/>
    <m/>
    <x v="1"/>
    <x v="1"/>
    <s v="TBSPL"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n v="280"/>
    <n v="226.54499999999999"/>
    <n v="53.454999999999998"/>
    <n v="163.56000000000003"/>
    <n v="73.290000000000006"/>
    <n v="73.290000000000006"/>
    <n v="0"/>
    <n v="0"/>
    <n v="0"/>
    <n v="0"/>
    <n v="236.85000000000002"/>
    <n v="0"/>
    <n v="0"/>
    <n v="236.85000000000002"/>
    <n v="0"/>
    <n v="0"/>
    <n v="0"/>
    <s v="TATA BLUESCOPE STEEL PVT LTD."/>
  </r>
  <r>
    <n v="744"/>
    <d v="2025-08-30T00:00:00"/>
    <s v="ZBTO"/>
    <n v="9519065717"/>
    <n v="4"/>
    <s v="9519065717-4"/>
    <s v="Sep'25"/>
    <x v="1"/>
    <x v="1"/>
    <m/>
    <x v="1"/>
    <x v="1"/>
    <s v="TBSPL"/>
    <s v="GAMHARIA"/>
    <s v="BOMB"/>
    <n v="940016"/>
    <s v="TATA BLUESCOPE STEEL PVT LTD."/>
    <n v="3521300"/>
    <s v="PPGL C Y550 D0C7 0.40BMT(0.44TPT)X1220"/>
    <s v="B18"/>
    <s v="Y550PL"/>
    <s v="D0C7"/>
    <n v="0.4"/>
    <n v="1220"/>
    <n v="0"/>
    <n v="224"/>
    <n v="82.53"/>
    <n v="141.47"/>
    <n v="22.28"/>
    <n v="171.41499999999999"/>
    <n v="171.41499999999999"/>
    <n v="0"/>
    <n v="0"/>
    <n v="0"/>
    <n v="0"/>
    <n v="193.69499999999999"/>
    <n v="0"/>
    <n v="0"/>
    <n v="193.69499999999999"/>
    <n v="0"/>
    <n v="0"/>
    <n v="0"/>
    <s v="TATA BLUESCOPE STEEL PVT LTD."/>
  </r>
  <r>
    <n v="742"/>
    <d v="2025-08-18T00:00:00"/>
    <s v="ZBTO"/>
    <n v="9519025273"/>
    <n v="8"/>
    <s v="9519025273-8"/>
    <s v="Oct'25"/>
    <x v="0"/>
    <x v="7"/>
    <m/>
    <x v="0"/>
    <x v="0"/>
    <s v="East"/>
    <s v="HOWRAH"/>
    <s v="CALS"/>
    <n v="925093"/>
    <s v="PSPL STEEL PROCESSORS PRIVATE LIMIT"/>
    <n v="3240772"/>
    <s v="CRCA SHEET TSBCRC SR15 0.600X900X2500"/>
    <s v="C06"/>
    <s v="TSBCRC"/>
    <s v="SR15"/>
    <n v="0.6"/>
    <n v="900"/>
    <n v="2500"/>
    <n v="21"/>
    <n v="0"/>
    <n v="21"/>
    <n v="0"/>
    <n v="21"/>
    <n v="0"/>
    <n v="0"/>
    <n v="21"/>
    <n v="0"/>
    <n v="0"/>
    <n v="21"/>
    <n v="0"/>
    <n v="0"/>
    <n v="0"/>
    <n v="21"/>
    <n v="0"/>
    <n v="0"/>
    <s v="PSPL STEEL PROCESSORS PRIVATE LIMIT"/>
  </r>
  <r>
    <n v="742"/>
    <d v="2025-08-13T00:00:00"/>
    <s v="ZBTF"/>
    <n v="9519013589"/>
    <n v="1"/>
    <s v="9519013589-1"/>
    <s v="Stocks"/>
    <x v="0"/>
    <x v="9"/>
    <m/>
    <x v="2"/>
    <x v="4"/>
    <s v="South"/>
    <s v="YESHWANTHPURA"/>
    <s v="TUBE"/>
    <n v="760004"/>
    <s v="TUBES DIVISION"/>
    <n v="2279476"/>
    <s v="CRCA COIL TSBHSQ TU99 1.400X1270"/>
    <s v="C01"/>
    <s v="TSBHSQ"/>
    <s v="TU99"/>
    <n v="1.4"/>
    <n v="1270"/>
    <n v="0"/>
    <n v="280"/>
    <n v="173.935"/>
    <n v="106.065"/>
    <n v="26.574999999999999"/>
    <n v="106.065"/>
    <n v="106.065"/>
    <n v="0"/>
    <n v="0"/>
    <n v="0"/>
    <n v="0"/>
    <n v="132.63999999999999"/>
    <n v="0"/>
    <n v="132.63999999999999"/>
    <n v="0"/>
    <n v="0"/>
    <n v="0"/>
    <n v="0"/>
    <s v="TUBES DIVISION"/>
  </r>
  <r>
    <n v="742"/>
    <d v="2025-08-13T00:00:00"/>
    <s v="ZBTF"/>
    <n v="9519013589"/>
    <n v="2"/>
    <s v="9519013589-2"/>
    <s v="Oct'25"/>
    <x v="0"/>
    <x v="9"/>
    <m/>
    <x v="2"/>
    <x v="4"/>
    <s v="South"/>
    <s v="YESHWANTHPURA"/>
    <s v="TUBE"/>
    <n v="760004"/>
    <s v="TUBES DIVISION"/>
    <n v="2279503"/>
    <s v="CRCA COIL TSBHSQ TU99 1.600X1270"/>
    <s v="C01"/>
    <s v="TSBHSQ"/>
    <s v="TU99"/>
    <n v="1.6"/>
    <n v="1270"/>
    <n v="0"/>
    <n v="280"/>
    <n v="233.04499999999999"/>
    <n v="46.954999999999998"/>
    <n v="0"/>
    <n v="46.954999999999998"/>
    <n v="46.954999999999998"/>
    <n v="0"/>
    <n v="0"/>
    <n v="0"/>
    <n v="0"/>
    <n v="46.954999999999998"/>
    <n v="46.954999999999998"/>
    <n v="0"/>
    <n v="0"/>
    <n v="0"/>
    <n v="0"/>
    <n v="0"/>
    <s v="TUBES DIVISION"/>
  </r>
  <r>
    <n v="742"/>
    <d v="2025-08-13T00:00:00"/>
    <s v="ZBTF"/>
    <n v="9519013589"/>
    <n v="3"/>
    <s v="9519013589-3"/>
    <s v="Oct'25"/>
    <x v="0"/>
    <x v="9"/>
    <m/>
    <x v="2"/>
    <x v="4"/>
    <s v="South"/>
    <s v="YESHWANTHPURA"/>
    <s v="TUBE"/>
    <n v="760004"/>
    <s v="TUBES DIVISION"/>
    <n v="2150940"/>
    <s v="CRCA COIL SA1008 TU98 1.200X1250"/>
    <s v="C01"/>
    <s v="SA1008"/>
    <s v="TU98"/>
    <n v="1.2"/>
    <n v="1250"/>
    <n v="0"/>
    <n v="203"/>
    <n v="13.69"/>
    <n v="189.31"/>
    <n v="0"/>
    <n v="189.31"/>
    <n v="0"/>
    <n v="0"/>
    <n v="189.31"/>
    <n v="0"/>
    <n v="0"/>
    <n v="189.31"/>
    <n v="0"/>
    <n v="0"/>
    <n v="0"/>
    <n v="189.31"/>
    <n v="0"/>
    <n v="0"/>
    <s v="TUBES DIVISION"/>
  </r>
  <r>
    <n v="742"/>
    <d v="2025-08-13T00:00:00"/>
    <s v="ZBTF"/>
    <n v="9519013589"/>
    <n v="5"/>
    <s v="9519013589-5"/>
    <s v="Oct'25"/>
    <x v="0"/>
    <x v="9"/>
    <m/>
    <x v="2"/>
    <x v="4"/>
    <s v="South"/>
    <s v="YESHWANTHPURA"/>
    <s v="TUBE"/>
    <n v="760004"/>
    <s v="TUBES DIVISION"/>
    <n v="2150942"/>
    <s v="CRCA COIL SA1008 TU98 1.600X1250"/>
    <s v="C01"/>
    <s v="SA1008"/>
    <s v="TU98"/>
    <n v="1.6"/>
    <n v="1250"/>
    <n v="0"/>
    <n v="174"/>
    <n v="0"/>
    <n v="174"/>
    <n v="0"/>
    <n v="174"/>
    <n v="0"/>
    <n v="0"/>
    <n v="174"/>
    <n v="0"/>
    <n v="0"/>
    <n v="174"/>
    <n v="0"/>
    <n v="0"/>
    <n v="174"/>
    <n v="0"/>
    <n v="0"/>
    <n v="0"/>
    <s v="TUBES DIVISION"/>
  </r>
  <r>
    <n v="743"/>
    <d v="2025-08-21T00:00:00"/>
    <s v="ZBTO"/>
    <n v="9519035790"/>
    <n v="4"/>
    <s v="9519035790-4"/>
    <s v="Stocks"/>
    <x v="2"/>
    <x v="5"/>
    <m/>
    <x v="0"/>
    <x v="0"/>
    <s v="East"/>
    <s v="Jharkhand"/>
    <s v="JAMS"/>
    <n v="121328"/>
    <s v="R. S. BOKARO METAL (P) LTD."/>
    <n v="1178439"/>
    <s v="GP COIL SOFT-TATXGP-GK09-0.4X900"/>
    <s v="C02"/>
    <s v="TATXGP"/>
    <s v="GK09"/>
    <n v="0.4"/>
    <n v="900"/>
    <n v="0"/>
    <n v="168"/>
    <n v="143.465"/>
    <n v="24.535"/>
    <n v="20.299999999999997"/>
    <n v="24.535"/>
    <n v="24.535"/>
    <n v="0"/>
    <n v="0"/>
    <n v="0"/>
    <n v="0"/>
    <n v="44.834999999999994"/>
    <n v="0"/>
    <n v="44.834999999999994"/>
    <n v="0"/>
    <n v="0"/>
    <n v="0"/>
    <n v="0"/>
    <s v="R. S. BOKARO METAL (P) LTD."/>
  </r>
  <r>
    <n v="743"/>
    <d v="2025-08-21T00:00:00"/>
    <s v="ZBTO"/>
    <n v="9519035790"/>
    <n v="5"/>
    <s v="9519035790-5"/>
    <s v="Stocks"/>
    <x v="2"/>
    <x v="5"/>
    <m/>
    <x v="0"/>
    <x v="0"/>
    <s v="East"/>
    <s v="Jharkhand"/>
    <s v="JAMS"/>
    <n v="121328"/>
    <s v="R. S. BOKARO METAL (P) LTD."/>
    <n v="1854418"/>
    <s v="GP COIL SOFT-TATXGP-GK09-0.5X900"/>
    <s v="C02"/>
    <s v="TATXGP"/>
    <s v="GK09"/>
    <n v="0.5"/>
    <n v="900"/>
    <n v="0"/>
    <n v="168"/>
    <n v="158.9"/>
    <n v="9.1"/>
    <n v="34.005000000000003"/>
    <n v="0"/>
    <n v="0"/>
    <n v="0"/>
    <n v="0"/>
    <n v="0"/>
    <n v="0"/>
    <n v="34.005000000000003"/>
    <n v="34.005000000000003"/>
    <n v="0"/>
    <n v="0"/>
    <n v="0"/>
    <n v="0"/>
    <n v="0"/>
    <s v="R. S. BOKARO METAL (P) LTD."/>
  </r>
  <r>
    <n v="742"/>
    <d v="2025-08-27T00:00:00"/>
    <s v="ZBTO"/>
    <n v="9519054316"/>
    <n v="1"/>
    <s v="9519054316-1"/>
    <s v="Oct'25"/>
    <x v="0"/>
    <x v="0"/>
    <m/>
    <x v="0"/>
    <x v="0"/>
    <s v="East"/>
    <s v="TATANAGAR"/>
    <s v="JAMS"/>
    <n v="165053"/>
    <s v="SUDISA ENTERPRISES (P) LTD."/>
    <n v="4026169"/>
    <s v="CR COIL TSBHSQ CH03 0.900X1250"/>
    <s v="C01"/>
    <s v="TSBHSQ"/>
    <s v="CH03"/>
    <n v="0.9"/>
    <n v="1250"/>
    <n v="0"/>
    <n v="116"/>
    <n v="0"/>
    <n v="115.999"/>
    <n v="0"/>
    <n v="115.999"/>
    <n v="0"/>
    <n v="0"/>
    <n v="0"/>
    <n v="0"/>
    <n v="115.999"/>
    <n v="0"/>
    <n v="0"/>
    <n v="0"/>
    <n v="0"/>
    <n v="0"/>
    <n v="0"/>
    <n v="115.999"/>
    <s v="SUDISA ENTERPRISES (P) LTD."/>
  </r>
  <r>
    <n v="743"/>
    <d v="2025-08-13T00:00:00"/>
    <s v="ZBTO"/>
    <n v="9519013396"/>
    <n v="1"/>
    <s v="9519013396-1"/>
    <s v="Sep'25"/>
    <x v="2"/>
    <x v="5"/>
    <m/>
    <x v="0"/>
    <x v="0"/>
    <s v="East"/>
    <s v="KOLKATA"/>
    <s v="CALS"/>
    <n v="100922"/>
    <s v="BUBNA COMMERCIAL COMPANY"/>
    <n v="1851065"/>
    <s v="GP COIL SOFT-TATXGP-GK09-0.25X900"/>
    <s v="C02"/>
    <s v="TATXGP"/>
    <s v="GK09"/>
    <n v="0.25"/>
    <n v="900"/>
    <n v="0"/>
    <n v="42"/>
    <n v="0"/>
    <n v="42"/>
    <n v="0"/>
    <n v="42"/>
    <n v="0"/>
    <n v="0"/>
    <n v="0"/>
    <n v="0"/>
    <n v="42"/>
    <n v="42"/>
    <n v="0"/>
    <n v="0"/>
    <n v="0"/>
    <n v="0"/>
    <n v="42"/>
    <n v="0"/>
    <s v="BUBNA COMMERCIAL COMPANY"/>
  </r>
  <r>
    <n v="743"/>
    <d v="2025-08-13T00:00:00"/>
    <s v="ZBTO"/>
    <n v="9519013396"/>
    <n v="2"/>
    <s v="9519013396-2"/>
    <s v="Sep'25"/>
    <x v="2"/>
    <x v="5"/>
    <m/>
    <x v="0"/>
    <x v="0"/>
    <s v="East"/>
    <s v="KOLKATA"/>
    <s v="CALS"/>
    <n v="100922"/>
    <s v="BUBNA COMMERCIAL COMPANY"/>
    <n v="2438894"/>
    <s v="GP COIL SOFT TATXGP GK09 0.280X900"/>
    <s v="C02"/>
    <s v="TATXGP"/>
    <s v="GK09"/>
    <n v="0.28000000000000003"/>
    <n v="900"/>
    <n v="0"/>
    <n v="42"/>
    <n v="0"/>
    <n v="42"/>
    <n v="0"/>
    <n v="42"/>
    <n v="0"/>
    <n v="0"/>
    <n v="0"/>
    <n v="0"/>
    <n v="42"/>
    <n v="0"/>
    <n v="0"/>
    <n v="0"/>
    <n v="0"/>
    <n v="0"/>
    <n v="0"/>
    <n v="42"/>
    <s v="BUBNA COMMERCIAL COMPANY"/>
  </r>
  <r>
    <n v="742"/>
    <d v="2025-08-21T00:00:00"/>
    <s v="ZBTO"/>
    <n v="9519036272"/>
    <n v="1"/>
    <s v="9519036272-1"/>
    <s v="Oct'25"/>
    <x v="0"/>
    <x v="7"/>
    <m/>
    <x v="0"/>
    <x v="0"/>
    <s v="East"/>
    <s v="WEST BOKARO"/>
    <s v="JAMS"/>
    <n v="185794"/>
    <s v="Shree Bajrang Steel Udyog"/>
    <n v="2440959"/>
    <s v="CRCA SHEET TATCRC SR16 0.330X900X2500"/>
    <s v="C06"/>
    <s v="TATCRC"/>
    <s v="SR16"/>
    <n v="0.33"/>
    <n v="900"/>
    <n v="2500"/>
    <n v="63"/>
    <n v="21.45"/>
    <n v="41.55"/>
    <n v="0"/>
    <n v="41.55"/>
    <n v="41.55"/>
    <n v="0"/>
    <n v="0"/>
    <n v="0"/>
    <n v="0"/>
    <n v="41.55"/>
    <n v="0"/>
    <n v="41.55"/>
    <n v="0"/>
    <n v="0"/>
    <n v="0"/>
    <n v="0"/>
    <s v="Shree Bajrang Steel Udyog"/>
  </r>
  <r>
    <n v="743"/>
    <d v="2025-08-21T00:00:00"/>
    <s v="ZBTO"/>
    <n v="9519036143"/>
    <n v="5"/>
    <s v="9519036143-5"/>
    <s v="Oct'25"/>
    <x v="2"/>
    <x v="5"/>
    <m/>
    <x v="0"/>
    <x v="0"/>
    <s v="East"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n v="105"/>
    <n v="45.07"/>
    <n v="59.93"/>
    <n v="7.48"/>
    <n v="59.93"/>
    <n v="0"/>
    <n v="0"/>
    <n v="0"/>
    <n v="59.93"/>
    <n v="0"/>
    <n v="67.41"/>
    <n v="0"/>
    <n v="0"/>
    <n v="0"/>
    <n v="0"/>
    <n v="67.41"/>
    <n v="0"/>
    <s v="Shree Bajrang Steel Udyog"/>
  </r>
  <r>
    <n v="744"/>
    <d v="2025-08-21T00:00:00"/>
    <s v="ZBTO"/>
    <n v="9519035613"/>
    <n v="6"/>
    <s v="9519035613-6"/>
    <s v="Sep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168"/>
    <n v="165.42500000000001"/>
    <n v="2.5739999999999998"/>
    <n v="152.42500000000001"/>
    <n v="0"/>
    <n v="0"/>
    <n v="0"/>
    <n v="0"/>
    <n v="0"/>
    <n v="0"/>
    <n v="152.42500000000001"/>
    <n v="152.42500000000001"/>
    <n v="0"/>
    <n v="0"/>
    <n v="0"/>
    <n v="0"/>
    <n v="0"/>
    <s v="TATA BLUESCOPE STEEL PVT LTD."/>
  </r>
  <r>
    <n v="742"/>
    <d v="2025-07-24T00:00:00"/>
    <s v="ZBTO"/>
    <n v="9518956389"/>
    <n v="15"/>
    <s v="9518956389-15"/>
    <s v="Oct'25"/>
    <x v="0"/>
    <x v="4"/>
    <m/>
    <x v="0"/>
    <x v="0"/>
    <s v="South"/>
    <s v="YESHWANTHPURA"/>
    <s v="BANG"/>
    <n v="932244"/>
    <s v="DURGA TRADERS"/>
    <n v="1884117"/>
    <s v="CRCA COIL-TATXXD-AU03-2X1250"/>
    <s v="C01"/>
    <s v="TATXXD"/>
    <s v="AU03"/>
    <n v="2"/>
    <n v="1250"/>
    <n v="0"/>
    <n v="202.999"/>
    <n v="162.08000000000001"/>
    <n v="40.918999999999997"/>
    <n v="0"/>
    <n v="40.918999999999997"/>
    <n v="40.918999999999997"/>
    <n v="0"/>
    <n v="0"/>
    <n v="0"/>
    <n v="0"/>
    <n v="40.918999999999997"/>
    <n v="0"/>
    <n v="40.918999999999997"/>
    <n v="0"/>
    <n v="0"/>
    <n v="0"/>
    <n v="0"/>
    <s v="DURGA TRADERS"/>
  </r>
  <r>
    <n v="742"/>
    <d v="2025-08-27T00:00:00"/>
    <s v="ZBTO"/>
    <n v="9519054690"/>
    <n v="1"/>
    <s v="9519054690-1"/>
    <s v="Oct'25"/>
    <x v="0"/>
    <x v="12"/>
    <m/>
    <x v="0"/>
    <x v="0"/>
    <s v="West"/>
    <s v="AHMEDABAD"/>
    <s v="AMED"/>
    <n v="940707"/>
    <s v="GIRIRAJ EXIM PRIVATE LIMITED"/>
    <n v="2420508"/>
    <s v="CRCA COIL TATXXD AH03 0.500X1250"/>
    <s v="C01"/>
    <s v="TATXXD"/>
    <s v="AH03"/>
    <n v="0.5"/>
    <n v="1250"/>
    <n v="0"/>
    <n v="116"/>
    <n v="0"/>
    <n v="116"/>
    <n v="0"/>
    <n v="116"/>
    <n v="116"/>
    <n v="0"/>
    <n v="0"/>
    <n v="0"/>
    <n v="0"/>
    <n v="116"/>
    <n v="0"/>
    <n v="116"/>
    <n v="0"/>
    <n v="0"/>
    <n v="0"/>
    <n v="0"/>
    <s v="GIRIRAJ EXIM PRIVATE LIMITED"/>
  </r>
  <r>
    <n v="743"/>
    <d v="2025-08-22T00:00:00"/>
    <s v="ZBTO"/>
    <n v="9519038643"/>
    <n v="3"/>
    <s v="9519038643-3"/>
    <s v="Oct'25"/>
    <x v="2"/>
    <x v="5"/>
    <m/>
    <x v="0"/>
    <x v="0"/>
    <s v="East"/>
    <s v="WEST BENGAL"/>
    <s v="CALS"/>
    <n v="100922"/>
    <s v="BUBNA COMMERCIAL COMPANY"/>
    <n v="1178439"/>
    <s v="GP COIL SOFT-TATXGP-GK09-0.4X900"/>
    <s v="C02"/>
    <s v="TATXGP"/>
    <s v="GK09"/>
    <n v="0.4"/>
    <n v="900"/>
    <n v="0"/>
    <n v="105"/>
    <n v="0"/>
    <n v="105"/>
    <n v="0"/>
    <n v="105"/>
    <n v="0"/>
    <n v="0"/>
    <n v="0"/>
    <n v="105"/>
    <n v="0"/>
    <n v="105"/>
    <n v="0"/>
    <n v="0"/>
    <n v="0"/>
    <n v="105"/>
    <n v="0"/>
    <n v="0"/>
    <s v="BUBNA COMMERCIAL COMPANY"/>
  </r>
  <r>
    <n v="742"/>
    <d v="2025-08-18T00:00:00"/>
    <s v="ZBTO"/>
    <n v="9519025273"/>
    <n v="9"/>
    <s v="9519025273-9"/>
    <s v="Oct'25"/>
    <x v="0"/>
    <x v="7"/>
    <m/>
    <x v="0"/>
    <x v="0"/>
    <s v="East"/>
    <s v="HOWRAH"/>
    <s v="CALS"/>
    <n v="925093"/>
    <s v="PSPL STEEL PROCESSORS PRIVATE LIMIT"/>
    <n v="3402254"/>
    <s v="CRCA SHEET TSBCRC SR15 0.600X1000X2000"/>
    <s v="C06"/>
    <s v="TSBCRC"/>
    <s v="SR15"/>
    <n v="0.6"/>
    <n v="1000"/>
    <n v="2000"/>
    <n v="23"/>
    <n v="0"/>
    <n v="23"/>
    <n v="0"/>
    <n v="23"/>
    <n v="0"/>
    <n v="0"/>
    <n v="0"/>
    <n v="23"/>
    <n v="0"/>
    <n v="23"/>
    <n v="0"/>
    <n v="0"/>
    <n v="0"/>
    <n v="0"/>
    <n v="23"/>
    <n v="0"/>
    <s v="PSPL STEEL PROCESSORS PRIVATE LIMIT"/>
  </r>
  <r>
    <n v="743"/>
    <d v="2025-08-21T00:00:00"/>
    <s v="ZBTO"/>
    <n v="9519036143"/>
    <n v="7"/>
    <s v="9519036143-7"/>
    <s v="Oct'25"/>
    <x v="2"/>
    <x v="5"/>
    <m/>
    <x v="0"/>
    <x v="0"/>
    <s v="East"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n v="126"/>
    <n v="0"/>
    <n v="126"/>
    <n v="0"/>
    <n v="126"/>
    <n v="0"/>
    <n v="0"/>
    <n v="0"/>
    <n v="126"/>
    <n v="0"/>
    <n v="126"/>
    <n v="0"/>
    <n v="0"/>
    <n v="0"/>
    <n v="126"/>
    <n v="0"/>
    <n v="0"/>
    <s v="Shree Bajrang Steel Udyog"/>
  </r>
  <r>
    <n v="743"/>
    <d v="2025-08-21T00:00:00"/>
    <s v="ZBTO"/>
    <n v="9519036143"/>
    <n v="8"/>
    <s v="9519036143-8"/>
    <s v="Sep'25"/>
    <x v="2"/>
    <x v="5"/>
    <m/>
    <x v="0"/>
    <x v="0"/>
    <s v="East"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n v="126"/>
    <n v="116.795"/>
    <n v="9.2050000000000001"/>
    <n v="29.715000000000003"/>
    <n v="9.2050000000000001"/>
    <n v="9.2050000000000001"/>
    <n v="0"/>
    <n v="0"/>
    <n v="0"/>
    <n v="0"/>
    <n v="38.92"/>
    <n v="0"/>
    <n v="38.92"/>
    <n v="0"/>
    <n v="0"/>
    <n v="0"/>
    <n v="0"/>
    <s v="Shree Bajrang Steel Udyog"/>
  </r>
  <r>
    <n v="742"/>
    <d v="2025-08-14T00:00:00"/>
    <s v="ZBTF"/>
    <n v="9519016025"/>
    <n v="1"/>
    <s v="9519016025-1"/>
    <s v="Stocks"/>
    <x v="0"/>
    <x v="9"/>
    <m/>
    <x v="2"/>
    <x v="4"/>
    <s v="East"/>
    <s v="JSR"/>
    <s v="TUBE"/>
    <n v="760004"/>
    <s v="TUBES DIVISION"/>
    <n v="2279476"/>
    <s v="CRCA COIL TSBHSQ TU99 1.400X1270"/>
    <s v="C01"/>
    <s v="TSBHSQ"/>
    <s v="TU99"/>
    <n v="1.4"/>
    <n v="1270"/>
    <n v="0"/>
    <n v="192.99"/>
    <n v="147.72"/>
    <n v="45.27"/>
    <n v="106.10000000000001"/>
    <n v="0"/>
    <n v="0"/>
    <n v="0"/>
    <n v="0"/>
    <n v="0"/>
    <n v="0"/>
    <n v="106.10000000000001"/>
    <n v="106.10000000000001"/>
    <n v="0"/>
    <n v="0"/>
    <n v="0"/>
    <n v="0"/>
    <n v="0"/>
    <s v="TUBES DIVISION"/>
  </r>
  <r>
    <n v="743"/>
    <d v="2025-09-09T00:00:00"/>
    <s v="ZBTO"/>
    <n v="9519090170"/>
    <n v="1"/>
    <s v="9519090170-1"/>
    <s v="Oct'25"/>
    <x v="3"/>
    <x v="1"/>
    <n v="2500"/>
    <x v="1"/>
    <x v="1"/>
    <s v="TBSPL"/>
    <s v="TATANAGAR"/>
    <s v="BOMB"/>
    <n v="942284"/>
    <s v="TATA BLUESCOPE STEEL PRIVATE LIMITE"/>
    <n v="3774721"/>
    <s v="GL C YS550 M306 0.33BMT(0.35TCT)X900"/>
    <s v="B04"/>
    <s v="Y550GL"/>
    <s v="M306"/>
    <n v="0.33"/>
    <n v="900"/>
    <n v="0"/>
    <n v="231"/>
    <n v="0"/>
    <n v="231"/>
    <n v="0"/>
    <n v="231"/>
    <n v="0"/>
    <n v="231"/>
    <n v="0"/>
    <n v="0"/>
    <n v="0"/>
    <n v="231"/>
    <n v="0"/>
    <n v="231"/>
    <n v="0"/>
    <n v="0"/>
    <n v="0"/>
    <n v="0"/>
    <s v="TATA BLUESCOPE STEEL PRIVATE LIMITE"/>
  </r>
  <r>
    <n v="743"/>
    <d v="2025-09-09T00:00:00"/>
    <s v="ZBTO"/>
    <n v="9519090170"/>
    <n v="2"/>
    <s v="9519090170-2"/>
    <s v="Oct'25"/>
    <x v="3"/>
    <x v="1"/>
    <m/>
    <x v="1"/>
    <x v="1"/>
    <s v="TBSPL"/>
    <s v="TATANAGAR"/>
    <s v="BOMB"/>
    <n v="942284"/>
    <s v="TATA BLUESCOPE STEEL PRIVATE LIMITE"/>
    <n v="3775011"/>
    <s v="GL C YS550 M306 0.38BMT(0.40TCT)X900"/>
    <s v="B04"/>
    <s v="Y550GL"/>
    <s v="M306"/>
    <n v="0.38"/>
    <n v="900"/>
    <n v="0"/>
    <n v="147"/>
    <n v="0"/>
    <n v="147"/>
    <n v="0"/>
    <n v="147"/>
    <n v="0"/>
    <n v="147"/>
    <n v="0"/>
    <n v="0"/>
    <n v="0"/>
    <n v="147"/>
    <n v="0"/>
    <n v="147"/>
    <n v="0"/>
    <n v="0"/>
    <n v="0"/>
    <n v="0"/>
    <s v="TATA BLUESCOPE STEEL PRIVATE LIMITE"/>
  </r>
  <r>
    <n v="742"/>
    <d v="2025-07-29T00:00:00"/>
    <s v="ZBTO"/>
    <n v="9518970422"/>
    <n v="1"/>
    <s v="9518970422-1"/>
    <s v="Stocks"/>
    <x v="0"/>
    <x v="7"/>
    <m/>
    <x v="0"/>
    <x v="0"/>
    <s v="West"/>
    <s v="NAGPUR"/>
    <s v="NPUR"/>
    <n v="103092"/>
    <s v="TEJRAM RAMNIWAS AGARWAL"/>
    <n v="3240765"/>
    <s v="CRCA SHEET TSBCRC SR15 0.500X1250X2500"/>
    <s v="C06"/>
    <s v="TSBCRC"/>
    <s v="SR15"/>
    <n v="0.5"/>
    <n v="1250"/>
    <n v="2500"/>
    <n v="57.997999999999998"/>
    <n v="26.27"/>
    <n v="31.728000000000002"/>
    <n v="3.01"/>
    <n v="0"/>
    <n v="0"/>
    <n v="0"/>
    <n v="0"/>
    <n v="0"/>
    <n v="0"/>
    <n v="3.01"/>
    <n v="3.01"/>
    <n v="0"/>
    <n v="0"/>
    <n v="0"/>
    <n v="0"/>
    <n v="0"/>
    <s v="TEJRAM RAMNIWAS AGARWAL"/>
  </r>
  <r>
    <n v="742"/>
    <d v="2025-08-19T00:00:00"/>
    <s v="ZBTO"/>
    <n v="9519029782"/>
    <n v="9"/>
    <s v="9519029782-9"/>
    <s v="Oct'25"/>
    <x v="0"/>
    <x v="7"/>
    <m/>
    <x v="0"/>
    <x v="0"/>
    <s v="East"/>
    <s v="PATNA"/>
    <s v="PATN"/>
    <n v="103227"/>
    <s v="BMW VENTURES LIMITED"/>
    <n v="3240778"/>
    <s v="CRCA SHEET TSBCRC SR15 0.600X1000X2500"/>
    <s v="C06"/>
    <s v="TSBCRC"/>
    <s v="SR15"/>
    <n v="0.6"/>
    <n v="1000"/>
    <n v="2500"/>
    <n v="23"/>
    <n v="0"/>
    <n v="23"/>
    <n v="0"/>
    <n v="23"/>
    <n v="0"/>
    <n v="0"/>
    <n v="0"/>
    <n v="23"/>
    <n v="0"/>
    <n v="23"/>
    <n v="0"/>
    <n v="0"/>
    <n v="0"/>
    <n v="0"/>
    <n v="23"/>
    <n v="0"/>
    <s v="BMW VENTURES LIMITED"/>
  </r>
  <r>
    <n v="742"/>
    <d v="2025-08-19T00:00:00"/>
    <s v="ZBTO"/>
    <n v="9519029782"/>
    <n v="11"/>
    <s v="9519029782-11"/>
    <s v="Oct'25"/>
    <x v="0"/>
    <x v="7"/>
    <m/>
    <x v="0"/>
    <x v="0"/>
    <s v="East"/>
    <s v="PATNA"/>
    <s v="PATN"/>
    <n v="103227"/>
    <s v="BMW VENTURES LIMITED"/>
    <n v="3240842"/>
    <s v="CRCA SHEET TSBCRC SR15 1X1250X2500"/>
    <s v="C06"/>
    <s v="TSBCRC"/>
    <s v="SR15"/>
    <n v="1"/>
    <n v="1250"/>
    <n v="2500"/>
    <n v="28.998999999999999"/>
    <n v="0"/>
    <n v="28.998999999999999"/>
    <n v="0"/>
    <n v="28.998999999999999"/>
    <n v="28.998999999999999"/>
    <n v="0"/>
    <n v="0"/>
    <n v="0"/>
    <n v="0"/>
    <n v="28.998999999999999"/>
    <n v="0"/>
    <n v="28.998999999999999"/>
    <n v="0"/>
    <n v="0"/>
    <n v="0"/>
    <n v="0"/>
    <s v="BMW VENTURES LIMITED"/>
  </r>
  <r>
    <n v="743"/>
    <d v="2025-09-12T00:00:00"/>
    <s v="ZBTO"/>
    <n v="9519099563"/>
    <n v="6"/>
    <s v="9519099563-6"/>
    <s v="Oct'25"/>
    <x v="2"/>
    <x v="5"/>
    <m/>
    <x v="0"/>
    <x v="0"/>
    <s v="East"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n v="126"/>
    <n v="0"/>
    <n v="126"/>
    <n v="0"/>
    <n v="126"/>
    <n v="0"/>
    <n v="0"/>
    <n v="0"/>
    <n v="126"/>
    <n v="0"/>
    <n v="126"/>
    <n v="0"/>
    <n v="0"/>
    <n v="0"/>
    <n v="126"/>
    <n v="0"/>
    <n v="0"/>
    <s v="Shree Bajrang Steel Udyog"/>
  </r>
  <r>
    <n v="743"/>
    <d v="2025-09-15T00:00:00"/>
    <s v="ZBTO"/>
    <n v="9519104694"/>
    <n v="3"/>
    <s v="9519104694-3"/>
    <s v="Oct'25"/>
    <x v="2"/>
    <x v="5"/>
    <m/>
    <x v="0"/>
    <x v="0"/>
    <s v="East"/>
    <s v="Jharkhand"/>
    <s v="JAMS"/>
    <n v="121328"/>
    <s v="R. S. BOKARO METAL (P) LTD."/>
    <n v="1191956"/>
    <s v="GP COIL SOFT-TATXGP-GK09-0.35X900"/>
    <s v="C02"/>
    <s v="TATXGP"/>
    <s v="GK09"/>
    <n v="0.35"/>
    <n v="900"/>
    <n v="0"/>
    <n v="168"/>
    <n v="0"/>
    <n v="168"/>
    <n v="0"/>
    <n v="168"/>
    <n v="0"/>
    <n v="168"/>
    <n v="0"/>
    <n v="0"/>
    <n v="0"/>
    <n v="168"/>
    <n v="0"/>
    <n v="0"/>
    <n v="168"/>
    <n v="0"/>
    <n v="0"/>
    <n v="0"/>
    <s v="R. S. BOKARO METAL (P) LTD."/>
  </r>
  <r>
    <n v="743"/>
    <d v="2025-09-12T00:00:00"/>
    <s v="ZBTO"/>
    <n v="9519099563"/>
    <n v="12"/>
    <s v="9519099563-12"/>
    <s v="Oct'25"/>
    <x v="2"/>
    <x v="5"/>
    <m/>
    <x v="0"/>
    <x v="0"/>
    <s v="East"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n v="126"/>
    <n v="0"/>
    <n v="126"/>
    <n v="0"/>
    <n v="126"/>
    <n v="0"/>
    <n v="0"/>
    <n v="126"/>
    <n v="0"/>
    <n v="0"/>
    <n v="126"/>
    <n v="0"/>
    <n v="0"/>
    <n v="0"/>
    <n v="126"/>
    <n v="0"/>
    <n v="0"/>
    <s v="Shree Bajrang Steel Udyog"/>
  </r>
  <r>
    <n v="742"/>
    <d v="2025-08-19T00:00:00"/>
    <s v="ZBTO"/>
    <n v="9519029800"/>
    <n v="8"/>
    <s v="9519029800-8"/>
    <s v="Stocks"/>
    <x v="0"/>
    <x v="7"/>
    <m/>
    <x v="0"/>
    <x v="0"/>
    <s v="East"/>
    <s v="PURNIA"/>
    <s v="PATN"/>
    <n v="103227"/>
    <s v="BMW VENTURES LIMITED"/>
    <n v="3240765"/>
    <s v="CRCA SHEET TSBCRC SR15 0.500X1250X2500"/>
    <s v="C06"/>
    <s v="TSBCRC"/>
    <s v="SR15"/>
    <n v="0.5"/>
    <n v="1250"/>
    <n v="2500"/>
    <n v="57.997999999999998"/>
    <n v="29.76"/>
    <n v="28.238"/>
    <n v="6.0350000000000001"/>
    <n v="0"/>
    <n v="0"/>
    <n v="0"/>
    <n v="0"/>
    <n v="0"/>
    <n v="0"/>
    <n v="6.0350000000000001"/>
    <n v="6.0350000000000001"/>
    <n v="0"/>
    <n v="0"/>
    <n v="0"/>
    <n v="0"/>
    <n v="0"/>
    <s v="BMW VENTURES LIMITED"/>
  </r>
  <r>
    <n v="742"/>
    <d v="2025-08-19T00:00:00"/>
    <s v="ZBTO"/>
    <n v="9519029800"/>
    <n v="9"/>
    <s v="9519029800-9"/>
    <s v="Oct'25"/>
    <x v="0"/>
    <x v="7"/>
    <m/>
    <x v="0"/>
    <x v="0"/>
    <s v="East"/>
    <s v="PURNIA"/>
    <s v="PATN"/>
    <n v="103227"/>
    <s v="BMW VENTURES LIMITED"/>
    <n v="3240778"/>
    <s v="CRCA SHEET TSBCRC SR15 0.600X1000X2500"/>
    <s v="C06"/>
    <s v="TSBCRC"/>
    <s v="SR15"/>
    <n v="0.6"/>
    <n v="1000"/>
    <n v="2500"/>
    <n v="23"/>
    <n v="0"/>
    <n v="23"/>
    <n v="0"/>
    <n v="23"/>
    <n v="0"/>
    <n v="0"/>
    <n v="0"/>
    <n v="23"/>
    <n v="0"/>
    <n v="23"/>
    <n v="0"/>
    <n v="0"/>
    <n v="0"/>
    <n v="0"/>
    <n v="23"/>
    <n v="0"/>
    <s v="BMW VENTURES LIMITED"/>
  </r>
  <r>
    <n v="742"/>
    <d v="2025-08-19T00:00:00"/>
    <s v="ZBTO"/>
    <n v="9519029800"/>
    <n v="11"/>
    <s v="9519029800-11"/>
    <s v="Stocks"/>
    <x v="0"/>
    <x v="7"/>
    <m/>
    <x v="0"/>
    <x v="0"/>
    <s v="East"/>
    <s v="PURNIA"/>
    <s v="PATN"/>
    <n v="103227"/>
    <s v="BMW VENTURES LIMITED"/>
    <n v="3240842"/>
    <s v="CRCA SHEET TSBCRC SR15 1X1250X2500"/>
    <s v="C06"/>
    <s v="TSBCRC"/>
    <s v="SR15"/>
    <n v="1"/>
    <n v="1250"/>
    <n v="2500"/>
    <n v="28.998999999999999"/>
    <n v="8.7550000000000008"/>
    <n v="20.244"/>
    <n v="8.754999999999999"/>
    <n v="20.244"/>
    <n v="0"/>
    <n v="0"/>
    <n v="0"/>
    <n v="20.244"/>
    <n v="0"/>
    <n v="28.998999999999999"/>
    <n v="0"/>
    <n v="0"/>
    <n v="0"/>
    <n v="0"/>
    <n v="28.998999999999999"/>
    <n v="0"/>
    <s v="BMW VENTURES LIMITED"/>
  </r>
  <r>
    <n v="742"/>
    <d v="2025-08-18T00:00:00"/>
    <s v="ZBTO"/>
    <n v="9519025430"/>
    <n v="6"/>
    <s v="9519025430-6"/>
    <s v="Sep'25"/>
    <x v="0"/>
    <x v="7"/>
    <m/>
    <x v="0"/>
    <x v="0"/>
    <s v="South"/>
    <s v="SALEM"/>
    <s v="MADS"/>
    <n v="116465"/>
    <s v="SRI BALAJI STEEL TRADERS"/>
    <n v="3239543"/>
    <s v="CRCA SHEET TATCRC SR16 0.350X1250X2500"/>
    <s v="C06"/>
    <s v="TATCRC"/>
    <s v="SR16"/>
    <n v="0.35"/>
    <n v="1250"/>
    <n v="2500"/>
    <n v="29"/>
    <n v="0"/>
    <n v="29"/>
    <n v="0"/>
    <n v="29"/>
    <n v="0"/>
    <n v="0"/>
    <n v="0"/>
    <n v="0"/>
    <n v="29"/>
    <n v="0"/>
    <n v="0"/>
    <n v="0"/>
    <n v="0"/>
    <n v="0"/>
    <n v="0"/>
    <n v="29"/>
    <s v="SRI BALAJI STEEL TRADERS"/>
  </r>
  <r>
    <n v="742"/>
    <d v="2025-08-19T00:00:00"/>
    <s v="ZBTO"/>
    <n v="9519028231"/>
    <n v="3"/>
    <s v="9519028231-3"/>
    <s v="Oct'25"/>
    <x v="0"/>
    <x v="4"/>
    <m/>
    <x v="0"/>
    <x v="0"/>
    <s v="South"/>
    <s v="CHENNAI"/>
    <s v="MADS"/>
    <n v="938550"/>
    <s v="BASEER AND CO"/>
    <n v="1801290"/>
    <s v="CRCA COIL-TATXXD-AU03-0.6X1250"/>
    <s v="C01"/>
    <s v="TATXXD"/>
    <s v="AU03"/>
    <n v="0.6"/>
    <n v="1250"/>
    <n v="0"/>
    <n v="58"/>
    <n v="0"/>
    <n v="58"/>
    <n v="0"/>
    <n v="58"/>
    <n v="0"/>
    <n v="0"/>
    <n v="0"/>
    <n v="58"/>
    <n v="0"/>
    <n v="58"/>
    <n v="0"/>
    <n v="0"/>
    <n v="0"/>
    <n v="0"/>
    <n v="58"/>
    <n v="0"/>
    <s v="BASEER AND CO"/>
  </r>
  <r>
    <n v="742"/>
    <d v="2025-08-19T00:00:00"/>
    <s v="ZBTO"/>
    <n v="9519028231"/>
    <n v="5"/>
    <s v="9519028231-5"/>
    <s v="Oct'25"/>
    <x v="0"/>
    <x v="4"/>
    <m/>
    <x v="0"/>
    <x v="0"/>
    <s v="South"/>
    <s v="CHENNAI"/>
    <s v="MADS"/>
    <n v="938550"/>
    <s v="BASEER AND CO"/>
    <n v="1804814"/>
    <s v="CRCA COIL TATXXD AU03 0.8X1250"/>
    <s v="C01"/>
    <s v="TATXXD"/>
    <s v="AU03"/>
    <n v="0.8"/>
    <n v="1250"/>
    <n v="0"/>
    <n v="116"/>
    <n v="24.97"/>
    <n v="91.03"/>
    <n v="0"/>
    <n v="91.03"/>
    <n v="0"/>
    <n v="0"/>
    <n v="0"/>
    <n v="91.03"/>
    <n v="0"/>
    <n v="91.03"/>
    <n v="0"/>
    <n v="0"/>
    <n v="0"/>
    <n v="0"/>
    <n v="91.03"/>
    <n v="0"/>
    <s v="BASEER AND CO"/>
  </r>
  <r>
    <n v="742"/>
    <d v="2025-08-19T00:00:00"/>
    <s v="ZBTO"/>
    <n v="9519028231"/>
    <n v="6"/>
    <s v="9519028231-6"/>
    <s v="Oct'25"/>
    <x v="0"/>
    <x v="4"/>
    <m/>
    <x v="0"/>
    <x v="0"/>
    <s v="South"/>
    <s v="CHENNAI"/>
    <s v="MADS"/>
    <n v="938550"/>
    <s v="BASEER AND CO"/>
    <n v="2334995"/>
    <s v="CRCA COIL TATXXD AU03 1.500X1250"/>
    <s v="C01"/>
    <s v="TATXXD"/>
    <s v="AU03"/>
    <n v="1.5"/>
    <n v="1250"/>
    <n v="0"/>
    <n v="58"/>
    <n v="0"/>
    <n v="58"/>
    <n v="0"/>
    <n v="58"/>
    <n v="0"/>
    <n v="0"/>
    <n v="58"/>
    <n v="0"/>
    <n v="0"/>
    <n v="58"/>
    <n v="0"/>
    <n v="0"/>
    <n v="0"/>
    <n v="58"/>
    <n v="0"/>
    <n v="0"/>
    <s v="BASEER AND CO"/>
  </r>
  <r>
    <n v="742"/>
    <d v="2025-08-20T00:00:00"/>
    <s v="ZBTF"/>
    <n v="9519030952"/>
    <n v="1"/>
    <s v="9519030952-1"/>
    <s v="Oct'25"/>
    <x v="0"/>
    <x v="3"/>
    <m/>
    <x v="1"/>
    <x v="3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n v="297"/>
    <n v="24.78"/>
    <n v="272.22000000000003"/>
    <n v="24.78"/>
    <n v="272.22000000000003"/>
    <n v="0"/>
    <n v="0"/>
    <n v="272.22000000000003"/>
    <n v="0"/>
    <n v="0"/>
    <n v="297"/>
    <n v="0"/>
    <n v="0"/>
    <n v="0"/>
    <n v="297"/>
    <n v="0"/>
    <n v="0"/>
    <s v="TATA CENTER"/>
  </r>
  <r>
    <n v="742"/>
    <d v="2025-08-20T00:00:00"/>
    <s v="ZBTF"/>
    <n v="9519030952"/>
    <n v="2"/>
    <s v="9519030952-2"/>
    <s v="Sep'25"/>
    <x v="0"/>
    <x v="3"/>
    <m/>
    <x v="1"/>
    <x v="3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n v="297"/>
    <n v="24.495000000000001"/>
    <n v="272.505"/>
    <n v="0"/>
    <n v="272.505"/>
    <n v="0"/>
    <n v="0"/>
    <n v="272.505"/>
    <n v="0"/>
    <n v="0"/>
    <n v="272.505"/>
    <n v="0"/>
    <n v="0"/>
    <n v="0"/>
    <n v="272.505"/>
    <n v="0"/>
    <n v="0"/>
    <s v="TATA CENTER"/>
  </r>
  <r>
    <n v="742"/>
    <d v="2025-07-18T00:00:00"/>
    <s v="ZBTO"/>
    <n v="9518939588"/>
    <n v="11"/>
    <s v="9518939588-11"/>
    <s v="Oct'25"/>
    <x v="0"/>
    <x v="4"/>
    <m/>
    <x v="0"/>
    <x v="0"/>
    <s v="West"/>
    <s v="LONI"/>
    <s v="DELI"/>
    <n v="101499"/>
    <s v="G.R. GUPTA &amp; BROS."/>
    <n v="1884117"/>
    <s v="CRCA COIL-TATXXD-AU03-2X1250"/>
    <s v="C01"/>
    <s v="TATXXD"/>
    <s v="AU03"/>
    <n v="2"/>
    <n v="1250"/>
    <n v="0"/>
    <n v="29"/>
    <n v="0"/>
    <n v="29"/>
    <n v="0"/>
    <n v="29"/>
    <n v="29"/>
    <n v="0"/>
    <n v="0"/>
    <n v="0"/>
    <n v="0"/>
    <n v="29"/>
    <n v="0"/>
    <n v="29"/>
    <n v="0"/>
    <n v="0"/>
    <n v="0"/>
    <n v="0"/>
    <s v="G.R. GUPTA &amp; BROS."/>
  </r>
  <r>
    <n v="742"/>
    <d v="2025-09-11T00:00:00"/>
    <s v="ZBTO"/>
    <n v="9519096071"/>
    <n v="1"/>
    <s v="9519096071-1"/>
    <s v="Oct'25"/>
    <x v="0"/>
    <x v="7"/>
    <m/>
    <x v="0"/>
    <x v="0"/>
    <s v="East"/>
    <s v="Jharkhand"/>
    <s v="JAMS"/>
    <n v="121328"/>
    <s v="R. S. BOKARO METAL (P) LTD."/>
    <n v="3239548"/>
    <s v="CRCA SHEET TATCRC SR16 0.400X900X2500"/>
    <s v="C06"/>
    <s v="TATCRC"/>
    <s v="SR16"/>
    <n v="0.4"/>
    <n v="900"/>
    <n v="2500"/>
    <n v="21"/>
    <n v="0"/>
    <n v="21"/>
    <n v="0"/>
    <n v="21"/>
    <n v="0"/>
    <n v="0"/>
    <n v="0"/>
    <n v="21"/>
    <n v="0"/>
    <n v="21"/>
    <n v="0"/>
    <n v="0"/>
    <n v="0"/>
    <n v="0"/>
    <n v="21"/>
    <n v="0"/>
    <s v="R. S. BOKARO METAL (P) LTD."/>
  </r>
  <r>
    <n v="742"/>
    <d v="2025-09-11T00:00:00"/>
    <s v="ZBTO"/>
    <n v="9519096071"/>
    <n v="3"/>
    <s v="9519096071-3"/>
    <s v="Oct'25"/>
    <x v="0"/>
    <x v="7"/>
    <m/>
    <x v="0"/>
    <x v="0"/>
    <s v="East"/>
    <s v="Jharkhand"/>
    <s v="JAMS"/>
    <n v="121328"/>
    <s v="R. S. BOKARO METAL (P) LTD."/>
    <n v="2441004"/>
    <s v="CRCA SHEET TATCRC SR16 0.430X1250X2500"/>
    <s v="C06"/>
    <s v="TATCRC"/>
    <s v="SR16"/>
    <n v="0.43"/>
    <n v="1250"/>
    <n v="2500"/>
    <n v="29"/>
    <n v="0"/>
    <n v="29"/>
    <n v="0"/>
    <n v="29"/>
    <n v="29"/>
    <n v="0"/>
    <n v="0"/>
    <n v="0"/>
    <n v="0"/>
    <n v="29"/>
    <n v="0"/>
    <n v="29"/>
    <n v="0"/>
    <n v="0"/>
    <n v="0"/>
    <n v="0"/>
    <s v="R. S. BOKARO METAL (P) LTD."/>
  </r>
  <r>
    <n v="742"/>
    <d v="2025-08-20T00:00:00"/>
    <s v="ZBTO"/>
    <n v="9519032653"/>
    <n v="1"/>
    <s v="9519032653-1"/>
    <s v="Stocks"/>
    <x v="0"/>
    <x v="2"/>
    <m/>
    <x v="1"/>
    <x v="1"/>
    <s v="West"/>
    <s v="VILLAGE DADRA"/>
    <s v="NPUR"/>
    <n v="189405"/>
    <s v="Balmer Lawrie And Co. Ltd."/>
    <n v="2164800"/>
    <s v="CRCA COIL TATXXD BT02 0.970X913"/>
    <s v="C01"/>
    <s v="TATXXD"/>
    <s v="BT02"/>
    <n v="0.97"/>
    <n v="913"/>
    <n v="0"/>
    <n v="105"/>
    <n v="102.99"/>
    <n v="2.0099999999999998"/>
    <n v="15.190000000000001"/>
    <n v="0"/>
    <n v="0"/>
    <n v="0"/>
    <n v="0"/>
    <n v="0"/>
    <n v="0"/>
    <n v="15.190000000000001"/>
    <n v="15.190000000000001"/>
    <n v="0"/>
    <n v="0"/>
    <n v="0"/>
    <n v="0"/>
    <n v="0"/>
    <s v="Balmer Lawrie And Co. Ltd."/>
  </r>
  <r>
    <n v="742"/>
    <d v="2025-08-21T00:00:00"/>
    <s v="ZBTO"/>
    <n v="9519036272"/>
    <n v="9"/>
    <s v="9519036272-9"/>
    <s v="Oct'25"/>
    <x v="0"/>
    <x v="7"/>
    <m/>
    <x v="0"/>
    <x v="0"/>
    <s v="East"/>
    <s v="WEST BOKARO"/>
    <s v="JAMS"/>
    <n v="185794"/>
    <s v="Shree Bajrang Steel Udyog"/>
    <n v="3240778"/>
    <s v="CRCA SHEET TSBCRC SR15 0.600X1000X2500"/>
    <s v="C06"/>
    <s v="TSBCRC"/>
    <s v="SR15"/>
    <n v="0.6"/>
    <n v="1000"/>
    <n v="2500"/>
    <n v="92"/>
    <n v="0"/>
    <n v="92"/>
    <n v="0"/>
    <n v="92"/>
    <n v="0"/>
    <n v="0"/>
    <n v="0"/>
    <n v="92"/>
    <n v="0"/>
    <n v="92"/>
    <n v="0"/>
    <n v="0"/>
    <n v="0"/>
    <n v="0"/>
    <n v="92"/>
    <n v="0"/>
    <s v="Shree Bajrang Steel Udyog"/>
  </r>
  <r>
    <n v="743"/>
    <d v="2025-09-02T00:00:00"/>
    <s v="ZBTO"/>
    <n v="9519072913"/>
    <n v="1"/>
    <s v="9519072913-1"/>
    <s v="Oct'25"/>
    <x v="2"/>
    <x v="5"/>
    <m/>
    <x v="0"/>
    <x v="0"/>
    <s v="East"/>
    <s v="Jharkhand"/>
    <s v="JAMS"/>
    <n v="121328"/>
    <s v="R. S. BOKARO METAL (P) LTD."/>
    <n v="1191955"/>
    <s v="GP COIL SOFT-TATXGP-GK09-0.3X900"/>
    <s v="C02"/>
    <s v="TATXGP"/>
    <s v="GK09"/>
    <n v="0.3"/>
    <n v="900"/>
    <n v="0"/>
    <n v="105"/>
    <n v="9.3000000000000007"/>
    <n v="95.7"/>
    <n v="0"/>
    <n v="95.7"/>
    <n v="0"/>
    <n v="95.7"/>
    <n v="0"/>
    <n v="0"/>
    <n v="0"/>
    <n v="95.7"/>
    <n v="0"/>
    <n v="0"/>
    <n v="95.7"/>
    <n v="0"/>
    <n v="0"/>
    <n v="0"/>
    <s v="R. S. BOKARO METAL (P) LTD."/>
  </r>
  <r>
    <n v="743"/>
    <d v="2025-09-12T00:00:00"/>
    <s v="ZBTO"/>
    <n v="9519099563"/>
    <n v="7"/>
    <s v="9519099563-7"/>
    <s v="Oct'25"/>
    <x v="2"/>
    <x v="5"/>
    <m/>
    <x v="0"/>
    <x v="0"/>
    <s v="East"/>
    <s v="WEST BOKARO"/>
    <s v="JAMS"/>
    <n v="185794"/>
    <s v="Shree Bajrang Steel Udyog"/>
    <n v="1191956"/>
    <s v="GP COIL SOFT-TATXGP-GK09-0.35X900"/>
    <s v="C02"/>
    <s v="TATXGP"/>
    <s v="GK09"/>
    <n v="0.35"/>
    <n v="900"/>
    <n v="0"/>
    <n v="105"/>
    <n v="0"/>
    <n v="105"/>
    <n v="0"/>
    <n v="105"/>
    <n v="0"/>
    <n v="0"/>
    <n v="0"/>
    <n v="105"/>
    <n v="0"/>
    <n v="105"/>
    <n v="0"/>
    <n v="0"/>
    <n v="0"/>
    <n v="105"/>
    <n v="0"/>
    <n v="0"/>
    <s v="Shree Bajrang Steel Udyog"/>
  </r>
  <r>
    <n v="742"/>
    <d v="2025-09-12T00:00:00"/>
    <s v="ZBTO"/>
    <n v="9519097437"/>
    <n v="6"/>
    <s v="9519097437-6"/>
    <s v="Oct'25"/>
    <x v="0"/>
    <x v="7"/>
    <m/>
    <x v="0"/>
    <x v="0"/>
    <s v="East"/>
    <s v="WEST BOKARO"/>
    <s v="JAMS"/>
    <n v="185794"/>
    <s v="Shree Bajrang Steel Udyog"/>
    <n v="3239548"/>
    <s v="CRCA SHEET TATCRC SR16 0.400X900X2500"/>
    <s v="C06"/>
    <s v="TATCRC"/>
    <s v="SR16"/>
    <n v="0.4"/>
    <n v="900"/>
    <n v="2500"/>
    <n v="21"/>
    <n v="0"/>
    <n v="21"/>
    <n v="0"/>
    <n v="21"/>
    <n v="0"/>
    <n v="0"/>
    <n v="0"/>
    <n v="21"/>
    <n v="0"/>
    <n v="21"/>
    <n v="0"/>
    <n v="0"/>
    <n v="0"/>
    <n v="0"/>
    <n v="21"/>
    <n v="0"/>
    <s v="Shree Bajrang Steel Udyog"/>
  </r>
  <r>
    <n v="743"/>
    <d v="2025-09-16T00:00:00"/>
    <s v="ZBTO"/>
    <n v="9519107089"/>
    <n v="3"/>
    <s v="9519107089-3"/>
    <s v="Oct'25"/>
    <x v="2"/>
    <x v="5"/>
    <m/>
    <x v="0"/>
    <x v="0"/>
    <s v="East"/>
    <s v="URLA"/>
    <s v="RPUR"/>
    <n v="139336"/>
    <s v="PASA ASSOCIATES PRIVATE LIMITED"/>
    <n v="1854413"/>
    <s v="GP COIL SOFT-TATXGP-GK09-0.45X900"/>
    <s v="C02"/>
    <s v="TATXGP"/>
    <s v="GK09"/>
    <n v="0.45"/>
    <n v="900"/>
    <n v="0"/>
    <n v="21"/>
    <n v="0"/>
    <n v="21"/>
    <n v="0"/>
    <n v="21"/>
    <n v="0"/>
    <n v="0"/>
    <n v="0"/>
    <n v="0"/>
    <n v="21"/>
    <n v="0"/>
    <n v="0"/>
    <n v="0"/>
    <n v="0"/>
    <n v="0"/>
    <n v="0"/>
    <n v="21"/>
    <s v="PASA ASSOCIATES PRIVATE LIMITED"/>
  </r>
  <r>
    <n v="743"/>
    <d v="2025-09-15T00:00:00"/>
    <s v="ZBTO"/>
    <n v="9519104694"/>
    <n v="4"/>
    <s v="9519104694-4"/>
    <s v="Oct'25"/>
    <x v="2"/>
    <x v="5"/>
    <m/>
    <x v="0"/>
    <x v="0"/>
    <s v="East"/>
    <s v="Jharkhand"/>
    <s v="JAMS"/>
    <n v="121328"/>
    <s v="R. S. BOKARO METAL (P) LTD."/>
    <n v="1178439"/>
    <s v="GP COIL SOFT-TATXGP-GK09-0.4X900"/>
    <s v="C02"/>
    <s v="TATXGP"/>
    <s v="GK09"/>
    <n v="0.4"/>
    <n v="900"/>
    <n v="0"/>
    <n v="168"/>
    <n v="0"/>
    <n v="168"/>
    <n v="0"/>
    <n v="168"/>
    <n v="0"/>
    <n v="168"/>
    <n v="0"/>
    <n v="0"/>
    <n v="0"/>
    <n v="168"/>
    <n v="0"/>
    <n v="0"/>
    <n v="168"/>
    <n v="0"/>
    <n v="0"/>
    <n v="0"/>
    <s v="R. S. BOKARO METAL (P) LTD."/>
  </r>
  <r>
    <n v="743"/>
    <d v="2025-09-15T00:00:00"/>
    <s v="ZBTO"/>
    <n v="9519104694"/>
    <n v="5"/>
    <s v="9519104694-5"/>
    <s v="Oct'25"/>
    <x v="2"/>
    <x v="5"/>
    <m/>
    <x v="0"/>
    <x v="0"/>
    <s v="East"/>
    <s v="Jharkhand"/>
    <s v="JAMS"/>
    <n v="121328"/>
    <s v="R. S. BOKARO METAL (P) LTD."/>
    <n v="1854418"/>
    <s v="GP COIL SOFT-TATXGP-GK09-0.5X900"/>
    <s v="C02"/>
    <s v="TATXGP"/>
    <s v="GK09"/>
    <n v="0.5"/>
    <n v="900"/>
    <n v="0"/>
    <n v="168"/>
    <n v="0"/>
    <n v="168"/>
    <n v="0"/>
    <n v="168"/>
    <n v="168"/>
    <n v="0"/>
    <n v="0"/>
    <n v="0"/>
    <n v="0"/>
    <n v="168"/>
    <n v="0"/>
    <n v="168"/>
    <n v="0"/>
    <n v="0"/>
    <n v="0"/>
    <n v="0"/>
    <s v="R. S. BOKARO METAL (P) LTD."/>
  </r>
  <r>
    <n v="743"/>
    <d v="2025-09-12T00:00:00"/>
    <s v="ZBTO"/>
    <n v="9519099563"/>
    <n v="13"/>
    <s v="9519099563-13"/>
    <s v="Oct'25"/>
    <x v="2"/>
    <x v="5"/>
    <m/>
    <x v="0"/>
    <x v="0"/>
    <s v="East"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n v="126"/>
    <n v="0"/>
    <n v="126"/>
    <n v="0"/>
    <n v="126"/>
    <n v="0"/>
    <n v="0"/>
    <n v="0"/>
    <n v="126"/>
    <n v="0"/>
    <n v="126"/>
    <n v="0"/>
    <n v="0"/>
    <n v="0"/>
    <n v="126"/>
    <n v="0"/>
    <n v="0"/>
    <s v="Shree Bajrang Steel Udyog"/>
  </r>
  <r>
    <n v="743"/>
    <d v="2025-09-12T00:00:00"/>
    <s v="ZBTO"/>
    <n v="9519099563"/>
    <n v="14"/>
    <s v="9519099563-14"/>
    <s v="Oct'25"/>
    <x v="2"/>
    <x v="5"/>
    <m/>
    <x v="0"/>
    <x v="0"/>
    <s v="East"/>
    <s v="WEST BOKARO"/>
    <s v="JAMS"/>
    <n v="185794"/>
    <s v="Shree Bajrang Steel Udyog"/>
    <n v="1854424"/>
    <s v="GP COIL SOFT-TATXGP-GK09-0.6X900"/>
    <s v="C02"/>
    <s v="TATXGP"/>
    <s v="GK09"/>
    <n v="0.6"/>
    <n v="900"/>
    <n v="0"/>
    <n v="126"/>
    <n v="0"/>
    <n v="126"/>
    <n v="0"/>
    <n v="126"/>
    <n v="0"/>
    <n v="0"/>
    <n v="0"/>
    <n v="126"/>
    <n v="0"/>
    <n v="126"/>
    <n v="0"/>
    <n v="0"/>
    <n v="0"/>
    <n v="126"/>
    <n v="0"/>
    <n v="0"/>
    <s v="Shree Bajrang Steel Udyog"/>
  </r>
  <r>
    <n v="743"/>
    <d v="2025-09-16T00:00:00"/>
    <s v="ZBTO"/>
    <n v="9519107089"/>
    <n v="1"/>
    <s v="9519107089-1"/>
    <s v="Oct'25"/>
    <x v="2"/>
    <x v="5"/>
    <m/>
    <x v="0"/>
    <x v="0"/>
    <s v="East"/>
    <s v="URLA"/>
    <s v="RPUR"/>
    <n v="139336"/>
    <s v="PASA ASSOCIATES PRIVATE LIMITED"/>
    <n v="1191956"/>
    <s v="GP COIL SOFT-TATXGP-GK09-0.35X900"/>
    <s v="C02"/>
    <s v="TATXGP"/>
    <s v="GK09"/>
    <n v="0.35"/>
    <n v="900"/>
    <n v="0"/>
    <n v="21"/>
    <n v="0"/>
    <n v="21"/>
    <n v="0"/>
    <n v="21"/>
    <n v="0"/>
    <n v="0"/>
    <n v="0"/>
    <n v="0"/>
    <n v="21"/>
    <n v="0"/>
    <n v="0"/>
    <n v="0"/>
    <n v="0"/>
    <n v="0"/>
    <n v="0"/>
    <n v="21"/>
    <s v="PASA ASSOCIATES PRIVATE LIMITED"/>
  </r>
  <r>
    <n v="742"/>
    <d v="2025-07-18T00:00:00"/>
    <s v="ZBTO"/>
    <n v="9518939680"/>
    <n v="29"/>
    <s v="9518939680-29"/>
    <s v="Oct'25"/>
    <x v="0"/>
    <x v="4"/>
    <m/>
    <x v="0"/>
    <x v="0"/>
    <s v="South"/>
    <s v="CHENNAI"/>
    <s v="MADS"/>
    <n v="938550"/>
    <s v="BASEER AND CO"/>
    <n v="1884117"/>
    <s v="CRCA COIL-TATXXD-AU03-2X1250"/>
    <s v="C01"/>
    <s v="TATXXD"/>
    <s v="AU03"/>
    <n v="2"/>
    <n v="1250"/>
    <n v="0"/>
    <n v="58"/>
    <n v="0"/>
    <n v="58"/>
    <n v="0"/>
    <n v="58"/>
    <n v="0"/>
    <n v="0"/>
    <n v="0"/>
    <n v="58"/>
    <n v="0"/>
    <n v="58"/>
    <n v="0"/>
    <n v="0"/>
    <n v="0"/>
    <n v="0"/>
    <n v="58"/>
    <n v="0"/>
    <s v="BASEER AND CO"/>
  </r>
  <r>
    <n v="742"/>
    <d v="2025-06-27T00:00:00"/>
    <s v="ZBTO"/>
    <n v="9518886012"/>
    <n v="3"/>
    <s v="9518886012-3"/>
    <s v="Oct'25"/>
    <x v="0"/>
    <x v="4"/>
    <m/>
    <x v="0"/>
    <x v="0"/>
    <s v="East"/>
    <s v="JSR"/>
    <s v="CALS"/>
    <n v="155536"/>
    <s v="TATA STEEL DOWNSTREAM PRODUCTS LIMI"/>
    <n v="187574"/>
    <s v="CR COIL-ICF TATXXD AU03 2.50X1250"/>
    <s v="C01"/>
    <s v="TATXXD"/>
    <s v="AU03"/>
    <n v="2.5"/>
    <n v="1250"/>
    <n v="0"/>
    <n v="116"/>
    <n v="66.784999999999997"/>
    <n v="49.215000000000003"/>
    <n v="0"/>
    <n v="49.215000000000003"/>
    <n v="0"/>
    <n v="49.215000000000003"/>
    <n v="0"/>
    <n v="0"/>
    <n v="0"/>
    <n v="49.215000000000003"/>
    <n v="0"/>
    <n v="0"/>
    <n v="49.215000000000003"/>
    <n v="0"/>
    <n v="0"/>
    <n v="0"/>
    <s v="TATA STEEL DOWNSTREAM PRODUCTS LIMI"/>
  </r>
  <r>
    <n v="742"/>
    <d v="2025-08-18T00:00:00"/>
    <s v="ZBTO"/>
    <n v="9519024914"/>
    <n v="5"/>
    <s v="9519024914-5"/>
    <s v="Sep'25"/>
    <x v="0"/>
    <x v="7"/>
    <m/>
    <x v="0"/>
    <x v="0"/>
    <s v="South"/>
    <s v="CHENNAI"/>
    <s v="MADS"/>
    <n v="116465"/>
    <s v="SRI BALAJI STEEL TRADERS"/>
    <n v="3239543"/>
    <s v="CRCA SHEET TATCRC SR16 0.350X1250X2500"/>
    <s v="C06"/>
    <s v="TATCRC"/>
    <s v="SR16"/>
    <n v="0.35"/>
    <n v="1250"/>
    <n v="2500"/>
    <n v="29"/>
    <n v="0"/>
    <n v="29"/>
    <n v="0"/>
    <n v="29"/>
    <n v="0"/>
    <n v="29"/>
    <n v="0"/>
    <n v="0"/>
    <n v="0"/>
    <n v="29"/>
    <n v="0"/>
    <n v="29"/>
    <n v="0"/>
    <n v="0"/>
    <n v="0"/>
    <n v="0"/>
    <s v="SRI BALAJI STEEL TRADERS"/>
  </r>
  <r>
    <n v="744"/>
    <d v="2025-08-21T00:00:00"/>
    <s v="ZBTO"/>
    <n v="9519035613"/>
    <n v="2"/>
    <s v="9519035613-2"/>
    <s v="Stocks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80"/>
    <n v="279.51"/>
    <n v="0.48899999999999999"/>
    <n v="279.50999999999993"/>
    <n v="0"/>
    <n v="0"/>
    <n v="0"/>
    <n v="0"/>
    <n v="0"/>
    <n v="0"/>
    <n v="279.50999999999993"/>
    <n v="279.50999999999993"/>
    <n v="0"/>
    <n v="0"/>
    <n v="0"/>
    <n v="0"/>
    <n v="0"/>
    <s v="TATA BLUESCOPE STEEL PVT LTD."/>
  </r>
  <r>
    <n v="744"/>
    <d v="2025-08-21T00:00:00"/>
    <s v="ZBTO"/>
    <n v="9519035613"/>
    <n v="3"/>
    <s v="9519035613-3"/>
    <s v="Stocks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79.99900000000002"/>
    <n v="279.24"/>
    <n v="0.75900000000000001"/>
    <n v="265.435"/>
    <n v="0"/>
    <n v="0"/>
    <n v="0"/>
    <n v="0"/>
    <n v="0"/>
    <n v="0"/>
    <n v="265.435"/>
    <n v="265.435"/>
    <n v="0"/>
    <n v="0"/>
    <n v="0"/>
    <n v="0"/>
    <n v="0"/>
    <s v="TATA BLUESCOPE STEEL PVT LTD."/>
  </r>
  <r>
    <n v="744"/>
    <d v="2025-08-21T00:00:00"/>
    <s v="ZBTO"/>
    <n v="9519035613"/>
    <n v="5"/>
    <s v="9519035613-5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80"/>
    <n v="278.58999999999997"/>
    <n v="1.409"/>
    <n v="278.59000000000003"/>
    <n v="0"/>
    <n v="0"/>
    <n v="0"/>
    <n v="0"/>
    <n v="0"/>
    <n v="0"/>
    <n v="278.59000000000003"/>
    <n v="0"/>
    <n v="0"/>
    <n v="278.59000000000003"/>
    <n v="0"/>
    <n v="0"/>
    <n v="0"/>
    <s v="TATA BLUESCOPE STEEL PVT LTD."/>
  </r>
  <r>
    <n v="744"/>
    <d v="2025-08-21T00:00:00"/>
    <s v="ZBTO"/>
    <n v="9519035613"/>
    <n v="7"/>
    <s v="9519035613-7"/>
    <s v="Sep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168"/>
    <n v="167.34"/>
    <n v="0.65900000000000003"/>
    <n v="167.33999999999995"/>
    <n v="0"/>
    <n v="0"/>
    <n v="0"/>
    <n v="0"/>
    <n v="0"/>
    <n v="0"/>
    <n v="167.33999999999995"/>
    <n v="0"/>
    <n v="0"/>
    <n v="167.33999999999995"/>
    <n v="0"/>
    <n v="0"/>
    <n v="0"/>
    <s v="TATA BLUESCOPE STEEL PVT LTD."/>
  </r>
  <r>
    <n v="742"/>
    <d v="2025-08-19T00:00:00"/>
    <s v="ZBTO"/>
    <n v="9519027787"/>
    <n v="5"/>
    <s v="9519027787-5"/>
    <s v="Oct'25"/>
    <x v="0"/>
    <x v="7"/>
    <m/>
    <x v="0"/>
    <x v="0"/>
    <s v="South"/>
    <s v="VISHAKHAPATNAM"/>
    <s v="SBAD"/>
    <n v="946077"/>
    <s v="SITARAM IRON AND STEEL PVT LTD"/>
    <n v="3240776"/>
    <s v="CRCA SHEET TSBCRC SR15 0.600X1000X2440"/>
    <s v="C06"/>
    <s v="TSBCRC"/>
    <s v="SR15"/>
    <n v="0.6"/>
    <n v="1000"/>
    <n v="2440"/>
    <n v="46"/>
    <n v="0"/>
    <n v="46"/>
    <n v="0"/>
    <n v="46"/>
    <n v="0"/>
    <n v="0"/>
    <n v="0"/>
    <n v="0"/>
    <n v="46"/>
    <n v="0"/>
    <n v="0"/>
    <n v="0"/>
    <n v="0"/>
    <n v="0"/>
    <n v="0"/>
    <n v="46"/>
    <s v="SITARAM IRON AND STEEL PVT LTD"/>
  </r>
  <r>
    <n v="742"/>
    <d v="2025-08-18T00:00:00"/>
    <s v="ZBTO"/>
    <n v="9519025430"/>
    <n v="1"/>
    <s v="9519025430-1"/>
    <s v="Oct'25"/>
    <x v="0"/>
    <x v="4"/>
    <m/>
    <x v="0"/>
    <x v="0"/>
    <s v="South"/>
    <s v="SALEM"/>
    <s v="MADS"/>
    <n v="116465"/>
    <s v="SRI BALAJI STEEL TRADERS"/>
    <n v="185675"/>
    <s v="CRCA COIL-TATXXD-AU03-0.5X1250"/>
    <s v="C01"/>
    <s v="TATXXD"/>
    <s v="AU03"/>
    <n v="0.5"/>
    <n v="1250"/>
    <n v="0"/>
    <n v="29"/>
    <n v="23.85"/>
    <n v="5.15"/>
    <n v="23.85"/>
    <n v="0"/>
    <n v="0"/>
    <n v="0"/>
    <n v="0"/>
    <n v="0"/>
    <n v="0"/>
    <n v="23.85"/>
    <n v="23.85"/>
    <n v="0"/>
    <n v="0"/>
    <n v="0"/>
    <n v="0"/>
    <n v="0"/>
    <s v="SRI BALAJI STEEL TRADERS"/>
  </r>
  <r>
    <n v="742"/>
    <d v="2025-08-18T00:00:00"/>
    <s v="ZBTO"/>
    <n v="9519025430"/>
    <n v="2"/>
    <s v="9519025430-2"/>
    <s v="Oct'25"/>
    <x v="0"/>
    <x v="4"/>
    <m/>
    <x v="0"/>
    <x v="0"/>
    <s v="South"/>
    <s v="SALEM"/>
    <s v="MADS"/>
    <n v="116465"/>
    <s v="SRI BALAJI STEEL TRADERS"/>
    <n v="1801290"/>
    <s v="CRCA COIL-TATXXD-AU03-0.6X1250"/>
    <s v="C01"/>
    <s v="TATXXD"/>
    <s v="AU03"/>
    <n v="0.6"/>
    <n v="1250"/>
    <n v="0"/>
    <n v="29"/>
    <n v="0"/>
    <n v="29"/>
    <n v="0"/>
    <n v="29"/>
    <n v="0"/>
    <n v="29"/>
    <n v="0"/>
    <n v="0"/>
    <n v="0"/>
    <n v="29"/>
    <n v="0"/>
    <n v="0"/>
    <n v="29"/>
    <n v="0"/>
    <n v="0"/>
    <n v="0"/>
    <s v="SRI BALAJI STEEL TRADERS"/>
  </r>
  <r>
    <n v="742"/>
    <d v="2025-08-22T00:00:00"/>
    <s v="ZBTO"/>
    <n v="9519038135"/>
    <n v="1"/>
    <s v="9519038135-1"/>
    <s v="Oct'25"/>
    <x v="0"/>
    <x v="4"/>
    <m/>
    <x v="0"/>
    <x v="0"/>
    <s v="South"/>
    <s v="VALPARAI"/>
    <s v="MADS"/>
    <n v="116465"/>
    <s v="SRI BALAJI STEEL TRADERS"/>
    <n v="185675"/>
    <s v="CRCA COIL-TATXXD-AU03-0.5X1250"/>
    <s v="C01"/>
    <s v="TATXXD"/>
    <s v="AU03"/>
    <n v="0.5"/>
    <n v="1250"/>
    <n v="0"/>
    <n v="87"/>
    <n v="75.635000000000005"/>
    <n v="11.365"/>
    <n v="25.39"/>
    <n v="0"/>
    <n v="0"/>
    <n v="0"/>
    <n v="0"/>
    <n v="0"/>
    <n v="0"/>
    <n v="25.39"/>
    <n v="25.39"/>
    <n v="0"/>
    <n v="0"/>
    <n v="0"/>
    <n v="0"/>
    <n v="0"/>
    <s v="SRI BALAJI STEEL TRADERS"/>
  </r>
  <r>
    <n v="742"/>
    <d v="2025-08-21T00:00:00"/>
    <s v="ZBTO"/>
    <n v="9519036272"/>
    <n v="4"/>
    <s v="9519036272-4"/>
    <s v="Oct'25"/>
    <x v="0"/>
    <x v="7"/>
    <m/>
    <x v="0"/>
    <x v="0"/>
    <s v="East"/>
    <s v="WEST BOKARO"/>
    <s v="JAMS"/>
    <n v="185794"/>
    <s v="Shree Bajrang Steel Udyog"/>
    <n v="3239548"/>
    <s v="CRCA SHEET TATCRC SR16 0.400X900X2500"/>
    <s v="C06"/>
    <s v="TATCRC"/>
    <s v="SR16"/>
    <n v="0.4"/>
    <n v="900"/>
    <n v="2500"/>
    <n v="63"/>
    <n v="18.809999999999999"/>
    <n v="44.19"/>
    <n v="0"/>
    <n v="44.19"/>
    <n v="0"/>
    <n v="0"/>
    <n v="0"/>
    <n v="44.19"/>
    <n v="0"/>
    <n v="44.19"/>
    <n v="0"/>
    <n v="0"/>
    <n v="0"/>
    <n v="0"/>
    <n v="44.19"/>
    <n v="0"/>
    <s v="Shree Bajrang Steel Udyog"/>
  </r>
  <r>
    <n v="743"/>
    <d v="2025-08-22T00:00:00"/>
    <s v="ZBTO"/>
    <n v="9519038643"/>
    <n v="4"/>
    <s v="9519038643-4"/>
    <s v="Oct'25"/>
    <x v="2"/>
    <x v="5"/>
    <m/>
    <x v="0"/>
    <x v="0"/>
    <s v="East"/>
    <s v="WEST BENGAL"/>
    <s v="CALS"/>
    <n v="100922"/>
    <s v="BUBNA COMMERCIAL COMPANY"/>
    <n v="1854418"/>
    <s v="GP COIL SOFT-TATXGP-GK09-0.5X900"/>
    <s v="C02"/>
    <s v="TATXGP"/>
    <s v="GK09"/>
    <n v="0.5"/>
    <n v="900"/>
    <n v="0"/>
    <n v="105"/>
    <n v="0"/>
    <n v="105"/>
    <n v="0"/>
    <n v="105"/>
    <n v="0"/>
    <n v="0"/>
    <n v="0"/>
    <n v="105"/>
    <n v="0"/>
    <n v="105"/>
    <n v="0"/>
    <n v="0"/>
    <n v="0"/>
    <n v="0"/>
    <n v="105"/>
    <n v="0"/>
    <s v="BUBNA COMMERCIAL COMPANY"/>
  </r>
  <r>
    <n v="743"/>
    <d v="2025-08-22T00:00:00"/>
    <s v="ZBTO"/>
    <n v="9519038643"/>
    <n v="5"/>
    <s v="9519038643-5"/>
    <s v="Oct'25"/>
    <x v="2"/>
    <x v="5"/>
    <m/>
    <x v="0"/>
    <x v="0"/>
    <s v="East"/>
    <s v="WEST BENGAL"/>
    <s v="CALS"/>
    <n v="100922"/>
    <s v="BUBNA COMMERCIAL COMPANY"/>
    <n v="1854424"/>
    <s v="GP COIL SOFT-TATXGP-GK09-0.6X900"/>
    <s v="C02"/>
    <s v="TATXGP"/>
    <s v="GK09"/>
    <n v="0.6"/>
    <n v="900"/>
    <n v="0"/>
    <n v="42"/>
    <n v="0"/>
    <n v="42"/>
    <n v="0"/>
    <n v="42"/>
    <n v="0"/>
    <n v="0"/>
    <n v="0"/>
    <n v="0"/>
    <n v="42"/>
    <n v="0"/>
    <n v="0"/>
    <n v="0"/>
    <n v="0"/>
    <n v="0"/>
    <n v="0"/>
    <n v="42"/>
    <s v="BUBNA COMMERCIAL COMPANY"/>
  </r>
  <r>
    <n v="742"/>
    <d v="2025-08-21T00:00:00"/>
    <s v="ZBTO"/>
    <n v="9519036388"/>
    <n v="3"/>
    <s v="9519036388-3"/>
    <s v="Sep'25"/>
    <x v="0"/>
    <x v="7"/>
    <m/>
    <x v="0"/>
    <x v="0"/>
    <s v="East"/>
    <s v="Jharkhand"/>
    <s v="JAMS"/>
    <n v="121328"/>
    <s v="R. S. BOKARO METAL (P) LTD."/>
    <n v="2441004"/>
    <s v="CRCA SHEET TATCRC SR16 0.430X1250X2500"/>
    <s v="C06"/>
    <s v="TATCRC"/>
    <s v="SR16"/>
    <n v="0.43"/>
    <n v="1250"/>
    <n v="2500"/>
    <n v="29"/>
    <n v="0"/>
    <n v="29"/>
    <n v="0"/>
    <n v="29"/>
    <n v="29"/>
    <n v="0"/>
    <n v="0"/>
    <n v="0"/>
    <n v="0"/>
    <n v="29"/>
    <n v="0"/>
    <n v="29"/>
    <n v="0"/>
    <n v="0"/>
    <n v="0"/>
    <n v="0"/>
    <s v="R. S. BOKARO METAL (P) LTD."/>
  </r>
  <r>
    <n v="742"/>
    <d v="2025-08-12T00:00:00"/>
    <s v="ZBTO"/>
    <n v="9519011540"/>
    <n v="1"/>
    <s v="9519011540-1"/>
    <s v="Oct'25"/>
    <x v="0"/>
    <x v="4"/>
    <m/>
    <x v="0"/>
    <x v="0"/>
    <s v="North"/>
    <s v="GORAKHPUR"/>
    <s v="KANP"/>
    <n v="115841"/>
    <s v="O.V.S. ISPAT UDYOG"/>
    <n v="322578"/>
    <s v="CRCA SHEET TATCRC TR15 .5X1250X2500"/>
    <s v="C06"/>
    <s v="TATCRC"/>
    <s v="TR15"/>
    <n v="0.5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s v="O.V.S. ISPAT UDYOG"/>
  </r>
  <r>
    <n v="743"/>
    <d v="2025-09-17T00:00:00"/>
    <s v="ZBTO"/>
    <n v="9519113387"/>
    <n v="2"/>
    <s v="9519113387-2"/>
    <s v="Oct'25"/>
    <x v="2"/>
    <x v="8"/>
    <m/>
    <x v="0"/>
    <x v="0"/>
    <s v="North"/>
    <s v="SRINAGAR"/>
    <s v="LUDH"/>
    <n v="115190"/>
    <s v="SHEYRUB AGENCIES"/>
    <n v="3897429"/>
    <s v="GP COIL XXXGPH GPH3 0.350X900"/>
    <s v="C05"/>
    <s v="XXXGPH"/>
    <s v="GPH3"/>
    <n v="0.35"/>
    <n v="900"/>
    <n v="0"/>
    <n v="42"/>
    <n v="0"/>
    <n v="42"/>
    <n v="0"/>
    <n v="42"/>
    <n v="0"/>
    <n v="0"/>
    <n v="0"/>
    <n v="0"/>
    <n v="42"/>
    <n v="42"/>
    <n v="0"/>
    <n v="0"/>
    <n v="0"/>
    <n v="0"/>
    <n v="42"/>
    <n v="0"/>
    <s v="SHEYRUB AGENCIES"/>
  </r>
  <r>
    <n v="743"/>
    <d v="2025-09-17T00:00:00"/>
    <s v="ZBTO"/>
    <n v="9519113387"/>
    <n v="3"/>
    <s v="9519113387-3"/>
    <s v="Oct'25"/>
    <x v="2"/>
    <x v="8"/>
    <m/>
    <x v="0"/>
    <x v="0"/>
    <s v="North"/>
    <s v="SRINAGAR"/>
    <s v="LUDH"/>
    <n v="115190"/>
    <s v="SHEYRUB AGENCIES"/>
    <n v="3897430"/>
    <s v="GP COIL XXXGPH GPH3 0.400X900"/>
    <s v="C05"/>
    <s v="XXXGPH"/>
    <s v="GPH3"/>
    <n v="0.4"/>
    <n v="900"/>
    <n v="0"/>
    <n v="21"/>
    <n v="0"/>
    <n v="21"/>
    <n v="0"/>
    <n v="21"/>
    <n v="0"/>
    <n v="0"/>
    <n v="0"/>
    <n v="0"/>
    <n v="21"/>
    <n v="21"/>
    <n v="0"/>
    <n v="0"/>
    <n v="0"/>
    <n v="0"/>
    <n v="21"/>
    <n v="0"/>
    <s v="SHEYRUB AGENCIES"/>
  </r>
  <r>
    <n v="743"/>
    <d v="2025-09-17T00:00:00"/>
    <s v="ZBTO"/>
    <n v="9519113387"/>
    <n v="4"/>
    <s v="9519113387-4"/>
    <s v="Oct'25"/>
    <x v="2"/>
    <x v="8"/>
    <n v="500"/>
    <x v="0"/>
    <x v="0"/>
    <s v="North"/>
    <s v="SRINAGAR"/>
    <s v="LUDH"/>
    <n v="115190"/>
    <s v="SHEYRUB AGENCIES"/>
    <n v="3897501"/>
    <s v="GP COIL XXXGPH GPH3 0.500X900"/>
    <s v="C05"/>
    <s v="XXXGPH"/>
    <s v="GPH3"/>
    <n v="0.5"/>
    <n v="900"/>
    <n v="0"/>
    <n v="126"/>
    <n v="0"/>
    <n v="126"/>
    <n v="0"/>
    <n v="126"/>
    <n v="0"/>
    <n v="0"/>
    <n v="0"/>
    <n v="0"/>
    <n v="126"/>
    <n v="126"/>
    <n v="0"/>
    <n v="0"/>
    <n v="0"/>
    <n v="0"/>
    <n v="126"/>
    <n v="0"/>
    <s v="SHEYRUB AGENCIES"/>
  </r>
  <r>
    <n v="742"/>
    <d v="2025-08-23T00:00:00"/>
    <s v="ZBTO"/>
    <n v="9519041216"/>
    <n v="1"/>
    <s v="9519041216-1"/>
    <s v="Oct'25"/>
    <x v="0"/>
    <x v="7"/>
    <m/>
    <x v="0"/>
    <x v="0"/>
    <s v="South"/>
    <s v="VISHAKHAPATNAM"/>
    <s v="SBAD"/>
    <n v="946077"/>
    <s v="SITARAM IRON AND STEEL PVT LTD"/>
    <n v="3240776"/>
    <s v="CRCA SHEET TSBCRC SR15 0.600X1000X2440"/>
    <s v="C06"/>
    <s v="TSBCRC"/>
    <s v="SR15"/>
    <n v="0.6"/>
    <n v="1000"/>
    <n v="2440"/>
    <n v="46"/>
    <n v="0"/>
    <n v="46"/>
    <n v="0"/>
    <n v="46"/>
    <n v="0"/>
    <n v="0"/>
    <n v="0"/>
    <n v="0"/>
    <n v="46"/>
    <n v="0"/>
    <n v="0"/>
    <n v="0"/>
    <n v="0"/>
    <n v="0"/>
    <n v="0"/>
    <n v="46"/>
    <s v="SITARAM IRON AND STEEL PVT LTD"/>
  </r>
  <r>
    <n v="742"/>
    <d v="2025-08-23T00:00:00"/>
    <s v="ZBTO"/>
    <n v="9519041216"/>
    <n v="2"/>
    <s v="9519041216-2"/>
    <s v="Oct'25"/>
    <x v="0"/>
    <x v="7"/>
    <m/>
    <x v="0"/>
    <x v="0"/>
    <s v="South"/>
    <s v="VISHAKHAPATNAM"/>
    <s v="SBAD"/>
    <n v="946077"/>
    <s v="SITARAM IRON AND STEEL PVT LTD"/>
    <n v="3240771"/>
    <s v="CRCA SHEET TSBCRC SR15 0.600X900X2440"/>
    <s v="C06"/>
    <s v="TSBCRC"/>
    <s v="SR15"/>
    <n v="0.6"/>
    <n v="900"/>
    <n v="2440"/>
    <n v="42"/>
    <n v="0"/>
    <n v="42"/>
    <n v="0"/>
    <n v="42"/>
    <n v="0"/>
    <n v="0"/>
    <n v="42"/>
    <n v="0"/>
    <n v="0"/>
    <n v="42"/>
    <n v="0"/>
    <n v="0"/>
    <n v="0"/>
    <n v="42"/>
    <n v="0"/>
    <n v="0"/>
    <s v="SITARAM IRON AND STEEL PVT LTD"/>
  </r>
  <r>
    <n v="742"/>
    <d v="2025-08-12T00:00:00"/>
    <s v="ZBTO"/>
    <n v="9519011538"/>
    <n v="1"/>
    <s v="9519011538-1"/>
    <s v="Sep'25"/>
    <x v="0"/>
    <x v="7"/>
    <m/>
    <x v="0"/>
    <x v="0"/>
    <s v="North"/>
    <s v="VARANASI"/>
    <s v="KANP"/>
    <n v="115841"/>
    <s v="O.V.S. ISPAT UDYOG"/>
    <n v="3437524"/>
    <s v="CRCA SHEET TATCRC SR16 0.400X1250X2030"/>
    <s v="C06"/>
    <s v="TATCRC"/>
    <s v="SR16"/>
    <n v="0.4"/>
    <n v="1250"/>
    <n v="2030"/>
    <n v="87"/>
    <n v="0"/>
    <n v="87"/>
    <n v="0"/>
    <n v="87"/>
    <n v="0"/>
    <n v="0"/>
    <n v="0"/>
    <n v="0"/>
    <n v="87"/>
    <n v="0"/>
    <n v="0"/>
    <n v="0"/>
    <n v="0"/>
    <n v="0"/>
    <n v="0"/>
    <n v="87"/>
    <s v="O.V.S. ISPAT UDYOG"/>
  </r>
  <r>
    <n v="742"/>
    <d v="2025-08-22T00:00:00"/>
    <s v="ZBTO"/>
    <n v="9519040469"/>
    <n v="2"/>
    <s v="9519040469-2"/>
    <s v="Sep'25"/>
    <x v="0"/>
    <x v="2"/>
    <m/>
    <x v="1"/>
    <x v="1"/>
    <s v="West"/>
    <s v="VILLAGE DADRA"/>
    <s v="NPUR"/>
    <n v="189405"/>
    <s v="Balmer Lawrie And Co. Ltd."/>
    <n v="3655054"/>
    <s v="CR COIL TATXXD BT01 1.200X1215"/>
    <s v="C01"/>
    <s v="TATXXD"/>
    <s v="BT01"/>
    <n v="1.2"/>
    <n v="1215"/>
    <n v="0"/>
    <n v="140"/>
    <n v="101.11"/>
    <n v="38.89"/>
    <n v="76.085000000000008"/>
    <n v="38.89"/>
    <n v="38.89"/>
    <n v="0"/>
    <n v="0"/>
    <n v="0"/>
    <n v="0"/>
    <n v="114.97500000000001"/>
    <n v="0"/>
    <n v="114.97500000000001"/>
    <n v="0"/>
    <n v="0"/>
    <n v="0"/>
    <n v="0"/>
    <s v="Balmer Lawrie And Co. Ltd."/>
  </r>
  <r>
    <n v="742"/>
    <d v="2025-09-05T00:00:00"/>
    <s v="ZBTO"/>
    <n v="9519080347"/>
    <n v="1"/>
    <s v="9519080347-1"/>
    <s v="Oct'25"/>
    <x v="0"/>
    <x v="4"/>
    <m/>
    <x v="0"/>
    <x v="0"/>
    <s v="North"/>
    <s v="FARIDABAD"/>
    <s v="FBAD"/>
    <n v="144917"/>
    <s v="BANSAL BROTHERS"/>
    <n v="1804772"/>
    <s v="CRCA COIL TATXXD AU03 0.4X1250"/>
    <s v="C01"/>
    <s v="TATXXD"/>
    <s v="AU03"/>
    <n v="0.4"/>
    <n v="1250"/>
    <n v="0"/>
    <n v="29"/>
    <n v="0"/>
    <n v="29"/>
    <n v="0"/>
    <n v="29"/>
    <n v="0"/>
    <n v="0"/>
    <n v="29"/>
    <n v="0"/>
    <n v="0"/>
    <n v="29"/>
    <n v="0"/>
    <n v="0"/>
    <n v="0"/>
    <n v="29"/>
    <n v="0"/>
    <n v="0"/>
    <s v="BANSAL BROTHERS"/>
  </r>
  <r>
    <n v="743"/>
    <d v="2025-09-15T00:00:00"/>
    <s v="ZBTO"/>
    <n v="9519104694"/>
    <n v="6"/>
    <s v="9519104694-6"/>
    <s v="Oct'25"/>
    <x v="2"/>
    <x v="5"/>
    <m/>
    <x v="0"/>
    <x v="0"/>
    <s v="East"/>
    <s v="Jharkhand"/>
    <s v="JAMS"/>
    <n v="121328"/>
    <s v="R. S. BOKARO METAL (P) LTD."/>
    <n v="1854424"/>
    <s v="GP COIL SOFT-TATXGP-GK09-0.6X900"/>
    <s v="C02"/>
    <s v="TATXGP"/>
    <s v="GK09"/>
    <n v="0.6"/>
    <n v="900"/>
    <n v="0"/>
    <n v="126"/>
    <n v="0"/>
    <n v="126"/>
    <n v="0"/>
    <n v="126"/>
    <n v="126"/>
    <n v="0"/>
    <n v="0"/>
    <n v="0"/>
    <n v="0"/>
    <n v="126"/>
    <n v="0"/>
    <n v="126"/>
    <n v="0"/>
    <n v="0"/>
    <n v="0"/>
    <n v="0"/>
    <s v="R. S. BOKARO METAL (P) LTD."/>
  </r>
  <r>
    <n v="742"/>
    <d v="2025-07-21T00:00:00"/>
    <s v="ZBTO"/>
    <n v="9518945221"/>
    <n v="3"/>
    <s v="9518945221-3"/>
    <s v="Oct'25"/>
    <x v="0"/>
    <x v="4"/>
    <m/>
    <x v="0"/>
    <x v="0"/>
    <s v="South"/>
    <s v="GUMMIDIPOONDI"/>
    <s v="MADS"/>
    <n v="822271"/>
    <s v="TATA STEEL DOWNSTREAM PRODUCTS LIMI"/>
    <n v="2434555"/>
    <s v="CRCA COIL TATXXD AU03 0.600X1320"/>
    <s v="C01"/>
    <s v="TATXXD"/>
    <s v="AU03"/>
    <n v="0.6"/>
    <n v="1320"/>
    <n v="0"/>
    <n v="60"/>
    <n v="0"/>
    <n v="60"/>
    <n v="0"/>
    <n v="60"/>
    <n v="0"/>
    <n v="0"/>
    <n v="0"/>
    <n v="0"/>
    <n v="60"/>
    <n v="0"/>
    <n v="0"/>
    <n v="0"/>
    <n v="0"/>
    <n v="0"/>
    <n v="0"/>
    <n v="60"/>
    <s v="TATA STEEL DOWNSTREAM PRODUCTS LIMI"/>
  </r>
  <r>
    <n v="742"/>
    <d v="2025-08-19T00:00:00"/>
    <s v="ZBTO"/>
    <n v="9519028231"/>
    <n v="2"/>
    <s v="9519028231-2"/>
    <s v="Oct'25"/>
    <x v="0"/>
    <x v="4"/>
    <m/>
    <x v="0"/>
    <x v="0"/>
    <s v="South"/>
    <s v="CHENNAI"/>
    <s v="MADS"/>
    <n v="938550"/>
    <s v="BASEER AND CO"/>
    <n v="185675"/>
    <s v="CRCA COIL-TATXXD-AU03-0.5X1250"/>
    <s v="C01"/>
    <s v="TATXXD"/>
    <s v="AU03"/>
    <n v="0.5"/>
    <n v="1250"/>
    <n v="0"/>
    <n v="58"/>
    <n v="0"/>
    <n v="58"/>
    <n v="0"/>
    <n v="58"/>
    <n v="0"/>
    <n v="0"/>
    <n v="0"/>
    <n v="58"/>
    <n v="0"/>
    <n v="58"/>
    <n v="0"/>
    <n v="0"/>
    <n v="0"/>
    <n v="0"/>
    <n v="58"/>
    <n v="0"/>
    <s v="BASEER AND CO"/>
  </r>
  <r>
    <n v="742"/>
    <d v="2025-08-14T00:00:00"/>
    <s v="ZBTF"/>
    <n v="9519017114"/>
    <n v="1"/>
    <s v="9519017114-1"/>
    <s v="Oct'25"/>
    <x v="0"/>
    <x v="3"/>
    <m/>
    <x v="1"/>
    <x v="3"/>
    <s v="South"/>
    <s v="THIRUVALLUR"/>
    <s v="MADS"/>
    <n v="600250"/>
    <s v="TATA CENTER"/>
    <n v="3659268"/>
    <s v="CR COIL TSBSTA EL03 0.500X1217"/>
    <s v="C01"/>
    <s v="TSBSTA"/>
    <s v="EL03"/>
    <n v="0.5"/>
    <n v="1217"/>
    <n v="0"/>
    <n v="196"/>
    <n v="64.489999999999995"/>
    <n v="131.51"/>
    <n v="0"/>
    <n v="131.51"/>
    <n v="0"/>
    <n v="131.51"/>
    <n v="0"/>
    <n v="0"/>
    <n v="0"/>
    <n v="131.51"/>
    <n v="0"/>
    <n v="0"/>
    <n v="131.51"/>
    <n v="0"/>
    <n v="0"/>
    <n v="0"/>
    <s v="TATA CENTER"/>
  </r>
  <r>
    <n v="743"/>
    <d v="2025-09-09T00:00:00"/>
    <s v="ZBTO"/>
    <n v="9519090170"/>
    <n v="3"/>
    <s v="9519090170-3"/>
    <s v="Oct'25"/>
    <x v="3"/>
    <x v="1"/>
    <m/>
    <x v="1"/>
    <x v="1"/>
    <s v="TBSPL"/>
    <s v="TATANAGAR"/>
    <s v="BOMB"/>
    <n v="942284"/>
    <s v="TATA BLUESCOPE STEEL PRIVATE LIMITE"/>
    <n v="3856040"/>
    <s v="GL C YS550 M306 0.43BMT(0.45TCT)X900"/>
    <s v="B04"/>
    <s v="Y550GL"/>
    <s v="M306"/>
    <n v="0.43"/>
    <n v="900"/>
    <n v="0"/>
    <n v="42"/>
    <n v="0"/>
    <n v="42"/>
    <n v="0"/>
    <n v="42"/>
    <n v="0"/>
    <n v="42"/>
    <n v="0"/>
    <n v="0"/>
    <n v="0"/>
    <n v="42"/>
    <n v="0"/>
    <n v="0"/>
    <n v="42"/>
    <n v="0"/>
    <n v="0"/>
    <n v="0"/>
    <s v="TATA BLUESCOPE STEEL PRIVATE LIMITE"/>
  </r>
  <r>
    <n v="742"/>
    <d v="2025-08-18T00:00:00"/>
    <s v="ZBTF"/>
    <n v="9519024849"/>
    <n v="1"/>
    <s v="9519024849-1"/>
    <s v="Sep'25"/>
    <x v="0"/>
    <x v="2"/>
    <m/>
    <x v="1"/>
    <x v="3"/>
    <s v="East"/>
    <s v="PILKHUWA"/>
    <s v="DELI"/>
    <n v="600250"/>
    <s v="TATA CENTER"/>
    <n v="2164800"/>
    <s v="CRCA COIL TATXXD BT02 0.970X913"/>
    <s v="C01"/>
    <s v="TATXXD"/>
    <s v="BT02"/>
    <n v="0.97"/>
    <n v="913"/>
    <n v="0"/>
    <n v="147"/>
    <n v="0"/>
    <n v="147"/>
    <n v="0"/>
    <n v="147"/>
    <n v="0"/>
    <n v="0"/>
    <n v="147"/>
    <n v="0"/>
    <n v="0"/>
    <n v="147"/>
    <n v="0"/>
    <n v="0"/>
    <n v="0"/>
    <n v="147"/>
    <n v="0"/>
    <n v="0"/>
    <s v="TATA CENTER"/>
  </r>
  <r>
    <n v="742"/>
    <d v="2025-08-18T00:00:00"/>
    <s v="ZBTO"/>
    <n v="9519025763"/>
    <n v="1"/>
    <s v="9519025763-1"/>
    <s v="Oct'25"/>
    <x v="0"/>
    <x v="4"/>
    <m/>
    <x v="0"/>
    <x v="0"/>
    <s v="North"/>
    <s v="GORAKHPUR"/>
    <s v="KANP"/>
    <n v="115841"/>
    <s v="O.V.S. ISPAT UDYOG"/>
    <n v="322578"/>
    <s v="CRCA SHEET TATCRC TR15 .5X1250X2500"/>
    <s v="C06"/>
    <s v="TATCRC"/>
    <s v="TR15"/>
    <n v="0.5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s v="O.V.S. ISPAT UDYOG"/>
  </r>
  <r>
    <n v="743"/>
    <d v="2025-08-21T00:00:00"/>
    <s v="ZBTO"/>
    <n v="9519036143"/>
    <n v="9"/>
    <s v="9519036143-9"/>
    <s v="Sep'25"/>
    <x v="2"/>
    <x v="5"/>
    <m/>
    <x v="0"/>
    <x v="0"/>
    <s v="East"/>
    <s v="WEST BOKARO"/>
    <s v="JAMS"/>
    <n v="185794"/>
    <s v="Shree Bajrang Steel Udyog"/>
    <n v="1854418"/>
    <s v="GP COIL SOFT-TATXGP-GK09-0.5X900"/>
    <s v="C02"/>
    <s v="TATXGP"/>
    <s v="GK09"/>
    <n v="0.5"/>
    <n v="900"/>
    <n v="0"/>
    <n v="126"/>
    <n v="19.03"/>
    <n v="106.97"/>
    <n v="19.03"/>
    <n v="106.97"/>
    <n v="0"/>
    <n v="0"/>
    <n v="106.97"/>
    <n v="0"/>
    <n v="0"/>
    <n v="126"/>
    <n v="0"/>
    <n v="0"/>
    <n v="0"/>
    <n v="126"/>
    <n v="0"/>
    <n v="0"/>
    <s v="Shree Bajrang Steel Udyog"/>
  </r>
  <r>
    <n v="742"/>
    <d v="2025-08-18T00:00:00"/>
    <s v="ZBTO"/>
    <n v="9519025273"/>
    <n v="1"/>
    <s v="9519025273-1"/>
    <s v="Sep'25"/>
    <x v="0"/>
    <x v="7"/>
    <m/>
    <x v="0"/>
    <x v="0"/>
    <s v="East"/>
    <s v="HOWRAH"/>
    <s v="CALS"/>
    <n v="925093"/>
    <s v="PSPL STEEL PROCESSORS PRIVATE LIMIT"/>
    <n v="2441000"/>
    <s v="CRCA SHEET TATCRC SR16 0.330X1250X2500"/>
    <s v="C06"/>
    <s v="TATCRC"/>
    <s v="SR16"/>
    <n v="0.33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s v="PSPL STEEL PROCESSORS PRIVATE LIMIT"/>
  </r>
  <r>
    <n v="743"/>
    <d v="2025-09-12T00:00:00"/>
    <s v="ZBTO"/>
    <n v="9519099563"/>
    <n v="8"/>
    <s v="9519099563-8"/>
    <s v="Oct'25"/>
    <x v="2"/>
    <x v="5"/>
    <m/>
    <x v="0"/>
    <x v="0"/>
    <s v="East"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n v="126"/>
    <n v="0"/>
    <n v="126"/>
    <n v="0"/>
    <n v="126"/>
    <n v="0"/>
    <n v="0"/>
    <n v="0"/>
    <n v="126"/>
    <n v="0"/>
    <n v="126"/>
    <n v="0"/>
    <n v="0"/>
    <n v="0"/>
    <n v="0"/>
    <n v="126"/>
    <n v="0"/>
    <s v="Shree Bajrang Steel Udyog"/>
  </r>
  <r>
    <n v="743"/>
    <d v="2025-09-12T00:00:00"/>
    <s v="ZBTO"/>
    <n v="9519099563"/>
    <n v="9"/>
    <s v="9519099563-9"/>
    <s v="Oct'25"/>
    <x v="2"/>
    <x v="5"/>
    <m/>
    <x v="0"/>
    <x v="0"/>
    <s v="East"/>
    <s v="WEST BOKARO"/>
    <s v="JAMS"/>
    <n v="185794"/>
    <s v="Shree Bajrang Steel Udyog"/>
    <n v="1178439"/>
    <s v="GP COIL SOFT-TATXGP-GK09-0.4X900"/>
    <s v="C02"/>
    <s v="TATXGP"/>
    <s v="GK09"/>
    <n v="0.4"/>
    <n v="900"/>
    <n v="0"/>
    <n v="126"/>
    <n v="0"/>
    <n v="126"/>
    <n v="0"/>
    <n v="126"/>
    <n v="0"/>
    <n v="0"/>
    <n v="0"/>
    <n v="126"/>
    <n v="0"/>
    <n v="126"/>
    <n v="0"/>
    <n v="0"/>
    <n v="0"/>
    <n v="0"/>
    <n v="126"/>
    <n v="0"/>
    <s v="Shree Bajrang Steel Udyog"/>
  </r>
  <r>
    <n v="743"/>
    <d v="2025-08-27T00:00:00"/>
    <s v="ZBTO"/>
    <n v="9519054625"/>
    <n v="5"/>
    <s v="9519054625-5"/>
    <s v="Oct'25"/>
    <x v="2"/>
    <x v="5"/>
    <m/>
    <x v="0"/>
    <x v="0"/>
    <s v="East"/>
    <s v="GUWAHATI"/>
    <s v="GWAH"/>
    <n v="116649"/>
    <s v="SAGAR STEELS"/>
    <n v="1853143"/>
    <s v="GP COIL SOFT-TATXGP-GLK1-0.4X900"/>
    <s v="C02"/>
    <s v="TATXGP"/>
    <s v="GLK1"/>
    <n v="0.4"/>
    <n v="900"/>
    <n v="0"/>
    <n v="42"/>
    <n v="20.164999999999999"/>
    <n v="21.835000000000001"/>
    <n v="0"/>
    <n v="21.835000000000001"/>
    <n v="0"/>
    <n v="0"/>
    <n v="0"/>
    <n v="21.835000000000001"/>
    <n v="0"/>
    <n v="21.835000000000001"/>
    <n v="0"/>
    <n v="0"/>
    <n v="0"/>
    <n v="0"/>
    <n v="21.835000000000001"/>
    <n v="0"/>
    <s v="SAGAR STEELS"/>
  </r>
  <r>
    <n v="743"/>
    <d v="2025-08-27T00:00:00"/>
    <s v="ZBTO"/>
    <n v="9519054625"/>
    <n v="6"/>
    <s v="9519054625-6"/>
    <s v="Oct'25"/>
    <x v="2"/>
    <x v="5"/>
    <m/>
    <x v="0"/>
    <x v="0"/>
    <s v="East"/>
    <s v="GUWAHATI"/>
    <s v="GWAH"/>
    <n v="116649"/>
    <s v="SAGAR STEELS"/>
    <n v="1142893"/>
    <s v="GP COIL SOFT-TATXGP-GLK1-0.35X900"/>
    <s v="C02"/>
    <s v="TATXGP"/>
    <s v="GLK1"/>
    <n v="0.35"/>
    <n v="900"/>
    <n v="0"/>
    <n v="42"/>
    <n v="16.649999999999999"/>
    <n v="25.35"/>
    <n v="0"/>
    <n v="25.35"/>
    <n v="0"/>
    <n v="0"/>
    <n v="0"/>
    <n v="25.35"/>
    <n v="0"/>
    <n v="25.35"/>
    <n v="0"/>
    <n v="0"/>
    <n v="0"/>
    <n v="0"/>
    <n v="25.35"/>
    <n v="0"/>
    <s v="SAGAR STEELS"/>
  </r>
  <r>
    <n v="742"/>
    <d v="2025-08-19T00:00:00"/>
    <s v="ZBTO"/>
    <n v="9519029800"/>
    <n v="1"/>
    <s v="9519029800-1"/>
    <s v="Oct'25"/>
    <x v="0"/>
    <x v="7"/>
    <m/>
    <x v="0"/>
    <x v="0"/>
    <s v="East"/>
    <s v="PURNIA"/>
    <s v="PATN"/>
    <n v="103227"/>
    <s v="BMW VENTURES LIMITED"/>
    <n v="3239408"/>
    <s v="CRCA SHEET TATCRC SR16 0.300X900X2500"/>
    <s v="C06"/>
    <s v="TATCRC"/>
    <s v="SR16"/>
    <n v="0.3"/>
    <n v="900"/>
    <n v="2500"/>
    <n v="21"/>
    <n v="0"/>
    <n v="21"/>
    <n v="0"/>
    <n v="21"/>
    <n v="0"/>
    <n v="0"/>
    <n v="0"/>
    <n v="0"/>
    <n v="21"/>
    <n v="0"/>
    <n v="0"/>
    <n v="0"/>
    <n v="0"/>
    <n v="0"/>
    <n v="0"/>
    <n v="21"/>
    <s v="BMW VENTURES LIMITED"/>
  </r>
  <r>
    <n v="742"/>
    <d v="2025-08-19T00:00:00"/>
    <s v="ZBTO"/>
    <n v="9519029800"/>
    <n v="2"/>
    <s v="9519029800-2"/>
    <s v="Oct'25"/>
    <x v="0"/>
    <x v="7"/>
    <m/>
    <x v="0"/>
    <x v="0"/>
    <s v="East"/>
    <s v="PURNIA"/>
    <s v="PATN"/>
    <n v="103227"/>
    <s v="BMW VENTURES LIMITED"/>
    <n v="2440959"/>
    <s v="CRCA SHEET TATCRC SR16 0.330X900X2500"/>
    <s v="C06"/>
    <s v="TATCRC"/>
    <s v="SR16"/>
    <n v="0.33"/>
    <n v="900"/>
    <n v="2500"/>
    <n v="21"/>
    <n v="0"/>
    <n v="21"/>
    <n v="0"/>
    <n v="21"/>
    <n v="0"/>
    <n v="0"/>
    <n v="0"/>
    <n v="0"/>
    <n v="21"/>
    <n v="0"/>
    <n v="0"/>
    <n v="0"/>
    <n v="0"/>
    <n v="0"/>
    <n v="0"/>
    <n v="21"/>
    <s v="BMW VENTURES LIMITED"/>
  </r>
  <r>
    <n v="742"/>
    <d v="2025-07-31T00:00:00"/>
    <s v="ZBTO"/>
    <n v="9518982165"/>
    <n v="1"/>
    <s v="9518982165-1"/>
    <s v="Oct'25"/>
    <x v="0"/>
    <x v="4"/>
    <m/>
    <x v="0"/>
    <x v="0"/>
    <s v="North"/>
    <s v="FARIDABAD"/>
    <s v="FBAD"/>
    <n v="831432"/>
    <s v="FERRO STEEL SOLUTIONS"/>
    <n v="1804772"/>
    <s v="CRCA COIL TATXXD AU03 0.4X1250"/>
    <s v="C01"/>
    <s v="TATXXD"/>
    <s v="AU03"/>
    <n v="0.4"/>
    <n v="1250"/>
    <n v="0"/>
    <n v="58"/>
    <n v="0"/>
    <n v="58"/>
    <n v="0"/>
    <n v="58"/>
    <n v="0"/>
    <n v="0"/>
    <n v="58"/>
    <n v="0"/>
    <n v="0"/>
    <n v="58"/>
    <n v="0"/>
    <n v="0"/>
    <n v="0"/>
    <n v="58"/>
    <n v="0"/>
    <n v="0"/>
    <s v="FERRO STEEL SOLUTIONS"/>
  </r>
  <r>
    <n v="743"/>
    <d v="2025-08-21T00:00:00"/>
    <s v="ZBTO"/>
    <n v="9519036143"/>
    <n v="3"/>
    <s v="9519036143-3"/>
    <s v="Oct'25"/>
    <x v="2"/>
    <x v="5"/>
    <m/>
    <x v="0"/>
    <x v="0"/>
    <s v="East"/>
    <s v="WEST BOKARO"/>
    <s v="JAMS"/>
    <n v="185794"/>
    <s v="Shree Bajrang Steel Udyog"/>
    <n v="1191955"/>
    <s v="GP COIL SOFT-TATXGP-GK09-0.3X900"/>
    <s v="C02"/>
    <s v="TATXGP"/>
    <s v="GK09"/>
    <n v="0.3"/>
    <n v="900"/>
    <n v="0"/>
    <n v="147"/>
    <n v="0"/>
    <n v="147"/>
    <n v="0"/>
    <n v="147"/>
    <n v="0"/>
    <n v="0"/>
    <n v="147"/>
    <n v="0"/>
    <n v="0"/>
    <n v="147"/>
    <n v="0"/>
    <n v="0"/>
    <n v="0"/>
    <n v="147"/>
    <n v="0"/>
    <n v="0"/>
    <s v="Shree Bajrang Steel Udyog"/>
  </r>
  <r>
    <n v="743"/>
    <d v="2025-08-20T00:00:00"/>
    <s v="ZBTO"/>
    <n v="9519032510"/>
    <n v="2"/>
    <s v="9519032510-2"/>
    <s v="Stocks"/>
    <x v="2"/>
    <x v="5"/>
    <m/>
    <x v="0"/>
    <x v="0"/>
    <s v="East"/>
    <s v="PATNA"/>
    <s v="PATN"/>
    <n v="103227"/>
    <s v="BMW VENTURES LIMITED"/>
    <n v="1191955"/>
    <s v="GP COIL SOFT-TATXGP-GK09-0.3X900"/>
    <s v="C02"/>
    <s v="TATXGP"/>
    <s v="GK09"/>
    <n v="0.3"/>
    <n v="900"/>
    <n v="0"/>
    <n v="126"/>
    <n v="119.685"/>
    <n v="6.3150000000000004"/>
    <n v="69.614999999999995"/>
    <n v="0"/>
    <n v="0"/>
    <n v="0"/>
    <n v="0"/>
    <n v="0"/>
    <n v="0"/>
    <n v="69.614999999999995"/>
    <n v="69.614999999999995"/>
    <n v="0"/>
    <n v="0"/>
    <n v="0"/>
    <n v="0"/>
    <n v="0"/>
    <s v="BMW VENTURES LIMITED"/>
  </r>
  <r>
    <n v="742"/>
    <d v="2025-09-11T00:00:00"/>
    <s v="ZBTO"/>
    <n v="9519096071"/>
    <n v="5"/>
    <s v="9519096071-5"/>
    <s v="Oct'25"/>
    <x v="0"/>
    <x v="7"/>
    <m/>
    <x v="0"/>
    <x v="0"/>
    <s v="East"/>
    <s v="Jharkhand"/>
    <s v="JAMS"/>
    <n v="121328"/>
    <s v="R. S. BOKARO METAL (P) LTD."/>
    <n v="3240792"/>
    <s v="CRCA SHEET TSBCRC SR15 0.600X1250X2500"/>
    <s v="C06"/>
    <s v="TSBCRC"/>
    <s v="SR15"/>
    <n v="0.6"/>
    <n v="1250"/>
    <n v="2500"/>
    <n v="29"/>
    <n v="0"/>
    <n v="29"/>
    <n v="0"/>
    <n v="29"/>
    <n v="0"/>
    <n v="0"/>
    <n v="0"/>
    <n v="0"/>
    <n v="29"/>
    <n v="0"/>
    <n v="0"/>
    <n v="0"/>
    <n v="0"/>
    <n v="0"/>
    <n v="0"/>
    <n v="29"/>
    <s v="R. S. BOKARO METAL (P) LTD."/>
  </r>
  <r>
    <n v="742"/>
    <d v="2025-08-21T00:00:00"/>
    <s v="ZBTO"/>
    <n v="9519036388"/>
    <n v="1"/>
    <s v="9519036388-1"/>
    <s v="Oct'25"/>
    <x v="0"/>
    <x v="7"/>
    <m/>
    <x v="0"/>
    <x v="0"/>
    <s v="East"/>
    <s v="Jharkhand"/>
    <s v="JAMS"/>
    <n v="121328"/>
    <s v="R. S. BOKARO METAL (P) LTD."/>
    <n v="2440959"/>
    <s v="CRCA SHEET TATCRC SR16 0.330X900X2500"/>
    <s v="C06"/>
    <s v="TATCRC"/>
    <s v="SR16"/>
    <n v="0.33"/>
    <n v="900"/>
    <n v="2500"/>
    <n v="63"/>
    <n v="0"/>
    <n v="63"/>
    <n v="0"/>
    <n v="63"/>
    <n v="0"/>
    <n v="0"/>
    <n v="0"/>
    <n v="0"/>
    <n v="63"/>
    <n v="0"/>
    <n v="0"/>
    <n v="0"/>
    <n v="0"/>
    <n v="0"/>
    <n v="0"/>
    <n v="63"/>
    <s v="R. S. BOKARO METAL (P) LTD."/>
  </r>
  <r>
    <n v="743"/>
    <d v="2025-09-10T00:00:00"/>
    <s v="ZBTO"/>
    <n v="9519091866"/>
    <n v="3"/>
    <s v="9519091866-3"/>
    <s v="Oct'25"/>
    <x v="2"/>
    <x v="6"/>
    <m/>
    <x v="0"/>
    <x v="0"/>
    <s v="East"/>
    <s v="PURNIA"/>
    <s v="PATN"/>
    <n v="931671"/>
    <s v="BMW VENTURES LIMITED"/>
    <n v="3767014"/>
    <s v="GP COIL TATGPH GP02 0.400X1350"/>
    <s v="C05"/>
    <s v="TATGPH"/>
    <s v="GP02"/>
    <n v="0.4"/>
    <n v="1350"/>
    <n v="0"/>
    <n v="93"/>
    <n v="0"/>
    <n v="93"/>
    <n v="0"/>
    <n v="93"/>
    <n v="93"/>
    <n v="0"/>
    <n v="0"/>
    <n v="0"/>
    <n v="0"/>
    <n v="93"/>
    <n v="0"/>
    <n v="93"/>
    <n v="0"/>
    <n v="0"/>
    <n v="0"/>
    <n v="0"/>
    <s v="BMW VENTURES LIMITED"/>
  </r>
  <r>
    <n v="742"/>
    <d v="2025-09-03T00:00:00"/>
    <s v="ZBTO"/>
    <n v="9519076414"/>
    <n v="4"/>
    <s v="9519076414-4"/>
    <s v="Oct'25"/>
    <x v="0"/>
    <x v="7"/>
    <m/>
    <x v="0"/>
    <x v="0"/>
    <s v="North"/>
    <s v="VARANASI"/>
    <s v="KANP"/>
    <n v="931525"/>
    <s v="INDIA STEEL INDUSTRIES"/>
    <n v="3240761"/>
    <s v="CRCA SHEET TSBCRC SR15 0.500X1250X2030"/>
    <s v="C06"/>
    <s v="TSBCRC"/>
    <s v="SR15"/>
    <n v="0.5"/>
    <n v="1250"/>
    <n v="2030"/>
    <n v="87"/>
    <n v="0"/>
    <n v="87"/>
    <n v="0"/>
    <n v="87"/>
    <n v="0"/>
    <n v="0"/>
    <n v="87"/>
    <n v="0"/>
    <n v="0"/>
    <n v="87"/>
    <n v="0"/>
    <n v="0"/>
    <n v="0"/>
    <n v="87"/>
    <n v="0"/>
    <n v="0"/>
    <s v="INDIA STEEL INDUSTRIES"/>
  </r>
  <r>
    <n v="742"/>
    <d v="2025-09-16T00:00:00"/>
    <s v="ZBTO"/>
    <n v="9519109856"/>
    <n v="4"/>
    <s v="9519109856-4"/>
    <s v="Oct'25"/>
    <x v="0"/>
    <x v="7"/>
    <m/>
    <x v="0"/>
    <x v="0"/>
    <s v="East"/>
    <s v="SILIGURI TOWN"/>
    <s v="GWAH"/>
    <n v="948783"/>
    <s v="SAGAR STEELS"/>
    <n v="3240786"/>
    <s v="CRCA SHEET TSBCRC SR15 0.700X1250X2500"/>
    <s v="C06"/>
    <s v="TSBCRC"/>
    <s v="SR15"/>
    <n v="0.7"/>
    <n v="1250"/>
    <n v="2500"/>
    <n v="29"/>
    <n v="0"/>
    <n v="29"/>
    <n v="0"/>
    <n v="29"/>
    <n v="0"/>
    <n v="0"/>
    <n v="29"/>
    <n v="0"/>
    <n v="0"/>
    <n v="29"/>
    <n v="0"/>
    <n v="0"/>
    <n v="0"/>
    <n v="29"/>
    <n v="0"/>
    <n v="0"/>
    <s v="SAGAR STEELS"/>
  </r>
  <r>
    <n v="742"/>
    <d v="2025-09-08T00:00:00"/>
    <s v="ZBTO"/>
    <n v="9519086006"/>
    <n v="1"/>
    <s v="9519086006-1"/>
    <s v="Oct'25"/>
    <x v="0"/>
    <x v="7"/>
    <m/>
    <x v="0"/>
    <x v="0"/>
    <s v="North"/>
    <s v="KANPUR"/>
    <s v="KANP"/>
    <n v="933952"/>
    <s v="AGARWAL STEEL TRADERS"/>
    <n v="3240761"/>
    <s v="CRCA SHEET TSBCRC SR15 0.500X1250X2030"/>
    <s v="C06"/>
    <s v="TSBCRC"/>
    <s v="SR15"/>
    <n v="0.5"/>
    <n v="1250"/>
    <n v="2030"/>
    <n v="145"/>
    <n v="0"/>
    <n v="145"/>
    <n v="0"/>
    <n v="145"/>
    <n v="0"/>
    <n v="0"/>
    <n v="145"/>
    <n v="0"/>
    <n v="0"/>
    <n v="145"/>
    <n v="0"/>
    <n v="0"/>
    <n v="0"/>
    <n v="145"/>
    <n v="0"/>
    <n v="0"/>
    <s v="AGARWAL STEEL TRADERS"/>
  </r>
  <r>
    <n v="742"/>
    <d v="2025-07-20T00:00:00"/>
    <s v="ZBTO"/>
    <n v="9518944236"/>
    <n v="9"/>
    <s v="9518944236-9"/>
    <s v="Oct'25"/>
    <x v="0"/>
    <x v="4"/>
    <m/>
    <x v="0"/>
    <x v="0"/>
    <s v="South"/>
    <s v="VISHAKHAPATNAM"/>
    <s v="SBAD"/>
    <n v="946077"/>
    <s v="SITARAM IRON AND STEEL PVT LTD"/>
    <n v="281630"/>
    <s v="CRSHEET C06 TATXXD AU03 1.6X1250X2500"/>
    <s v="C06"/>
    <s v="TATXXD"/>
    <s v="AU03"/>
    <n v="1.6"/>
    <n v="1250"/>
    <n v="2500"/>
    <n v="58"/>
    <n v="0"/>
    <n v="58"/>
    <n v="0"/>
    <n v="58"/>
    <n v="0"/>
    <n v="0"/>
    <n v="0"/>
    <n v="58"/>
    <n v="0"/>
    <n v="58"/>
    <n v="0"/>
    <n v="0"/>
    <n v="0"/>
    <n v="0"/>
    <n v="58"/>
    <n v="0"/>
    <s v="SITARAM IRON AND STEEL PVT LTD"/>
  </r>
  <r>
    <n v="742"/>
    <d v="2025-09-16T00:00:00"/>
    <s v="ZBTO"/>
    <n v="9519109833"/>
    <n v="1"/>
    <s v="9519109833-1"/>
    <s v="Oct'25"/>
    <x v="0"/>
    <x v="7"/>
    <m/>
    <x v="0"/>
    <x v="0"/>
    <s v="East"/>
    <s v="HOWRAH"/>
    <s v="CALS"/>
    <n v="925093"/>
    <s v="PSPL STEEL PROCESSORS PRIVATE LIMIT"/>
    <n v="3240765"/>
    <s v="CRCA SHEET TSBCRC SR15 0.500X1250X2500"/>
    <s v="C06"/>
    <s v="TSBCRC"/>
    <s v="SR15"/>
    <n v="0.5"/>
    <n v="1250"/>
    <n v="2500"/>
    <n v="58"/>
    <n v="0"/>
    <n v="58"/>
    <n v="0"/>
    <n v="58"/>
    <n v="0"/>
    <n v="0"/>
    <n v="58"/>
    <n v="0"/>
    <n v="0"/>
    <n v="58"/>
    <n v="0"/>
    <n v="0"/>
    <n v="0"/>
    <n v="58"/>
    <n v="0"/>
    <n v="0"/>
    <s v="PSPL STEEL PROCESSORS PRIVATE LIMIT"/>
  </r>
  <r>
    <n v="742"/>
    <d v="2025-08-19T00:00:00"/>
    <s v="ZBTO"/>
    <n v="9519028090"/>
    <n v="4"/>
    <s v="9519028090-4"/>
    <s v="Oct'25"/>
    <x v="0"/>
    <x v="12"/>
    <m/>
    <x v="0"/>
    <x v="0"/>
    <s v="East"/>
    <s v="JSR"/>
    <s v="CALS"/>
    <n v="155536"/>
    <s v="TATA STEEL DOWNSTREAM PRODUCTS LIMI"/>
    <n v="2420525"/>
    <s v="CRCA COIL TATXXD AH03 2X1250"/>
    <s v="C01"/>
    <s v="TATXXD"/>
    <s v="AH03"/>
    <n v="2"/>
    <n v="1250"/>
    <n v="0"/>
    <n v="145"/>
    <n v="118.97"/>
    <n v="26.03"/>
    <n v="40.03"/>
    <n v="26.03"/>
    <n v="0"/>
    <n v="26.03"/>
    <n v="0"/>
    <n v="0"/>
    <n v="0"/>
    <n v="66.06"/>
    <n v="0"/>
    <n v="0"/>
    <n v="66.06"/>
    <n v="0"/>
    <n v="0"/>
    <n v="0"/>
    <s v="TATA STEEL DOWNSTREAM PRODUCTS LIMI"/>
  </r>
  <r>
    <n v="742"/>
    <d v="2025-08-19T00:00:00"/>
    <s v="ZBTO"/>
    <n v="9519028090"/>
    <n v="5"/>
    <s v="9519028090-5"/>
    <s v="Oct'25"/>
    <x v="0"/>
    <x v="12"/>
    <m/>
    <x v="0"/>
    <x v="0"/>
    <s v="East"/>
    <s v="JSR"/>
    <s v="CALS"/>
    <n v="155536"/>
    <s v="TATA STEEL DOWNSTREAM PRODUCTS LIMI"/>
    <n v="2420540"/>
    <s v="CRCA COIL TATXXD AH03 2.500X1250"/>
    <s v="C01"/>
    <s v="TATXXD"/>
    <s v="AH03"/>
    <n v="2.5"/>
    <n v="1250"/>
    <n v="0"/>
    <n v="203"/>
    <n v="77.069999999999993"/>
    <n v="125.93"/>
    <n v="0"/>
    <n v="125.93"/>
    <n v="0"/>
    <n v="125.93"/>
    <n v="0"/>
    <n v="0"/>
    <n v="0"/>
    <n v="125.93"/>
    <n v="0"/>
    <n v="0"/>
    <n v="125.93"/>
    <n v="0"/>
    <n v="0"/>
    <n v="0"/>
    <s v="TATA STEEL DOWNSTREAM PRODUCTS LIMI"/>
  </r>
  <r>
    <n v="743"/>
    <d v="2025-09-02T00:00:00"/>
    <s v="ZBTO"/>
    <n v="9519072526"/>
    <n v="1"/>
    <s v="9519072526-1"/>
    <s v="Oct'25"/>
    <x v="2"/>
    <x v="6"/>
    <n v="1000"/>
    <x v="0"/>
    <x v="0"/>
    <s v="East"/>
    <s v="Bihar"/>
    <m/>
    <n v="931671"/>
    <s v="BMW VENTURES LIMITED"/>
    <n v="3953694"/>
    <s v="GP COIL TATXGP GP2T 0.250X1350"/>
    <s v="C05"/>
    <s v="TATXGP"/>
    <s v="GP2T"/>
    <n v="0.25"/>
    <n v="1350"/>
    <n v="0"/>
    <n v="93"/>
    <n v="0"/>
    <n v="93"/>
    <n v="0"/>
    <n v="93"/>
    <n v="0"/>
    <n v="0"/>
    <n v="93"/>
    <n v="0"/>
    <n v="0"/>
    <n v="93"/>
    <n v="0"/>
    <n v="0"/>
    <n v="0"/>
    <n v="93"/>
    <n v="0"/>
    <n v="0"/>
    <m/>
  </r>
  <r>
    <n v="742"/>
    <d v="2025-08-05T00:00:00"/>
    <s v="ZBTO"/>
    <n v="9518994601"/>
    <n v="2"/>
    <s v="9518994601-2"/>
    <s v="Oct'25"/>
    <x v="0"/>
    <x v="4"/>
    <m/>
    <x v="0"/>
    <x v="0"/>
    <s v="South"/>
    <s v="Karnataka"/>
    <m/>
    <n v="932244"/>
    <s v="DURGA TRADERS"/>
    <n v="185675"/>
    <s v="CRCA COIL-TATXXD-AU03-0.5X1250"/>
    <s v="C01"/>
    <s v="TATXXD"/>
    <s v="AU03"/>
    <n v="0.5"/>
    <n v="1250"/>
    <n v="0"/>
    <n v="87"/>
    <n v="24.92"/>
    <n v="62.08"/>
    <n v="0"/>
    <n v="62.08"/>
    <n v="0"/>
    <n v="0"/>
    <n v="62.08"/>
    <n v="0"/>
    <n v="0"/>
    <n v="62.08"/>
    <n v="0"/>
    <n v="0"/>
    <n v="0"/>
    <n v="62.08"/>
    <n v="0"/>
    <n v="0"/>
    <m/>
  </r>
  <r>
    <n v="742"/>
    <d v="2025-08-19T00:00:00"/>
    <s v="ZBTO"/>
    <n v="9519028231"/>
    <n v="7"/>
    <s v="9519028231-7"/>
    <s v="Oct'25"/>
    <x v="0"/>
    <x v="4"/>
    <m/>
    <x v="0"/>
    <x v="0"/>
    <s v="South"/>
    <s v="Tamil Nadu"/>
    <m/>
    <n v="938550"/>
    <s v="BASEER AND CO"/>
    <n v="1804867"/>
    <s v="CRCA COIL-TATXXD-AU03-1.6X1250"/>
    <s v="C01"/>
    <s v="TATXXD"/>
    <s v="AU03"/>
    <n v="1.6"/>
    <n v="1250"/>
    <n v="0"/>
    <n v="87"/>
    <n v="0"/>
    <n v="87"/>
    <n v="0"/>
    <n v="87"/>
    <n v="0"/>
    <n v="0"/>
    <n v="87"/>
    <n v="0"/>
    <n v="0"/>
    <n v="87"/>
    <n v="0"/>
    <n v="0"/>
    <n v="0"/>
    <n v="87"/>
    <n v="0"/>
    <n v="0"/>
    <m/>
  </r>
  <r>
    <n v="742"/>
    <d v="2025-09-16T00:00:00"/>
    <s v="ZBTO"/>
    <n v="9519107868"/>
    <n v="6"/>
    <s v="9519107868-6"/>
    <s v="Oct'25"/>
    <x v="0"/>
    <x v="4"/>
    <m/>
    <x v="0"/>
    <x v="0"/>
    <s v="South"/>
    <s v="Telangana"/>
    <m/>
    <n v="939422"/>
    <s v="VIJAY VENKAT STEELS PRIVATE LIMITED"/>
    <n v="292577"/>
    <s v="CR COIL-ICF  DQ TATXXD AU03 2.02X1250"/>
    <s v="C01"/>
    <s v="TATXXD"/>
    <s v="AU03"/>
    <n v="2.02"/>
    <n v="1250"/>
    <n v="0"/>
    <n v="29"/>
    <n v="0"/>
    <n v="29"/>
    <n v="0"/>
    <n v="29"/>
    <n v="0"/>
    <n v="0"/>
    <n v="29"/>
    <n v="0"/>
    <n v="0"/>
    <n v="29"/>
    <n v="0"/>
    <n v="0"/>
    <n v="0"/>
    <n v="29"/>
    <n v="0"/>
    <n v="0"/>
    <m/>
  </r>
  <r>
    <n v="742"/>
    <d v="2025-08-05T00:00:00"/>
    <s v="ZBTO"/>
    <n v="9518995071"/>
    <n v="5"/>
    <s v="9518995071-5"/>
    <s v="Oct'25"/>
    <x v="0"/>
    <x v="4"/>
    <m/>
    <x v="0"/>
    <x v="0"/>
    <s v="North"/>
    <s v="Uttar Pradesh"/>
    <m/>
    <n v="933952"/>
    <s v="AGARWAL STEEL TRADERS"/>
    <n v="1884117"/>
    <s v="CRCA COIL-TATXXD-AU03-2X1250"/>
    <s v="C01"/>
    <s v="TATXXD"/>
    <s v="AU03"/>
    <n v="2"/>
    <n v="1250"/>
    <n v="0"/>
    <n v="29"/>
    <n v="0"/>
    <n v="29"/>
    <n v="0"/>
    <n v="29"/>
    <n v="29"/>
    <n v="0"/>
    <n v="0"/>
    <n v="0"/>
    <n v="0"/>
    <n v="29"/>
    <n v="0"/>
    <n v="29"/>
    <n v="0"/>
    <n v="0"/>
    <n v="0"/>
    <n v="0"/>
    <m/>
  </r>
  <r>
    <n v="743"/>
    <d v="2025-09-18T00:00:00"/>
    <s v="ZBTO"/>
    <n v="9519116020"/>
    <n v="5"/>
    <s v="9519116020-5"/>
    <s v="Oct'25"/>
    <x v="2"/>
    <x v="5"/>
    <m/>
    <x v="0"/>
    <x v="0"/>
    <s v="East"/>
    <s v="West Bengal"/>
    <m/>
    <n v="100922"/>
    <s v="BUBNA COMMERCIAL COMPANY"/>
    <n v="1854424"/>
    <s v="GP COIL SOFT-TATXGP-GK09-0.6X900"/>
    <s v="C02"/>
    <s v="TATXGP"/>
    <s v="GK09"/>
    <n v="0.6"/>
    <n v="900"/>
    <n v="0"/>
    <n v="84"/>
    <n v="0"/>
    <n v="84"/>
    <n v="0"/>
    <n v="84"/>
    <n v="0"/>
    <n v="0"/>
    <n v="0"/>
    <n v="84"/>
    <n v="0"/>
    <n v="84"/>
    <n v="0"/>
    <n v="0"/>
    <n v="0"/>
    <n v="0"/>
    <n v="84"/>
    <n v="0"/>
    <m/>
  </r>
  <r>
    <n v="743"/>
    <d v="2025-09-18T00:00:00"/>
    <s v="ZBTO"/>
    <n v="9519116020"/>
    <n v="4"/>
    <s v="9519116020-4"/>
    <s v="Oct'25"/>
    <x v="2"/>
    <x v="5"/>
    <m/>
    <x v="0"/>
    <x v="0"/>
    <s v="East"/>
    <s v="West Bengal"/>
    <m/>
    <n v="100922"/>
    <s v="BUBNA COMMERCIAL COMPANY"/>
    <n v="1353179"/>
    <s v="GP COIL TATXGP GK09 0.500X900"/>
    <s v="C02"/>
    <s v="TATXGP"/>
    <s v="GK09"/>
    <n v="0.5"/>
    <n v="900"/>
    <n v="0"/>
    <n v="84"/>
    <n v="0"/>
    <n v="84"/>
    <n v="0"/>
    <n v="84"/>
    <n v="0"/>
    <n v="0"/>
    <n v="0"/>
    <n v="84"/>
    <n v="0"/>
    <n v="84"/>
    <n v="0"/>
    <n v="0"/>
    <n v="0"/>
    <n v="0"/>
    <n v="84"/>
    <n v="0"/>
    <m/>
  </r>
  <r>
    <n v="742"/>
    <d v="2025-09-16T00:00:00"/>
    <s v="ZBTO"/>
    <n v="9519110359"/>
    <n v="4"/>
    <s v="9519110359-4"/>
    <s v="Oct'25"/>
    <x v="0"/>
    <x v="7"/>
    <m/>
    <x v="0"/>
    <x v="0"/>
    <s v="South"/>
    <s v="Andhra Pradesh"/>
    <m/>
    <n v="946077"/>
    <s v="SITARAM IRON AND STEEL PVT LTD"/>
    <n v="3240785"/>
    <s v="CRCA SHEET TSBCRC SR15 0.600X1250X2500"/>
    <s v="C06"/>
    <s v="TSBCRC"/>
    <s v="SR15"/>
    <n v="0.6"/>
    <n v="1250"/>
    <n v="2500"/>
    <n v="29"/>
    <n v="0"/>
    <n v="29"/>
    <n v="0"/>
    <n v="29"/>
    <n v="0"/>
    <n v="0"/>
    <n v="29"/>
    <n v="0"/>
    <n v="0"/>
    <n v="29"/>
    <n v="0"/>
    <n v="0"/>
    <n v="0"/>
    <n v="29"/>
    <n v="0"/>
    <n v="0"/>
    <m/>
  </r>
  <r>
    <n v="742"/>
    <d v="2025-09-18T00:00:00"/>
    <s v="ZBTO"/>
    <n v="9519114756"/>
    <n v="3"/>
    <s v="9519114756-3"/>
    <s v="Oct'25"/>
    <x v="0"/>
    <x v="7"/>
    <m/>
    <x v="0"/>
    <x v="0"/>
    <s v="South"/>
    <s v="Andhra Pradesh"/>
    <m/>
    <n v="946077"/>
    <s v="SITARAM IRON AND STEEL PVT LTD"/>
    <n v="3240771"/>
    <s v="CRCA SHEET TSBCRC SR15 0.600X900X2440"/>
    <s v="C06"/>
    <s v="TSBCRC"/>
    <s v="SR15"/>
    <n v="0.6"/>
    <n v="900"/>
    <n v="2440"/>
    <n v="63"/>
    <n v="0"/>
    <n v="63"/>
    <n v="0"/>
    <n v="63"/>
    <n v="0"/>
    <n v="0"/>
    <n v="0"/>
    <n v="63"/>
    <n v="0"/>
    <n v="63"/>
    <n v="0"/>
    <n v="0"/>
    <n v="0"/>
    <n v="0"/>
    <n v="63"/>
    <n v="0"/>
    <m/>
  </r>
  <r>
    <n v="742"/>
    <d v="2025-09-18T00:00:00"/>
    <s v="ZBTO"/>
    <n v="9519114756"/>
    <n v="2"/>
    <s v="9519114756-2"/>
    <s v="Oct'25"/>
    <x v="0"/>
    <x v="7"/>
    <m/>
    <x v="0"/>
    <x v="0"/>
    <s v="South"/>
    <s v="Andhra Pradesh"/>
    <m/>
    <n v="946077"/>
    <s v="SITARAM IRON AND STEEL PVT LTD"/>
    <n v="3411571"/>
    <s v="CRCA SHEET TSBCRC SR15 0.500X900X2440"/>
    <s v="C06"/>
    <s v="TSBCRC"/>
    <s v="SR15"/>
    <n v="0.5"/>
    <n v="900"/>
    <n v="2440"/>
    <n v="63"/>
    <n v="0"/>
    <n v="63"/>
    <n v="0"/>
    <n v="63"/>
    <n v="0"/>
    <n v="0"/>
    <n v="0"/>
    <n v="63"/>
    <n v="0"/>
    <n v="63"/>
    <n v="0"/>
    <n v="0"/>
    <n v="0"/>
    <n v="0"/>
    <n v="63"/>
    <n v="0"/>
    <m/>
  </r>
  <r>
    <n v="742"/>
    <d v="2025-09-04T00:00:00"/>
    <s v="ZBTO"/>
    <n v="9519077538"/>
    <n v="8"/>
    <s v="9519077538-8"/>
    <s v="Oct'25"/>
    <x v="0"/>
    <x v="7"/>
    <m/>
    <x v="0"/>
    <x v="0"/>
    <s v="East"/>
    <s v="West Bengal"/>
    <m/>
    <n v="101278"/>
    <s v="RAMESH COMPANY"/>
    <n v="3240765"/>
    <s v="CRCA SHEET TSBCRC SR15 0.500X1250X2500"/>
    <s v="C06"/>
    <s v="TSBCRC"/>
    <s v="SR15"/>
    <n v="0.5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2"/>
    <d v="2025-09-04T00:00:00"/>
    <s v="ZBTO"/>
    <n v="9519077538"/>
    <n v="4"/>
    <s v="9519077538-4"/>
    <s v="Oct'25"/>
    <x v="0"/>
    <x v="7"/>
    <m/>
    <x v="0"/>
    <x v="0"/>
    <s v="East"/>
    <s v="West Bengal"/>
    <m/>
    <n v="101278"/>
    <s v="RAMESH COMPANY"/>
    <n v="3239548"/>
    <s v="CRCA SHEET TATCRC SR16 0.400X900X2500"/>
    <s v="C06"/>
    <s v="TATCRC"/>
    <s v="SR16"/>
    <n v="0.4"/>
    <n v="900"/>
    <n v="2500"/>
    <n v="42"/>
    <n v="0"/>
    <n v="42"/>
    <n v="0"/>
    <n v="42"/>
    <n v="0"/>
    <n v="0"/>
    <n v="42"/>
    <n v="0"/>
    <n v="0"/>
    <n v="42"/>
    <n v="0"/>
    <n v="0"/>
    <n v="0"/>
    <n v="42"/>
    <n v="0"/>
    <n v="0"/>
    <m/>
  </r>
  <r>
    <n v="742"/>
    <d v="2025-09-04T00:00:00"/>
    <s v="ZBTO"/>
    <n v="9519077538"/>
    <n v="3"/>
    <s v="9519077538-3"/>
    <s v="Oct'25"/>
    <x v="0"/>
    <x v="7"/>
    <m/>
    <x v="0"/>
    <x v="0"/>
    <s v="East"/>
    <s v="West Bengal"/>
    <m/>
    <n v="101278"/>
    <s v="RAMESH COMPANY"/>
    <n v="3239543"/>
    <s v="CRCA SHEET TATCRC SR16 0.350X1250X2500"/>
    <s v="C06"/>
    <s v="TATCRC"/>
    <s v="SR16"/>
    <n v="0.35"/>
    <n v="1250"/>
    <n v="2500"/>
    <n v="29"/>
    <n v="0"/>
    <n v="29"/>
    <n v="0"/>
    <n v="29"/>
    <n v="0"/>
    <n v="0"/>
    <n v="0"/>
    <n v="29"/>
    <n v="0"/>
    <n v="29"/>
    <n v="0"/>
    <n v="0"/>
    <n v="0"/>
    <n v="0"/>
    <n v="29"/>
    <n v="0"/>
    <m/>
  </r>
  <r>
    <n v="742"/>
    <d v="2025-09-04T00:00:00"/>
    <s v="ZBTO"/>
    <n v="9519077538"/>
    <n v="1"/>
    <s v="9519077538-1"/>
    <s v="Oct'25"/>
    <x v="0"/>
    <x v="7"/>
    <m/>
    <x v="0"/>
    <x v="0"/>
    <s v="East"/>
    <s v="West Bengal"/>
    <m/>
    <n v="101278"/>
    <s v="RAMESH COMPANY"/>
    <n v="3239536"/>
    <s v="CRCA SHEET TATCRC SR16 0.350X900X2500"/>
    <s v="C06"/>
    <s v="TATCRC"/>
    <s v="SR16"/>
    <n v="0.35"/>
    <n v="900"/>
    <n v="2500"/>
    <n v="21"/>
    <n v="0"/>
    <n v="21"/>
    <n v="0"/>
    <n v="21"/>
    <n v="0"/>
    <n v="0"/>
    <n v="0"/>
    <n v="21"/>
    <n v="0"/>
    <n v="21"/>
    <n v="0"/>
    <n v="0"/>
    <n v="0"/>
    <n v="0"/>
    <n v="21"/>
    <n v="0"/>
    <m/>
  </r>
  <r>
    <n v="742"/>
    <d v="2025-08-22T00:00:00"/>
    <s v="ZBTO"/>
    <n v="9519038135"/>
    <n v="6"/>
    <s v="9519038135-6"/>
    <s v="Oct'25"/>
    <x v="0"/>
    <x v="4"/>
    <m/>
    <x v="0"/>
    <x v="0"/>
    <s v="South"/>
    <s v="Tamil Nadu"/>
    <m/>
    <n v="116465"/>
    <s v="SRI BALAJI STEEL TRADERS"/>
    <n v="2155233"/>
    <s v="CRCA COIL TATXXD AU03 2.5X1250"/>
    <s v="C01"/>
    <s v="TATXXD"/>
    <s v="AU03"/>
    <n v="2.5"/>
    <n v="1250"/>
    <n v="0"/>
    <n v="29"/>
    <n v="0"/>
    <n v="29"/>
    <n v="0"/>
    <n v="29"/>
    <n v="0"/>
    <n v="0"/>
    <n v="29"/>
    <n v="0"/>
    <n v="0"/>
    <n v="29"/>
    <n v="0"/>
    <n v="0"/>
    <n v="0"/>
    <n v="29"/>
    <n v="0"/>
    <n v="0"/>
    <m/>
  </r>
  <r>
    <n v="742"/>
    <d v="2025-08-22T00:00:00"/>
    <s v="ZBTO"/>
    <n v="9519038135"/>
    <n v="5"/>
    <s v="9519038135-5"/>
    <s v="Oct'25"/>
    <x v="0"/>
    <x v="4"/>
    <n v="3600"/>
    <x v="0"/>
    <x v="0"/>
    <s v="South"/>
    <s v="Tamil Nadu"/>
    <m/>
    <n v="116465"/>
    <s v="SRI BALAJI STEEL TRADERS"/>
    <n v="1884117"/>
    <s v="CRCA COIL-TATXXD-AU03-2X1250"/>
    <s v="C01"/>
    <s v="TATXXD"/>
    <s v="AU03"/>
    <n v="2"/>
    <n v="1250"/>
    <n v="0"/>
    <n v="58"/>
    <n v="0"/>
    <n v="58"/>
    <n v="0"/>
    <n v="58"/>
    <n v="0"/>
    <n v="0"/>
    <n v="58"/>
    <n v="0"/>
    <n v="0"/>
    <n v="58"/>
    <n v="0"/>
    <n v="0"/>
    <n v="0"/>
    <n v="58"/>
    <n v="0"/>
    <n v="0"/>
    <m/>
  </r>
  <r>
    <n v="742"/>
    <d v="2025-08-22T00:00:00"/>
    <s v="ZBTO"/>
    <n v="9519038135"/>
    <n v="4"/>
    <s v="9519038135-4"/>
    <s v="Oct'25"/>
    <x v="0"/>
    <x v="4"/>
    <m/>
    <x v="0"/>
    <x v="0"/>
    <s v="South"/>
    <s v="Tamil Nadu"/>
    <m/>
    <n v="116465"/>
    <s v="SRI BALAJI STEEL TRADERS"/>
    <n v="1804867"/>
    <s v="CRCA COIL-TATXXD-AU03-1.6X1250"/>
    <s v="C01"/>
    <s v="TATXXD"/>
    <s v="AU03"/>
    <n v="1.6"/>
    <n v="1250"/>
    <n v="0"/>
    <n v="29"/>
    <n v="0"/>
    <n v="29"/>
    <n v="0"/>
    <n v="29"/>
    <n v="0"/>
    <n v="0"/>
    <n v="29"/>
    <n v="0"/>
    <n v="0"/>
    <n v="29"/>
    <n v="0"/>
    <n v="0"/>
    <n v="0"/>
    <n v="29"/>
    <n v="0"/>
    <n v="0"/>
    <m/>
  </r>
  <r>
    <n v="742"/>
    <d v="2025-08-20T00:00:00"/>
    <s v="ZBTO"/>
    <n v="9519031476"/>
    <n v="8"/>
    <s v="9519031476-8"/>
    <s v="Oct'25"/>
    <x v="0"/>
    <x v="7"/>
    <m/>
    <x v="0"/>
    <x v="0"/>
    <s v="East"/>
    <s v="Orissa"/>
    <m/>
    <n v="117061"/>
    <s v="BHARTIA  DISTRIBUTORS PVT. LTD."/>
    <n v="3240820"/>
    <s v="CRCA SHEET TSBCRC SR15 0.900X1250X2500"/>
    <s v="C06"/>
    <s v="TSBCRC"/>
    <s v="SR15"/>
    <n v="0.9"/>
    <n v="1250"/>
    <n v="2500"/>
    <n v="29"/>
    <n v="0"/>
    <n v="29"/>
    <n v="0"/>
    <n v="29"/>
    <n v="0"/>
    <n v="0"/>
    <n v="29"/>
    <n v="0"/>
    <n v="0"/>
    <n v="29"/>
    <n v="0"/>
    <n v="0"/>
    <n v="0"/>
    <n v="29"/>
    <n v="0"/>
    <n v="0"/>
    <m/>
  </r>
  <r>
    <n v="742"/>
    <d v="2025-08-18T00:00:00"/>
    <s v="ZBTO"/>
    <n v="9519024914"/>
    <n v="2"/>
    <s v="9519024914-2"/>
    <s v="Oct'25"/>
    <x v="0"/>
    <x v="4"/>
    <m/>
    <x v="0"/>
    <x v="0"/>
    <s v="South"/>
    <s v="Tamil Nadu"/>
    <m/>
    <n v="116465"/>
    <s v="SRI BALAJI STEEL TRADERS"/>
    <n v="1884117"/>
    <s v="CRCA COIL-TATXXD-AU03-2X1250"/>
    <s v="C01"/>
    <s v="TATXXD"/>
    <s v="AU03"/>
    <n v="2"/>
    <n v="1250"/>
    <n v="0"/>
    <n v="29"/>
    <n v="0"/>
    <n v="29"/>
    <n v="0"/>
    <n v="29"/>
    <n v="0"/>
    <n v="0"/>
    <n v="29"/>
    <n v="0"/>
    <n v="0"/>
    <n v="29"/>
    <n v="0"/>
    <n v="0"/>
    <n v="0"/>
    <n v="29"/>
    <n v="0"/>
    <n v="0"/>
    <m/>
  </r>
  <r>
    <n v="742"/>
    <d v="2025-08-18T00:00:00"/>
    <s v="ZBTO"/>
    <n v="9519024914"/>
    <n v="1"/>
    <s v="9519024914-1"/>
    <s v="Oct'25"/>
    <x v="0"/>
    <x v="4"/>
    <m/>
    <x v="0"/>
    <x v="0"/>
    <s v="South"/>
    <s v="Tamil Nadu"/>
    <m/>
    <n v="116465"/>
    <s v="SRI BALAJI STEEL TRADERS"/>
    <n v="1804867"/>
    <s v="CRCA COIL-TATXXD-AU03-1.6X1250"/>
    <s v="C01"/>
    <s v="TATXXD"/>
    <s v="AU03"/>
    <n v="1.6"/>
    <n v="1250"/>
    <n v="0"/>
    <n v="29"/>
    <n v="0"/>
    <n v="29"/>
    <n v="0"/>
    <n v="29"/>
    <n v="0"/>
    <n v="0"/>
    <n v="29"/>
    <n v="0"/>
    <n v="0"/>
    <n v="29"/>
    <n v="0"/>
    <n v="0"/>
    <n v="0"/>
    <n v="29"/>
    <n v="0"/>
    <n v="0"/>
    <m/>
  </r>
  <r>
    <n v="742"/>
    <d v="2025-07-25T00:00:00"/>
    <s v="ZBTO"/>
    <n v="9518959858"/>
    <n v="3"/>
    <s v="9518959858-3"/>
    <s v="Oct'25"/>
    <x v="0"/>
    <x v="4"/>
    <m/>
    <x v="0"/>
    <x v="0"/>
    <s v="North"/>
    <m/>
    <m/>
    <n v="950170"/>
    <s v="FERRUS MART PRIVATE LIMITED"/>
    <n v="185675"/>
    <s v="CRCA COIL-TATXXD-AU03-0.5X1250"/>
    <s v="C01"/>
    <s v="TATXXD"/>
    <s v="AU03"/>
    <n v="0.5"/>
    <n v="1250"/>
    <n v="0"/>
    <n v="58"/>
    <n v="24.875"/>
    <n v="33.125"/>
    <n v="0"/>
    <n v="33.125"/>
    <n v="0"/>
    <n v="33.125"/>
    <n v="0"/>
    <n v="0"/>
    <n v="0"/>
    <n v="33.125"/>
    <n v="0"/>
    <n v="0"/>
    <n v="33.125"/>
    <n v="0"/>
    <n v="0"/>
    <n v="0"/>
    <m/>
  </r>
  <r>
    <n v="742"/>
    <d v="2025-09-11T00:00:00"/>
    <s v="ZBTO"/>
    <n v="9519096071"/>
    <n v="2"/>
    <s v="9519096071-2"/>
    <s v="Oct'25"/>
    <x v="0"/>
    <x v="7"/>
    <m/>
    <x v="0"/>
    <x v="0"/>
    <s v="East"/>
    <s v="Jharkhand"/>
    <m/>
    <n v="121328"/>
    <s v="R. S. BOKARO METAL (P) LTD."/>
    <n v="2441002"/>
    <s v="CRCA SHEET TATCRC SR16 0.380X1250X2500"/>
    <s v="C06"/>
    <s v="TATCRC"/>
    <s v="SR16"/>
    <n v="0.38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2"/>
    <d v="2025-09-12T00:00:00"/>
    <s v="ZBTO"/>
    <n v="9519097437"/>
    <n v="12"/>
    <s v="9519097437-12"/>
    <s v="Oct'25"/>
    <x v="0"/>
    <x v="7"/>
    <m/>
    <x v="0"/>
    <x v="0"/>
    <s v="East"/>
    <s v="Jharkhand"/>
    <m/>
    <n v="185794"/>
    <s v="SHREE BAJRANG STEEL UDYOG"/>
    <n v="3240792"/>
    <s v="CRCA SHEET TSBCRC SR15 0.600X1250X2500"/>
    <s v="C06"/>
    <s v="TSBCRC"/>
    <s v="SR15"/>
    <n v="0.6"/>
    <n v="1250"/>
    <n v="2500"/>
    <n v="58"/>
    <n v="0"/>
    <n v="58"/>
    <n v="0"/>
    <n v="58"/>
    <n v="0"/>
    <n v="0"/>
    <n v="0"/>
    <n v="58"/>
    <n v="0"/>
    <n v="58"/>
    <n v="0"/>
    <n v="0"/>
    <n v="0"/>
    <n v="0"/>
    <n v="58"/>
    <n v="0"/>
    <m/>
  </r>
  <r>
    <n v="742"/>
    <d v="2025-09-12T00:00:00"/>
    <s v="ZBTO"/>
    <n v="9519097437"/>
    <n v="10"/>
    <s v="9519097437-10"/>
    <s v="Oct'25"/>
    <x v="0"/>
    <x v="7"/>
    <m/>
    <x v="0"/>
    <x v="0"/>
    <s v="East"/>
    <s v="Jharkhand"/>
    <m/>
    <n v="185794"/>
    <s v="SHREE BAJRANG STEEL UDYOG"/>
    <n v="3240765"/>
    <s v="CRCA SHEET TSBCRC SR15 0.500X1250X2500"/>
    <s v="C06"/>
    <s v="TSBCRC"/>
    <s v="SR15"/>
    <n v="0.5"/>
    <n v="1250"/>
    <n v="2500"/>
    <n v="116"/>
    <n v="0"/>
    <n v="116"/>
    <n v="0"/>
    <n v="116"/>
    <n v="0"/>
    <n v="116"/>
    <n v="0"/>
    <n v="0"/>
    <n v="0"/>
    <n v="116"/>
    <n v="0"/>
    <n v="0"/>
    <n v="116"/>
    <n v="0"/>
    <n v="0"/>
    <n v="0"/>
    <m/>
  </r>
  <r>
    <n v="742"/>
    <d v="2025-09-12T00:00:00"/>
    <s v="ZBTO"/>
    <n v="9519097437"/>
    <n v="5"/>
    <s v="9519097437-5"/>
    <s v="Oct'25"/>
    <x v="0"/>
    <x v="7"/>
    <m/>
    <x v="0"/>
    <x v="0"/>
    <s v="East"/>
    <s v="Jharkhand"/>
    <m/>
    <n v="185794"/>
    <s v="SHREE BAJRANG STEEL UDYOG"/>
    <n v="2441002"/>
    <s v="CRCA SHEET TATCRC SR16 0.380X1250X2500"/>
    <s v="C06"/>
    <s v="TATCRC"/>
    <s v="SR16"/>
    <n v="0.38"/>
    <n v="1250"/>
    <n v="2500"/>
    <n v="29"/>
    <n v="0"/>
    <n v="29"/>
    <n v="0"/>
    <n v="29"/>
    <n v="0"/>
    <n v="0"/>
    <n v="0"/>
    <n v="0"/>
    <n v="29"/>
    <n v="0"/>
    <n v="0"/>
    <n v="0"/>
    <n v="0"/>
    <n v="0"/>
    <n v="0"/>
    <n v="29"/>
    <m/>
  </r>
  <r>
    <n v="743"/>
    <d v="2025-09-12T00:00:00"/>
    <s v="ZBTO"/>
    <n v="9519099563"/>
    <n v="3"/>
    <s v="9519099563-3"/>
    <s v="Stocks"/>
    <x v="2"/>
    <x v="5"/>
    <m/>
    <x v="0"/>
    <x v="0"/>
    <s v="East"/>
    <s v="Jharkhand"/>
    <m/>
    <n v="185794"/>
    <s v="SHREE BAJRANG STEEL UDYOG"/>
    <n v="1191955"/>
    <s v="GP COIL SOFT-TATXGP-GK09-0.3X900"/>
    <s v="C02"/>
    <s v="TATXGP"/>
    <s v="GK09"/>
    <n v="0.3"/>
    <n v="900"/>
    <n v="0"/>
    <n v="126"/>
    <n v="20.155000000000001"/>
    <n v="105.845"/>
    <n v="10.055"/>
    <n v="0"/>
    <n v="0"/>
    <n v="0"/>
    <n v="0"/>
    <n v="0"/>
    <n v="0"/>
    <n v="10.055"/>
    <n v="10.055"/>
    <n v="0"/>
    <n v="0"/>
    <n v="0"/>
    <n v="0"/>
    <n v="0"/>
    <m/>
  </r>
  <r>
    <n v="743"/>
    <d v="2025-09-15T00:00:00"/>
    <s v="ZBTO"/>
    <n v="9519104694"/>
    <n v="10"/>
    <s v="9519104694-10"/>
    <s v="Stocks"/>
    <x v="2"/>
    <x v="11"/>
    <m/>
    <x v="0"/>
    <x v="0"/>
    <s v="East"/>
    <s v="Jharkhand"/>
    <m/>
    <n v="121328"/>
    <s v="R. S. BOKARO METAL (P) LTD."/>
    <n v="1300227"/>
    <s v="GP COIL SOFT-TATXGP-GLK1-0.6X1220"/>
    <s v="C02"/>
    <s v="TATXGP"/>
    <s v="GLK1"/>
    <n v="0.6"/>
    <n v="1220"/>
    <n v="0"/>
    <n v="56"/>
    <n v="54.314999999999998"/>
    <n v="1.6850000000000001"/>
    <n v="9.1549999999999994"/>
    <n v="0"/>
    <n v="0"/>
    <n v="0"/>
    <n v="0"/>
    <n v="0"/>
    <n v="0"/>
    <n v="9.1549999999999994"/>
    <n v="9.1549999999999994"/>
    <n v="0"/>
    <n v="0"/>
    <n v="0"/>
    <n v="0"/>
    <n v="0"/>
    <m/>
  </r>
  <r>
    <n v="743"/>
    <d v="2025-09-15T00:00:00"/>
    <s v="ZBTO"/>
    <n v="9519104694"/>
    <n v="9"/>
    <s v="9519104694-9"/>
    <s v="Oct'25"/>
    <x v="2"/>
    <x v="11"/>
    <m/>
    <x v="0"/>
    <x v="0"/>
    <s v="East"/>
    <s v="Jharkhand"/>
    <m/>
    <n v="121328"/>
    <s v="R. S. BOKARO METAL (P) LTD."/>
    <n v="1300228"/>
    <s v="GP COIL SOFT-TATXGP-GLK1-0.5X1220"/>
    <s v="C02"/>
    <s v="TATXGP"/>
    <s v="GLK1"/>
    <n v="0.5"/>
    <n v="1220"/>
    <n v="0"/>
    <n v="84"/>
    <n v="0"/>
    <n v="84"/>
    <n v="0"/>
    <n v="84"/>
    <n v="0"/>
    <n v="84"/>
    <n v="0"/>
    <n v="0"/>
    <n v="0"/>
    <n v="84"/>
    <n v="0"/>
    <n v="0"/>
    <n v="84"/>
    <n v="0"/>
    <n v="0"/>
    <n v="0"/>
    <m/>
  </r>
  <r>
    <n v="743"/>
    <d v="2025-09-15T00:00:00"/>
    <s v="ZBTO"/>
    <n v="9519104694"/>
    <n v="8"/>
    <s v="9519104694-8"/>
    <s v="Oct'25"/>
    <x v="2"/>
    <x v="11"/>
    <m/>
    <x v="0"/>
    <x v="0"/>
    <s v="East"/>
    <s v="Jharkhand"/>
    <m/>
    <n v="121328"/>
    <s v="R. S. BOKARO METAL (P) LTD."/>
    <n v="1854416"/>
    <s v="GP COIL SOFT-TATXGP-GLK1-0.45X1220"/>
    <s v="C02"/>
    <s v="TATXGP"/>
    <s v="GLK1"/>
    <n v="0.45"/>
    <n v="1220"/>
    <n v="0"/>
    <n v="28"/>
    <n v="0"/>
    <n v="28"/>
    <n v="0"/>
    <n v="28"/>
    <n v="0"/>
    <n v="28"/>
    <n v="0"/>
    <n v="0"/>
    <n v="0"/>
    <n v="28"/>
    <n v="0"/>
    <n v="0"/>
    <n v="28"/>
    <n v="0"/>
    <n v="0"/>
    <n v="0"/>
    <m/>
  </r>
  <r>
    <n v="743"/>
    <d v="2025-09-15T00:00:00"/>
    <s v="ZBTO"/>
    <n v="9519104694"/>
    <n v="2"/>
    <s v="9519104694-2"/>
    <s v="Oct'25"/>
    <x v="2"/>
    <x v="5"/>
    <m/>
    <x v="0"/>
    <x v="0"/>
    <s v="East"/>
    <s v="Jharkhand"/>
    <m/>
    <n v="121328"/>
    <s v="R. S. BOKARO METAL (P) LTD."/>
    <n v="1191955"/>
    <s v="GP COIL SOFT-TATXGP-GK09-0.3X900"/>
    <s v="C02"/>
    <s v="TATXGP"/>
    <s v="GK09"/>
    <n v="0.3"/>
    <n v="900"/>
    <n v="0"/>
    <n v="168"/>
    <n v="0"/>
    <n v="168"/>
    <n v="0"/>
    <n v="168"/>
    <n v="0"/>
    <n v="168"/>
    <n v="0"/>
    <n v="0"/>
    <n v="0"/>
    <n v="168"/>
    <n v="0"/>
    <n v="0"/>
    <n v="168"/>
    <n v="0"/>
    <n v="0"/>
    <n v="0"/>
    <m/>
  </r>
  <r>
    <n v="743"/>
    <d v="2025-09-15T00:00:00"/>
    <s v="ZBTO"/>
    <n v="9519104694"/>
    <n v="1"/>
    <s v="9519104694-1"/>
    <s v="Oct'25"/>
    <x v="2"/>
    <x v="5"/>
    <m/>
    <x v="0"/>
    <x v="0"/>
    <s v="East"/>
    <s v="Jharkhand"/>
    <m/>
    <n v="121328"/>
    <s v="R. S. BOKARO METAL (P) LTD."/>
    <n v="1851065"/>
    <s v="GP COIL SOFT-TATXGP-GK09-0.25X900"/>
    <s v="C02"/>
    <s v="TATXGP"/>
    <s v="GK09"/>
    <n v="0.25"/>
    <n v="900"/>
    <n v="0"/>
    <n v="21"/>
    <n v="0"/>
    <n v="21"/>
    <n v="0"/>
    <n v="21"/>
    <n v="0"/>
    <n v="0"/>
    <n v="21"/>
    <n v="0"/>
    <n v="0"/>
    <n v="21"/>
    <n v="0"/>
    <n v="0"/>
    <n v="0"/>
    <n v="21"/>
    <n v="0"/>
    <n v="0"/>
    <m/>
  </r>
  <r>
    <n v="742"/>
    <d v="2025-09-16T00:00:00"/>
    <s v="ZBTO"/>
    <n v="9519109787"/>
    <n v="16"/>
    <s v="9519109787-16"/>
    <s v="Oct'25"/>
    <x v="0"/>
    <x v="7"/>
    <m/>
    <x v="0"/>
    <x v="0"/>
    <s v="East"/>
    <s v="Bihar"/>
    <m/>
    <n v="103227"/>
    <s v="BMW VENTURES LIMITED"/>
    <n v="3240786"/>
    <s v="CRCA SHEET TSBCRC SR15 0.700X1250X2500"/>
    <s v="C06"/>
    <s v="TSBCRC"/>
    <s v="SR15"/>
    <n v="0.7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2"/>
    <d v="2025-09-16T00:00:00"/>
    <s v="ZBTO"/>
    <n v="9519109787"/>
    <n v="12"/>
    <s v="9519109787-12"/>
    <s v="Oct'25"/>
    <x v="0"/>
    <x v="7"/>
    <m/>
    <x v="0"/>
    <x v="0"/>
    <s v="East"/>
    <s v="Bihar"/>
    <m/>
    <n v="103227"/>
    <s v="BMW VENTURES LIMITED"/>
    <n v="3240849"/>
    <s v="CRCA SHEET TSBCRC SR15 1.200X1250X2500"/>
    <s v="C06"/>
    <s v="TSBCRC"/>
    <s v="SR15"/>
    <n v="1.2"/>
    <n v="1250"/>
    <n v="2500"/>
    <n v="29"/>
    <n v="0"/>
    <n v="29"/>
    <n v="0"/>
    <n v="29"/>
    <n v="0"/>
    <n v="0"/>
    <n v="29"/>
    <n v="0"/>
    <n v="0"/>
    <n v="29"/>
    <n v="0"/>
    <n v="0"/>
    <n v="0"/>
    <n v="29"/>
    <n v="0"/>
    <n v="0"/>
    <m/>
  </r>
  <r>
    <n v="742"/>
    <d v="2025-09-16T00:00:00"/>
    <s v="ZBTO"/>
    <n v="9519109787"/>
    <n v="11"/>
    <s v="9519109787-11"/>
    <s v="Oct'25"/>
    <x v="0"/>
    <x v="7"/>
    <m/>
    <x v="0"/>
    <x v="0"/>
    <s v="East"/>
    <s v="Bihar"/>
    <m/>
    <n v="103227"/>
    <s v="BMW VENTURES LIMITED"/>
    <n v="3240842"/>
    <s v="CRCA SHEET TSBCRC SR15 1X1250X2500"/>
    <s v="C06"/>
    <s v="TSBCRC"/>
    <s v="SR15"/>
    <n v="1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2"/>
    <d v="2025-09-15T00:00:00"/>
    <s v="ZBTO"/>
    <n v="9519105467"/>
    <n v="16"/>
    <s v="9519105467-16"/>
    <s v="Oct'25"/>
    <x v="0"/>
    <x v="7"/>
    <m/>
    <x v="0"/>
    <x v="0"/>
    <s v="East"/>
    <s v="Bihar"/>
    <m/>
    <n v="103227"/>
    <s v="BMW VENTURES LIMITED"/>
    <n v="3240786"/>
    <s v="CRCA SHEET TSBCRC SR15 0.700X1250X2500"/>
    <s v="C06"/>
    <s v="TSBCRC"/>
    <s v="SR15"/>
    <n v="0.7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2"/>
    <d v="2025-09-15T00:00:00"/>
    <s v="ZBTO"/>
    <n v="9519105467"/>
    <n v="12"/>
    <s v="9519105467-12"/>
    <s v="Oct'25"/>
    <x v="0"/>
    <x v="7"/>
    <m/>
    <x v="0"/>
    <x v="0"/>
    <s v="East"/>
    <s v="Bihar"/>
    <m/>
    <n v="103227"/>
    <s v="BMW VENTURES LIMITED"/>
    <n v="3240849"/>
    <s v="CRCA SHEET TSBCRC SR15 1.200X1250X2500"/>
    <s v="C06"/>
    <s v="TSBCRC"/>
    <s v="SR15"/>
    <n v="1.2"/>
    <n v="1250"/>
    <n v="2500"/>
    <n v="29"/>
    <n v="0"/>
    <n v="29"/>
    <n v="0"/>
    <n v="29"/>
    <n v="0"/>
    <n v="0"/>
    <n v="0"/>
    <n v="29"/>
    <n v="0"/>
    <n v="29"/>
    <n v="0"/>
    <n v="0"/>
    <n v="0"/>
    <n v="0"/>
    <n v="29"/>
    <n v="0"/>
    <m/>
  </r>
  <r>
    <n v="742"/>
    <d v="2025-09-15T00:00:00"/>
    <s v="ZBTO"/>
    <n v="9519105467"/>
    <n v="11"/>
    <s v="9519105467-11"/>
    <s v="Oct'25"/>
    <x v="0"/>
    <x v="7"/>
    <m/>
    <x v="0"/>
    <x v="0"/>
    <s v="East"/>
    <s v="Bihar"/>
    <m/>
    <n v="103227"/>
    <s v="BMW VENTURES LIMITED"/>
    <n v="3240842"/>
    <s v="CRCA SHEET TSBCRC SR15 1X1250X2500"/>
    <s v="C06"/>
    <s v="TSBCRC"/>
    <s v="SR15"/>
    <n v="1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2"/>
    <d v="2025-09-15T00:00:00"/>
    <s v="ZBTO"/>
    <n v="9519105467"/>
    <n v="10"/>
    <s v="9519105467-10"/>
    <s v="Oct'25"/>
    <x v="0"/>
    <x v="7"/>
    <m/>
    <x v="0"/>
    <x v="0"/>
    <s v="East"/>
    <s v="Bihar"/>
    <m/>
    <n v="103227"/>
    <s v="BMW VENTURES LIMITED"/>
    <n v="3240785"/>
    <s v="CRCA SHEET TSBCRC SR15 0.600X1250X2500"/>
    <s v="C06"/>
    <s v="TSBCRC"/>
    <s v="SR15"/>
    <n v="0.6"/>
    <n v="1250"/>
    <n v="2500"/>
    <n v="29"/>
    <n v="0"/>
    <n v="29"/>
    <n v="0"/>
    <n v="29"/>
    <n v="0"/>
    <n v="0"/>
    <n v="0"/>
    <n v="0"/>
    <n v="29"/>
    <n v="0"/>
    <n v="0"/>
    <n v="0"/>
    <n v="0"/>
    <n v="0"/>
    <n v="0"/>
    <n v="29"/>
    <m/>
  </r>
  <r>
    <n v="742"/>
    <d v="2025-09-15T00:00:00"/>
    <s v="ZBTO"/>
    <n v="9519105467"/>
    <n v="7"/>
    <s v="9519105467-7"/>
    <s v="Oct'25"/>
    <x v="0"/>
    <x v="7"/>
    <m/>
    <x v="0"/>
    <x v="0"/>
    <s v="East"/>
    <s v="Bihar"/>
    <m/>
    <n v="103227"/>
    <s v="BMW VENTURES LIMITED"/>
    <n v="3239568"/>
    <s v="CRCA SHEET TATCRC SR16 0.450X1250X2500"/>
    <s v="C06"/>
    <s v="TATCRC"/>
    <s v="SR16"/>
    <n v="0.45"/>
    <n v="1250"/>
    <n v="2500"/>
    <n v="29"/>
    <n v="0"/>
    <n v="29"/>
    <n v="0"/>
    <n v="29"/>
    <n v="0"/>
    <n v="0"/>
    <n v="0"/>
    <n v="0"/>
    <n v="29"/>
    <n v="0"/>
    <n v="0"/>
    <n v="0"/>
    <n v="0"/>
    <n v="0"/>
    <n v="0"/>
    <n v="29"/>
    <m/>
  </r>
  <r>
    <n v="742"/>
    <d v="2025-09-09T00:00:00"/>
    <s v="ZBTO"/>
    <n v="9519088655"/>
    <n v="15"/>
    <s v="9519088655-15"/>
    <s v="Oct'25"/>
    <x v="0"/>
    <x v="7"/>
    <m/>
    <x v="0"/>
    <x v="0"/>
    <s v="East"/>
    <s v="Orissa"/>
    <m/>
    <n v="117061"/>
    <s v="BHARTIA  DISTRIBUTORS PVT. LTD."/>
    <n v="3240857"/>
    <s v="CRCA SHEET TSBCRC SR15 2X1250X2500"/>
    <s v="C06"/>
    <s v="TSBCRC"/>
    <s v="SR15"/>
    <n v="2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2"/>
    <d v="2025-09-09T00:00:00"/>
    <s v="ZBTO"/>
    <n v="9519088655"/>
    <n v="14"/>
    <s v="9519088655-14"/>
    <s v="Oct'25"/>
    <x v="0"/>
    <x v="7"/>
    <m/>
    <x v="0"/>
    <x v="0"/>
    <s v="East"/>
    <s v="Orissa"/>
    <m/>
    <n v="117061"/>
    <s v="BHARTIA  DISTRIBUTORS PVT. LTD."/>
    <n v="3240863"/>
    <s v="CRCA SHEET TSBCRC SR15 1.500X1250X2500"/>
    <s v="C06"/>
    <s v="TSBCRC"/>
    <s v="SR15"/>
    <n v="1.5"/>
    <n v="1250"/>
    <n v="2500"/>
    <n v="58"/>
    <n v="0"/>
    <n v="58"/>
    <n v="0"/>
    <n v="58"/>
    <n v="0"/>
    <n v="58"/>
    <n v="0"/>
    <n v="0"/>
    <n v="0"/>
    <n v="58"/>
    <n v="0"/>
    <n v="0"/>
    <n v="58"/>
    <n v="0"/>
    <n v="0"/>
    <n v="0"/>
    <m/>
  </r>
  <r>
    <n v="742"/>
    <d v="2025-09-09T00:00:00"/>
    <s v="ZBTO"/>
    <n v="9519088655"/>
    <n v="11"/>
    <s v="9519088655-11"/>
    <s v="Oct'25"/>
    <x v="0"/>
    <x v="7"/>
    <m/>
    <x v="0"/>
    <x v="0"/>
    <s v="East"/>
    <s v="Orissa"/>
    <m/>
    <n v="117061"/>
    <s v="BHARTIA  DISTRIBUTORS PVT. LTD."/>
    <n v="3240820"/>
    <s v="CRCA SHEET TSBCRC SR15 0.900X1250X2500"/>
    <s v="C06"/>
    <s v="TSBCRC"/>
    <s v="SR15"/>
    <n v="0.9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2"/>
    <d v="2025-09-09T00:00:00"/>
    <s v="ZBTO"/>
    <n v="9519088655"/>
    <n v="10"/>
    <s v="9519088655-10"/>
    <s v="Oct'25"/>
    <x v="0"/>
    <x v="7"/>
    <m/>
    <x v="0"/>
    <x v="0"/>
    <s v="East"/>
    <s v="Orissa"/>
    <m/>
    <n v="117061"/>
    <s v="BHARTIA  DISTRIBUTORS PVT. LTD."/>
    <n v="3240808"/>
    <s v="CRCA SHEET TSBCRC SR15 0.800X1250X2500"/>
    <s v="C06"/>
    <s v="TSBCRC"/>
    <s v="SR15"/>
    <n v="0.8"/>
    <n v="1250"/>
    <n v="250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2"/>
    <d v="2025-09-09T00:00:00"/>
    <s v="ZBTO"/>
    <n v="9519088655"/>
    <n v="8"/>
    <s v="9519088655-8"/>
    <s v="Oct'25"/>
    <x v="0"/>
    <x v="7"/>
    <m/>
    <x v="0"/>
    <x v="0"/>
    <s v="East"/>
    <s v="Orissa"/>
    <m/>
    <n v="117061"/>
    <s v="BHARTIA  DISTRIBUTORS PVT. LTD."/>
    <n v="3240790"/>
    <s v="CRCA SHEET TSBCRC SR15 0.700X1000X2500"/>
    <s v="C06"/>
    <s v="TSBCRC"/>
    <s v="SR15"/>
    <n v="0.7"/>
    <n v="1000"/>
    <n v="2500"/>
    <n v="23"/>
    <n v="0"/>
    <n v="23"/>
    <n v="0"/>
    <n v="23"/>
    <n v="0"/>
    <n v="0"/>
    <n v="0"/>
    <n v="23"/>
    <n v="0"/>
    <n v="23"/>
    <n v="0"/>
    <n v="0"/>
    <n v="0"/>
    <n v="0"/>
    <n v="23"/>
    <n v="0"/>
    <m/>
  </r>
  <r>
    <n v="742"/>
    <d v="2025-09-09T00:00:00"/>
    <s v="ZBTO"/>
    <n v="9519088655"/>
    <n v="7"/>
    <s v="9519088655-7"/>
    <s v="Oct'25"/>
    <x v="0"/>
    <x v="7"/>
    <m/>
    <x v="0"/>
    <x v="0"/>
    <s v="East"/>
    <s v="Orissa"/>
    <m/>
    <n v="117061"/>
    <s v="BHARTIA  DISTRIBUTORS PVT. LTD."/>
    <n v="3240778"/>
    <s v="CRCA SHEET TSBCRC SR15 0.600X1000X2500"/>
    <s v="C06"/>
    <s v="TSBCRC"/>
    <s v="SR15"/>
    <n v="0.6"/>
    <n v="1000"/>
    <n v="2500"/>
    <n v="23"/>
    <n v="0"/>
    <n v="23"/>
    <n v="0"/>
    <n v="23"/>
    <n v="0"/>
    <n v="0"/>
    <n v="0"/>
    <n v="23"/>
    <n v="0"/>
    <n v="23"/>
    <n v="0"/>
    <n v="0"/>
    <n v="0"/>
    <n v="0"/>
    <n v="23"/>
    <n v="0"/>
    <m/>
  </r>
  <r>
    <n v="742"/>
    <d v="2025-09-09T00:00:00"/>
    <s v="ZBTO"/>
    <n v="9519088655"/>
    <n v="6"/>
    <s v="9519088655-6"/>
    <s v="Oct'25"/>
    <x v="0"/>
    <x v="7"/>
    <m/>
    <x v="0"/>
    <x v="0"/>
    <s v="East"/>
    <s v="Orissa"/>
    <m/>
    <n v="117061"/>
    <s v="BHARTIA  DISTRIBUTORS PVT. LTD."/>
    <n v="3240760"/>
    <s v="CRCA SHEET TSBCRC SR15 0.500X1000X2500"/>
    <s v="C06"/>
    <s v="TSBCRC"/>
    <s v="SR15"/>
    <n v="0.5"/>
    <n v="1000"/>
    <n v="2500"/>
    <n v="23"/>
    <n v="0"/>
    <n v="23"/>
    <n v="0"/>
    <n v="23"/>
    <n v="0"/>
    <n v="0"/>
    <n v="0"/>
    <n v="23"/>
    <n v="0"/>
    <n v="23"/>
    <n v="0"/>
    <n v="0"/>
    <n v="0"/>
    <n v="0"/>
    <n v="23"/>
    <n v="0"/>
    <m/>
  </r>
  <r>
    <n v="742"/>
    <d v="2025-09-09T00:00:00"/>
    <s v="ZBTO"/>
    <n v="9519088655"/>
    <n v="5"/>
    <s v="9519088655-5"/>
    <s v="Oct'25"/>
    <x v="0"/>
    <x v="7"/>
    <m/>
    <x v="0"/>
    <x v="0"/>
    <s v="East"/>
    <s v="Orissa"/>
    <m/>
    <n v="117061"/>
    <s v="BHARTIA  DISTRIBUTORS PVT. LTD."/>
    <n v="3239568"/>
    <s v="CRCA SHEET TATCRC SR16 0.450X1250X2500"/>
    <s v="C06"/>
    <s v="TATCRC"/>
    <s v="SR16"/>
    <n v="0.45"/>
    <n v="1250"/>
    <n v="2500"/>
    <n v="29"/>
    <n v="0"/>
    <n v="29"/>
    <n v="0"/>
    <n v="29"/>
    <n v="0"/>
    <n v="0"/>
    <n v="0"/>
    <n v="29"/>
    <n v="0"/>
    <n v="29"/>
    <n v="0"/>
    <n v="0"/>
    <n v="0"/>
    <n v="0"/>
    <n v="29"/>
    <n v="0"/>
    <m/>
  </r>
  <r>
    <n v="742"/>
    <d v="2025-09-09T00:00:00"/>
    <s v="ZBTO"/>
    <n v="9519088655"/>
    <n v="1"/>
    <s v="9519088655-1"/>
    <s v="Oct'25"/>
    <x v="0"/>
    <x v="7"/>
    <m/>
    <x v="0"/>
    <x v="0"/>
    <s v="East"/>
    <s v="Orissa"/>
    <m/>
    <n v="117061"/>
    <s v="BHARTIA  DISTRIBUTORS PVT. LTD."/>
    <n v="3239536"/>
    <s v="CRCA SHEET TATCRC SR16 0.350X900X2500"/>
    <s v="C06"/>
    <s v="TATCRC"/>
    <s v="SR16"/>
    <n v="0.35"/>
    <n v="900"/>
    <n v="2500"/>
    <n v="42"/>
    <n v="0"/>
    <n v="42"/>
    <n v="0"/>
    <n v="42"/>
    <n v="0"/>
    <n v="0"/>
    <n v="0"/>
    <n v="42"/>
    <n v="0"/>
    <n v="42"/>
    <n v="0"/>
    <n v="0"/>
    <n v="0"/>
    <n v="0"/>
    <n v="42"/>
    <n v="0"/>
    <m/>
  </r>
  <r>
    <n v="742"/>
    <d v="2025-09-12T00:00:00"/>
    <s v="ZBTO"/>
    <n v="9519098913"/>
    <n v="3"/>
    <s v="9519098913-3"/>
    <s v="Oct'25"/>
    <x v="0"/>
    <x v="12"/>
    <n v="1800"/>
    <x v="0"/>
    <x v="0"/>
    <s v="North"/>
    <s v="Haryana"/>
    <m/>
    <n v="831432"/>
    <s v="FERRO STEEL SOLUTIONS"/>
    <n v="2420508"/>
    <s v="CRCA COIL TATXXD AH03 0.500X1250"/>
    <s v="C01"/>
    <s v="TATXXD"/>
    <s v="AH03"/>
    <n v="0.5"/>
    <n v="1250"/>
    <n v="0"/>
    <n v="174"/>
    <n v="0"/>
    <n v="174"/>
    <n v="0"/>
    <n v="174"/>
    <n v="0"/>
    <n v="0"/>
    <n v="174"/>
    <n v="0"/>
    <n v="0"/>
    <n v="174"/>
    <n v="0"/>
    <n v="0"/>
    <n v="0"/>
    <n v="174"/>
    <n v="0"/>
    <n v="0"/>
    <m/>
  </r>
  <r>
    <n v="742"/>
    <d v="2025-09-12T00:00:00"/>
    <s v="ZBTO"/>
    <n v="9519098913"/>
    <n v="2"/>
    <s v="9519098913-2"/>
    <s v="Oct'25"/>
    <x v="0"/>
    <x v="12"/>
    <m/>
    <x v="0"/>
    <x v="0"/>
    <s v="North"/>
    <s v="Haryana"/>
    <m/>
    <n v="831432"/>
    <s v="FERRO STEEL SOLUTIONS"/>
    <n v="2420508"/>
    <s v="CRCA COIL TATXXD AH03 0.500X1250"/>
    <s v="C01"/>
    <s v="TATXXD"/>
    <s v="AH03"/>
    <n v="0.5"/>
    <n v="1250"/>
    <n v="0"/>
    <n v="174"/>
    <n v="0"/>
    <n v="174"/>
    <n v="0"/>
    <n v="174"/>
    <n v="0"/>
    <n v="174"/>
    <n v="0"/>
    <n v="0"/>
    <n v="0"/>
    <n v="174"/>
    <n v="0"/>
    <n v="0"/>
    <n v="174"/>
    <n v="0"/>
    <n v="0"/>
    <n v="0"/>
    <m/>
  </r>
  <r>
    <n v="742"/>
    <d v="2025-09-17T00:00:00"/>
    <s v="ZBTO"/>
    <n v="9519112644"/>
    <n v="1"/>
    <s v="9519112644-1"/>
    <s v="Oct'25"/>
    <x v="0"/>
    <x v="7"/>
    <m/>
    <x v="0"/>
    <x v="0"/>
    <s v="East"/>
    <s v="Chhattisgarh"/>
    <m/>
    <n v="139336"/>
    <s v="PASA ASSOCIATES PRIVATE LIMITED"/>
    <n v="3239548"/>
    <s v="CRCA SHEET TATCRC SR16 0.400X900X2500"/>
    <s v="C06"/>
    <s v="TATCRC"/>
    <s v="SR16"/>
    <n v="0.4"/>
    <n v="900"/>
    <n v="2500"/>
    <n v="21"/>
    <n v="0"/>
    <n v="21"/>
    <n v="0"/>
    <n v="21"/>
    <n v="0"/>
    <n v="0"/>
    <n v="21"/>
    <n v="0"/>
    <n v="0"/>
    <n v="21"/>
    <n v="0"/>
    <n v="0"/>
    <n v="0"/>
    <n v="21"/>
    <n v="0"/>
    <n v="0"/>
    <m/>
  </r>
  <r>
    <n v="742"/>
    <d v="2025-09-16T00:00:00"/>
    <s v="ZBTO"/>
    <n v="9519109856"/>
    <n v="3"/>
    <s v="9519109856-3"/>
    <s v="Oct'25"/>
    <x v="0"/>
    <x v="7"/>
    <m/>
    <x v="0"/>
    <x v="0"/>
    <s v="East"/>
    <s v="West Bengal"/>
    <m/>
    <n v="948783"/>
    <s v="SAGAR STEELS"/>
    <n v="3839276"/>
    <s v="CRCA SHEET TATCRC SR16 0.300X1250X2500"/>
    <s v="C06"/>
    <s v="TATCRC"/>
    <s v="SR16"/>
    <n v="0.3"/>
    <n v="1250"/>
    <n v="2500"/>
    <n v="58"/>
    <n v="0"/>
    <n v="58"/>
    <n v="0"/>
    <n v="58"/>
    <n v="0"/>
    <n v="0"/>
    <n v="0"/>
    <n v="58"/>
    <n v="0"/>
    <n v="58"/>
    <n v="0"/>
    <n v="0"/>
    <n v="0"/>
    <n v="0"/>
    <n v="58"/>
    <n v="0"/>
    <m/>
  </r>
  <r>
    <n v="742"/>
    <d v="2025-09-16T00:00:00"/>
    <s v="ZBTO"/>
    <n v="9519109856"/>
    <n v="2"/>
    <s v="9519109856-2"/>
    <s v="Oct'25"/>
    <x v="0"/>
    <x v="7"/>
    <m/>
    <x v="0"/>
    <x v="0"/>
    <s v="East"/>
    <s v="West Bengal"/>
    <m/>
    <n v="948783"/>
    <s v="SAGAR STEELS"/>
    <n v="3239533"/>
    <s v="CRCA SHEET TATCRC SR16 0.300X1000X2500"/>
    <s v="C06"/>
    <s v="TATCRC"/>
    <s v="SR16"/>
    <n v="0.3"/>
    <n v="1000"/>
    <n v="2500"/>
    <n v="23"/>
    <n v="0"/>
    <n v="23"/>
    <n v="0"/>
    <n v="23"/>
    <n v="0"/>
    <n v="0"/>
    <n v="23"/>
    <n v="0"/>
    <n v="0"/>
    <n v="23"/>
    <n v="0"/>
    <n v="0"/>
    <n v="0"/>
    <n v="23"/>
    <n v="0"/>
    <n v="0"/>
    <m/>
  </r>
  <r>
    <n v="742"/>
    <d v="2025-09-16T00:00:00"/>
    <s v="ZBTO"/>
    <n v="9519109856"/>
    <n v="1"/>
    <s v="9519109856-1"/>
    <s v="Oct'25"/>
    <x v="0"/>
    <x v="7"/>
    <n v="5000"/>
    <x v="0"/>
    <x v="0"/>
    <s v="East"/>
    <s v="West Bengal"/>
    <m/>
    <n v="948783"/>
    <s v="SAGAR STEELS"/>
    <n v="3903882"/>
    <s v="CRCA SHEET TATCRC SR16 0.250X1250X2500"/>
    <s v="C06"/>
    <s v="TATCRC"/>
    <s v="SR16"/>
    <n v="0.25"/>
    <n v="1250"/>
    <n v="2500"/>
    <n v="29"/>
    <n v="0"/>
    <n v="29"/>
    <n v="0"/>
    <n v="29"/>
    <n v="0"/>
    <n v="0"/>
    <n v="0"/>
    <n v="29"/>
    <n v="0"/>
    <n v="29"/>
    <n v="0"/>
    <n v="0"/>
    <n v="0"/>
    <n v="0"/>
    <n v="29"/>
    <n v="0"/>
    <m/>
  </r>
  <r>
    <n v="743"/>
    <d v="2025-09-13T00:00:00"/>
    <s v="ZBTO"/>
    <n v="9519101481"/>
    <n v="3"/>
    <s v="9519101481-3"/>
    <s v="Oct'25"/>
    <x v="3"/>
    <x v="1"/>
    <m/>
    <x v="1"/>
    <x v="1"/>
    <s v="TBSPL"/>
    <s v="Jharkhand"/>
    <m/>
    <n v="942283"/>
    <s v="TATA BLUESCOPE STEEL PRIVATE LIMITE"/>
    <n v="1881988"/>
    <s v="GL C YS550 H6GL 0.50BMT(0.55TCT)X1220"/>
    <s v="B04"/>
    <s v="Y550GL"/>
    <s v="H6GL"/>
    <n v="0.5"/>
    <n v="1220"/>
    <n v="0"/>
    <n v="28"/>
    <n v="0"/>
    <n v="28"/>
    <n v="0"/>
    <n v="28"/>
    <n v="28"/>
    <n v="0"/>
    <n v="0"/>
    <n v="0"/>
    <n v="0"/>
    <n v="28"/>
    <n v="0"/>
    <n v="28"/>
    <n v="0"/>
    <n v="0"/>
    <n v="0"/>
    <n v="0"/>
    <m/>
  </r>
  <r>
    <n v="743"/>
    <d v="2025-09-13T00:00:00"/>
    <s v="ZBTO"/>
    <n v="9519101481"/>
    <n v="2"/>
    <s v="9519101481-2"/>
    <s v="Oct'25"/>
    <x v="3"/>
    <x v="1"/>
    <m/>
    <x v="1"/>
    <x v="1"/>
    <s v="TBSPL"/>
    <s v="Jharkhand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n v="56"/>
    <n v="32.32"/>
    <n v="23.68"/>
    <n v="32.32"/>
    <n v="23.68"/>
    <n v="0"/>
    <n v="23.68"/>
    <n v="0"/>
    <n v="0"/>
    <n v="0"/>
    <n v="56"/>
    <n v="0"/>
    <n v="0"/>
    <n v="56"/>
    <n v="0"/>
    <n v="0"/>
    <n v="0"/>
    <m/>
  </r>
  <r>
    <n v="743"/>
    <d v="2025-09-13T00:00:00"/>
    <s v="ZBTO"/>
    <n v="9519101481"/>
    <n v="1"/>
    <s v="9519101481-1"/>
    <s v="Stocks"/>
    <x v="3"/>
    <x v="1"/>
    <m/>
    <x v="1"/>
    <x v="1"/>
    <s v="TBSPL"/>
    <s v="Jharkhand"/>
    <m/>
    <n v="942283"/>
    <s v="TATA BLUESCOPE STEEL PRIVATE LIMITE"/>
    <n v="1881969"/>
    <s v="GL C YS550 H6GL 0.45BMT(0.50TCT)X1220"/>
    <s v="B04"/>
    <s v="Y550GL"/>
    <s v="H6GL"/>
    <n v="0.45"/>
    <n v="1220"/>
    <n v="0"/>
    <n v="196"/>
    <n v="190.37"/>
    <n v="5.63"/>
    <n v="185.80000000000004"/>
    <n v="5.63"/>
    <n v="5.63"/>
    <n v="0"/>
    <n v="0"/>
    <n v="0"/>
    <n v="0"/>
    <n v="191.43000000000004"/>
    <n v="0"/>
    <n v="191.43000000000004"/>
    <n v="0"/>
    <n v="0"/>
    <n v="0"/>
    <n v="0"/>
    <m/>
  </r>
  <r>
    <n v="742"/>
    <d v="2025-09-11T00:00:00"/>
    <s v="ZBTO"/>
    <n v="9519094552"/>
    <n v="5"/>
    <s v="9519094552-5"/>
    <s v="Oct'25"/>
    <x v="0"/>
    <x v="7"/>
    <m/>
    <x v="0"/>
    <x v="0"/>
    <s v="East"/>
    <s v="West Bengal"/>
    <m/>
    <n v="948783"/>
    <s v="SAGAR STEELS"/>
    <n v="3239568"/>
    <s v="CRCA SHEET TATCRC SR16 0.450X1250X2500"/>
    <s v="C06"/>
    <s v="TATCRC"/>
    <s v="SR16"/>
    <n v="0.45"/>
    <n v="1250"/>
    <n v="2500"/>
    <n v="29"/>
    <n v="0"/>
    <n v="29"/>
    <n v="0"/>
    <n v="29"/>
    <n v="0"/>
    <n v="0"/>
    <n v="0"/>
    <n v="29"/>
    <n v="0"/>
    <n v="29"/>
    <n v="0"/>
    <n v="0"/>
    <n v="0"/>
    <n v="0"/>
    <n v="29"/>
    <n v="0"/>
    <m/>
  </r>
  <r>
    <n v="742"/>
    <d v="2025-09-11T00:00:00"/>
    <s v="ZBTO"/>
    <n v="9519094552"/>
    <n v="1"/>
    <s v="9519094552-1"/>
    <s v="Oct'25"/>
    <x v="0"/>
    <x v="7"/>
    <m/>
    <x v="0"/>
    <x v="0"/>
    <s v="East"/>
    <s v="West Bengal"/>
    <m/>
    <n v="948783"/>
    <s v="SAGAR STEELS"/>
    <n v="2427612"/>
    <s v="CRCA SHEET TATCRC SR16 0.300X900X2500"/>
    <s v="C06"/>
    <s v="TATCRC"/>
    <s v="SR16"/>
    <n v="0.3"/>
    <n v="900"/>
    <n v="2500"/>
    <n v="42"/>
    <n v="0"/>
    <n v="42"/>
    <n v="0"/>
    <n v="42"/>
    <n v="0"/>
    <n v="0"/>
    <n v="42"/>
    <n v="0"/>
    <n v="0"/>
    <n v="42"/>
    <n v="0"/>
    <n v="0"/>
    <n v="0"/>
    <n v="42"/>
    <n v="0"/>
    <n v="0"/>
    <m/>
  </r>
  <r>
    <n v="743"/>
    <d v="2025-09-09T00:00:00"/>
    <s v="ZBTO"/>
    <n v="9519090038"/>
    <n v="4"/>
    <s v="9519090038-4"/>
    <s v="Oct'25"/>
    <x v="2"/>
    <x v="5"/>
    <m/>
    <x v="0"/>
    <x v="0"/>
    <s v="East"/>
    <s v="Orissa"/>
    <m/>
    <n v="117061"/>
    <s v="BHARTIA  DISTRIBUTORS PVT. LTD."/>
    <n v="3484329"/>
    <s v="GP SH SOFT TATXGP GK09 0.600X900X2500"/>
    <s v="B11"/>
    <s v="TATXGP"/>
    <s v="GK09"/>
    <n v="0.6"/>
    <n v="900"/>
    <n v="2500"/>
    <n v="30"/>
    <n v="0"/>
    <n v="30"/>
    <n v="0"/>
    <n v="30"/>
    <n v="0"/>
    <n v="0"/>
    <n v="0"/>
    <n v="0"/>
    <n v="30"/>
    <n v="0"/>
    <n v="0"/>
    <n v="0"/>
    <n v="0"/>
    <n v="0"/>
    <n v="0"/>
    <n v="30"/>
    <m/>
  </r>
  <r>
    <n v="743"/>
    <d v="2025-09-09T00:00:00"/>
    <s v="ZBTO"/>
    <n v="9519090038"/>
    <n v="3"/>
    <s v="9519090038-3"/>
    <s v="Oct'25"/>
    <x v="2"/>
    <x v="5"/>
    <m/>
    <x v="0"/>
    <x v="0"/>
    <s v="East"/>
    <s v="Orissa"/>
    <m/>
    <n v="117061"/>
    <s v="BHARTIA  DISTRIBUTORS PVT. LTD."/>
    <n v="3484328"/>
    <s v="GP SH SOFT TATXGP GK09 0.500X900X2500"/>
    <s v="B11"/>
    <s v="TATXGP"/>
    <s v="GK09"/>
    <n v="0.5"/>
    <n v="900"/>
    <n v="2500"/>
    <n v="30"/>
    <n v="3.1850000000000001"/>
    <n v="26.815000000000001"/>
    <n v="3.1850000000000001"/>
    <n v="26.815000000000001"/>
    <n v="0"/>
    <n v="0"/>
    <n v="0"/>
    <n v="0"/>
    <n v="26.815000000000001"/>
    <n v="30"/>
    <n v="0"/>
    <n v="0"/>
    <n v="0"/>
    <n v="0"/>
    <n v="30"/>
    <n v="0"/>
    <m/>
  </r>
  <r>
    <n v="743"/>
    <d v="2025-09-09T00:00:00"/>
    <s v="ZBTO"/>
    <n v="9519090038"/>
    <n v="2"/>
    <s v="9519090038-2"/>
    <s v="Oct'25"/>
    <x v="2"/>
    <x v="5"/>
    <m/>
    <x v="0"/>
    <x v="0"/>
    <s v="East"/>
    <s v="Orissa"/>
    <m/>
    <n v="117061"/>
    <s v="BHARTIA  DISTRIBUTORS PVT. LTD."/>
    <n v="3484326"/>
    <s v="GP SH SOFT TATXGP GK09 0.400X900X2500"/>
    <s v="B11"/>
    <s v="TATXGP"/>
    <s v="GK09"/>
    <n v="0.4"/>
    <n v="900"/>
    <n v="2500"/>
    <n v="90"/>
    <n v="0"/>
    <n v="90"/>
    <n v="0"/>
    <n v="90"/>
    <n v="0"/>
    <n v="0"/>
    <n v="0"/>
    <n v="0"/>
    <n v="90"/>
    <n v="0"/>
    <n v="0"/>
    <n v="0"/>
    <n v="0"/>
    <n v="0"/>
    <n v="0"/>
    <n v="90"/>
    <m/>
  </r>
  <r>
    <n v="743"/>
    <d v="2025-09-08T00:00:00"/>
    <s v="ZBTO"/>
    <n v="9519086148"/>
    <n v="2"/>
    <s v="9519086148-2"/>
    <s v="Oct'25"/>
    <x v="2"/>
    <x v="5"/>
    <m/>
    <x v="0"/>
    <x v="0"/>
    <s v="East"/>
    <s v="West Bengal"/>
    <m/>
    <n v="100922"/>
    <s v="BUBNA COMMERCIAL COMPANY"/>
    <n v="1142895"/>
    <s v="GP COIL SOFT-TATXGP-GLK1-0.5X900"/>
    <s v="C02"/>
    <s v="TATXGP"/>
    <s v="GLK1"/>
    <n v="0.5"/>
    <n v="900"/>
    <n v="0"/>
    <n v="63"/>
    <n v="0"/>
    <n v="63"/>
    <n v="0"/>
    <n v="63"/>
    <n v="0"/>
    <n v="0"/>
    <n v="0"/>
    <n v="0"/>
    <n v="63"/>
    <n v="0"/>
    <n v="0"/>
    <n v="0"/>
    <n v="0"/>
    <n v="0"/>
    <n v="0"/>
    <n v="63"/>
    <m/>
  </r>
  <r>
    <n v="743"/>
    <d v="2025-09-08T00:00:00"/>
    <s v="ZBTO"/>
    <n v="9519086148"/>
    <n v="1"/>
    <s v="9519086148-1"/>
    <s v="Oct'25"/>
    <x v="2"/>
    <x v="5"/>
    <m/>
    <x v="0"/>
    <x v="0"/>
    <s v="East"/>
    <s v="West Bengal"/>
    <m/>
    <n v="100922"/>
    <s v="BUBNA COMMERCIAL COMPANY"/>
    <n v="1142897"/>
    <s v="GP COIL SOFT-TATXGP-GLK1-0.6X900"/>
    <s v="C02"/>
    <s v="TATXGP"/>
    <s v="GLK1"/>
    <n v="0.6"/>
    <n v="900"/>
    <n v="0"/>
    <n v="63"/>
    <n v="0"/>
    <n v="63"/>
    <n v="0"/>
    <n v="63"/>
    <n v="0"/>
    <n v="0"/>
    <n v="0"/>
    <n v="0"/>
    <n v="63"/>
    <n v="0"/>
    <n v="0"/>
    <n v="0"/>
    <n v="0"/>
    <n v="0"/>
    <n v="0"/>
    <n v="63"/>
    <m/>
  </r>
  <r>
    <n v="742"/>
    <d v="2025-09-03T00:00:00"/>
    <s v="ZBTO"/>
    <n v="9519075806"/>
    <n v="1"/>
    <s v="9519075806-1"/>
    <s v="Stocks"/>
    <x v="0"/>
    <x v="7"/>
    <m/>
    <x v="0"/>
    <x v="0"/>
    <s v="East"/>
    <s v="West Bengal"/>
    <m/>
    <n v="948783"/>
    <s v="SAGAR STEELS"/>
    <n v="3533340"/>
    <s v="CRCA SHEET TATCRC SR16 0.450X1120X2000"/>
    <s v="C06"/>
    <s v="TATCRC"/>
    <s v="SR16"/>
    <n v="0.45"/>
    <n v="1120"/>
    <n v="2000"/>
    <n v="26"/>
    <n v="10.625"/>
    <n v="15.375"/>
    <n v="10.625"/>
    <n v="0"/>
    <n v="0"/>
    <n v="0"/>
    <n v="0"/>
    <n v="0"/>
    <n v="0"/>
    <n v="10.625"/>
    <n v="10.625"/>
    <n v="0"/>
    <n v="0"/>
    <n v="0"/>
    <n v="0"/>
    <n v="0"/>
    <m/>
  </r>
  <r>
    <n v="742"/>
    <d v="2025-08-28T00:00:00"/>
    <s v="ZBTO"/>
    <n v="9519057594"/>
    <n v="1"/>
    <s v="9519057594-1"/>
    <s v="Oct'25"/>
    <x v="0"/>
    <x v="7"/>
    <m/>
    <x v="0"/>
    <x v="0"/>
    <s v="East"/>
    <s v="Assam"/>
    <m/>
    <n v="116649"/>
    <s v="SAGAR STEELS"/>
    <n v="3239408"/>
    <s v="CRCA SHEET TATCRC SR16 0.300X900X2500"/>
    <s v="C06"/>
    <s v="TATCRC"/>
    <s v="SR16"/>
    <n v="0.3"/>
    <n v="900"/>
    <n v="2500"/>
    <n v="21"/>
    <n v="0"/>
    <n v="21"/>
    <n v="0"/>
    <n v="21"/>
    <n v="0"/>
    <n v="0"/>
    <n v="21"/>
    <n v="0"/>
    <n v="0"/>
    <n v="21"/>
    <n v="0"/>
    <n v="0"/>
    <n v="0"/>
    <n v="21"/>
    <n v="0"/>
    <n v="0"/>
    <m/>
  </r>
  <r>
    <n v="742"/>
    <d v="2025-08-19T00:00:00"/>
    <s v="ZBTO"/>
    <n v="9519028902"/>
    <n v="1"/>
    <s v="9519028902-1"/>
    <s v="Oct'25"/>
    <x v="0"/>
    <x v="4"/>
    <m/>
    <x v="0"/>
    <x v="0"/>
    <s v="East"/>
    <s v="West Bengal"/>
    <m/>
    <n v="154464"/>
    <s v="TATA STEEL DOWNSTREAM PRODUCTS LIMI"/>
    <n v="2197847"/>
    <s v="CRCA COIL TATXXD AU03 1.950X1250"/>
    <s v="C01"/>
    <s v="TATXXD"/>
    <s v="AU03"/>
    <n v="1.95"/>
    <n v="1250"/>
    <n v="0"/>
    <n v="86"/>
    <n v="0"/>
    <n v="87"/>
    <n v="0"/>
    <n v="87"/>
    <n v="0"/>
    <n v="0"/>
    <n v="87"/>
    <n v="0"/>
    <n v="0"/>
    <n v="87"/>
    <n v="0"/>
    <n v="0"/>
    <n v="0"/>
    <n v="87"/>
    <n v="0"/>
    <n v="0"/>
    <m/>
  </r>
  <r>
    <n v="743"/>
    <d v="2025-08-22T00:00:00"/>
    <s v="ZBTO"/>
    <n v="9519038607"/>
    <n v="4"/>
    <s v="9519038607-4"/>
    <s v="Oct'25"/>
    <x v="2"/>
    <x v="5"/>
    <m/>
    <x v="0"/>
    <x v="0"/>
    <s v="East"/>
    <s v="West Bengal"/>
    <m/>
    <n v="100922"/>
    <s v="BUBNA COMMERCIAL COMPANY"/>
    <n v="1142897"/>
    <s v="GP COIL SOFT-TATXGP-GLK1-0.6X900"/>
    <s v="C02"/>
    <s v="TATXGP"/>
    <s v="GLK1"/>
    <n v="0.6"/>
    <n v="900"/>
    <n v="0"/>
    <n v="63"/>
    <n v="0"/>
    <n v="63"/>
    <n v="0"/>
    <n v="63"/>
    <n v="0"/>
    <n v="0"/>
    <n v="0"/>
    <n v="0"/>
    <n v="63"/>
    <n v="0"/>
    <n v="0"/>
    <n v="0"/>
    <n v="0"/>
    <n v="0"/>
    <n v="0"/>
    <n v="63"/>
    <m/>
  </r>
  <r>
    <n v="743"/>
    <d v="2025-08-22T00:00:00"/>
    <s v="ZBTO"/>
    <n v="9519038607"/>
    <n v="2"/>
    <s v="9519038607-2"/>
    <s v="Oct'25"/>
    <x v="2"/>
    <x v="5"/>
    <m/>
    <x v="0"/>
    <x v="0"/>
    <s v="East"/>
    <s v="West Bengal"/>
    <m/>
    <n v="100922"/>
    <s v="BUBNA COMMERCIAL COMPANY"/>
    <n v="1142893"/>
    <s v="GP COIL SOFT-TATXGP-GLK1-0.35X900"/>
    <s v="C02"/>
    <s v="TATXGP"/>
    <s v="GLK1"/>
    <n v="0.35"/>
    <n v="900"/>
    <n v="0"/>
    <n v="105"/>
    <n v="0"/>
    <n v="105"/>
    <n v="0"/>
    <n v="105"/>
    <n v="0"/>
    <n v="0"/>
    <n v="0"/>
    <n v="105"/>
    <n v="0"/>
    <n v="105"/>
    <n v="0"/>
    <n v="0"/>
    <n v="0"/>
    <n v="0"/>
    <n v="105"/>
    <n v="0"/>
    <m/>
  </r>
  <r>
    <n v="743"/>
    <d v="2025-08-22T00:00:00"/>
    <s v="ZBTO"/>
    <n v="9519038607"/>
    <n v="1"/>
    <s v="9519038607-1"/>
    <s v="Oct'25"/>
    <x v="2"/>
    <x v="5"/>
    <m/>
    <x v="0"/>
    <x v="0"/>
    <s v="East"/>
    <s v="West Bengal"/>
    <m/>
    <n v="100922"/>
    <s v="BUBNA COMMERCIAL COMPANY"/>
    <n v="1191955"/>
    <s v="GP COIL SOFT-TATXGP-GK09-0.3X900"/>
    <s v="C02"/>
    <s v="TATXGP"/>
    <s v="GK09"/>
    <n v="0.3"/>
    <n v="900"/>
    <n v="0"/>
    <n v="63"/>
    <n v="0"/>
    <n v="63"/>
    <n v="0"/>
    <n v="63"/>
    <n v="0"/>
    <n v="0"/>
    <n v="0"/>
    <n v="0"/>
    <n v="63"/>
    <n v="0"/>
    <n v="0"/>
    <n v="0"/>
    <n v="0"/>
    <n v="0"/>
    <n v="0"/>
    <n v="63"/>
    <m/>
  </r>
  <r>
    <n v="742"/>
    <d v="2025-09-20T00:00:00"/>
    <s v="ZBTO"/>
    <n v="9519123100"/>
    <n v="2"/>
    <s v="9519123100-2"/>
    <s v="Oct'25"/>
    <x v="0"/>
    <x v="2"/>
    <m/>
    <x v="1"/>
    <x v="1"/>
    <s v="South"/>
    <s v="Andhra Pradesh"/>
    <m/>
    <n v="188238"/>
    <s v="Balmer Lawrie &amp; Co. Limited"/>
    <n v="2170009"/>
    <s v="CRCA COIL TATXXD BT02 1.200X914"/>
    <s v="C01"/>
    <s v="TATXXD"/>
    <s v="BT02"/>
    <n v="1.2"/>
    <n v="914"/>
    <n v="0"/>
    <n v="42"/>
    <n v="0"/>
    <n v="42"/>
    <n v="0"/>
    <n v="42"/>
    <n v="0"/>
    <n v="0"/>
    <n v="0"/>
    <n v="0"/>
    <n v="42"/>
    <n v="42"/>
    <n v="0"/>
    <n v="0"/>
    <n v="0"/>
    <n v="0"/>
    <n v="42"/>
    <n v="0"/>
    <m/>
  </r>
  <r>
    <n v="742"/>
    <d v="2025-09-20T00:00:00"/>
    <s v="ZBTO"/>
    <n v="9519123118"/>
    <n v="1"/>
    <s v="9519123118-1"/>
    <s v="Oct'25"/>
    <x v="0"/>
    <x v="2"/>
    <m/>
    <x v="1"/>
    <x v="1"/>
    <s v="South"/>
    <s v="Tamil Nadu"/>
    <m/>
    <n v="187214"/>
    <s v="BALMER LAWRIE &amp; CO. LIMITED.."/>
    <n v="2164792"/>
    <s v="CRCA COIL TATXXD BT02 0.900X913"/>
    <s v="C01"/>
    <s v="TATXXD"/>
    <s v="BT02"/>
    <n v="0.9"/>
    <n v="913"/>
    <n v="0"/>
    <n v="21"/>
    <n v="0"/>
    <n v="21"/>
    <n v="0"/>
    <n v="21"/>
    <n v="0"/>
    <n v="0"/>
    <n v="21"/>
    <n v="0"/>
    <n v="0"/>
    <n v="21"/>
    <n v="0"/>
    <n v="0"/>
    <n v="0"/>
    <n v="21"/>
    <n v="0"/>
    <n v="0"/>
    <m/>
  </r>
  <r>
    <n v="742"/>
    <d v="2025-09-20T00:00:00"/>
    <s v="ZBTO"/>
    <n v="9519123118"/>
    <n v="2"/>
    <s v="9519123118-2"/>
    <s v="Oct'25"/>
    <x v="0"/>
    <x v="2"/>
    <m/>
    <x v="1"/>
    <x v="1"/>
    <s v="South"/>
    <s v="Tamil Nadu"/>
    <m/>
    <n v="187214"/>
    <s v="BALMER LAWRIE &amp; CO. LIMITED.."/>
    <n v="2164800"/>
    <s v="CRCA COIL TATXXD BT02 0.970X913"/>
    <s v="C01"/>
    <s v="TATXXD"/>
    <s v="BT02"/>
    <n v="0.97"/>
    <n v="913"/>
    <n v="0"/>
    <n v="210"/>
    <n v="0"/>
    <n v="210"/>
    <n v="0"/>
    <n v="210"/>
    <n v="0"/>
    <n v="0"/>
    <n v="0"/>
    <n v="0"/>
    <n v="210"/>
    <n v="210"/>
    <n v="0"/>
    <n v="0"/>
    <n v="0"/>
    <n v="0"/>
    <n v="210"/>
    <n v="0"/>
    <m/>
  </r>
  <r>
    <n v="742"/>
    <d v="2025-09-20T00:00:00"/>
    <s v="ZBTO"/>
    <n v="9519123118"/>
    <n v="3"/>
    <s v="9519123118-3"/>
    <s v="Oct'25"/>
    <x v="0"/>
    <x v="2"/>
    <m/>
    <x v="1"/>
    <x v="1"/>
    <s v="South"/>
    <s v="Tamil Nadu"/>
    <m/>
    <n v="187214"/>
    <s v="BALMER LAWRIE &amp; CO. LIMITED.."/>
    <n v="2164803"/>
    <s v="CRCA COIL TATXXD BT02 1.200X910"/>
    <s v="C01"/>
    <s v="TATXXD"/>
    <s v="BT02"/>
    <n v="1.2"/>
    <n v="910"/>
    <n v="0"/>
    <n v="63"/>
    <n v="0"/>
    <n v="42"/>
    <n v="0"/>
    <n v="42"/>
    <n v="0"/>
    <n v="0"/>
    <n v="0"/>
    <n v="42"/>
    <n v="0"/>
    <n v="42"/>
    <n v="0"/>
    <n v="0"/>
    <n v="0"/>
    <n v="42"/>
    <n v="0"/>
    <n v="0"/>
    <m/>
  </r>
  <r>
    <n v="742"/>
    <d v="2025-09-21T00:00:00"/>
    <s v="ZBTO"/>
    <n v="9519123183"/>
    <n v="1"/>
    <s v="9519123183-1"/>
    <s v="Oct'25"/>
    <x v="0"/>
    <x v="2"/>
    <m/>
    <x v="1"/>
    <x v="1"/>
    <s v="North"/>
    <s v="Haryana"/>
    <m/>
    <n v="189430"/>
    <s v="Balmer Lawrie &amp; Co. Ltd.,"/>
    <n v="2164792"/>
    <s v="CRCA COIL TATXXD BT02 0.900X913"/>
    <s v="C01"/>
    <s v="TATXXD"/>
    <s v="BT02"/>
    <n v="0.9"/>
    <n v="913"/>
    <n v="0"/>
    <n v="21"/>
    <n v="0"/>
    <n v="21"/>
    <n v="0"/>
    <n v="21"/>
    <n v="0"/>
    <n v="0"/>
    <n v="21"/>
    <n v="0"/>
    <n v="0"/>
    <n v="21"/>
    <n v="0"/>
    <n v="0"/>
    <n v="0"/>
    <n v="21"/>
    <n v="0"/>
    <n v="0"/>
    <m/>
  </r>
  <r>
    <n v="742"/>
    <d v="2025-09-21T00:00:00"/>
    <s v="ZBTO"/>
    <n v="9519123183"/>
    <n v="2"/>
    <s v="9519123183-2"/>
    <s v="Oct'25"/>
    <x v="0"/>
    <x v="2"/>
    <m/>
    <x v="1"/>
    <x v="1"/>
    <s v="North"/>
    <s v="Haryana"/>
    <m/>
    <n v="189430"/>
    <s v="Balmer Lawrie &amp; Co. Ltd.,"/>
    <n v="2164800"/>
    <s v="CRCA COIL TATXXD BT02 0.970X913"/>
    <s v="C01"/>
    <s v="TATXXD"/>
    <s v="BT02"/>
    <n v="0.97"/>
    <n v="913"/>
    <n v="0"/>
    <n v="210"/>
    <n v="0"/>
    <n v="210"/>
    <n v="0"/>
    <n v="210"/>
    <n v="0"/>
    <n v="0"/>
    <n v="0"/>
    <n v="0"/>
    <n v="210"/>
    <n v="210"/>
    <n v="0"/>
    <n v="0"/>
    <n v="0"/>
    <n v="0"/>
    <n v="210"/>
    <n v="0"/>
    <m/>
  </r>
  <r>
    <n v="742"/>
    <d v="2025-09-21T00:00:00"/>
    <s v="ZBTO"/>
    <n v="9519123183"/>
    <n v="3"/>
    <s v="9519123183-3"/>
    <s v="Oct'25"/>
    <x v="0"/>
    <x v="2"/>
    <m/>
    <x v="1"/>
    <x v="1"/>
    <s v="North"/>
    <s v="Haryana"/>
    <m/>
    <n v="189430"/>
    <s v="Balmer Lawrie &amp; Co. Ltd.,"/>
    <n v="2164803"/>
    <s v="CRCA COIL TATXXD BT02 1.200X910"/>
    <s v="C01"/>
    <s v="TATXXD"/>
    <s v="BT02"/>
    <n v="1.2"/>
    <n v="910"/>
    <n v="0"/>
    <n v="21"/>
    <n v="0"/>
    <n v="21"/>
    <n v="0"/>
    <n v="21"/>
    <n v="0"/>
    <n v="0"/>
    <n v="0"/>
    <n v="21"/>
    <n v="0"/>
    <n v="21"/>
    <n v="0"/>
    <n v="0"/>
    <n v="0"/>
    <n v="21"/>
    <n v="0"/>
    <n v="0"/>
    <m/>
  </r>
  <r>
    <n v="742"/>
    <d v="2025-09-20T00:00:00"/>
    <s v="ZBTO"/>
    <n v="9519123053"/>
    <n v="1"/>
    <s v="9519123053-1"/>
    <s v="Oct'25"/>
    <x v="0"/>
    <x v="2"/>
    <m/>
    <x v="1"/>
    <x v="1"/>
    <s v="West"/>
    <s v="Dadra, Nagarhaveli"/>
    <m/>
    <n v="189405"/>
    <s v="Balmer Lawrie And Co. Ltd."/>
    <n v="2164792"/>
    <s v="CRCA COIL TATXXD BT02 0.900X913"/>
    <s v="C01"/>
    <s v="TATXXD"/>
    <s v="BT02"/>
    <n v="0.9"/>
    <n v="913"/>
    <n v="0"/>
    <n v="231"/>
    <n v="0"/>
    <n v="231"/>
    <n v="0"/>
    <n v="231"/>
    <n v="0"/>
    <n v="0"/>
    <n v="231"/>
    <n v="0"/>
    <n v="0"/>
    <n v="231"/>
    <n v="0"/>
    <n v="0"/>
    <n v="0"/>
    <n v="231"/>
    <n v="0"/>
    <n v="0"/>
    <m/>
  </r>
  <r>
    <n v="742"/>
    <d v="2025-09-20T00:00:00"/>
    <s v="ZBTO"/>
    <n v="9519123053"/>
    <n v="2"/>
    <s v="9519123053-2"/>
    <s v="Oct'25"/>
    <x v="0"/>
    <x v="2"/>
    <m/>
    <x v="1"/>
    <x v="1"/>
    <s v="West"/>
    <s v="Dadra, Nagarhaveli"/>
    <m/>
    <n v="189405"/>
    <s v="Balmer Lawrie And Co. Ltd."/>
    <n v="2164803"/>
    <s v="CRCA COIL TATXXD BT02 1.200X910"/>
    <s v="C01"/>
    <s v="TATXXD"/>
    <s v="BT02"/>
    <n v="1.2"/>
    <n v="910"/>
    <n v="0"/>
    <n v="189"/>
    <n v="0"/>
    <n v="189"/>
    <n v="0"/>
    <n v="189"/>
    <n v="0"/>
    <n v="0"/>
    <n v="0"/>
    <n v="189"/>
    <n v="0"/>
    <n v="189"/>
    <n v="0"/>
    <n v="0"/>
    <n v="0"/>
    <n v="189"/>
    <n v="0"/>
    <n v="0"/>
    <m/>
  </r>
  <r>
    <n v="742"/>
    <d v="2025-09-20T00:00:00"/>
    <s v="ZBTO"/>
    <n v="9519123053"/>
    <n v="3"/>
    <s v="9519123053-3"/>
    <s v="Oct'25"/>
    <x v="0"/>
    <x v="2"/>
    <m/>
    <x v="1"/>
    <x v="1"/>
    <s v="West"/>
    <s v="Dadra, Nagarhaveli"/>
    <m/>
    <n v="189405"/>
    <s v="Balmer Lawrie And Co. Ltd."/>
    <n v="2170009"/>
    <s v="CRCA COIL TATXXD BT02 1.200X914"/>
    <s v="C01"/>
    <s v="TATXXD"/>
    <s v="BT02"/>
    <n v="1.2"/>
    <n v="914"/>
    <n v="0"/>
    <n v="21"/>
    <n v="0"/>
    <n v="21"/>
    <n v="0"/>
    <n v="21"/>
    <n v="0"/>
    <n v="0"/>
    <n v="0"/>
    <n v="0"/>
    <n v="21"/>
    <n v="21"/>
    <n v="0"/>
    <n v="0"/>
    <n v="0"/>
    <n v="0"/>
    <n v="21"/>
    <n v="0"/>
    <m/>
  </r>
  <r>
    <n v="742"/>
    <d v="2025-09-20T00:00:00"/>
    <s v="ZBTO"/>
    <n v="9519123053"/>
    <n v="4"/>
    <s v="9519123053-4"/>
    <s v="Oct'25"/>
    <x v="0"/>
    <x v="2"/>
    <m/>
    <x v="1"/>
    <x v="1"/>
    <s v="West"/>
    <s v="Dadra, Nagarhaveli"/>
    <m/>
    <n v="189405"/>
    <s v="Balmer Lawrie And Co. Ltd."/>
    <n v="2164800"/>
    <s v="CRCA COIL TATXXD BT02 0.970X913"/>
    <s v="C01"/>
    <s v="TATXXD"/>
    <s v="BT02"/>
    <n v="0.97"/>
    <n v="913"/>
    <n v="0"/>
    <n v="294"/>
    <n v="0"/>
    <n v="294"/>
    <n v="0"/>
    <n v="294"/>
    <n v="0"/>
    <n v="0"/>
    <n v="0"/>
    <n v="0"/>
    <n v="294"/>
    <n v="0"/>
    <n v="0"/>
    <n v="0"/>
    <n v="0"/>
    <n v="0"/>
    <n v="0"/>
    <n v="294"/>
    <m/>
  </r>
  <r>
    <n v="742"/>
    <d v="2025-09-20T00:00:00"/>
    <s v="ZBTO"/>
    <n v="9519123053"/>
    <n v="5"/>
    <s v="9519123053-5"/>
    <s v="Oct'25"/>
    <x v="0"/>
    <x v="2"/>
    <m/>
    <x v="1"/>
    <x v="1"/>
    <s v="West"/>
    <s v="Dadra, Nagarhaveli"/>
    <m/>
    <n v="189405"/>
    <s v="Balmer Lawrie And Co. Ltd."/>
    <n v="2164800"/>
    <s v="CRCA COIL TATXXD BT02 0.970X913"/>
    <s v="C01"/>
    <s v="TATXXD"/>
    <s v="BT02"/>
    <n v="0.97"/>
    <n v="913"/>
    <n v="0"/>
    <n v="252"/>
    <n v="0"/>
    <n v="252"/>
    <n v="0"/>
    <n v="252"/>
    <n v="0"/>
    <n v="0"/>
    <n v="0"/>
    <n v="0"/>
    <n v="252"/>
    <n v="0"/>
    <n v="0"/>
    <n v="0"/>
    <n v="0"/>
    <n v="0"/>
    <n v="0"/>
    <n v="252"/>
    <m/>
  </r>
  <r>
    <n v="742"/>
    <d v="2025-09-20T00:00:00"/>
    <s v="ZBTO"/>
    <n v="9519123053"/>
    <n v="6"/>
    <s v="9519123053-6"/>
    <s v="Oct'25"/>
    <x v="0"/>
    <x v="2"/>
    <n v="4800"/>
    <x v="1"/>
    <x v="1"/>
    <s v="West"/>
    <s v="Dadra, Nagarhaveli"/>
    <m/>
    <n v="189405"/>
    <s v="Balmer Lawrie And Co. Ltd."/>
    <n v="2403240"/>
    <s v="CRCA COIL TATXXD BT02 0.800X925"/>
    <s v="C01"/>
    <s v="TATXXD"/>
    <s v="BT02"/>
    <n v="0.8"/>
    <n v="925"/>
    <n v="0"/>
    <n v="42"/>
    <n v="0"/>
    <n v="42"/>
    <n v="0"/>
    <n v="42"/>
    <n v="0"/>
    <n v="0"/>
    <n v="0"/>
    <n v="0"/>
    <n v="42"/>
    <n v="0"/>
    <n v="0"/>
    <n v="0"/>
    <n v="0"/>
    <n v="0"/>
    <n v="0"/>
    <n v="42"/>
    <m/>
  </r>
  <r>
    <n v="742"/>
    <d v="2025-09-20T00:00:00"/>
    <s v="ZBTO"/>
    <n v="9519123075"/>
    <n v="1"/>
    <s v="9519123075-1"/>
    <s v="Oct'25"/>
    <x v="0"/>
    <x v="2"/>
    <m/>
    <x v="1"/>
    <x v="1"/>
    <s v="West"/>
    <s v="Dadra, Nagarhaveli"/>
    <m/>
    <n v="189405"/>
    <s v="Balmer Lawrie And Co. Ltd."/>
    <n v="3655054"/>
    <s v="CR COIL TATXXD BT01 1.200X1215"/>
    <s v="C01"/>
    <s v="TATXXD"/>
    <s v="BT01"/>
    <n v="1.2"/>
    <n v="1215"/>
    <n v="0"/>
    <n v="56"/>
    <n v="0"/>
    <n v="56"/>
    <n v="0"/>
    <n v="56"/>
    <n v="0"/>
    <n v="0"/>
    <n v="0"/>
    <n v="56"/>
    <n v="0"/>
    <n v="56"/>
    <n v="0"/>
    <n v="0"/>
    <n v="0"/>
    <n v="56"/>
    <n v="0"/>
    <n v="0"/>
    <m/>
  </r>
  <r>
    <n v="743"/>
    <d v="2025-09-19T00:00:00"/>
    <s v="ZBTO"/>
    <n v="9519119802"/>
    <n v="1"/>
    <s v="9519119802-1"/>
    <s v="Oct'25"/>
    <x v="2"/>
    <x v="11"/>
    <m/>
    <x v="0"/>
    <x v="0"/>
    <s v="West"/>
    <s v="Maharashtra"/>
    <m/>
    <n v="930519"/>
    <s v="JAUSHNA STEELS (INDIA) PVT. LT"/>
    <n v="1334725"/>
    <s v="GP COIL SOFT-TATXGP-GK09-0.6X1220"/>
    <s v="C02"/>
    <s v="TATXGP"/>
    <s v="GK09"/>
    <n v="0.6"/>
    <n v="1220"/>
    <n v="0"/>
    <n v="168"/>
    <n v="150.45500000000001"/>
    <n v="17.545000000000002"/>
    <n v="4.54"/>
    <n v="17.545000000000002"/>
    <n v="0"/>
    <n v="17.545000000000002"/>
    <n v="0"/>
    <n v="0"/>
    <n v="0"/>
    <n v="22.085000000000001"/>
    <n v="0"/>
    <n v="0"/>
    <n v="22.085000000000001"/>
    <n v="0"/>
    <n v="0"/>
    <n v="0"/>
    <m/>
  </r>
  <r>
    <n v="742"/>
    <d v="2025-09-19T00:00:00"/>
    <s v="ZBTO"/>
    <n v="9519117547"/>
    <n v="8"/>
    <s v="9519117547-8"/>
    <s v="Oct'25"/>
    <x v="0"/>
    <x v="7"/>
    <m/>
    <x v="0"/>
    <x v="0"/>
    <s v="East"/>
    <s v="Chhattisgarh"/>
    <m/>
    <n v="139336"/>
    <s v="PASA ASSOCIATES PRIVATE LIMITE"/>
    <n v="3240826"/>
    <s v="CRCA SHEET TSBCRC SR15 0.950X1250X2500"/>
    <s v="C06"/>
    <s v="TSBCRC"/>
    <s v="SR15"/>
    <n v="0.95"/>
    <n v="1250"/>
    <n v="2500"/>
    <n v="29"/>
    <n v="0"/>
    <n v="29"/>
    <n v="0"/>
    <n v="29"/>
    <n v="0"/>
    <n v="0"/>
    <n v="0"/>
    <n v="29"/>
    <n v="0"/>
    <n v="29"/>
    <n v="0"/>
    <n v="0"/>
    <n v="0"/>
    <n v="0"/>
    <n v="29"/>
    <n v="0"/>
    <m/>
  </r>
  <r>
    <n v="743"/>
    <d v="2025-09-17T00:00:00"/>
    <s v="ZBTO"/>
    <n v="9519113387"/>
    <n v="1"/>
    <s v="9519113387-1"/>
    <s v="Oct'25"/>
    <x v="2"/>
    <x v="8"/>
    <m/>
    <x v="0"/>
    <x v="0"/>
    <s v="North"/>
    <s v="Jammu &amp; Kashmir"/>
    <m/>
    <n v="115190"/>
    <s v="SHEYRUB AGENCIES"/>
    <n v="3897428"/>
    <s v="GP COIL XXXGPH GPH3 0.300X900"/>
    <s v="C05"/>
    <s v="XXXGPH"/>
    <s v="GPH3"/>
    <n v="0.3"/>
    <n v="900"/>
    <n v="0"/>
    <n v="21"/>
    <n v="0"/>
    <n v="21"/>
    <n v="0"/>
    <n v="21"/>
    <n v="0"/>
    <n v="0"/>
    <n v="0"/>
    <n v="0"/>
    <n v="21"/>
    <n v="21"/>
    <n v="0"/>
    <n v="0"/>
    <n v="0"/>
    <n v="0"/>
    <n v="21"/>
    <n v="0"/>
    <m/>
  </r>
  <r>
    <n v="8214"/>
    <d v="2025-09-19T00:00:00"/>
    <s v="ZBTF"/>
    <n v="9519120008"/>
    <n v="3"/>
    <s v="9519120008-3"/>
    <s v="Oct'25"/>
    <x v="0"/>
    <x v="3"/>
    <m/>
    <x v="1"/>
    <x v="3"/>
    <s v="East"/>
    <s v="West Bengal"/>
    <m/>
    <n v="600250"/>
    <s v="TATA CENTRE"/>
    <n v="2439203"/>
    <s v="CRCA COIL TSBSTA EL06 0.500X1160"/>
    <s v="C01"/>
    <s v="TSBSTA"/>
    <s v="EL06"/>
    <n v="0.5"/>
    <n v="1160"/>
    <n v="0"/>
    <n v="297"/>
    <n v="0"/>
    <n v="297"/>
    <n v="0"/>
    <n v="297"/>
    <n v="0"/>
    <n v="0"/>
    <n v="0"/>
    <n v="297"/>
    <n v="0"/>
    <n v="297"/>
    <n v="0"/>
    <n v="0"/>
    <n v="0"/>
    <n v="0"/>
    <n v="297"/>
    <n v="0"/>
    <m/>
  </r>
  <r>
    <n v="8214"/>
    <d v="2025-09-19T00:00:00"/>
    <s v="ZBTF"/>
    <n v="9519120008"/>
    <n v="4"/>
    <s v="9519120008-4"/>
    <s v="Oct'25"/>
    <x v="0"/>
    <x v="3"/>
    <n v="3500"/>
    <x v="1"/>
    <x v="3"/>
    <s v="East"/>
    <s v="West Bengal"/>
    <m/>
    <n v="600250"/>
    <s v="TATA CENTRE"/>
    <n v="3587949"/>
    <s v="CR COIL TSBSTA EL06 0.500X1250"/>
    <s v="C01"/>
    <s v="TSBSTA"/>
    <s v="EL06"/>
    <n v="0.5"/>
    <n v="1250"/>
    <n v="0"/>
    <n v="290"/>
    <n v="12.74"/>
    <n v="277.26"/>
    <n v="0"/>
    <n v="277.26"/>
    <n v="0"/>
    <n v="0"/>
    <n v="0"/>
    <n v="0"/>
    <n v="277.26"/>
    <n v="0"/>
    <n v="0"/>
    <n v="0"/>
    <n v="0"/>
    <n v="0"/>
    <n v="0"/>
    <n v="277.26"/>
    <m/>
  </r>
  <r>
    <n v="8214"/>
    <d v="2025-09-19T00:00:00"/>
    <s v="ZBTF"/>
    <n v="9519120008"/>
    <n v="5"/>
    <s v="9519120008-5"/>
    <s v="Oct'25"/>
    <x v="0"/>
    <x v="3"/>
    <m/>
    <x v="1"/>
    <x v="3"/>
    <s v="East"/>
    <s v="West Bengal"/>
    <m/>
    <n v="600250"/>
    <s v="TATA CENTRE"/>
    <n v="3587949"/>
    <s v="CR COIL TSBSTA EL06 0.500X1250"/>
    <s v="C01"/>
    <s v="TSBSTA"/>
    <s v="EL06"/>
    <n v="0.5"/>
    <n v="1250"/>
    <n v="0"/>
    <n v="290"/>
    <n v="0"/>
    <n v="290"/>
    <n v="0"/>
    <n v="290"/>
    <n v="0"/>
    <n v="0"/>
    <n v="0"/>
    <n v="0"/>
    <n v="290"/>
    <n v="290"/>
    <n v="0"/>
    <n v="0"/>
    <n v="0"/>
    <n v="0"/>
    <n v="290"/>
    <n v="0"/>
    <m/>
  </r>
  <r>
    <n v="744"/>
    <d v="2025-09-20T00:00:00"/>
    <s v="ZBTO"/>
    <n v="9519121602"/>
    <n v="1"/>
    <s v="9519121602-1"/>
    <s v="Oct'25"/>
    <x v="1"/>
    <x v="1"/>
    <n v="7500"/>
    <x v="1"/>
    <x v="1"/>
    <s v="TBSPL"/>
    <s v="Jharkhand"/>
    <m/>
    <n v="941597"/>
    <s v="TATA BLUESCOPE STEEL PRIVATE LIMITE"/>
    <n v="3902332"/>
    <s v="PPGL C HARD Y550PL D0C9 0.50(TPT)X1220"/>
    <s v="B18"/>
    <s v="Y550PL"/>
    <s v="D0C9"/>
    <n v="0.5"/>
    <n v="1220"/>
    <n v="0"/>
    <n v="56"/>
    <n v="26.87"/>
    <n v="29.13"/>
    <n v="22.11"/>
    <n v="29.13"/>
    <n v="0"/>
    <n v="29.13"/>
    <n v="0"/>
    <n v="0"/>
    <n v="0"/>
    <n v="51.239999999999995"/>
    <n v="0"/>
    <n v="0"/>
    <n v="0"/>
    <n v="51.239999999999995"/>
    <n v="0"/>
    <n v="0"/>
    <m/>
  </r>
  <r>
    <n v="742"/>
    <d v="2025-09-20T00:00:00"/>
    <s v="ZBTO"/>
    <n v="9519123053"/>
    <n v="8"/>
    <s v="9519123053-8"/>
    <s v="Oct'25"/>
    <x v="0"/>
    <x v="2"/>
    <m/>
    <x v="1"/>
    <x v="1"/>
    <s v="West"/>
    <s v="VILLAGE DADRA"/>
    <m/>
    <n v="189405"/>
    <s v="Balmer Lawrie And Co. Ltd."/>
    <n v="3655054"/>
    <s v="CR COIL TATXXD BT01 1.200X1215"/>
    <s v="C01"/>
    <s v="TATXXD"/>
    <s v="BT01"/>
    <n v="1.2"/>
    <n v="1215"/>
    <n v="0"/>
    <n v="56"/>
    <n v="0"/>
    <n v="56"/>
    <n v="0"/>
    <n v="56"/>
    <n v="0"/>
    <n v="0"/>
    <n v="0"/>
    <n v="56"/>
    <n v="0"/>
    <n v="56"/>
    <n v="0"/>
    <n v="0"/>
    <n v="0"/>
    <n v="56"/>
    <n v="0"/>
    <n v="0"/>
    <m/>
  </r>
  <r>
    <n v="742"/>
    <d v="2025-09-20T00:00:00"/>
    <s v="ZBTO"/>
    <n v="9519123053"/>
    <n v="9"/>
    <s v="9519123053-9"/>
    <s v="Oct'25"/>
    <x v="0"/>
    <x v="2"/>
    <m/>
    <x v="1"/>
    <x v="1"/>
    <s v="West"/>
    <s v="VILLAGE DADRA"/>
    <m/>
    <n v="189405"/>
    <s v="Balmer Lawrie And Co. Ltd."/>
    <n v="3655053"/>
    <s v="CR COIL TATXXD BT01 0.900X1215"/>
    <s v="C01"/>
    <s v="TATXXD"/>
    <s v="BT01"/>
    <n v="0.9"/>
    <n v="1215"/>
    <n v="0"/>
    <n v="56"/>
    <n v="0"/>
    <n v="56"/>
    <n v="0"/>
    <n v="56"/>
    <n v="0"/>
    <n v="56"/>
    <n v="0"/>
    <n v="0"/>
    <n v="0"/>
    <n v="56"/>
    <n v="0"/>
    <n v="0"/>
    <n v="56"/>
    <n v="0"/>
    <n v="0"/>
    <n v="0"/>
    <m/>
  </r>
  <r>
    <n v="742"/>
    <d v="2025-09-20T00:00:00"/>
    <s v="ZBTO"/>
    <n v="9519123118"/>
    <n v="5"/>
    <s v="9519123118-5"/>
    <s v="Oct'25"/>
    <x v="0"/>
    <x v="2"/>
    <m/>
    <x v="1"/>
    <x v="1"/>
    <s v="South"/>
    <s v="CHENNAI"/>
    <m/>
    <n v="187214"/>
    <s v="BALMER LAWRIE &amp; CO. LIMITED.."/>
    <n v="2164807"/>
    <s v="CRCA COIL TATXXD BT01 1.200X1315"/>
    <s v="C01"/>
    <s v="TATXXD"/>
    <s v="BT01"/>
    <n v="1.2"/>
    <n v="1315"/>
    <n v="0"/>
    <n v="60"/>
    <n v="0"/>
    <n v="60"/>
    <n v="0"/>
    <n v="60"/>
    <n v="0"/>
    <n v="0"/>
    <n v="0"/>
    <n v="60"/>
    <n v="0"/>
    <n v="60"/>
    <n v="0"/>
    <n v="0"/>
    <n v="0"/>
    <n v="60"/>
    <n v="0"/>
    <n v="0"/>
    <m/>
  </r>
  <r>
    <n v="742"/>
    <d v="2025-09-20T00:00:00"/>
    <s v="ZBTO"/>
    <n v="9519123167"/>
    <n v="1"/>
    <s v="9519123167-1"/>
    <s v="Oct'25"/>
    <x v="0"/>
    <x v="2"/>
    <m/>
    <x v="1"/>
    <x v="1"/>
    <s v="North"/>
    <s v="FARIDABAD"/>
    <m/>
    <n v="189430"/>
    <s v="Balmer Lawrie &amp; Co. Ltd.,"/>
    <n v="2279492"/>
    <s v="CRCA COIL TATXXD BT01 0.900X1220"/>
    <s v="C01"/>
    <s v="TATXXD"/>
    <s v="BT01"/>
    <n v="0.9"/>
    <n v="1220"/>
    <n v="0"/>
    <n v="28"/>
    <n v="0"/>
    <n v="28"/>
    <n v="0"/>
    <n v="28"/>
    <n v="0"/>
    <n v="0"/>
    <n v="0"/>
    <n v="28"/>
    <n v="0"/>
    <n v="28"/>
    <n v="0"/>
    <n v="0"/>
    <n v="0"/>
    <n v="28"/>
    <n v="0"/>
    <n v="0"/>
    <m/>
  </r>
  <r>
    <n v="742"/>
    <d v="2025-09-20T00:00:00"/>
    <s v="ZBTO"/>
    <n v="9519123167"/>
    <n v="2"/>
    <s v="9519123167-2"/>
    <s v="Oct'25"/>
    <x v="0"/>
    <x v="2"/>
    <m/>
    <x v="1"/>
    <x v="1"/>
    <s v="North"/>
    <s v="FARIDABAD"/>
    <m/>
    <n v="189430"/>
    <s v="Balmer Lawrie &amp; Co. Ltd.,"/>
    <n v="2170008"/>
    <s v="CRCA COIL TATXXD BT01 0.970X1220"/>
    <s v="C01"/>
    <s v="TATXXD"/>
    <s v="BT01"/>
    <n v="0.97"/>
    <n v="1220"/>
    <n v="0"/>
    <n v="84"/>
    <n v="0"/>
    <n v="84"/>
    <n v="0"/>
    <n v="84"/>
    <n v="0"/>
    <n v="0"/>
    <n v="0"/>
    <n v="84"/>
    <n v="0"/>
    <n v="84"/>
    <n v="0"/>
    <n v="0"/>
    <n v="0"/>
    <n v="0"/>
    <n v="84"/>
    <n v="0"/>
    <m/>
  </r>
  <r>
    <n v="742"/>
    <d v="2025-09-20T00:00:00"/>
    <s v="ZBTO"/>
    <n v="9519123167"/>
    <n v="3"/>
    <s v="9519123167-3"/>
    <s v="Oct'25"/>
    <x v="0"/>
    <x v="2"/>
    <m/>
    <x v="1"/>
    <x v="1"/>
    <s v="North"/>
    <s v="FARIDABAD"/>
    <m/>
    <n v="189430"/>
    <s v="Balmer Lawrie &amp; Co. Ltd.,"/>
    <n v="2170030"/>
    <s v="CRCA COIL TATXXD BT01 1.200X1220"/>
    <s v="C01"/>
    <s v="TATXXD"/>
    <s v="BT01"/>
    <n v="1.2"/>
    <n v="1220"/>
    <n v="0"/>
    <n v="28"/>
    <n v="0"/>
    <n v="28"/>
    <n v="0"/>
    <n v="28"/>
    <n v="0"/>
    <n v="0"/>
    <n v="0"/>
    <n v="28"/>
    <n v="0"/>
    <n v="28"/>
    <n v="0"/>
    <n v="0"/>
    <n v="0"/>
    <n v="0"/>
    <n v="28"/>
    <n v="0"/>
    <m/>
  </r>
  <r>
    <n v="742"/>
    <d v="2025-09-20T00:00:00"/>
    <s v="ZBTO"/>
    <n v="9519123053"/>
    <n v="7"/>
    <s v="9519123053-7"/>
    <s v="Oct'25"/>
    <x v="0"/>
    <x v="2"/>
    <m/>
    <x v="1"/>
    <x v="1"/>
    <s v="West"/>
    <s v="VILLAGE DADRA"/>
    <m/>
    <n v="189405"/>
    <s v="Balmer Lawrie And Co. Ltd."/>
    <n v="3683012"/>
    <s v="CR COIL TATXXD BT01 0.970X1215"/>
    <s v="C01"/>
    <s v="TATXXD"/>
    <s v="BT01"/>
    <n v="0.97"/>
    <n v="1215"/>
    <n v="0"/>
    <n v="252"/>
    <n v="15.675000000000001"/>
    <n v="236.32499999999999"/>
    <n v="15.675000000000001"/>
    <n v="236.32499999999999"/>
    <n v="0"/>
    <n v="0"/>
    <n v="0"/>
    <n v="236.32499999999999"/>
    <n v="0"/>
    <n v="252"/>
    <n v="0"/>
    <n v="0"/>
    <n v="0"/>
    <n v="0"/>
    <n v="252"/>
    <n v="0"/>
    <m/>
  </r>
  <r>
    <n v="742"/>
    <d v="2025-09-20T00:00:00"/>
    <s v="ZBTO"/>
    <n v="9519123125"/>
    <n v="1"/>
    <s v="9519123125-1"/>
    <s v="Oct'25"/>
    <x v="0"/>
    <x v="2"/>
    <m/>
    <x v="1"/>
    <x v="1"/>
    <s v="South"/>
    <s v="CHENNAI"/>
    <m/>
    <n v="187214"/>
    <s v="BALMER LAWRIE &amp; CO. LIMITED.."/>
    <n v="2421724"/>
    <s v="CRCA COIL TATXXD BT01 0.970X1310"/>
    <s v="C01"/>
    <s v="TATXXD"/>
    <s v="BT01"/>
    <n v="0.97"/>
    <n v="1310"/>
    <n v="0"/>
    <n v="60"/>
    <n v="0"/>
    <n v="60"/>
    <n v="0"/>
    <n v="60"/>
    <n v="0"/>
    <n v="0"/>
    <n v="0"/>
    <n v="60"/>
    <n v="0"/>
    <n v="60"/>
    <n v="0"/>
    <n v="0"/>
    <n v="0"/>
    <n v="0"/>
    <n v="60"/>
    <n v="0"/>
    <m/>
  </r>
  <r>
    <n v="742"/>
    <d v="2025-09-20T00:00:00"/>
    <s v="ZBTO"/>
    <n v="9519123118"/>
    <n v="4"/>
    <s v="9519123118-4"/>
    <s v="Oct'25"/>
    <x v="0"/>
    <x v="2"/>
    <m/>
    <x v="1"/>
    <x v="1"/>
    <s v="South"/>
    <s v="CHENNAI"/>
    <m/>
    <n v="187214"/>
    <s v="BALMER LAWRIE &amp; CO. LIMITED.."/>
    <n v="2421724"/>
    <s v="CRCA COIL TATXXD BT01 0.970X1310"/>
    <s v="C01"/>
    <s v="TATXXD"/>
    <s v="BT01"/>
    <n v="0.97"/>
    <n v="1310"/>
    <n v="0"/>
    <n v="60"/>
    <n v="0"/>
    <n v="60"/>
    <n v="0"/>
    <n v="60"/>
    <n v="0"/>
    <n v="0"/>
    <n v="0"/>
    <n v="60"/>
    <n v="0"/>
    <n v="60"/>
    <n v="0"/>
    <n v="0"/>
    <n v="0"/>
    <n v="0"/>
    <n v="60"/>
    <n v="0"/>
    <m/>
  </r>
  <r>
    <n v="744"/>
    <d v="2025-09-20T00:00:00"/>
    <s v="ZBTO"/>
    <n v="9519121345"/>
    <n v="1"/>
    <s v="9519121345-1"/>
    <s v="Oct'25"/>
    <x v="1"/>
    <x v="1"/>
    <m/>
    <x v="1"/>
    <x v="1"/>
    <s v="TBSPL"/>
    <s v="GAMHARIA"/>
    <m/>
    <n v="940016"/>
    <s v="TATA BLUESCOPE STEEL PVT LTD."/>
    <n v="4120439"/>
    <s v="PPGL C HARD Y550PL D0C7 0.310X1220"/>
    <s v="B18"/>
    <s v="Y550PL"/>
    <s v="D0C7"/>
    <n v="0.31"/>
    <n v="1220"/>
    <n v="0"/>
    <n v="196"/>
    <n v="0"/>
    <n v="196"/>
    <n v="0"/>
    <n v="196"/>
    <n v="0"/>
    <n v="196"/>
    <n v="0"/>
    <n v="0"/>
    <n v="0"/>
    <n v="196"/>
    <n v="0"/>
    <n v="196"/>
    <n v="0"/>
    <n v="0"/>
    <n v="0"/>
    <n v="0"/>
    <m/>
  </r>
  <r>
    <n v="743"/>
    <d v="2025-09-15T00:00:00"/>
    <s v="ZBTO"/>
    <n v="9519105662"/>
    <n v="10"/>
    <s v="9519105662-10"/>
    <s v="Oct'25"/>
    <x v="2"/>
    <x v="11"/>
    <m/>
    <x v="0"/>
    <x v="0"/>
    <s v="East"/>
    <s v="PATNA"/>
    <s v="PATN"/>
    <n v="103227"/>
    <s v="BMW VENTURES LIMITED"/>
    <n v="1851101"/>
    <s v="GP COIL SOFT-TATXGP-GK09-0.5X1220"/>
    <s v="C02"/>
    <s v="TATXGP"/>
    <s v="GK09"/>
    <n v="0.5"/>
    <n v="1220"/>
    <n v="0"/>
    <n v="56"/>
    <n v="16.239999999999998"/>
    <n v="25.76"/>
    <n v="16.239999999999998"/>
    <n v="25.76"/>
    <n v="25.76"/>
    <n v="0"/>
    <n v="0"/>
    <n v="0"/>
    <n v="0"/>
    <n v="42"/>
    <n v="0"/>
    <n v="42"/>
    <n v="0"/>
    <n v="0"/>
    <n v="0"/>
    <n v="0"/>
    <m/>
  </r>
  <r>
    <n v="742"/>
    <d v="2025-09-17T00:00:00"/>
    <s v="ZBTO"/>
    <n v="9519113281"/>
    <n v="1"/>
    <s v="9519113281-1"/>
    <s v="Oct'25"/>
    <x v="0"/>
    <x v="12"/>
    <m/>
    <x v="0"/>
    <x v="0"/>
    <s v="South"/>
    <s v="YESHWANTHPURA"/>
    <s v="BANG"/>
    <n v="939268"/>
    <s v="TATA STEEL DOWNSTREAM PRODUCTS LIMI"/>
    <n v="2420508"/>
    <s v="CRCA COIL TATXXD AH03 0.500X1250"/>
    <s v="C01"/>
    <s v="TATXXD"/>
    <s v="AH03"/>
    <n v="0.5"/>
    <n v="1250"/>
    <n v="0"/>
    <n v="58"/>
    <n v="0"/>
    <n v="58"/>
    <n v="0"/>
    <n v="58"/>
    <n v="0"/>
    <n v="58"/>
    <n v="0"/>
    <n v="0"/>
    <n v="0"/>
    <n v="58"/>
    <n v="0"/>
    <n v="0"/>
    <n v="58"/>
    <n v="0"/>
    <n v="0"/>
    <n v="0"/>
    <m/>
  </r>
  <r>
    <n v="743"/>
    <d v="2025-09-16T00:00:00"/>
    <s v="ZBTO"/>
    <n v="9519107794"/>
    <n v="1"/>
    <s v="9519107794-1"/>
    <s v="Oct'25"/>
    <x v="3"/>
    <x v="1"/>
    <m/>
    <x v="1"/>
    <x v="1"/>
    <s v="TBSPL"/>
    <s v="TATANAGAR"/>
    <s v="BOMB"/>
    <n v="942284"/>
    <s v="TATA BLUESCOPE STEEL PRIVATE LIMITE"/>
    <n v="4108810"/>
    <s v="GL COIL HARD  Y550GL M310 0.350X1220"/>
    <s v="B04"/>
    <s v="Y550GL"/>
    <s v="M310"/>
    <n v="0.35"/>
    <n v="1220"/>
    <n v="0"/>
    <n v="28"/>
    <n v="3.9"/>
    <n v="24.1"/>
    <n v="3.9"/>
    <n v="24.1"/>
    <n v="0"/>
    <n v="0"/>
    <n v="24.1"/>
    <n v="0"/>
    <n v="0"/>
    <n v="28"/>
    <n v="0"/>
    <n v="0"/>
    <n v="0"/>
    <n v="28"/>
    <n v="0"/>
    <n v="0"/>
    <m/>
  </r>
  <r>
    <n v="742"/>
    <d v="2025-09-19T00:00:00"/>
    <s v="ZBTF"/>
    <n v="9519120008"/>
    <n v="1"/>
    <s v="9519120008-1"/>
    <s v="Oct'25"/>
    <x v="0"/>
    <x v="3"/>
    <m/>
    <x v="1"/>
    <x v="3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n v="297"/>
    <n v="0"/>
    <n v="297"/>
    <n v="0"/>
    <n v="297"/>
    <n v="0"/>
    <n v="0"/>
    <n v="0"/>
    <n v="297"/>
    <n v="0"/>
    <n v="297"/>
    <n v="0"/>
    <n v="0"/>
    <n v="0"/>
    <n v="0"/>
    <n v="297"/>
    <n v="0"/>
    <m/>
  </r>
  <r>
    <n v="742"/>
    <d v="2025-09-19T00:00:00"/>
    <s v="ZBTF"/>
    <n v="9519120008"/>
    <n v="2"/>
    <s v="9519120008-2"/>
    <s v="Oct'25"/>
    <x v="0"/>
    <x v="3"/>
    <m/>
    <x v="1"/>
    <x v="3"/>
    <s v="East"/>
    <s v="PILKHUWA"/>
    <s v="DELI"/>
    <n v="600250"/>
    <s v="TATA CENTER"/>
    <n v="2439203"/>
    <s v="CRCA COIL TSBSTA EL06 0.500X1160"/>
    <s v="C01"/>
    <s v="TSBSTA"/>
    <s v="EL06"/>
    <n v="0.5"/>
    <n v="1160"/>
    <n v="0"/>
    <n v="297"/>
    <n v="0"/>
    <n v="297"/>
    <n v="0"/>
    <n v="297"/>
    <n v="0"/>
    <n v="0"/>
    <n v="0"/>
    <n v="297"/>
    <n v="0"/>
    <n v="297"/>
    <n v="0"/>
    <n v="0"/>
    <n v="0"/>
    <n v="0"/>
    <n v="297"/>
    <n v="0"/>
    <m/>
  </r>
  <r>
    <n v="743"/>
    <d v="2025-09-22T00:00:00"/>
    <s v="ZBTO"/>
    <n v="9519132309"/>
    <n v="1"/>
    <s v="9519132309-1"/>
    <s v="Stocks"/>
    <x v="2"/>
    <x v="11"/>
    <m/>
    <x v="0"/>
    <x v="0"/>
    <s v="West"/>
    <s v="AHMEDABAD"/>
    <s v="BOMB"/>
    <n v="931911"/>
    <s v="Hitkar Enterprises"/>
    <n v="1854399"/>
    <s v="GP COIL SOFT-TATXGP-GK09-0.35X1220"/>
    <s v="C02"/>
    <s v="TATXGP"/>
    <s v="GK09"/>
    <n v="0.35"/>
    <n v="1220"/>
    <n v="0"/>
    <n v="28"/>
    <n v="27.385000000000002"/>
    <n v="0.61499999999999999"/>
    <n v="8.7799999999999994"/>
    <n v="0"/>
    <n v="0"/>
    <n v="0"/>
    <n v="0"/>
    <n v="0"/>
    <n v="0"/>
    <n v="8.7799999999999994"/>
    <n v="8.7799999999999994"/>
    <n v="0"/>
    <n v="0"/>
    <n v="0"/>
    <n v="0"/>
    <n v="0"/>
    <m/>
  </r>
  <r>
    <n v="743"/>
    <d v="2025-09-22T00:00:00"/>
    <s v="ZBTO"/>
    <n v="9519132309"/>
    <n v="2"/>
    <s v="9519132309-2"/>
    <s v="Stocks"/>
    <x v="2"/>
    <x v="11"/>
    <m/>
    <x v="0"/>
    <x v="0"/>
    <s v="West"/>
    <s v="AHMEDABAD"/>
    <s v="BOMB"/>
    <n v="931911"/>
    <s v="Hitkar Enterprises"/>
    <n v="1854410"/>
    <s v="GP COIL SOFT-TATXGP-GK09-0.4X1220"/>
    <s v="C02"/>
    <s v="TATXGP"/>
    <s v="GK09"/>
    <n v="0.4"/>
    <n v="1220"/>
    <n v="0"/>
    <n v="28"/>
    <n v="27.265000000000001"/>
    <n v="0.73499999999999999"/>
    <n v="4.53"/>
    <n v="0"/>
    <n v="0"/>
    <n v="0"/>
    <n v="0"/>
    <n v="0"/>
    <n v="0"/>
    <n v="4.53"/>
    <n v="4.53"/>
    <n v="0"/>
    <n v="0"/>
    <n v="0"/>
    <n v="0"/>
    <n v="0"/>
    <m/>
  </r>
  <r>
    <n v="743"/>
    <d v="2025-09-22T00:00:00"/>
    <s v="ZBTO"/>
    <n v="9519132309"/>
    <n v="4"/>
    <s v="9519132309-4"/>
    <s v="Stocks"/>
    <x v="2"/>
    <x v="11"/>
    <m/>
    <x v="0"/>
    <x v="0"/>
    <s v="West"/>
    <s v="AHMEDABAD"/>
    <s v="BOMB"/>
    <n v="931911"/>
    <s v="Hitkar Enterprises"/>
    <n v="1851101"/>
    <s v="GP COIL SOFT-TATXGP-GK09-0.5X1220"/>
    <s v="C02"/>
    <s v="TATXGP"/>
    <s v="GK09"/>
    <n v="0.5"/>
    <n v="1220"/>
    <n v="0"/>
    <n v="28"/>
    <n v="26.844999999999999"/>
    <n v="1.155"/>
    <n v="8.9700000000000006"/>
    <n v="0"/>
    <n v="0"/>
    <n v="0"/>
    <n v="0"/>
    <n v="0"/>
    <n v="0"/>
    <n v="8.9700000000000006"/>
    <n v="8.9700000000000006"/>
    <n v="0"/>
    <n v="0"/>
    <n v="0"/>
    <n v="0"/>
    <n v="0"/>
    <m/>
  </r>
  <r>
    <n v="743"/>
    <d v="2025-09-22T00:00:00"/>
    <s v="ZBTO"/>
    <n v="9519130976"/>
    <n v="1"/>
    <s v="9519130976-1"/>
    <s v="Stocks"/>
    <x v="2"/>
    <x v="11"/>
    <m/>
    <x v="0"/>
    <x v="0"/>
    <s v="East"/>
    <s v="SIYAGANJ"/>
    <s v="INDR"/>
    <n v="944695"/>
    <s v="ANM ISPAT PRIVATE LIMITED"/>
    <n v="1851102"/>
    <s v="GP COIL SOFT-TATXGP-GK09-0.5X1250"/>
    <s v="C02"/>
    <s v="TATXGP"/>
    <s v="GK09"/>
    <n v="0.5"/>
    <n v="1250"/>
    <n v="0"/>
    <n v="29"/>
    <n v="26.844999999999999"/>
    <n v="2.1549999999999998"/>
    <n v="4.5149999999999997"/>
    <n v="0"/>
    <n v="0"/>
    <n v="0"/>
    <n v="0"/>
    <n v="0"/>
    <n v="0"/>
    <n v="4.5149999999999997"/>
    <n v="4.5149999999999997"/>
    <n v="0"/>
    <n v="0"/>
    <n v="0"/>
    <n v="0"/>
    <n v="0"/>
    <m/>
  </r>
  <r>
    <n v="743"/>
    <d v="2025-09-22T00:00:00"/>
    <s v="ZBTO"/>
    <n v="9519130976"/>
    <n v="2"/>
    <s v="9519130976-2"/>
    <s v="Stocks"/>
    <x v="2"/>
    <x v="11"/>
    <m/>
    <x v="0"/>
    <x v="0"/>
    <s v="East"/>
    <s v="SIYAGANJ"/>
    <s v="INDR"/>
    <n v="944695"/>
    <s v="ANM ISPAT PRIVATE LIMITED"/>
    <n v="1851106"/>
    <s v="GP COIL SOFT-TATXGP-GK09-0.6X1250"/>
    <s v="C02"/>
    <s v="TATXGP"/>
    <s v="GK09"/>
    <n v="0.6"/>
    <n v="1250"/>
    <n v="0"/>
    <n v="29"/>
    <n v="27.625"/>
    <n v="1.375"/>
    <n v="13.864999999999998"/>
    <n v="0"/>
    <n v="0"/>
    <n v="0"/>
    <n v="0"/>
    <n v="0"/>
    <n v="0"/>
    <n v="13.864999999999998"/>
    <n v="13.864999999999998"/>
    <n v="0"/>
    <n v="0"/>
    <n v="0"/>
    <n v="0"/>
    <n v="0"/>
    <m/>
  </r>
  <r>
    <n v="743"/>
    <d v="2025-09-23T00:00:00"/>
    <s v="ZBTO"/>
    <n v="9519134286"/>
    <n v="1"/>
    <s v="9519134286-1"/>
    <s v="Oct'25"/>
    <x v="3"/>
    <x v="1"/>
    <m/>
    <x v="1"/>
    <x v="1"/>
    <s v="TBSPL"/>
    <m/>
    <m/>
    <n v="942284"/>
    <s v="TATA BLUESCOPE STEEL PRIVATE L"/>
    <n v="4108810"/>
    <s v="GL COIL HARD  Y550GL M310 0.350X1220"/>
    <s v="B04"/>
    <s v="Y550GL"/>
    <s v="M310"/>
    <n v="0.35"/>
    <n v="1220"/>
    <n v="0"/>
    <n v="28"/>
    <n v="0"/>
    <n v="28"/>
    <n v="0"/>
    <n v="28"/>
    <n v="0"/>
    <n v="0"/>
    <n v="28"/>
    <n v="0"/>
    <n v="0"/>
    <n v="28"/>
    <n v="0"/>
    <n v="0"/>
    <n v="28"/>
    <n v="0"/>
    <n v="0"/>
    <n v="0"/>
    <m/>
  </r>
  <r>
    <n v="743"/>
    <d v="2025-09-23T00:00:00"/>
    <s v="ZBTO"/>
    <n v="9519134326"/>
    <n v="1"/>
    <s v="9519134326-1"/>
    <s v="Oct'25"/>
    <x v="3"/>
    <x v="1"/>
    <m/>
    <x v="1"/>
    <x v="1"/>
    <s v="TBSPL"/>
    <m/>
    <m/>
    <n v="942293"/>
    <s v="TATA BLUESCOPE STEEL PRIVATE L"/>
    <n v="3946362"/>
    <s v="GL COIL HARD Y550GL M308 0.47 (TCT)X1220"/>
    <s v="B04"/>
    <s v="Y550GL"/>
    <s v="M308"/>
    <n v="0.47"/>
    <n v="1220"/>
    <n v="0"/>
    <n v="168"/>
    <n v="0"/>
    <n v="168"/>
    <n v="0"/>
    <n v="168"/>
    <n v="0"/>
    <n v="168"/>
    <n v="0"/>
    <n v="0"/>
    <n v="0"/>
    <n v="0"/>
    <n v="0"/>
    <n v="0"/>
    <n v="0"/>
    <n v="0"/>
    <n v="0"/>
    <n v="168"/>
    <m/>
  </r>
  <r>
    <n v="743"/>
    <d v="2025-09-23T00:00:00"/>
    <s v="ZBTO"/>
    <n v="9519134326"/>
    <n v="2"/>
    <s v="9519134326-2"/>
    <s v="Oct'25"/>
    <x v="3"/>
    <x v="1"/>
    <m/>
    <x v="1"/>
    <x v="1"/>
    <s v="TBSPL"/>
    <m/>
    <m/>
    <n v="942293"/>
    <s v="TATA BLUESCOPE STEEL PRIVATE L"/>
    <n v="3946364"/>
    <s v="GL COIL HARD Y550GL M308 0.50 (TCT)X1220"/>
    <s v="B04"/>
    <s v="Y550GL"/>
    <s v="M308"/>
    <n v="0.5"/>
    <n v="1220"/>
    <n v="0"/>
    <n v="56"/>
    <n v="0"/>
    <n v="56"/>
    <n v="0"/>
    <n v="56"/>
    <n v="56"/>
    <n v="0"/>
    <n v="0"/>
    <n v="0"/>
    <n v="0"/>
    <n v="56"/>
    <n v="0"/>
    <n v="56"/>
    <n v="0"/>
    <n v="0"/>
    <n v="0"/>
    <n v="0"/>
    <m/>
  </r>
  <r>
    <n v="743"/>
    <d v="2025-09-23T00:00:00"/>
    <s v="ZBTO"/>
    <n v="9519134358"/>
    <n v="1"/>
    <s v="9519134358-1"/>
    <s v="Oct'25"/>
    <x v="3"/>
    <x v="1"/>
    <m/>
    <x v="1"/>
    <x v="1"/>
    <s v="TBSPL"/>
    <m/>
    <m/>
    <n v="942294"/>
    <s v="TATA BLUESCOPE STEEL PRIVATE L"/>
    <n v="3946362"/>
    <s v="GL COIL HARD Y550GL M308 0.47 (TCT)X1220"/>
    <s v="B04"/>
    <s v="Y550GL"/>
    <s v="M308"/>
    <n v="0.47"/>
    <n v="1220"/>
    <n v="0"/>
    <n v="252"/>
    <n v="83.19"/>
    <n v="168.81"/>
    <n v="0"/>
    <n v="168.81"/>
    <n v="0"/>
    <n v="168.81"/>
    <n v="0"/>
    <n v="0"/>
    <n v="0"/>
    <n v="0"/>
    <n v="0"/>
    <n v="0"/>
    <n v="0"/>
    <n v="0"/>
    <n v="0"/>
    <n v="168.81"/>
    <m/>
  </r>
  <r>
    <n v="743"/>
    <d v="2025-09-23T00:00:00"/>
    <s v="ZBTO"/>
    <n v="9519134358"/>
    <n v="2"/>
    <s v="9519134358-2"/>
    <s v="Oct'25"/>
    <x v="3"/>
    <x v="1"/>
    <m/>
    <x v="1"/>
    <x v="1"/>
    <s v="TBSPL"/>
    <m/>
    <m/>
    <n v="942294"/>
    <s v="TATA BLUESCOPE STEEL PRIVATE L"/>
    <n v="3946364"/>
    <s v="GL COIL HARD Y550GL M308 0.50 (TCT)X1220"/>
    <s v="B04"/>
    <s v="Y550GL"/>
    <s v="M308"/>
    <n v="0.5"/>
    <n v="1220"/>
    <n v="0"/>
    <n v="28"/>
    <n v="0"/>
    <n v="28"/>
    <n v="0"/>
    <n v="28"/>
    <n v="28"/>
    <n v="0"/>
    <n v="0"/>
    <n v="0"/>
    <n v="0"/>
    <n v="28"/>
    <n v="0"/>
    <n v="28"/>
    <n v="0"/>
    <n v="0"/>
    <n v="0"/>
    <n v="0"/>
    <m/>
  </r>
  <r>
    <n v="743"/>
    <d v="2025-09-23T00:00:00"/>
    <s v="ZBTO"/>
    <n v="9519134378"/>
    <n v="1"/>
    <s v="9519134378-1"/>
    <s v="Oct'25"/>
    <x v="3"/>
    <x v="1"/>
    <m/>
    <x v="1"/>
    <x v="1"/>
    <s v="TBSPL"/>
    <m/>
    <m/>
    <n v="942284"/>
    <s v="TATA BLUESCOPE STEEL PRIVATE L"/>
    <n v="3946364"/>
    <s v="GL COIL HARD Y550GL M308 0.50 (TCT)X1220"/>
    <s v="B04"/>
    <s v="Y550GL"/>
    <s v="M308"/>
    <n v="0.5"/>
    <n v="1220"/>
    <n v="0"/>
    <n v="280"/>
    <n v="151.69999999999999"/>
    <n v="128.30000000000001"/>
    <n v="147.03999999999996"/>
    <n v="128.30000000000001"/>
    <n v="128.30000000000001"/>
    <n v="0"/>
    <n v="0"/>
    <n v="0"/>
    <n v="0"/>
    <n v="0"/>
    <n v="0"/>
    <n v="0"/>
    <n v="0"/>
    <n v="0"/>
    <n v="0"/>
    <n v="275.33999999999997"/>
    <m/>
  </r>
  <r>
    <n v="743"/>
    <d v="2025-09-23T00:00:00"/>
    <s v="ZBTO"/>
    <n v="9519134378"/>
    <n v="2"/>
    <s v="9519134378-2"/>
    <s v="Oct'25"/>
    <x v="3"/>
    <x v="1"/>
    <m/>
    <x v="1"/>
    <x v="1"/>
    <s v="TBSPL"/>
    <m/>
    <m/>
    <n v="942284"/>
    <s v="TATA BLUESCOPE STEEL PRIVATE L"/>
    <n v="3946364"/>
    <s v="GL COIL HARD Y550GL M308 0.50 (TCT)X1220"/>
    <s v="B04"/>
    <s v="Y550GL"/>
    <s v="M308"/>
    <n v="0.5"/>
    <n v="1220"/>
    <n v="0"/>
    <n v="168"/>
    <n v="32.89"/>
    <n v="135.11000000000001"/>
    <n v="28.4"/>
    <n v="339.6"/>
    <n v="339.6"/>
    <n v="0"/>
    <n v="0"/>
    <n v="0"/>
    <n v="0"/>
    <n v="0"/>
    <n v="0"/>
    <n v="0"/>
    <n v="0"/>
    <n v="0"/>
    <n v="0"/>
    <n v="368"/>
    <m/>
  </r>
  <r>
    <n v="743"/>
    <d v="2025-09-23T00:00:00"/>
    <s v="ZBTO"/>
    <n v="9519134436"/>
    <n v="1"/>
    <s v="9519134436-1"/>
    <s v="Oct'25"/>
    <x v="3"/>
    <x v="1"/>
    <m/>
    <x v="1"/>
    <x v="1"/>
    <s v="TBSPL"/>
    <m/>
    <m/>
    <n v="942284"/>
    <s v="TATA BLUESCOPE STEEL PRIVATE L"/>
    <n v="3931932"/>
    <s v="GL C YS550 M306 0.35BMT(0.37TCT)X900"/>
    <s v="B04"/>
    <s v="Y550GL"/>
    <s v="M306"/>
    <n v="0.35"/>
    <n v="900"/>
    <n v="0"/>
    <n v="84"/>
    <n v="0"/>
    <n v="84"/>
    <n v="0"/>
    <n v="84"/>
    <n v="0"/>
    <n v="0"/>
    <n v="0"/>
    <n v="0"/>
    <n v="84"/>
    <n v="0"/>
    <n v="0"/>
    <n v="0"/>
    <n v="0"/>
    <n v="0"/>
    <n v="0"/>
    <n v="84"/>
    <m/>
  </r>
  <r>
    <n v="744"/>
    <d v="2025-09-23T00:00:00"/>
    <s v="ZBTO"/>
    <n v="9519134753"/>
    <n v="1"/>
    <s v="9519134753-1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168"/>
    <n v="0"/>
    <n v="168"/>
    <n v="0"/>
    <n v="168"/>
    <n v="0"/>
    <n v="0"/>
    <n v="168"/>
    <n v="0"/>
    <n v="0"/>
    <n v="168"/>
    <n v="0"/>
    <n v="0"/>
    <n v="0"/>
    <n v="0"/>
    <n v="168"/>
    <n v="0"/>
    <m/>
  </r>
  <r>
    <n v="744"/>
    <d v="2025-09-23T00:00:00"/>
    <s v="ZBTO"/>
    <n v="9519134753"/>
    <n v="2"/>
    <s v="9519134753-2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56"/>
    <n v="0"/>
    <n v="56"/>
    <n v="0"/>
    <n v="56"/>
    <n v="0"/>
    <n v="56"/>
    <n v="0"/>
    <n v="0"/>
    <n v="0"/>
    <n v="56"/>
    <n v="0"/>
    <n v="56"/>
    <n v="0"/>
    <n v="0"/>
    <n v="0"/>
    <n v="0"/>
    <m/>
  </r>
  <r>
    <n v="744"/>
    <d v="2025-09-23T00:00:00"/>
    <s v="ZBTO"/>
    <n v="9519134753"/>
    <n v="3"/>
    <s v="9519134753-3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28"/>
    <n v="0"/>
    <n v="28"/>
    <n v="0"/>
    <n v="28"/>
    <n v="0"/>
    <n v="0"/>
    <n v="28"/>
    <n v="0"/>
    <n v="0"/>
    <n v="28"/>
    <n v="0"/>
    <n v="0"/>
    <n v="0"/>
    <n v="0"/>
    <n v="28"/>
    <n v="0"/>
    <m/>
  </r>
  <r>
    <n v="744"/>
    <d v="2025-09-23T00:00:00"/>
    <s v="ZBTO"/>
    <n v="9519134753"/>
    <n v="4"/>
    <s v="9519134753-4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140"/>
    <n v="0"/>
    <n v="140"/>
    <n v="0"/>
    <n v="140"/>
    <n v="0"/>
    <n v="0"/>
    <n v="0"/>
    <n v="140"/>
    <n v="0"/>
    <n v="0"/>
    <n v="0"/>
    <n v="0"/>
    <n v="0"/>
    <n v="0"/>
    <n v="0"/>
    <n v="140"/>
    <m/>
  </r>
  <r>
    <n v="744"/>
    <d v="2025-09-23T00:00:00"/>
    <s v="ZBTO"/>
    <n v="9519134753"/>
    <n v="5"/>
    <s v="9519134753-5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280"/>
    <n v="0"/>
    <n v="280"/>
    <n v="0"/>
    <n v="280"/>
    <n v="0"/>
    <n v="0"/>
    <n v="280"/>
    <n v="0"/>
    <n v="0"/>
    <n v="280"/>
    <n v="0"/>
    <n v="0"/>
    <n v="0"/>
    <n v="0"/>
    <n v="280"/>
    <n v="0"/>
    <m/>
  </r>
  <r>
    <n v="744"/>
    <d v="2025-09-23T00:00:00"/>
    <s v="ZBTO"/>
    <n v="9519134753"/>
    <n v="6"/>
    <s v="9519134753-6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28"/>
    <n v="0"/>
    <n v="28"/>
    <n v="0"/>
    <n v="28"/>
    <n v="0"/>
    <n v="0"/>
    <n v="28"/>
    <n v="0"/>
    <n v="0"/>
    <n v="28"/>
    <n v="0"/>
    <n v="0"/>
    <n v="0"/>
    <n v="0"/>
    <n v="28"/>
    <n v="0"/>
    <m/>
  </r>
  <r>
    <n v="744"/>
    <d v="2025-09-23T00:00:00"/>
    <s v="ZBTO"/>
    <n v="9519134753"/>
    <n v="7"/>
    <s v="9519134753-7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28"/>
    <n v="0"/>
    <n v="28"/>
    <n v="0"/>
    <n v="28"/>
    <n v="0"/>
    <n v="28"/>
    <n v="0"/>
    <n v="0"/>
    <n v="0"/>
    <n v="28"/>
    <n v="0"/>
    <n v="28"/>
    <n v="0"/>
    <n v="0"/>
    <n v="0"/>
    <n v="0"/>
    <m/>
  </r>
  <r>
    <n v="744"/>
    <d v="2025-09-23T00:00:00"/>
    <s v="ZBTO"/>
    <n v="9519134753"/>
    <n v="8"/>
    <s v="9519134753-8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28"/>
    <n v="0"/>
    <n v="28"/>
    <n v="0"/>
    <n v="28"/>
    <n v="0"/>
    <n v="0"/>
    <n v="28"/>
    <n v="0"/>
    <n v="0"/>
    <n v="28"/>
    <n v="0"/>
    <n v="0"/>
    <n v="0"/>
    <n v="0"/>
    <n v="28"/>
    <n v="0"/>
    <m/>
  </r>
  <r>
    <n v="744"/>
    <d v="2025-09-23T00:00:00"/>
    <s v="ZBTO"/>
    <n v="9519134753"/>
    <n v="9"/>
    <s v="9519134753-9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252"/>
    <n v="0"/>
    <n v="252"/>
    <n v="0"/>
    <n v="252"/>
    <n v="0"/>
    <n v="0"/>
    <n v="0"/>
    <n v="252"/>
    <n v="0"/>
    <n v="0"/>
    <n v="0"/>
    <n v="0"/>
    <n v="0"/>
    <n v="0"/>
    <n v="0"/>
    <n v="252"/>
    <m/>
  </r>
  <r>
    <n v="744"/>
    <d v="2025-09-23T00:00:00"/>
    <s v="ZBTO"/>
    <n v="9519134753"/>
    <n v="10"/>
    <s v="9519134753-10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280"/>
    <n v="0"/>
    <n v="280"/>
    <n v="0"/>
    <n v="280"/>
    <n v="0"/>
    <n v="0"/>
    <n v="280"/>
    <n v="0"/>
    <n v="0"/>
    <n v="280"/>
    <n v="0"/>
    <n v="0"/>
    <n v="0"/>
    <n v="0"/>
    <n v="280"/>
    <n v="0"/>
    <m/>
  </r>
  <r>
    <n v="744"/>
    <d v="2025-09-23T00:00:00"/>
    <s v="ZBTO"/>
    <n v="9519134753"/>
    <n v="11"/>
    <s v="9519134753-11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140"/>
    <n v="0"/>
    <n v="140"/>
    <n v="0"/>
    <n v="140"/>
    <n v="0"/>
    <n v="140"/>
    <n v="0"/>
    <n v="0"/>
    <n v="0"/>
    <n v="140"/>
    <n v="0"/>
    <n v="140"/>
    <n v="0"/>
    <n v="0"/>
    <n v="0"/>
    <n v="0"/>
    <m/>
  </r>
  <r>
    <n v="744"/>
    <d v="2025-09-23T00:00:00"/>
    <s v="ZBTO"/>
    <n v="9519134753"/>
    <n v="12"/>
    <s v="9519134753-12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112"/>
    <n v="0"/>
    <n v="112"/>
    <n v="0"/>
    <n v="112"/>
    <n v="0"/>
    <n v="0"/>
    <n v="112"/>
    <n v="0"/>
    <n v="0"/>
    <n v="112"/>
    <n v="0"/>
    <n v="0"/>
    <n v="0"/>
    <n v="0"/>
    <n v="112"/>
    <n v="0"/>
    <m/>
  </r>
  <r>
    <n v="744"/>
    <d v="2025-09-23T00:00:00"/>
    <s v="ZBTO"/>
    <n v="9519134753"/>
    <n v="13"/>
    <s v="9519134753-13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140"/>
    <n v="0"/>
    <n v="140"/>
    <n v="0"/>
    <n v="140"/>
    <n v="0"/>
    <n v="0"/>
    <n v="140"/>
    <n v="0"/>
    <n v="0"/>
    <n v="140"/>
    <n v="0"/>
    <n v="0"/>
    <n v="0"/>
    <n v="0"/>
    <n v="140"/>
    <n v="0"/>
    <m/>
  </r>
  <r>
    <n v="744"/>
    <d v="2025-09-23T00:00:00"/>
    <s v="ZBTO"/>
    <n v="9519134753"/>
    <n v="14"/>
    <s v="9519134753-14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196"/>
    <n v="0"/>
    <n v="196"/>
    <n v="0"/>
    <n v="196"/>
    <n v="0"/>
    <n v="0"/>
    <n v="0"/>
    <n v="196"/>
    <n v="0"/>
    <n v="0"/>
    <n v="0"/>
    <n v="0"/>
    <n v="0"/>
    <n v="0"/>
    <n v="0"/>
    <n v="196"/>
    <m/>
  </r>
  <r>
    <n v="744"/>
    <d v="2025-09-23T00:00:00"/>
    <s v="ZBTO"/>
    <n v="9519134753"/>
    <n v="15"/>
    <s v="9519134753-15"/>
    <s v="Oct'25"/>
    <x v="1"/>
    <x v="1"/>
    <m/>
    <x v="1"/>
    <x v="1"/>
    <s v="TBSPL"/>
    <m/>
    <m/>
    <n v="941597"/>
    <s v="TATA BLUESCOPE STEEL PRIVATE L"/>
    <n v="3940122"/>
    <s v="PPGL C HARD Y550PL D0C9 0.470(TPT)X1220"/>
    <s v="B18"/>
    <s v="Y550PL"/>
    <s v="D0C9"/>
    <n v="0.47"/>
    <n v="1220"/>
    <n v="0"/>
    <n v="56"/>
    <n v="0"/>
    <n v="56"/>
    <n v="0"/>
    <n v="56"/>
    <n v="0"/>
    <n v="56"/>
    <n v="0"/>
    <n v="0"/>
    <n v="0"/>
    <n v="56"/>
    <n v="0"/>
    <n v="56"/>
    <n v="0"/>
    <n v="0"/>
    <n v="0"/>
    <n v="0"/>
    <m/>
  </r>
  <r>
    <n v="744"/>
    <d v="2025-09-23T00:00:00"/>
    <s v="ZBTO"/>
    <n v="9519134753"/>
    <n v="16"/>
    <s v="9519134753-16"/>
    <s v="Oct'25"/>
    <x v="1"/>
    <x v="1"/>
    <m/>
    <x v="1"/>
    <x v="1"/>
    <s v="TBSPL"/>
    <m/>
    <m/>
    <n v="941597"/>
    <s v="TATA BLUESCOPE STEEL PRIVATE L"/>
    <n v="3940122"/>
    <s v="PPGL C HARD Y550PL D0C9 0.470(TPT)X1220"/>
    <s v="B18"/>
    <s v="Y550PL"/>
    <s v="D0C9"/>
    <n v="0.47"/>
    <n v="1220"/>
    <n v="0"/>
    <n v="56"/>
    <n v="0"/>
    <n v="56"/>
    <n v="0"/>
    <n v="56"/>
    <n v="0"/>
    <n v="0"/>
    <n v="0"/>
    <n v="56"/>
    <n v="0"/>
    <n v="0"/>
    <n v="0"/>
    <n v="0"/>
    <n v="0"/>
    <n v="0"/>
    <n v="0"/>
    <n v="56"/>
    <m/>
  </r>
  <r>
    <n v="744"/>
    <d v="2025-09-23T00:00:00"/>
    <s v="ZBTO"/>
    <n v="9519134753"/>
    <n v="17"/>
    <s v="9519134753-17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56"/>
    <n v="0"/>
    <n v="56"/>
    <n v="0"/>
    <n v="56"/>
    <n v="0"/>
    <n v="0"/>
    <n v="0"/>
    <n v="56"/>
    <n v="0"/>
    <n v="0"/>
    <n v="0"/>
    <n v="0"/>
    <n v="0"/>
    <n v="0"/>
    <n v="0"/>
    <n v="56"/>
    <m/>
  </r>
  <r>
    <n v="744"/>
    <d v="2025-09-23T00:00:00"/>
    <s v="ZBTO"/>
    <n v="9519134753"/>
    <n v="18"/>
    <s v="9519134753-18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56"/>
    <n v="0"/>
    <n v="56"/>
    <n v="0"/>
    <n v="56"/>
    <n v="0"/>
    <n v="56"/>
    <n v="0"/>
    <n v="0"/>
    <n v="0"/>
    <n v="56"/>
    <n v="0"/>
    <n v="0"/>
    <n v="56"/>
    <n v="0"/>
    <n v="0"/>
    <n v="0"/>
    <m/>
  </r>
  <r>
    <n v="744"/>
    <d v="2025-09-23T00:00:00"/>
    <s v="ZBTO"/>
    <n v="9519134753"/>
    <n v="19"/>
    <s v="9519134753-19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28"/>
    <n v="0"/>
    <n v="28"/>
    <n v="0"/>
    <n v="28"/>
    <n v="0"/>
    <n v="0"/>
    <n v="28"/>
    <n v="0"/>
    <n v="0"/>
    <n v="28"/>
    <n v="0"/>
    <n v="0"/>
    <n v="0"/>
    <n v="0"/>
    <n v="28"/>
    <n v="0"/>
    <m/>
  </r>
  <r>
    <n v="744"/>
    <d v="2025-09-23T00:00:00"/>
    <s v="ZBTO"/>
    <n v="9519134753"/>
    <n v="20"/>
    <s v="9519134753-20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84"/>
    <n v="0"/>
    <n v="84"/>
    <n v="0"/>
    <n v="84"/>
    <n v="0"/>
    <n v="0"/>
    <n v="84"/>
    <n v="0"/>
    <n v="0"/>
    <n v="84"/>
    <n v="0"/>
    <n v="0"/>
    <n v="0"/>
    <n v="0"/>
    <n v="84"/>
    <n v="0"/>
    <m/>
  </r>
  <r>
    <n v="744"/>
    <d v="2025-09-23T00:00:00"/>
    <s v="ZBTO"/>
    <n v="9519134753"/>
    <n v="21"/>
    <s v="9519134753-21"/>
    <s v="Oct'25"/>
    <x v="1"/>
    <x v="1"/>
    <m/>
    <x v="1"/>
    <x v="1"/>
    <s v="TBSPL"/>
    <m/>
    <m/>
    <n v="941597"/>
    <s v="TATA BLUESCOPE STEEL PRIVATE L"/>
    <n v="3902332"/>
    <s v="PPGL C HARD Y550PL D0C9 0.50(TPT)X1220"/>
    <s v="B18"/>
    <s v="Y550PL"/>
    <s v="D0C9"/>
    <n v="0.5"/>
    <n v="1220"/>
    <n v="0"/>
    <n v="28"/>
    <n v="0"/>
    <n v="28"/>
    <n v="0"/>
    <n v="28"/>
    <n v="0"/>
    <n v="28"/>
    <n v="0"/>
    <n v="0"/>
    <n v="0"/>
    <n v="28"/>
    <n v="0"/>
    <n v="0"/>
    <n v="28"/>
    <n v="0"/>
    <n v="0"/>
    <n v="0"/>
    <m/>
  </r>
  <r>
    <n v="743"/>
    <d v="2025-09-23T00:00:00"/>
    <s v="ZBTO"/>
    <n v="9519135056"/>
    <n v="1"/>
    <s v="9519135056-1"/>
    <s v="Oct'25"/>
    <x v="3"/>
    <x v="1"/>
    <m/>
    <x v="1"/>
    <x v="1"/>
    <s v="TBSPL"/>
    <m/>
    <m/>
    <n v="942283"/>
    <s v="TATA BLUESCOPE STEEL PRIVATE L"/>
    <n v="1881988"/>
    <s v="GL C YS550 H6GL 0.50BMT(0.55TCT)X1220"/>
    <s v="B04"/>
    <s v="Y550GL"/>
    <s v="H6GL"/>
    <n v="0.5"/>
    <n v="1220"/>
    <n v="0"/>
    <n v="84"/>
    <n v="0"/>
    <n v="84"/>
    <n v="0"/>
    <n v="84"/>
    <n v="84"/>
    <n v="0"/>
    <n v="0"/>
    <n v="0"/>
    <n v="0"/>
    <n v="84"/>
    <n v="0"/>
    <n v="84"/>
    <n v="0"/>
    <n v="0"/>
    <n v="0"/>
    <n v="0"/>
    <m/>
  </r>
  <r>
    <n v="743"/>
    <d v="2025-09-23T00:00:00"/>
    <s v="ZBTO"/>
    <n v="9519135056"/>
    <n v="2"/>
    <s v="9519135056-2"/>
    <s v="Oct'25"/>
    <x v="3"/>
    <x v="1"/>
    <m/>
    <x v="1"/>
    <x v="1"/>
    <s v="TBSPL"/>
    <m/>
    <m/>
    <n v="942283"/>
    <s v="TATA BLUESCOPE STEEL PRIVATE L"/>
    <n v="1881969"/>
    <s v="GL C YS550 H6GL 0.45BMT(0.50TCT)X1220"/>
    <s v="B04"/>
    <s v="Y550GL"/>
    <s v="H6GL"/>
    <n v="0.45"/>
    <n v="1220"/>
    <n v="0"/>
    <n v="112"/>
    <n v="13.305"/>
    <n v="98.694999999999993"/>
    <n v="0"/>
    <n v="112"/>
    <n v="112"/>
    <n v="0"/>
    <n v="0"/>
    <n v="0"/>
    <n v="0"/>
    <n v="112"/>
    <n v="0"/>
    <n v="112"/>
    <n v="0"/>
    <n v="0"/>
    <n v="0"/>
    <n v="0"/>
    <m/>
  </r>
  <r>
    <n v="743"/>
    <d v="2025-09-23T00:00:00"/>
    <s v="ZBTO"/>
    <n v="9519135056"/>
    <n v="3"/>
    <s v="9519135056-3"/>
    <s v="Oct'25"/>
    <x v="3"/>
    <x v="1"/>
    <m/>
    <x v="1"/>
    <x v="1"/>
    <s v="TBSPL"/>
    <m/>
    <m/>
    <n v="942283"/>
    <s v="TATA BLUESCOPE STEEL PRIVATE L"/>
    <n v="1881969"/>
    <s v="GL C YS550 H6GL 0.45BMT(0.50TCT)X1220"/>
    <s v="B04"/>
    <s v="Y550GL"/>
    <s v="H6GL"/>
    <n v="0.45"/>
    <n v="1220"/>
    <n v="0"/>
    <n v="224"/>
    <n v="0"/>
    <n v="224"/>
    <n v="0"/>
    <n v="224"/>
    <n v="0"/>
    <n v="224"/>
    <n v="0"/>
    <n v="0"/>
    <n v="0"/>
    <n v="224"/>
    <n v="0"/>
    <n v="0"/>
    <n v="224"/>
    <n v="0"/>
    <n v="0"/>
    <n v="0"/>
    <m/>
  </r>
  <r>
    <n v="2341"/>
    <d v="2025-09-23T00:00:00"/>
    <s v="ZBTF"/>
    <n v="9519110380"/>
    <n v="1"/>
    <s v="9519110380-1"/>
    <s v="Oct'25"/>
    <x v="0"/>
    <x v="2"/>
    <m/>
    <x v="1"/>
    <x v="3"/>
    <s v="North"/>
    <m/>
    <m/>
    <n v="925428"/>
    <s v="TUBE INVESTMENTS OF INDIA LIMI"/>
    <n v="3741588"/>
    <s v="CR COIL SA1010 TU97 1.150X1250"/>
    <s v="C01"/>
    <s v="SA1010"/>
    <s v="TU97"/>
    <n v="1.1499999999999999"/>
    <n v="1250"/>
    <n v="0"/>
    <n v="232"/>
    <n v="0"/>
    <n v="231.999"/>
    <n v="0"/>
    <n v="231.999"/>
    <n v="0"/>
    <n v="0"/>
    <n v="0"/>
    <n v="0"/>
    <n v="231.999"/>
    <n v="0"/>
    <n v="0"/>
    <n v="0"/>
    <n v="0"/>
    <n v="0"/>
    <n v="0"/>
    <n v="231.999"/>
    <m/>
  </r>
  <r>
    <n v="2341"/>
    <d v="2025-09-23T00:00:00"/>
    <s v="ZBTF"/>
    <n v="9519110380"/>
    <n v="2"/>
    <s v="9519110380-2"/>
    <s v="Oct'25"/>
    <x v="0"/>
    <x v="2"/>
    <m/>
    <x v="1"/>
    <x v="3"/>
    <s v="North"/>
    <m/>
    <m/>
    <n v="925428"/>
    <s v="TUBE INVESTMENTS OF INDIA LIMI"/>
    <n v="3741589"/>
    <s v="CR COIL SA1010 TU97 1.500X1250"/>
    <s v="C01"/>
    <s v="SA1010"/>
    <s v="TU97"/>
    <n v="1.5"/>
    <n v="1250"/>
    <n v="0"/>
    <n v="290"/>
    <n v="0"/>
    <n v="289.99900000000002"/>
    <n v="0"/>
    <n v="289.99900000000002"/>
    <n v="0"/>
    <n v="0"/>
    <n v="0"/>
    <n v="289.99900000000002"/>
    <n v="0"/>
    <n v="289.99900000000002"/>
    <n v="0"/>
    <n v="0"/>
    <n v="0"/>
    <n v="0"/>
    <n v="289.99900000000002"/>
    <n v="0"/>
    <m/>
  </r>
  <r>
    <n v="2341"/>
    <d v="2025-09-23T00:00:00"/>
    <s v="ZBTF"/>
    <n v="9519110380"/>
    <n v="3"/>
    <s v="9519110380-3"/>
    <s v="Oct'25"/>
    <x v="0"/>
    <x v="2"/>
    <m/>
    <x v="1"/>
    <x v="3"/>
    <s v="North"/>
    <m/>
    <m/>
    <n v="925428"/>
    <s v="TUBE INVESTMENTS OF INDIA LIMI"/>
    <n v="2413191"/>
    <s v="CRCA COIL SA1010 TU97 1.380X1250"/>
    <s v="C01"/>
    <s v="SA1010"/>
    <s v="TU97"/>
    <n v="1.38"/>
    <n v="1250"/>
    <n v="0"/>
    <n v="58"/>
    <n v="0"/>
    <n v="57.999000000000002"/>
    <n v="0"/>
    <n v="57.999000000000002"/>
    <n v="0"/>
    <n v="0"/>
    <n v="0"/>
    <n v="57.999000000000002"/>
    <n v="0"/>
    <n v="57.999000000000002"/>
    <n v="0"/>
    <n v="0"/>
    <n v="0"/>
    <n v="0"/>
    <n v="57.999000000000002"/>
    <n v="0"/>
    <m/>
  </r>
  <r>
    <n v="2341"/>
    <d v="2025-09-23T00:00:00"/>
    <s v="ZBTF"/>
    <n v="9519110380"/>
    <n v="4"/>
    <s v="9519110380-4"/>
    <s v="Oct'25"/>
    <x v="0"/>
    <x v="2"/>
    <m/>
    <x v="1"/>
    <x v="3"/>
    <s v="North"/>
    <m/>
    <m/>
    <n v="925428"/>
    <s v="TUBE INVESTMENTS OF INDIA LIMI"/>
    <n v="3741588"/>
    <s v="CR COIL SA1010 TU97 1.150X1250"/>
    <s v="C01"/>
    <s v="SA1010"/>
    <s v="TU97"/>
    <n v="1.1499999999999999"/>
    <n v="1250"/>
    <n v="0"/>
    <n v="261"/>
    <n v="0"/>
    <n v="260.99900000000002"/>
    <n v="0"/>
    <n v="260.99900000000002"/>
    <n v="0"/>
    <n v="0"/>
    <n v="0"/>
    <n v="0"/>
    <n v="260.99900000000002"/>
    <n v="260.99900000000002"/>
    <n v="0"/>
    <n v="0"/>
    <n v="0"/>
    <n v="0"/>
    <n v="260.99900000000002"/>
    <n v="0"/>
    <m/>
  </r>
  <r>
    <n v="2341"/>
    <d v="2025-09-23T00:00:00"/>
    <s v="ZBTF"/>
    <n v="9519110380"/>
    <n v="5"/>
    <s v="9519110380-5"/>
    <s v="Oct'25"/>
    <x v="0"/>
    <x v="2"/>
    <m/>
    <x v="1"/>
    <x v="3"/>
    <s v="North"/>
    <m/>
    <m/>
    <n v="925428"/>
    <s v="TUBE INVESTMENTS OF INDIA LIMI"/>
    <n v="3741589"/>
    <s v="CR COIL SA1010 TU97 1.500X1250"/>
    <s v="C01"/>
    <s v="SA1010"/>
    <s v="TU97"/>
    <n v="1.5"/>
    <n v="1250"/>
    <n v="0"/>
    <n v="290"/>
    <n v="0"/>
    <n v="289.99900000000002"/>
    <n v="0"/>
    <n v="289.99900000000002"/>
    <n v="0"/>
    <n v="0"/>
    <n v="289.99900000000002"/>
    <n v="0"/>
    <n v="0"/>
    <n v="289.99900000000002"/>
    <n v="0"/>
    <n v="0"/>
    <n v="0"/>
    <n v="289.99900000000002"/>
    <n v="0"/>
    <n v="0"/>
    <m/>
  </r>
  <r>
    <n v="744"/>
    <d v="2025-09-24T00:00:00"/>
    <s v="ZBTO"/>
    <n v="9519138217"/>
    <n v="1"/>
    <s v="9519138217-1"/>
    <s v="Oct'25"/>
    <x v="1"/>
    <x v="1"/>
    <m/>
    <x v="1"/>
    <x v="1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n v="196"/>
    <n v="159.785"/>
    <n v="36.213999999999999"/>
    <n v="159.78500000000003"/>
    <n v="36.213999999999999"/>
    <n v="0"/>
    <n v="36.213999999999999"/>
    <n v="0"/>
    <n v="0"/>
    <n v="0"/>
    <n v="195.99900000000002"/>
    <n v="0"/>
    <n v="0"/>
    <n v="0"/>
    <n v="195.99900000000002"/>
    <n v="0"/>
    <n v="0"/>
    <m/>
  </r>
  <r>
    <n v="744"/>
    <d v="2025-09-24T00:00:00"/>
    <s v="ZBTO"/>
    <n v="9519138217"/>
    <n v="2"/>
    <s v="9519138217-2"/>
    <s v="Oct'25"/>
    <x v="1"/>
    <x v="1"/>
    <m/>
    <x v="1"/>
    <x v="1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n v="84"/>
    <n v="0"/>
    <n v="84"/>
    <n v="0"/>
    <n v="84"/>
    <n v="84"/>
    <n v="0"/>
    <n v="0"/>
    <n v="0"/>
    <n v="0"/>
    <n v="84"/>
    <n v="0"/>
    <n v="84"/>
    <n v="0"/>
    <n v="0"/>
    <n v="0"/>
    <n v="0"/>
    <m/>
  </r>
  <r>
    <n v="744"/>
    <d v="2025-09-24T00:00:00"/>
    <s v="ZBTO"/>
    <n v="9519138217"/>
    <n v="3"/>
    <s v="9519138217-3"/>
    <s v="Oct'25"/>
    <x v="1"/>
    <x v="1"/>
    <m/>
    <x v="1"/>
    <x v="1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n v="28"/>
    <n v="0"/>
    <n v="28"/>
    <n v="0"/>
    <n v="28"/>
    <n v="0"/>
    <n v="28"/>
    <n v="0"/>
    <n v="0"/>
    <n v="0"/>
    <n v="28"/>
    <n v="0"/>
    <n v="0"/>
    <n v="28"/>
    <n v="0"/>
    <n v="0"/>
    <n v="0"/>
    <m/>
  </r>
  <r>
    <n v="744"/>
    <d v="2025-09-24T00:00:00"/>
    <s v="ZBTO"/>
    <n v="9519138217"/>
    <n v="5"/>
    <s v="9519138217-5"/>
    <s v="Oct'25"/>
    <x v="1"/>
    <x v="1"/>
    <m/>
    <x v="1"/>
    <x v="1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n v="28"/>
    <n v="0"/>
    <n v="28"/>
    <n v="0"/>
    <n v="28"/>
    <n v="0"/>
    <n v="28"/>
    <n v="0"/>
    <n v="0"/>
    <n v="0"/>
    <n v="28"/>
    <n v="0"/>
    <n v="0"/>
    <n v="28"/>
    <n v="0"/>
    <n v="0"/>
    <n v="0"/>
    <m/>
  </r>
  <r>
    <n v="744"/>
    <d v="2025-09-24T00:00:00"/>
    <s v="ZBTO"/>
    <n v="9519138217"/>
    <n v="6"/>
    <s v="9519138217-6"/>
    <s v="Oct'25"/>
    <x v="1"/>
    <x v="1"/>
    <m/>
    <x v="1"/>
    <x v="1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n v="56"/>
    <n v="50.65"/>
    <n v="5.35"/>
    <n v="26.424999999999997"/>
    <n v="0"/>
    <n v="0"/>
    <n v="0"/>
    <n v="0"/>
    <n v="0"/>
    <n v="0"/>
    <n v="26.424999999999997"/>
    <n v="0"/>
    <n v="26.424999999999997"/>
    <n v="0"/>
    <n v="0"/>
    <n v="0"/>
    <n v="0"/>
    <m/>
  </r>
  <r>
    <n v="743"/>
    <d v="2025-09-24T00:00:00"/>
    <s v="ZBTO"/>
    <n v="9519138346"/>
    <n v="1"/>
    <s v="9519138346-1"/>
    <s v="Oct'25"/>
    <x v="2"/>
    <x v="11"/>
    <n v="1000"/>
    <x v="0"/>
    <x v="0"/>
    <s v="East"/>
    <s v="JABALPUR"/>
    <s v="NPUR"/>
    <n v="929931"/>
    <s v="BMW VYAPAR PRIVATE LIMITED"/>
    <n v="1851091"/>
    <s v="GP COIL SOFT-TATXGP-GK09-0.4X1250"/>
    <s v="C02"/>
    <s v="TATXGP"/>
    <s v="GK09"/>
    <n v="0.4"/>
    <n v="1250"/>
    <n v="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3"/>
    <d v="2025-09-24T00:00:00"/>
    <s v="ZBTO"/>
    <n v="9519138346"/>
    <n v="2"/>
    <s v="9519138346-2"/>
    <s v="Oct'25"/>
    <x v="2"/>
    <x v="11"/>
    <m/>
    <x v="0"/>
    <x v="0"/>
    <s v="East"/>
    <s v="JABALPUR"/>
    <s v="NPUR"/>
    <n v="929931"/>
    <s v="BMW VYAPAR PRIVATE LIMITED"/>
    <n v="1851102"/>
    <s v="GP COIL SOFT-TATXGP-GK09-0.5X1250"/>
    <s v="C02"/>
    <s v="TATXGP"/>
    <s v="GK09"/>
    <n v="0.5"/>
    <n v="1250"/>
    <n v="0"/>
    <n v="29"/>
    <n v="0"/>
    <n v="29"/>
    <n v="0"/>
    <n v="29"/>
    <n v="29"/>
    <n v="0"/>
    <n v="0"/>
    <n v="0"/>
    <n v="0"/>
    <n v="29"/>
    <n v="0"/>
    <n v="29"/>
    <n v="0"/>
    <n v="0"/>
    <n v="0"/>
    <n v="0"/>
    <m/>
  </r>
  <r>
    <n v="743"/>
    <d v="2025-09-24T00:00:00"/>
    <s v="ZBTO"/>
    <n v="9519138346"/>
    <n v="3"/>
    <s v="9519138346-3"/>
    <s v="Oct'25"/>
    <x v="2"/>
    <x v="11"/>
    <m/>
    <x v="0"/>
    <x v="0"/>
    <s v="East"/>
    <s v="JABALPUR"/>
    <s v="NPUR"/>
    <n v="929931"/>
    <s v="BMW VYAPAR PRIVATE LIMITED"/>
    <n v="1851106"/>
    <s v="GP COIL SOFT-TATXGP-GK09-0.6X1250"/>
    <s v="C02"/>
    <s v="TATXGP"/>
    <s v="GK09"/>
    <n v="0.6"/>
    <n v="1250"/>
    <n v="0"/>
    <n v="58"/>
    <n v="0"/>
    <n v="58"/>
    <n v="0"/>
    <n v="58"/>
    <n v="0"/>
    <n v="58"/>
    <n v="0"/>
    <n v="0"/>
    <n v="0"/>
    <n v="58"/>
    <n v="0"/>
    <n v="0"/>
    <n v="58"/>
    <n v="0"/>
    <n v="0"/>
    <n v="0"/>
    <m/>
  </r>
  <r>
    <n v="744"/>
    <d v="2025-09-24T00:00:00"/>
    <s v="ZBTO"/>
    <n v="9519138060"/>
    <n v="3"/>
    <s v="9519138060-3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52"/>
    <n v="0"/>
    <n v="252"/>
    <n v="0"/>
    <n v="252"/>
    <n v="0"/>
    <n v="0"/>
    <n v="252"/>
    <n v="0"/>
    <n v="0"/>
    <n v="252"/>
    <n v="0"/>
    <n v="0"/>
    <n v="0"/>
    <n v="252"/>
    <n v="0"/>
    <n v="0"/>
    <m/>
  </r>
  <r>
    <n v="742"/>
    <d v="2025-09-18T00:00:00"/>
    <s v="ZBTO"/>
    <n v="9519114845"/>
    <n v="3"/>
    <s v="9519114845-3"/>
    <s v="Oct'25"/>
    <x v="0"/>
    <x v="4"/>
    <m/>
    <x v="0"/>
    <x v="0"/>
    <s v="South"/>
    <s v="VISHAKHAPATNAM"/>
    <s v="SBAD"/>
    <n v="946077"/>
    <s v="SITARAM IRON AND STEEL PVT LTD"/>
    <n v="2378008"/>
    <s v="CRCA COIL TATXXD AU03 0.600X1120"/>
    <s v="C01"/>
    <s v="TATXXD"/>
    <s v="AU03"/>
    <n v="0.6"/>
    <n v="1120"/>
    <n v="0"/>
    <n v="26"/>
    <n v="0"/>
    <n v="26"/>
    <n v="0"/>
    <n v="26"/>
    <n v="26"/>
    <n v="0"/>
    <n v="0"/>
    <n v="0"/>
    <n v="0"/>
    <n v="26"/>
    <n v="0"/>
    <n v="26"/>
    <n v="0"/>
    <n v="0"/>
    <n v="0"/>
    <n v="0"/>
    <m/>
  </r>
  <r>
    <n v="742"/>
    <d v="2025-09-18T00:00:00"/>
    <s v="ZBTO"/>
    <n v="9519114845"/>
    <n v="4"/>
    <s v="9519114845-4"/>
    <s v="Oct'25"/>
    <x v="0"/>
    <x v="4"/>
    <m/>
    <x v="0"/>
    <x v="0"/>
    <s v="South"/>
    <s v="VISHAKHAPATNAM"/>
    <s v="SBAD"/>
    <n v="946077"/>
    <s v="SITARAM IRON AND STEEL PVT LTD"/>
    <n v="1804814"/>
    <s v="CRCA COIL TATXXD AU03 0.8X1250"/>
    <s v="C01"/>
    <s v="TATXXD"/>
    <s v="AU03"/>
    <n v="0.8"/>
    <n v="1250"/>
    <n v="0"/>
    <n v="29"/>
    <n v="0"/>
    <n v="29"/>
    <n v="0"/>
    <n v="29"/>
    <n v="29"/>
    <n v="0"/>
    <n v="0"/>
    <n v="0"/>
    <n v="0"/>
    <n v="29"/>
    <n v="0"/>
    <n v="29"/>
    <n v="0"/>
    <n v="0"/>
    <n v="0"/>
    <n v="0"/>
    <m/>
  </r>
  <r>
    <n v="744"/>
    <d v="2025-09-24T00:00:00"/>
    <s v="ZBTO"/>
    <n v="9519138217"/>
    <n v="4"/>
    <s v="9519138217-4"/>
    <s v="Oct'25"/>
    <x v="1"/>
    <x v="1"/>
    <m/>
    <x v="1"/>
    <x v="1"/>
    <s v="TBSPL"/>
    <s v="RAJASTHAN"/>
    <s v="BOMB"/>
    <n v="940008"/>
    <s v="TATA BLUESCOPE STEEL PVT LTD."/>
    <n v="3521298"/>
    <s v="PPGL C Y550 D0C7 0.33BMT(0.37TPT)X1220"/>
    <s v="B18"/>
    <s v="Y550PL"/>
    <s v="D0C7"/>
    <n v="0.33"/>
    <n v="1220"/>
    <n v="0"/>
    <n v="84"/>
    <n v="0"/>
    <n v="84"/>
    <n v="0"/>
    <n v="84"/>
    <n v="0"/>
    <n v="84"/>
    <n v="0"/>
    <n v="0"/>
    <n v="0"/>
    <n v="84"/>
    <n v="0"/>
    <n v="0"/>
    <n v="84"/>
    <n v="0"/>
    <n v="0"/>
    <n v="0"/>
    <m/>
  </r>
  <r>
    <n v="744"/>
    <d v="2025-09-24T00:00:00"/>
    <s v="ZBTO"/>
    <n v="9519138060"/>
    <n v="4"/>
    <s v="9519138060-4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8"/>
    <n v="0"/>
    <n v="28"/>
    <n v="0"/>
    <n v="28"/>
    <n v="0"/>
    <n v="0"/>
    <n v="28"/>
    <n v="0"/>
    <n v="0"/>
    <n v="28"/>
    <n v="0"/>
    <n v="0"/>
    <n v="0"/>
    <n v="28"/>
    <n v="0"/>
    <n v="0"/>
    <m/>
  </r>
  <r>
    <n v="744"/>
    <d v="2025-09-23T00:00:00"/>
    <s v="ZBTO"/>
    <n v="9519135248"/>
    <n v="1"/>
    <s v="9519135248-1"/>
    <s v="Oct'25"/>
    <x v="1"/>
    <x v="1"/>
    <m/>
    <x v="1"/>
    <x v="1"/>
    <s v="TBSPL"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n v="28"/>
    <n v="0"/>
    <n v="28"/>
    <n v="0"/>
    <n v="28"/>
    <n v="0"/>
    <n v="0"/>
    <n v="28"/>
    <n v="0"/>
    <n v="0"/>
    <n v="28"/>
    <n v="0"/>
    <n v="0"/>
    <n v="0"/>
    <n v="28"/>
    <n v="0"/>
    <n v="0"/>
    <m/>
  </r>
  <r>
    <n v="744"/>
    <d v="2025-09-23T00:00:00"/>
    <s v="ZBTO"/>
    <n v="9519135248"/>
    <n v="2"/>
    <s v="9519135248-2"/>
    <s v="Oct'25"/>
    <x v="1"/>
    <x v="1"/>
    <m/>
    <x v="1"/>
    <x v="1"/>
    <s v="TBSPL"/>
    <s v=" "/>
    <s v="BOMB"/>
    <n v="941597"/>
    <s v="TATA BLUESCOPE STEEL PRIVATE LIMITE"/>
    <n v="3902332"/>
    <s v="PPGL C HARD Y550PL D0C9 0.50(TPT)X1220"/>
    <s v="B18"/>
    <s v="Y550PL"/>
    <s v="D0C9"/>
    <n v="0.5"/>
    <n v="1220"/>
    <n v="0"/>
    <n v="28"/>
    <n v="0"/>
    <n v="28"/>
    <n v="0"/>
    <n v="28"/>
    <n v="0"/>
    <n v="0"/>
    <n v="0"/>
    <n v="28"/>
    <n v="0"/>
    <n v="0"/>
    <n v="0"/>
    <n v="0"/>
    <n v="0"/>
    <n v="0"/>
    <n v="0"/>
    <n v="28"/>
    <m/>
  </r>
  <r>
    <n v="744"/>
    <d v="2025-09-24T00:00:00"/>
    <s v="ZBTO"/>
    <n v="9519138060"/>
    <n v="1"/>
    <s v="9519138060-1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80"/>
    <n v="146.935"/>
    <n v="133.065"/>
    <n v="146.93500000000003"/>
    <n v="133.065"/>
    <n v="133.065"/>
    <n v="0"/>
    <n v="0"/>
    <n v="0"/>
    <n v="0"/>
    <n v="0"/>
    <n v="0"/>
    <n v="0"/>
    <n v="0"/>
    <n v="0"/>
    <n v="0"/>
    <n v="280"/>
    <m/>
  </r>
  <r>
    <n v="744"/>
    <d v="2025-09-24T00:00:00"/>
    <s v="ZBTO"/>
    <n v="9519138060"/>
    <n v="2"/>
    <s v="9519138060-2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80"/>
    <n v="131.9"/>
    <n v="148.09899999999999"/>
    <n v="131.89999999999998"/>
    <n v="148.09899999999999"/>
    <n v="0"/>
    <n v="148.09899999999999"/>
    <n v="0"/>
    <n v="0"/>
    <n v="0"/>
    <n v="279.99899999999997"/>
    <n v="0"/>
    <n v="0"/>
    <n v="0"/>
    <n v="279.99899999999997"/>
    <n v="0"/>
    <n v="0"/>
    <m/>
  </r>
  <r>
    <n v="744"/>
    <d v="2025-09-24T00:00:00"/>
    <s v="ZBTO"/>
    <n v="9519138217"/>
    <n v="9"/>
    <s v="9519138217-9"/>
    <s v="Oct'25"/>
    <x v="1"/>
    <x v="1"/>
    <m/>
    <x v="1"/>
    <x v="1"/>
    <s v="TBSPL"/>
    <s v="RAJASTHAN"/>
    <s v="BOMB"/>
    <n v="940008"/>
    <s v="TATA BLUESCOPE STEEL PVT LTD."/>
    <n v="3522241"/>
    <s v="PPGL C Y550 D0C7 0.43BMT(0.47TPT)X1220"/>
    <s v="B18"/>
    <s v="Y550PL"/>
    <s v="D0C7"/>
    <n v="0.43"/>
    <n v="1220"/>
    <n v="0"/>
    <n v="28"/>
    <n v="0"/>
    <n v="28"/>
    <n v="0"/>
    <n v="28"/>
    <n v="0"/>
    <n v="0"/>
    <n v="0"/>
    <n v="28"/>
    <n v="0"/>
    <n v="0"/>
    <n v="0"/>
    <n v="0"/>
    <n v="0"/>
    <n v="0"/>
    <n v="0"/>
    <n v="28"/>
    <m/>
  </r>
  <r>
    <n v="744"/>
    <d v="2025-09-24T00:00:00"/>
    <s v="ZBTO"/>
    <n v="9519138060"/>
    <n v="5"/>
    <s v="9519138060-5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84"/>
    <n v="69.185000000000002"/>
    <n v="14.814"/>
    <n v="69.184999999999988"/>
    <n v="14.814"/>
    <n v="14.814"/>
    <n v="0"/>
    <n v="0"/>
    <n v="0"/>
    <n v="0"/>
    <n v="83.998999999999995"/>
    <n v="0"/>
    <n v="0"/>
    <n v="83.998999999999995"/>
    <n v="0"/>
    <n v="0"/>
    <n v="0"/>
    <m/>
  </r>
  <r>
    <n v="744"/>
    <d v="2025-09-24T00:00:00"/>
    <s v="ZBTO"/>
    <n v="9519138426"/>
    <n v="1"/>
    <s v="9519138426-1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8"/>
    <n v="0"/>
    <n v="28"/>
    <n v="0"/>
    <n v="28"/>
    <n v="0"/>
    <n v="28"/>
    <n v="0"/>
    <n v="0"/>
    <n v="0"/>
    <n v="28"/>
    <n v="0"/>
    <n v="0"/>
    <n v="0"/>
    <n v="0"/>
    <n v="28"/>
    <n v="0"/>
    <m/>
  </r>
  <r>
    <n v="744"/>
    <d v="2025-09-24T00:00:00"/>
    <s v="ZBTO"/>
    <n v="9519138426"/>
    <n v="5"/>
    <s v="9519138426-5"/>
    <s v="Oct'25"/>
    <x v="1"/>
    <x v="1"/>
    <m/>
    <x v="1"/>
    <x v="1"/>
    <s v="TBSPL"/>
    <s v="GAMHARIA"/>
    <s v="BOMB"/>
    <n v="940016"/>
    <s v="TATA BLUESCOPE STEEL PVT LTD."/>
    <n v="3521298"/>
    <s v="PPGL C Y550 D0C7 0.33BMT(0.37TPT)X1220"/>
    <s v="B18"/>
    <s v="Y550PL"/>
    <s v="D0C7"/>
    <n v="0.33"/>
    <n v="1220"/>
    <n v="0"/>
    <n v="28"/>
    <n v="0"/>
    <n v="28"/>
    <n v="0"/>
    <n v="28"/>
    <n v="0"/>
    <n v="28"/>
    <n v="0"/>
    <n v="0"/>
    <n v="0"/>
    <n v="28"/>
    <n v="0"/>
    <n v="0"/>
    <n v="0"/>
    <n v="0"/>
    <n v="28"/>
    <n v="0"/>
    <m/>
  </r>
  <r>
    <n v="742"/>
    <d v="2025-09-12T00:00:00"/>
    <s v="ZBTO"/>
    <n v="9519099083"/>
    <n v="2"/>
    <s v="9519099083-2"/>
    <s v="Oct'25"/>
    <x v="0"/>
    <x v="4"/>
    <m/>
    <x v="0"/>
    <x v="0"/>
    <s v="North"/>
    <s v="FARIDABAD"/>
    <s v="FBAD"/>
    <n v="926346"/>
    <s v="GRG STEELS PVT. LTD."/>
    <n v="1801022"/>
    <s v="CRCA COIL-TATXXD-AU03-0.45X1250"/>
    <s v="C01"/>
    <s v="TATXXD"/>
    <s v="AU03"/>
    <n v="0.45"/>
    <n v="1250"/>
    <n v="0"/>
    <n v="87"/>
    <n v="0"/>
    <n v="87"/>
    <n v="0"/>
    <n v="87"/>
    <n v="0"/>
    <n v="87"/>
    <n v="0"/>
    <n v="0"/>
    <n v="0"/>
    <n v="87"/>
    <n v="0"/>
    <n v="0"/>
    <n v="87"/>
    <n v="0"/>
    <n v="0"/>
    <n v="0"/>
    <m/>
  </r>
  <r>
    <n v="744"/>
    <d v="2025-09-24T00:00:00"/>
    <s v="ZBTO"/>
    <n v="9519138426"/>
    <n v="2"/>
    <s v="9519138426-2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80"/>
    <n v="0"/>
    <n v="280"/>
    <n v="0"/>
    <n v="280"/>
    <n v="0"/>
    <n v="0"/>
    <n v="0"/>
    <n v="0"/>
    <n v="280"/>
    <n v="0"/>
    <n v="0"/>
    <n v="0"/>
    <n v="0"/>
    <n v="0"/>
    <n v="0"/>
    <n v="280"/>
    <m/>
  </r>
  <r>
    <n v="744"/>
    <d v="2025-09-24T00:00:00"/>
    <s v="ZBTO"/>
    <n v="9519138426"/>
    <n v="3"/>
    <s v="9519138426-3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280"/>
    <n v="0"/>
    <n v="280"/>
    <n v="0"/>
    <n v="280"/>
    <n v="0"/>
    <n v="0"/>
    <n v="0"/>
    <n v="280"/>
    <n v="0"/>
    <n v="0"/>
    <n v="0"/>
    <n v="0"/>
    <n v="0"/>
    <n v="0"/>
    <n v="0"/>
    <n v="280"/>
    <m/>
  </r>
  <r>
    <n v="744"/>
    <d v="2025-09-24T00:00:00"/>
    <s v="ZBTO"/>
    <n v="9519138426"/>
    <n v="4"/>
    <s v="9519138426-4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196"/>
    <n v="0"/>
    <n v="196"/>
    <n v="0"/>
    <n v="196"/>
    <n v="0"/>
    <n v="0"/>
    <n v="0"/>
    <n v="196"/>
    <n v="0"/>
    <n v="0"/>
    <n v="0"/>
    <n v="0"/>
    <n v="0"/>
    <n v="0"/>
    <n v="0"/>
    <n v="196"/>
    <m/>
  </r>
  <r>
    <n v="744"/>
    <d v="2025-09-24T00:00:00"/>
    <s v="ZBTO"/>
    <n v="9519138426"/>
    <n v="6"/>
    <s v="9519138426-6"/>
    <s v="Oct'25"/>
    <x v="1"/>
    <x v="1"/>
    <m/>
    <x v="1"/>
    <x v="1"/>
    <s v="TBSPL"/>
    <s v="GAMHARIA"/>
    <s v="BOMB"/>
    <n v="940016"/>
    <s v="TATA BLUESCOPE STEEL PVT LTD."/>
    <n v="3522241"/>
    <s v="PPGL C Y550 D0C7 0.43BMT(0.47TPT)X1220"/>
    <s v="B18"/>
    <s v="Y550PL"/>
    <s v="D0C7"/>
    <n v="0.43"/>
    <n v="1220"/>
    <n v="0"/>
    <n v="112"/>
    <n v="0"/>
    <n v="112"/>
    <n v="0"/>
    <n v="112"/>
    <n v="0"/>
    <n v="0"/>
    <n v="112"/>
    <n v="0"/>
    <n v="0"/>
    <n v="112"/>
    <n v="0"/>
    <n v="0"/>
    <n v="0"/>
    <n v="112"/>
    <n v="0"/>
    <n v="0"/>
    <m/>
  </r>
  <r>
    <n v="743"/>
    <d v="2025-09-27T00:00:00"/>
    <s v="ZBTO"/>
    <n v="9519137724"/>
    <n v="2"/>
    <s v="9519137724-2"/>
    <s v="Oct'25"/>
    <x v="2"/>
    <x v="11"/>
    <m/>
    <x v="0"/>
    <x v="0"/>
    <s v="East"/>
    <m/>
    <m/>
    <n v="936511"/>
    <s v="SAGAR STEELS PROCESSING &amp; MANUFACTU"/>
    <n v="1300229"/>
    <m/>
    <s v="C02"/>
    <m/>
    <s v="GLK1"/>
    <n v="0.4"/>
    <n v="1220"/>
    <n v="0"/>
    <n v="56"/>
    <n v="0"/>
    <n v="56"/>
    <n v="0"/>
    <n v="56"/>
    <n v="56"/>
    <n v="0"/>
    <n v="0"/>
    <n v="0"/>
    <n v="0"/>
    <n v="56"/>
    <n v="0"/>
    <n v="56"/>
    <n v="0"/>
    <n v="0"/>
    <n v="0"/>
    <n v="0"/>
    <m/>
  </r>
  <r>
    <n v="743"/>
    <d v="2025-09-27T00:00:00"/>
    <s v="ZBTO"/>
    <n v="9519136994"/>
    <n v="3"/>
    <s v="9519136994-3"/>
    <s v="Oct'25"/>
    <x v="2"/>
    <x v="8"/>
    <m/>
    <x v="0"/>
    <x v="0"/>
    <s v="North"/>
    <m/>
    <m/>
    <n v="115190"/>
    <s v="SHEYRUB AGENCIES"/>
    <n v="3897501"/>
    <m/>
    <s v="C05"/>
    <m/>
    <s v="GPH3"/>
    <n v="0.5"/>
    <n v="900"/>
    <n v="0"/>
    <n v="63"/>
    <n v="0"/>
    <n v="63"/>
    <n v="0"/>
    <n v="63"/>
    <n v="0"/>
    <n v="0"/>
    <n v="0"/>
    <n v="0"/>
    <n v="63"/>
    <n v="63"/>
    <n v="0"/>
    <n v="0"/>
    <n v="0"/>
    <n v="0"/>
    <n v="63"/>
    <n v="0"/>
    <m/>
  </r>
  <r>
    <n v="743"/>
    <d v="2025-09-27T00:00:00"/>
    <s v="ZBTO"/>
    <n v="9519136994"/>
    <n v="2"/>
    <s v="9519136994-2"/>
    <s v="Oct'25"/>
    <x v="2"/>
    <x v="8"/>
    <m/>
    <x v="0"/>
    <x v="0"/>
    <s v="North"/>
    <m/>
    <m/>
    <n v="115190"/>
    <s v="SHEYRUB AGENCIES"/>
    <n v="3897430"/>
    <m/>
    <s v="C05"/>
    <m/>
    <s v="GPH3"/>
    <n v="0.4"/>
    <n v="900"/>
    <n v="0"/>
    <n v="21"/>
    <n v="0"/>
    <n v="21"/>
    <n v="0"/>
    <n v="21"/>
    <n v="0"/>
    <n v="0"/>
    <n v="0"/>
    <n v="0"/>
    <n v="21"/>
    <n v="21"/>
    <n v="0"/>
    <n v="0"/>
    <n v="0"/>
    <n v="0"/>
    <n v="21"/>
    <n v="0"/>
    <m/>
  </r>
  <r>
    <n v="743"/>
    <d v="2025-09-27T00:00:00"/>
    <s v="ZBTO"/>
    <n v="9519136994"/>
    <n v="1"/>
    <s v="9519136994-1"/>
    <s v="Oct'25"/>
    <x v="2"/>
    <x v="8"/>
    <m/>
    <x v="0"/>
    <x v="0"/>
    <s v="North"/>
    <m/>
    <m/>
    <n v="115190"/>
    <s v="SHEYRUB AGENCIES"/>
    <n v="3897429"/>
    <m/>
    <s v="C05"/>
    <m/>
    <s v="GPH3"/>
    <n v="0.35"/>
    <n v="900"/>
    <n v="0"/>
    <n v="21"/>
    <n v="0"/>
    <n v="21"/>
    <n v="0"/>
    <n v="21"/>
    <n v="0"/>
    <n v="0"/>
    <n v="0"/>
    <n v="0"/>
    <n v="21"/>
    <n v="21"/>
    <n v="0"/>
    <n v="0"/>
    <n v="0"/>
    <n v="0"/>
    <n v="21"/>
    <n v="0"/>
    <m/>
  </r>
  <r>
    <n v="743"/>
    <d v="2025-09-25T00:00:00"/>
    <s v="ZBTO"/>
    <n v="9519141094"/>
    <n v="1"/>
    <s v="9519141094-1"/>
    <s v="Oct'25"/>
    <x v="2"/>
    <x v="5"/>
    <m/>
    <x v="0"/>
    <x v="0"/>
    <s v="North"/>
    <s v="Uttar Pradesh"/>
    <m/>
    <n v="933952"/>
    <s v="AGARWAL STEEL TRADERS"/>
    <n v="1854418"/>
    <s v="GP COIL SOFT-TATXGP-GK09-0.5X900"/>
    <s v="C02"/>
    <s v="TATXGP"/>
    <s v="GK09"/>
    <n v="0.5"/>
    <n v="900"/>
    <n v="0"/>
    <n v="84"/>
    <n v="0"/>
    <n v="84"/>
    <n v="0"/>
    <n v="84"/>
    <n v="0"/>
    <n v="0"/>
    <n v="0"/>
    <n v="0"/>
    <n v="84"/>
    <n v="0"/>
    <n v="0"/>
    <n v="0"/>
    <n v="0"/>
    <n v="0"/>
    <n v="0"/>
    <n v="84"/>
    <m/>
  </r>
  <r>
    <n v="743"/>
    <d v="2025-09-25T00:00:00"/>
    <s v="ZBTO"/>
    <n v="9519141143"/>
    <n v="1"/>
    <s v="9519141143-1"/>
    <s v="Oct'25"/>
    <x v="2"/>
    <x v="5"/>
    <m/>
    <x v="0"/>
    <x v="0"/>
    <s v="North"/>
    <s v="Uttar Pradesh"/>
    <m/>
    <n v="931525"/>
    <s v="INDIA STEEL INDUSTRIES"/>
    <n v="1191955"/>
    <s v="GP COIL SOFT-TATXGP-GK09-0.3X900"/>
    <s v="C02"/>
    <s v="TATXGP"/>
    <s v="GK09"/>
    <n v="0.3"/>
    <n v="900"/>
    <n v="0"/>
    <n v="84"/>
    <n v="0"/>
    <n v="84"/>
    <n v="0"/>
    <n v="84"/>
    <n v="0"/>
    <n v="0"/>
    <n v="0"/>
    <n v="84"/>
    <n v="0"/>
    <n v="84"/>
    <n v="0"/>
    <n v="0"/>
    <n v="0"/>
    <n v="0"/>
    <n v="84"/>
    <n v="0"/>
    <m/>
  </r>
  <r>
    <n v="743"/>
    <d v="2025-09-25T00:00:00"/>
    <s v="ZBTO"/>
    <n v="9519141143"/>
    <n v="2"/>
    <s v="9519141143-2"/>
    <s v="Oct'25"/>
    <x v="2"/>
    <x v="5"/>
    <m/>
    <x v="0"/>
    <x v="0"/>
    <s v="North"/>
    <s v="Uttar Pradesh"/>
    <m/>
    <n v="931525"/>
    <s v="INDIA STEEL INDUSTRIES"/>
    <n v="1191956"/>
    <s v="GP COIL SOFT-TATXGP-GK09-0.35X900"/>
    <s v="C02"/>
    <s v="TATXGP"/>
    <s v="GK09"/>
    <n v="0.35"/>
    <n v="900"/>
    <n v="0"/>
    <n v="84"/>
    <n v="0"/>
    <n v="84"/>
    <n v="0"/>
    <n v="84"/>
    <n v="0"/>
    <n v="0"/>
    <n v="0"/>
    <n v="0"/>
    <n v="84"/>
    <n v="0"/>
    <n v="0"/>
    <n v="0"/>
    <n v="0"/>
    <n v="0"/>
    <n v="0"/>
    <n v="84"/>
    <m/>
  </r>
  <r>
    <n v="743"/>
    <d v="2025-09-25T00:00:00"/>
    <s v="ZBTO"/>
    <n v="9519141143"/>
    <n v="3"/>
    <s v="9519141143-3"/>
    <s v="Oct'25"/>
    <x v="2"/>
    <x v="5"/>
    <m/>
    <x v="0"/>
    <x v="0"/>
    <s v="North"/>
    <s v="Uttar Pradesh"/>
    <m/>
    <n v="931525"/>
    <s v="INDIA STEEL INDUSTRIES"/>
    <n v="1178439"/>
    <s v="GP COIL SOFT-TATXGP-GK09-0.4X900"/>
    <s v="C02"/>
    <s v="TATXGP"/>
    <s v="GK09"/>
    <n v="0.4"/>
    <n v="900"/>
    <n v="0"/>
    <n v="63"/>
    <n v="0"/>
    <n v="63"/>
    <n v="0"/>
    <n v="63"/>
    <n v="0"/>
    <n v="0"/>
    <n v="0"/>
    <n v="0"/>
    <n v="63"/>
    <n v="0"/>
    <n v="0"/>
    <n v="0"/>
    <n v="0"/>
    <n v="0"/>
    <n v="0"/>
    <n v="63"/>
    <m/>
  </r>
  <r>
    <n v="743"/>
    <d v="2025-09-25T00:00:00"/>
    <s v="ZBTO"/>
    <n v="9519141143"/>
    <n v="4"/>
    <s v="9519141143-4"/>
    <s v="Oct'25"/>
    <x v="2"/>
    <x v="5"/>
    <m/>
    <x v="0"/>
    <x v="0"/>
    <s v="North"/>
    <s v="Uttar Pradesh"/>
    <m/>
    <n v="931525"/>
    <s v="INDIA STEEL INDUSTRIES"/>
    <n v="1854418"/>
    <s v="GP COIL SOFT-TATXGP-GK09-0.5X900"/>
    <s v="C02"/>
    <s v="TATXGP"/>
    <s v="GK09"/>
    <n v="0.5"/>
    <n v="900"/>
    <n v="0"/>
    <n v="84"/>
    <n v="0"/>
    <n v="84"/>
    <n v="0"/>
    <n v="84"/>
    <n v="0"/>
    <n v="0"/>
    <n v="0"/>
    <n v="0"/>
    <n v="84"/>
    <n v="0"/>
    <n v="0"/>
    <n v="0"/>
    <n v="0"/>
    <n v="0"/>
    <n v="0"/>
    <n v="84"/>
    <m/>
  </r>
  <r>
    <n v="743"/>
    <d v="2025-09-24T00:00:00"/>
    <s v="ZBTO"/>
    <n v="9519137706"/>
    <n v="1"/>
    <s v="9519137706-1"/>
    <s v="Oct'25"/>
    <x v="2"/>
    <x v="5"/>
    <m/>
    <x v="0"/>
    <x v="0"/>
    <s v="East"/>
    <s v="Assam"/>
    <m/>
    <n v="116649"/>
    <s v="SAGAR STEELS"/>
    <n v="1853143"/>
    <s v="GP COIL SOFT-TATXGP-GLK1-0.4X900"/>
    <s v="C02"/>
    <s v="TATXGP"/>
    <s v="GLK1"/>
    <n v="0.4"/>
    <n v="900"/>
    <n v="0"/>
    <n v="42"/>
    <n v="0"/>
    <n v="42"/>
    <n v="0"/>
    <n v="42"/>
    <n v="0"/>
    <n v="0"/>
    <n v="0"/>
    <n v="42"/>
    <n v="0"/>
    <n v="42"/>
    <n v="0"/>
    <n v="0"/>
    <n v="0"/>
    <n v="0"/>
    <n v="42"/>
    <n v="0"/>
    <m/>
  </r>
  <r>
    <n v="743"/>
    <d v="2025-09-24T00:00:00"/>
    <s v="ZBTO"/>
    <n v="9519137706"/>
    <n v="2"/>
    <s v="9519137706-2"/>
    <s v="Oct'25"/>
    <x v="2"/>
    <x v="5"/>
    <m/>
    <x v="0"/>
    <x v="0"/>
    <s v="East"/>
    <s v="Assam"/>
    <m/>
    <n v="116649"/>
    <s v="SAGAR STEELS"/>
    <n v="1142896"/>
    <s v="GP COIL SOFT-TATXGP-GLK1-0.55X900"/>
    <s v="C02"/>
    <s v="TATXGP"/>
    <s v="GLK1"/>
    <n v="0.55000000000000004"/>
    <n v="900"/>
    <n v="0"/>
    <n v="63"/>
    <n v="0"/>
    <n v="21"/>
    <n v="0"/>
    <n v="21"/>
    <n v="0"/>
    <n v="0"/>
    <n v="0"/>
    <n v="21"/>
    <n v="0"/>
    <n v="21"/>
    <n v="0"/>
    <n v="0"/>
    <n v="0"/>
    <n v="0"/>
    <n v="21"/>
    <n v="0"/>
    <m/>
  </r>
  <r>
    <n v="743"/>
    <d v="2025-09-24T00:00:00"/>
    <s v="ZBTO"/>
    <n v="9519137706"/>
    <n v="3"/>
    <s v="9519137706-3"/>
    <s v="Oct'25"/>
    <x v="2"/>
    <x v="5"/>
    <m/>
    <x v="0"/>
    <x v="0"/>
    <s v="East"/>
    <s v="Assam"/>
    <m/>
    <n v="116649"/>
    <s v="SAGAR STEELS"/>
    <n v="1142897"/>
    <s v="GP COIL SOFT-TATXGP-GLK1-0.6X900"/>
    <s v="C02"/>
    <s v="TATXGP"/>
    <s v="GLK1"/>
    <n v="0.6"/>
    <n v="900"/>
    <n v="0"/>
    <n v="42"/>
    <n v="0"/>
    <n v="42"/>
    <n v="0"/>
    <n v="42"/>
    <n v="0"/>
    <n v="0"/>
    <n v="0"/>
    <n v="42"/>
    <n v="0"/>
    <n v="42"/>
    <n v="0"/>
    <n v="0"/>
    <n v="0"/>
    <n v="0"/>
    <n v="42"/>
    <n v="0"/>
    <m/>
  </r>
  <r>
    <n v="743"/>
    <d v="2025-09-24T00:00:00"/>
    <s v="ZBTO"/>
    <n v="9519137706"/>
    <n v="6"/>
    <s v="9519137706-6"/>
    <s v="Oct'25"/>
    <x v="2"/>
    <x v="11"/>
    <m/>
    <x v="0"/>
    <x v="0"/>
    <s v="East"/>
    <s v="Assam"/>
    <m/>
    <n v="116649"/>
    <s v="SAGAR STEELS"/>
    <n v="2233645"/>
    <s v="GP COIL SOFT TATXGP GLK1 0.35X1220"/>
    <s v="C02"/>
    <s v="TATXGP"/>
    <s v="GLK1"/>
    <n v="0.35"/>
    <n v="1220"/>
    <n v="0"/>
    <n v="112"/>
    <n v="0"/>
    <n v="112"/>
    <n v="0"/>
    <n v="112"/>
    <n v="112"/>
    <n v="0"/>
    <n v="0"/>
    <n v="0"/>
    <n v="0"/>
    <n v="112"/>
    <n v="0"/>
    <n v="112"/>
    <n v="0"/>
    <n v="0"/>
    <n v="0"/>
    <n v="0"/>
    <m/>
  </r>
  <r>
    <n v="743"/>
    <d v="2025-09-24T00:00:00"/>
    <s v="ZBTO"/>
    <n v="9519137706"/>
    <n v="7"/>
    <s v="9519137706-7"/>
    <s v="Oct'25"/>
    <x v="2"/>
    <x v="11"/>
    <m/>
    <x v="0"/>
    <x v="0"/>
    <s v="East"/>
    <s v="Assam"/>
    <m/>
    <n v="116649"/>
    <s v="SAGAR STEELS"/>
    <n v="1300229"/>
    <s v="GP COIL SOFT-TATXGP-GLK1-0.4X1220"/>
    <s v="C02"/>
    <s v="TATXGP"/>
    <s v="GLK1"/>
    <n v="0.4"/>
    <n v="1220"/>
    <n v="0"/>
    <n v="112"/>
    <n v="0"/>
    <n v="112"/>
    <n v="0"/>
    <n v="112"/>
    <n v="112"/>
    <n v="0"/>
    <n v="0"/>
    <n v="0"/>
    <n v="0"/>
    <n v="112"/>
    <n v="0"/>
    <n v="112"/>
    <n v="0"/>
    <n v="0"/>
    <n v="0"/>
    <n v="0"/>
    <m/>
  </r>
  <r>
    <n v="743"/>
    <d v="2025-09-24T00:00:00"/>
    <s v="ZBTO"/>
    <n v="9519137706"/>
    <n v="8"/>
    <s v="9519137706-8"/>
    <s v="Oct'25"/>
    <x v="2"/>
    <x v="5"/>
    <m/>
    <x v="0"/>
    <x v="0"/>
    <s v="East"/>
    <s v="Assam"/>
    <m/>
    <n v="116649"/>
    <s v="SAGAR STEELS"/>
    <n v="1142893"/>
    <s v="GP COIL SOFT-TATXGP-GLK1-0.35X900"/>
    <s v="C02"/>
    <s v="TATXGP"/>
    <s v="GLK1"/>
    <n v="0.35"/>
    <n v="900"/>
    <n v="0"/>
    <n v="42"/>
    <n v="0"/>
    <n v="42"/>
    <n v="0"/>
    <n v="42"/>
    <n v="0"/>
    <n v="0"/>
    <n v="0"/>
    <n v="42"/>
    <n v="0"/>
    <n v="42"/>
    <n v="0"/>
    <n v="0"/>
    <n v="0"/>
    <n v="0"/>
    <n v="42"/>
    <n v="0"/>
    <m/>
  </r>
  <r>
    <n v="743"/>
    <d v="2025-09-24T00:00:00"/>
    <s v="ZBTO"/>
    <n v="9519137724"/>
    <n v="1"/>
    <s v="9519137724-1"/>
    <s v="Oct'25"/>
    <x v="2"/>
    <x v="11"/>
    <m/>
    <x v="0"/>
    <x v="0"/>
    <s v="East"/>
    <s v="Assam"/>
    <m/>
    <n v="936511"/>
    <s v="SAGAR STEELS PROCESSING &amp; MANU"/>
    <n v="2233645"/>
    <s v="GP COIL SOFT TATXGP GLK1 0.35X1220"/>
    <s v="C02"/>
    <s v="TATXGP"/>
    <s v="GLK1"/>
    <n v="0.35"/>
    <n v="1220"/>
    <n v="0"/>
    <n v="56"/>
    <n v="0"/>
    <n v="28"/>
    <n v="0"/>
    <n v="28"/>
    <n v="28"/>
    <n v="0"/>
    <n v="0"/>
    <n v="0"/>
    <n v="0"/>
    <n v="28"/>
    <n v="0"/>
    <n v="28"/>
    <n v="0"/>
    <n v="0"/>
    <n v="0"/>
    <n v="0"/>
    <m/>
  </r>
  <r>
    <n v="743"/>
    <d v="2025-09-24T00:00:00"/>
    <s v="ZBTO"/>
    <n v="9519137724"/>
    <n v="5"/>
    <s v="9519137724-5"/>
    <s v="Oct'25"/>
    <x v="2"/>
    <x v="11"/>
    <m/>
    <x v="0"/>
    <x v="0"/>
    <s v="East"/>
    <s v="Assam"/>
    <m/>
    <n v="936511"/>
    <s v="SAGAR STEELS PROCESSING &amp; MANU"/>
    <n v="3671523"/>
    <s v="GP COIL TATXGP GLK2 0.450X1220"/>
    <s v="C02"/>
    <s v="TATXGP"/>
    <s v="GLK2"/>
    <n v="0.45"/>
    <n v="1220"/>
    <n v="0"/>
    <n v="28"/>
    <n v="0"/>
    <n v="28"/>
    <n v="0"/>
    <n v="28"/>
    <n v="28"/>
    <n v="0"/>
    <n v="0"/>
    <n v="0"/>
    <n v="0"/>
    <n v="28"/>
    <n v="0"/>
    <n v="28"/>
    <n v="0"/>
    <n v="0"/>
    <n v="0"/>
    <n v="0"/>
    <m/>
  </r>
  <r>
    <n v="4210"/>
    <d v="2025-09-18T00:00:00"/>
    <s v="ZBTF"/>
    <n v="9519115421"/>
    <n v="1"/>
    <s v="9519115421-1"/>
    <s v="Oct'25"/>
    <x v="0"/>
    <x v="9"/>
    <m/>
    <x v="2"/>
    <x v="4"/>
    <s v="South"/>
    <m/>
    <m/>
    <n v="76004"/>
    <s v="TUBES DIVISION"/>
    <n v="2150940"/>
    <s v="CRCA COIL SA1008 TU98 1.200X1250"/>
    <s v="C01"/>
    <s v="SA1008"/>
    <s v="TU98"/>
    <n v="1.2"/>
    <n v="1250"/>
    <n v="0"/>
    <n v="203"/>
    <n v="0"/>
    <n v="203"/>
    <n v="0"/>
    <n v="203"/>
    <n v="0"/>
    <n v="0"/>
    <n v="0"/>
    <n v="203"/>
    <n v="0"/>
    <n v="203"/>
    <n v="0"/>
    <n v="0"/>
    <n v="0"/>
    <n v="203"/>
    <n v="0"/>
    <n v="0"/>
    <m/>
  </r>
  <r>
    <n v="4210"/>
    <d v="2025-09-18T00:00:00"/>
    <s v="ZBTF"/>
    <n v="9519115421"/>
    <n v="3"/>
    <s v="9519115421-3"/>
    <s v="Oct'25"/>
    <x v="0"/>
    <x v="9"/>
    <m/>
    <x v="2"/>
    <x v="4"/>
    <s v="South"/>
    <m/>
    <m/>
    <n v="76004"/>
    <s v="TUBES DIVISION"/>
    <n v="2150938"/>
    <s v="CRCA COIL SA1008 TU98 1X1250"/>
    <s v="C01"/>
    <s v="SA1008"/>
    <s v="TU98"/>
    <n v="1"/>
    <n v="1250"/>
    <n v="0"/>
    <n v="116"/>
    <n v="0"/>
    <n v="116"/>
    <n v="0"/>
    <n v="116"/>
    <n v="0"/>
    <n v="0"/>
    <n v="116"/>
    <n v="0"/>
    <n v="0"/>
    <n v="116"/>
    <n v="0"/>
    <n v="0"/>
    <n v="116"/>
    <n v="0"/>
    <n v="0"/>
    <n v="0"/>
    <m/>
  </r>
  <r>
    <n v="4210"/>
    <d v="2025-09-18T00:00:00"/>
    <s v="ZBTF"/>
    <n v="9519115421"/>
    <n v="4"/>
    <s v="9519115421-4"/>
    <s v="Oct'25"/>
    <x v="0"/>
    <x v="9"/>
    <m/>
    <x v="2"/>
    <x v="4"/>
    <s v="South"/>
    <m/>
    <m/>
    <n v="76004"/>
    <s v="TUBES DIVISION"/>
    <n v="2150942"/>
    <s v="CRCA COIL SA1008 TU98 1.600X1250"/>
    <s v="C01"/>
    <s v="SA1008"/>
    <s v="TU98"/>
    <n v="1.6"/>
    <n v="1250"/>
    <n v="0"/>
    <n v="203"/>
    <n v="0"/>
    <n v="203"/>
    <n v="0"/>
    <n v="203"/>
    <n v="0"/>
    <n v="0"/>
    <n v="0"/>
    <n v="203"/>
    <n v="0"/>
    <n v="203"/>
    <n v="0"/>
    <n v="0"/>
    <n v="0"/>
    <n v="203"/>
    <n v="0"/>
    <n v="0"/>
    <m/>
  </r>
  <r>
    <n v="4210"/>
    <d v="2025-09-18T00:00:00"/>
    <s v="ZBTF"/>
    <n v="9519115421"/>
    <n v="5"/>
    <s v="9519115421-5"/>
    <s v="Oct'25"/>
    <x v="0"/>
    <x v="9"/>
    <m/>
    <x v="2"/>
    <x v="4"/>
    <s v="South"/>
    <m/>
    <m/>
    <n v="76004"/>
    <s v="TUBES DIVISION"/>
    <n v="2150942"/>
    <s v="CRCA COIL SA1008 TU98 1.600X1250"/>
    <s v="C01"/>
    <s v="SA1008"/>
    <s v="TU98"/>
    <n v="1.6"/>
    <n v="1250"/>
    <n v="0"/>
    <n v="203"/>
    <n v="0"/>
    <n v="203"/>
    <n v="0"/>
    <n v="203"/>
    <n v="0"/>
    <n v="0"/>
    <n v="0"/>
    <n v="203"/>
    <n v="0"/>
    <n v="0"/>
    <n v="0"/>
    <n v="0"/>
    <n v="0"/>
    <n v="0"/>
    <n v="0"/>
    <n v="203"/>
    <m/>
  </r>
  <r>
    <n v="4210"/>
    <d v="2025-09-18T00:00:00"/>
    <s v="ZBTF"/>
    <n v="9519115421"/>
    <n v="7"/>
    <s v="9519115421-7"/>
    <s v="Oct'25"/>
    <x v="0"/>
    <x v="9"/>
    <n v="1300"/>
    <x v="2"/>
    <x v="4"/>
    <s v="South"/>
    <m/>
    <m/>
    <n v="76004"/>
    <s v="TUBES DIVISION"/>
    <n v="2150942"/>
    <s v="CRCA COIL SA1008 TU98 1.600X1250"/>
    <s v="C01"/>
    <s v="SA1008"/>
    <s v="TU98"/>
    <n v="1.6"/>
    <n v="1250"/>
    <n v="0"/>
    <n v="203"/>
    <n v="0"/>
    <n v="203"/>
    <n v="0"/>
    <n v="100"/>
    <n v="0"/>
    <n v="0"/>
    <n v="0"/>
    <n v="100"/>
    <n v="0"/>
    <n v="100"/>
    <n v="0"/>
    <n v="0"/>
    <n v="0"/>
    <n v="0"/>
    <n v="100"/>
    <n v="0"/>
    <m/>
  </r>
  <r>
    <n v="4210"/>
    <d v="2025-09-18T00:00:00"/>
    <s v="ZBTF"/>
    <n v="9519115421"/>
    <n v="8"/>
    <s v="9519115421-8"/>
    <s v="Oct'25"/>
    <x v="0"/>
    <x v="9"/>
    <m/>
    <x v="2"/>
    <x v="4"/>
    <s v="South"/>
    <m/>
    <m/>
    <n v="76004"/>
    <s v="TUBES DIVISION"/>
    <n v="2150943"/>
    <s v="CRCA COIL SA1008 TU98 1.900X1250"/>
    <s v="C01"/>
    <s v="SA1008"/>
    <s v="TU98"/>
    <n v="1.9"/>
    <n v="1250"/>
    <n v="0"/>
    <n v="116"/>
    <n v="0"/>
    <n v="116"/>
    <n v="0"/>
    <n v="116"/>
    <n v="0"/>
    <n v="116"/>
    <n v="0"/>
    <n v="0"/>
    <n v="0"/>
    <n v="116"/>
    <n v="0"/>
    <n v="116"/>
    <n v="0"/>
    <n v="0"/>
    <n v="0"/>
    <n v="0"/>
    <m/>
  </r>
  <r>
    <n v="1192"/>
    <d v="2025-09-26T00:00:00"/>
    <s v="ZBTF"/>
    <n v="9519145140"/>
    <n v="1"/>
    <s v="9519145140-1"/>
    <s v="Oct'25"/>
    <x v="2"/>
    <x v="8"/>
    <m/>
    <x v="0"/>
    <x v="2"/>
    <s v="East"/>
    <m/>
    <m/>
    <n v="651192"/>
    <s v="Angul Galvanizing Plant"/>
    <n v="3777533"/>
    <s v="GP COIL TATGPH GP02 0.500X1015"/>
    <s v="C05"/>
    <s v="TATGPH"/>
    <s v="GP02"/>
    <n v="0.5"/>
    <n v="1015"/>
    <n v="92"/>
    <n v="92"/>
    <n v="0"/>
    <n v="92"/>
    <n v="0"/>
    <n v="92"/>
    <n v="0"/>
    <n v="0"/>
    <n v="92"/>
    <n v="0"/>
    <n v="0"/>
    <n v="92"/>
    <n v="0"/>
    <n v="0"/>
    <n v="0"/>
    <n v="92"/>
    <n v="0"/>
    <n v="0"/>
    <m/>
  </r>
  <r>
    <n v="1192"/>
    <d v="2025-09-26T00:00:00"/>
    <s v="ZBTF"/>
    <n v="9519145140"/>
    <n v="2"/>
    <s v="9519145140-2"/>
    <s v="Oct'25"/>
    <x v="2"/>
    <x v="6"/>
    <m/>
    <x v="0"/>
    <x v="2"/>
    <s v="East"/>
    <m/>
    <m/>
    <n v="651192"/>
    <s v="Angul Galvanizing Plant"/>
    <n v="3767014"/>
    <s v="GP COIL TATGPH GP02 0.400X1350"/>
    <s v="C05"/>
    <s v="TATGPH"/>
    <s v="GP02"/>
    <n v="0.4"/>
    <n v="1350"/>
    <n v="93"/>
    <n v="93"/>
    <n v="0"/>
    <n v="92.998999999999995"/>
    <n v="0"/>
    <n v="92.998999999999995"/>
    <n v="92.998999999999995"/>
    <n v="0"/>
    <n v="0"/>
    <n v="0"/>
    <n v="0"/>
    <n v="92.998999999999995"/>
    <n v="0"/>
    <n v="92.998999999999995"/>
    <n v="0"/>
    <n v="0"/>
    <n v="0"/>
    <n v="0"/>
    <m/>
  </r>
  <r>
    <n v="1192"/>
    <d v="2025-09-26T00:00:00"/>
    <s v="ZBTF"/>
    <n v="9519145140"/>
    <n v="3"/>
    <s v="9519145140-3"/>
    <s v="Oct'25"/>
    <x v="2"/>
    <x v="6"/>
    <m/>
    <x v="0"/>
    <x v="2"/>
    <s v="East"/>
    <m/>
    <m/>
    <n v="651192"/>
    <s v="Angul Galvanizing Plant"/>
    <n v="3708868"/>
    <s v="GP COIL TATGPH GP02 0.500X1350"/>
    <s v="C05"/>
    <s v="TATGPH"/>
    <s v="GP02"/>
    <n v="0.5"/>
    <n v="1350"/>
    <n v="217"/>
    <n v="217"/>
    <n v="0"/>
    <n v="216.999"/>
    <n v="0"/>
    <n v="216.999"/>
    <n v="0"/>
    <n v="0"/>
    <n v="216.999"/>
    <n v="0"/>
    <n v="0"/>
    <n v="216.999"/>
    <n v="0"/>
    <n v="0"/>
    <n v="0"/>
    <n v="216.999"/>
    <n v="0"/>
    <n v="0"/>
    <m/>
  </r>
  <r>
    <n v="1192"/>
    <d v="2025-09-26T00:00:00"/>
    <s v="ZBTF"/>
    <n v="9519145140"/>
    <n v="4"/>
    <s v="9519145140-4"/>
    <s v="Oct'25"/>
    <x v="2"/>
    <x v="6"/>
    <m/>
    <x v="0"/>
    <x v="2"/>
    <s v="East"/>
    <m/>
    <m/>
    <n v="651192"/>
    <s v="Angul Galvanizing Plant"/>
    <n v="3767015"/>
    <s v="GP COIL TATGPH GP02 0.600X1350"/>
    <s v="C05"/>
    <s v="TATGPH"/>
    <s v="GP02"/>
    <n v="0.6"/>
    <n v="1350"/>
    <n v="93"/>
    <n v="93"/>
    <n v="0"/>
    <n v="93"/>
    <n v="0"/>
    <n v="93"/>
    <n v="0"/>
    <n v="0"/>
    <n v="93"/>
    <n v="0"/>
    <n v="0"/>
    <n v="93"/>
    <n v="0"/>
    <n v="0"/>
    <n v="0"/>
    <n v="93"/>
    <n v="0"/>
    <n v="0"/>
    <m/>
  </r>
  <r>
    <n v="743"/>
    <d v="2025-08-01T00:00:00"/>
    <s v="ZBTO"/>
    <n v="9518972501"/>
    <n v="1"/>
    <s v="9518972501-1"/>
    <s v="Oct'25"/>
    <x v="3"/>
    <x v="10"/>
    <m/>
    <x v="1"/>
    <x v="1"/>
    <s v="West"/>
    <s v="SANAND"/>
    <m/>
    <n v="944226"/>
    <s v="PURSHOTAM PROFILES PRIVATE LIMITED"/>
    <n v="3889776"/>
    <s v="GL COIL HARD  Y550GL H0GL 0.900X1249"/>
    <s v="B04"/>
    <s v="Y550GL"/>
    <s v="H0GL"/>
    <n v="0.9"/>
    <n v="1249"/>
    <n v="0"/>
    <n v="327"/>
    <n v="305.75"/>
    <n v="21.25"/>
    <n v="0"/>
    <n v="21.25"/>
    <n v="21.25"/>
    <n v="0"/>
    <n v="0"/>
    <n v="0"/>
    <n v="0"/>
    <n v="21.25"/>
    <n v="0"/>
    <n v="21.25"/>
    <n v="0"/>
    <n v="0"/>
    <n v="0"/>
    <n v="0"/>
    <m/>
  </r>
  <r>
    <n v="743"/>
    <d v="2025-09-26T00:00:00"/>
    <s v="ZBTO"/>
    <n v="9519144746"/>
    <n v="1"/>
    <s v="9519144746-1"/>
    <s v="Oct'25"/>
    <x v="3"/>
    <x v="14"/>
    <m/>
    <x v="1"/>
    <x v="1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n v="280"/>
    <n v="204.01"/>
    <n v="75.989999999999995"/>
    <n v="204.01"/>
    <n v="75.989999999999995"/>
    <n v="0"/>
    <n v="75.989999999999995"/>
    <n v="0"/>
    <n v="0"/>
    <n v="0"/>
    <n v="280"/>
    <n v="0"/>
    <n v="0"/>
    <n v="280"/>
    <n v="0"/>
    <n v="0"/>
    <n v="0"/>
    <m/>
  </r>
  <r>
    <n v="743"/>
    <d v="2025-09-26T00:00:00"/>
    <s v="ZBTO"/>
    <n v="9519144746"/>
    <n v="2"/>
    <s v="9519144746-2"/>
    <s v="Oct'25"/>
    <x v="3"/>
    <x v="14"/>
    <m/>
    <x v="1"/>
    <x v="1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n v="280"/>
    <n v="0"/>
    <n v="280"/>
    <n v="0"/>
    <n v="280"/>
    <n v="0"/>
    <n v="280"/>
    <n v="0"/>
    <n v="0"/>
    <n v="0"/>
    <n v="280"/>
    <n v="0"/>
    <n v="280"/>
    <n v="0"/>
    <n v="0"/>
    <n v="0"/>
    <n v="0"/>
    <m/>
  </r>
  <r>
    <n v="744"/>
    <d v="2025-09-26T00:00:00"/>
    <s v="ZBTO"/>
    <n v="9519146199"/>
    <n v="1"/>
    <s v="9519146199-1"/>
    <s v="Oct'25"/>
    <x v="1"/>
    <x v="1"/>
    <m/>
    <x v="1"/>
    <x v="1"/>
    <s v="TBSPL"/>
    <s v="RAJASTHAN"/>
    <m/>
    <n v="940008"/>
    <s v="TATA BLUESCOPE STEEL PVT LTD."/>
    <n v="3522241"/>
    <s v="PPGL C Y550 D0C7 0.43BMT(0.47TPT)X1220"/>
    <s v="B18"/>
    <s v="Y550PL"/>
    <s v="D0C7"/>
    <n v="0.43"/>
    <n v="1220"/>
    <n v="0"/>
    <n v="224"/>
    <n v="0"/>
    <n v="224"/>
    <n v="0"/>
    <n v="224"/>
    <n v="0"/>
    <n v="224"/>
    <n v="0"/>
    <n v="0"/>
    <n v="0"/>
    <n v="0"/>
    <n v="0"/>
    <n v="0"/>
    <n v="0"/>
    <n v="0"/>
    <n v="0"/>
    <n v="224"/>
    <m/>
  </r>
  <r>
    <n v="744"/>
    <d v="2025-09-26T00:00:00"/>
    <s v="ZBTO"/>
    <n v="9519146199"/>
    <n v="2"/>
    <s v="9519146199-2"/>
    <s v="Oct'25"/>
    <x v="1"/>
    <x v="1"/>
    <m/>
    <x v="1"/>
    <x v="1"/>
    <s v="TBSPL"/>
    <s v="RAJASTHAN"/>
    <m/>
    <n v="940008"/>
    <s v="TATA BLUESCOPE STEEL PVT LTD."/>
    <n v="3522241"/>
    <s v="PPGL C Y550 D0C7 0.43BMT(0.47TPT)X1220"/>
    <s v="B18"/>
    <s v="Y550PL"/>
    <s v="D0C7"/>
    <n v="0.43"/>
    <n v="1220"/>
    <n v="0"/>
    <n v="168"/>
    <n v="0"/>
    <n v="168"/>
    <n v="0"/>
    <n v="168"/>
    <n v="168"/>
    <n v="0"/>
    <n v="0"/>
    <n v="0"/>
    <n v="0"/>
    <n v="168"/>
    <n v="0"/>
    <n v="168"/>
    <n v="0"/>
    <n v="0"/>
    <n v="0"/>
    <n v="0"/>
    <m/>
  </r>
  <r>
    <n v="744"/>
    <d v="2025-09-26T00:00:00"/>
    <s v="ZBTO"/>
    <n v="9519146199"/>
    <n v="3"/>
    <s v="9519146199-3"/>
    <s v="Oct'25"/>
    <x v="1"/>
    <x v="1"/>
    <m/>
    <x v="1"/>
    <x v="1"/>
    <s v="TBSPL"/>
    <s v="RAJASTHAN"/>
    <m/>
    <n v="940008"/>
    <s v="TATA BLUESCOPE STEEL PVT LTD."/>
    <n v="3522241"/>
    <s v="PPGL C Y550 D0C7 0.43BMT(0.47TPT)X1220"/>
    <s v="B18"/>
    <s v="Y550PL"/>
    <s v="D0C7"/>
    <n v="0.43"/>
    <n v="1220"/>
    <n v="0"/>
    <n v="28"/>
    <n v="0"/>
    <n v="28"/>
    <n v="0"/>
    <n v="28"/>
    <n v="0"/>
    <n v="28"/>
    <n v="0"/>
    <n v="0"/>
    <n v="0"/>
    <n v="28"/>
    <n v="0"/>
    <n v="0"/>
    <n v="0"/>
    <n v="0"/>
    <n v="28"/>
    <n v="0"/>
    <m/>
  </r>
  <r>
    <n v="743"/>
    <d v="2025-09-26T00:00:00"/>
    <s v="ZBTO"/>
    <n v="9519144746"/>
    <n v="3"/>
    <s v="9519144746-3"/>
    <s v="Oct'25"/>
    <x v="3"/>
    <x v="14"/>
    <m/>
    <x v="1"/>
    <x v="1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n v="280"/>
    <n v="0"/>
    <n v="280"/>
    <n v="0"/>
    <n v="280"/>
    <n v="0"/>
    <n v="0"/>
    <n v="280"/>
    <n v="0"/>
    <n v="0"/>
    <n v="280"/>
    <n v="0"/>
    <n v="0"/>
    <n v="0"/>
    <n v="280"/>
    <n v="0"/>
    <n v="0"/>
    <m/>
  </r>
  <r>
    <n v="743"/>
    <d v="2025-09-26T00:00:00"/>
    <s v="ZBTO"/>
    <n v="9519144746"/>
    <n v="4"/>
    <s v="9519144746-4"/>
    <s v="Oct'25"/>
    <x v="3"/>
    <x v="14"/>
    <m/>
    <x v="1"/>
    <x v="1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n v="280"/>
    <n v="0"/>
    <n v="280"/>
    <n v="0"/>
    <n v="280"/>
    <n v="0"/>
    <n v="0"/>
    <n v="280"/>
    <n v="0"/>
    <n v="0"/>
    <n v="280"/>
    <n v="0"/>
    <n v="0"/>
    <n v="0"/>
    <n v="280"/>
    <n v="0"/>
    <n v="0"/>
    <m/>
  </r>
  <r>
    <n v="743"/>
    <d v="2025-09-26T00:00:00"/>
    <s v="ZBTO"/>
    <n v="9519144746"/>
    <n v="5"/>
    <s v="9519144746-5"/>
    <s v="Oct'25"/>
    <x v="3"/>
    <x v="14"/>
    <n v="2400"/>
    <x v="1"/>
    <x v="1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n v="280"/>
    <n v="0"/>
    <n v="280"/>
    <n v="0"/>
    <n v="280"/>
    <n v="0"/>
    <n v="0"/>
    <n v="280"/>
    <n v="0"/>
    <n v="0"/>
    <n v="280"/>
    <n v="0"/>
    <n v="0"/>
    <n v="280"/>
    <n v="0"/>
    <n v="0"/>
    <n v="0"/>
    <m/>
  </r>
  <r>
    <n v="743"/>
    <d v="2025-09-26T00:00:00"/>
    <s v="ZBTO"/>
    <n v="9519144746"/>
    <n v="6"/>
    <s v="9519144746-6"/>
    <s v="Oct'25"/>
    <x v="3"/>
    <x v="14"/>
    <m/>
    <x v="1"/>
    <x v="1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n v="280"/>
    <n v="0"/>
    <n v="280"/>
    <n v="0"/>
    <n v="280"/>
    <n v="0"/>
    <n v="280"/>
    <n v="0"/>
    <n v="0"/>
    <n v="0"/>
    <n v="280"/>
    <n v="0"/>
    <n v="280"/>
    <n v="0"/>
    <n v="0"/>
    <n v="0"/>
    <n v="0"/>
    <m/>
  </r>
  <r>
    <n v="743"/>
    <d v="2025-09-26T00:00:00"/>
    <s v="ZBTO"/>
    <n v="9519144746"/>
    <n v="7"/>
    <s v="9519144746-7"/>
    <s v="Oct'25"/>
    <x v="3"/>
    <x v="14"/>
    <m/>
    <x v="1"/>
    <x v="1"/>
    <s v="East"/>
    <s v="DANKUNI"/>
    <m/>
    <n v="101122"/>
    <s v="JINDAL INDIA LIMITED"/>
    <n v="3988091"/>
    <s v="GL COIL HARD  Y550GL H7GL 0.440X1240"/>
    <s v="B04"/>
    <s v="Y550GL"/>
    <s v="H7GL"/>
    <n v="0.44"/>
    <n v="1240"/>
    <n v="0"/>
    <n v="280"/>
    <n v="0"/>
    <n v="280"/>
    <n v="0"/>
    <n v="280"/>
    <n v="0"/>
    <n v="280"/>
    <n v="0"/>
    <n v="0"/>
    <n v="0"/>
    <n v="280"/>
    <n v="0"/>
    <n v="0"/>
    <n v="280"/>
    <n v="0"/>
    <n v="0"/>
    <n v="0"/>
    <m/>
  </r>
  <r>
    <n v="744"/>
    <d v="2025-09-26T00:00:00"/>
    <s v="ZBTO"/>
    <n v="9519146271"/>
    <n v="1"/>
    <s v="9519146271-1"/>
    <s v="Oct'25"/>
    <x v="1"/>
    <x v="1"/>
    <m/>
    <x v="1"/>
    <x v="1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n v="28"/>
    <n v="0"/>
    <n v="28"/>
    <n v="0"/>
    <n v="28"/>
    <n v="0"/>
    <n v="28"/>
    <n v="0"/>
    <n v="0"/>
    <n v="0"/>
    <n v="28"/>
    <n v="0"/>
    <n v="0"/>
    <n v="0"/>
    <n v="0"/>
    <n v="28"/>
    <n v="0"/>
    <m/>
  </r>
  <r>
    <n v="744"/>
    <d v="2025-09-26T00:00:00"/>
    <s v="ZBTO"/>
    <n v="9519146271"/>
    <n v="6"/>
    <s v="9519146271-6"/>
    <s v="Oct'25"/>
    <x v="1"/>
    <x v="1"/>
    <m/>
    <x v="1"/>
    <x v="1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n v="28"/>
    <n v="0"/>
    <n v="28"/>
    <n v="0"/>
    <n v="28"/>
    <n v="0"/>
    <n v="28"/>
    <n v="0"/>
    <n v="0"/>
    <n v="0"/>
    <n v="28"/>
    <n v="0"/>
    <n v="0"/>
    <n v="0"/>
    <n v="0"/>
    <n v="28"/>
    <n v="0"/>
    <m/>
  </r>
  <r>
    <n v="743"/>
    <d v="2025-09-27T00:00:00"/>
    <s v="ZBTO"/>
    <n v="9519148419"/>
    <n v="1"/>
    <s v="9519148419-1"/>
    <s v="Oct'25"/>
    <x v="3"/>
    <x v="10"/>
    <m/>
    <x v="1"/>
    <x v="1"/>
    <s v="TBSPL"/>
    <s v=" "/>
    <m/>
    <n v="942283"/>
    <s v="TATA BLUESCOPE STEEL PRIVATE LIMITE"/>
    <n v="1882051"/>
    <s v="GL COIL HARD Y550GL H6GL 0.90 X 1250"/>
    <s v="B04"/>
    <s v="Y550GL"/>
    <s v="H6GL"/>
    <n v="0.9"/>
    <n v="1250"/>
    <n v="0"/>
    <n v="290"/>
    <n v="0"/>
    <n v="290"/>
    <n v="0"/>
    <n v="290"/>
    <n v="0"/>
    <n v="0"/>
    <n v="290"/>
    <n v="0"/>
    <n v="0"/>
    <n v="0"/>
    <n v="0"/>
    <n v="0"/>
    <n v="0"/>
    <n v="0"/>
    <n v="0"/>
    <n v="290"/>
    <m/>
  </r>
  <r>
    <n v="744"/>
    <d v="2025-09-26T00:00:00"/>
    <s v="ZBTO"/>
    <n v="9519146271"/>
    <n v="2"/>
    <s v="9519146271-2"/>
    <s v="Oct'25"/>
    <x v="1"/>
    <x v="1"/>
    <m/>
    <x v="1"/>
    <x v="1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n v="280"/>
    <n v="0"/>
    <n v="280"/>
    <n v="0"/>
    <n v="280"/>
    <n v="0"/>
    <n v="0"/>
    <n v="0"/>
    <n v="280"/>
    <n v="0"/>
    <n v="0"/>
    <n v="0"/>
    <n v="0"/>
    <n v="0"/>
    <n v="0"/>
    <n v="0"/>
    <n v="280"/>
    <m/>
  </r>
  <r>
    <n v="743"/>
    <d v="2025-09-27T00:00:00"/>
    <s v="ZBTO"/>
    <n v="9519058218"/>
    <n v="3"/>
    <s v="9519058218-3"/>
    <s v="Oct'25"/>
    <x v="2"/>
    <x v="11"/>
    <m/>
    <x v="0"/>
    <x v="0"/>
    <s v="West"/>
    <s v="LONI"/>
    <m/>
    <n v="931235"/>
    <s v="K D J P STEELS PVT LTD"/>
    <n v="1327809"/>
    <s v="GP COIL SOFT-TATXGP-GLK1-0.3X1250"/>
    <s v="C02"/>
    <s v="TATXGP"/>
    <s v="GLK1"/>
    <n v="0.3"/>
    <n v="1250"/>
    <n v="0"/>
    <n v="29"/>
    <n v="0"/>
    <n v="29"/>
    <n v="0"/>
    <n v="29"/>
    <n v="0"/>
    <n v="29"/>
    <n v="0"/>
    <n v="0"/>
    <n v="0"/>
    <n v="29"/>
    <n v="0"/>
    <n v="0"/>
    <n v="29"/>
    <n v="0"/>
    <n v="0"/>
    <n v="0"/>
    <m/>
  </r>
  <r>
    <n v="743"/>
    <d v="2025-09-27T00:00:00"/>
    <s v="ZBTO"/>
    <n v="9519136821"/>
    <n v="3"/>
    <s v="9519136821-3"/>
    <s v="Oct'25"/>
    <x v="2"/>
    <x v="11"/>
    <m/>
    <x v="0"/>
    <x v="0"/>
    <s v="West"/>
    <s v="LONI"/>
    <m/>
    <n v="931235"/>
    <s v="K D J P STEELS PVT LTD"/>
    <n v="1300230"/>
    <s v="GP COIL SOFT-TATXGP-GLK1-0.3X1220"/>
    <s v="C02"/>
    <s v="TATXGP"/>
    <s v="GLK1"/>
    <n v="0.3"/>
    <n v="1220"/>
    <n v="0"/>
    <n v="28"/>
    <n v="0"/>
    <n v="28"/>
    <n v="0"/>
    <n v="28"/>
    <n v="0"/>
    <n v="28"/>
    <n v="0"/>
    <n v="0"/>
    <n v="0"/>
    <n v="28"/>
    <n v="0"/>
    <n v="0"/>
    <n v="28"/>
    <n v="0"/>
    <n v="0"/>
    <n v="0"/>
    <m/>
  </r>
  <r>
    <n v="744"/>
    <d v="2025-09-26T00:00:00"/>
    <s v="ZBTO"/>
    <n v="9519146271"/>
    <n v="3"/>
    <s v="9519146271-3"/>
    <s v="Oct'25"/>
    <x v="1"/>
    <x v="1"/>
    <m/>
    <x v="1"/>
    <x v="1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n v="280"/>
    <n v="0"/>
    <n v="280"/>
    <n v="0"/>
    <n v="280"/>
    <n v="0"/>
    <n v="0"/>
    <n v="0"/>
    <n v="0"/>
    <n v="280"/>
    <n v="0"/>
    <n v="0"/>
    <n v="0"/>
    <n v="0"/>
    <n v="0"/>
    <n v="0"/>
    <n v="280"/>
    <m/>
  </r>
  <r>
    <n v="744"/>
    <d v="2025-09-26T00:00:00"/>
    <s v="ZBTO"/>
    <n v="9519146271"/>
    <n v="4"/>
    <s v="9519146271-4"/>
    <s v="Oct'25"/>
    <x v="1"/>
    <x v="1"/>
    <m/>
    <x v="1"/>
    <x v="1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n v="140"/>
    <n v="0"/>
    <n v="140"/>
    <n v="0"/>
    <n v="140"/>
    <n v="0"/>
    <n v="0"/>
    <n v="0"/>
    <n v="0"/>
    <n v="140"/>
    <n v="0"/>
    <n v="0"/>
    <n v="0"/>
    <n v="0"/>
    <n v="0"/>
    <n v="0"/>
    <n v="140"/>
    <m/>
  </r>
  <r>
    <n v="744"/>
    <d v="2025-09-26T00:00:00"/>
    <s v="ZBTO"/>
    <n v="9519146271"/>
    <n v="5"/>
    <s v="9519146271-5"/>
    <s v="Oct'25"/>
    <x v="1"/>
    <x v="1"/>
    <m/>
    <x v="1"/>
    <x v="1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n v="112"/>
    <n v="0"/>
    <n v="112"/>
    <n v="0"/>
    <n v="112"/>
    <n v="0"/>
    <n v="0"/>
    <n v="0"/>
    <n v="112"/>
    <n v="0"/>
    <n v="0"/>
    <n v="0"/>
    <n v="0"/>
    <n v="0"/>
    <n v="0"/>
    <n v="0"/>
    <n v="112"/>
    <m/>
  </r>
  <r>
    <n v="742"/>
    <d v="2025-09-25T00:00:00"/>
    <s v="ZBTF"/>
    <n v="9519143205"/>
    <n v="1"/>
    <s v="9519143205-1"/>
    <s v="Oct'25"/>
    <x v="0"/>
    <x v="3"/>
    <m/>
    <x v="1"/>
    <x v="3"/>
    <s v="North"/>
    <s v="SOHNA"/>
    <m/>
    <n v="600250"/>
    <s v="TATA CENTER"/>
    <n v="2439203"/>
    <s v="CRCA COIL TSBSTA EL06 0.500X1160"/>
    <s v="C01"/>
    <s v="TSBSTA"/>
    <s v="EL06"/>
    <n v="0.5"/>
    <n v="1160"/>
    <n v="0"/>
    <n v="297"/>
    <n v="169.27"/>
    <n v="127.73"/>
    <n v="24.39"/>
    <n v="127.73"/>
    <n v="127.73"/>
    <n v="0"/>
    <n v="0"/>
    <n v="0"/>
    <n v="0"/>
    <n v="152.12"/>
    <n v="0"/>
    <n v="152.12"/>
    <n v="0"/>
    <n v="0"/>
    <n v="0"/>
    <n v="0"/>
    <m/>
  </r>
  <r>
    <n v="743"/>
    <d v="2025-09-27T00:00:00"/>
    <s v="ZBTO"/>
    <n v="9519149928"/>
    <n v="4"/>
    <s v="9519149928-4"/>
    <s v="Oct'25"/>
    <x v="2"/>
    <x v="11"/>
    <m/>
    <x v="0"/>
    <x v="0"/>
    <s v="North"/>
    <s v="JAIPUR"/>
    <m/>
    <n v="117583"/>
    <s v="BIHANI ENTERPRISES"/>
    <n v="1854399"/>
    <s v="GP COIL SOFT-TATXGP-GK09-0.35X1220"/>
    <s v="C02"/>
    <s v="TATXGP"/>
    <s v="GK09"/>
    <n v="0.35"/>
    <n v="1220"/>
    <n v="0"/>
    <n v="112"/>
    <n v="0"/>
    <n v="112"/>
    <n v="0"/>
    <n v="112"/>
    <n v="0"/>
    <n v="112"/>
    <n v="0"/>
    <n v="0"/>
    <n v="0"/>
    <n v="112"/>
    <n v="0"/>
    <n v="0"/>
    <n v="112"/>
    <n v="0"/>
    <n v="0"/>
    <n v="0"/>
    <m/>
  </r>
  <r>
    <n v="744"/>
    <d v="2025-09-25T00:00:00"/>
    <s v="ZBTO"/>
    <n v="9519142346"/>
    <n v="1"/>
    <s v="9519142346-1"/>
    <s v="Oct'25"/>
    <x v="1"/>
    <x v="1"/>
    <m/>
    <x v="1"/>
    <x v="1"/>
    <s v="TBSPL"/>
    <s v="GAMHARIA"/>
    <m/>
    <n v="940016"/>
    <s v="TATA BLUESCOPE STEEL PVT LTD."/>
    <n v="3521297"/>
    <s v="PPGL C Y550 D0C7 0.30BMT(0.34TPT)X1220"/>
    <s v="B18"/>
    <s v="Y550PL"/>
    <s v="D0C7"/>
    <n v="0.3"/>
    <n v="1220"/>
    <n v="0"/>
    <n v="28"/>
    <n v="0"/>
    <n v="28"/>
    <n v="0"/>
    <n v="28"/>
    <n v="0"/>
    <n v="28"/>
    <n v="0"/>
    <n v="0"/>
    <n v="0"/>
    <n v="28"/>
    <n v="0"/>
    <n v="0"/>
    <n v="28"/>
    <n v="0"/>
    <n v="0"/>
    <n v="0"/>
    <m/>
  </r>
  <r>
    <n v="744"/>
    <d v="2025-09-25T00:00:00"/>
    <s v="ZBTO"/>
    <n v="9519142346"/>
    <n v="2"/>
    <s v="9519142346-2"/>
    <s v="Oct'25"/>
    <x v="1"/>
    <x v="1"/>
    <m/>
    <x v="1"/>
    <x v="1"/>
    <s v="TBSPL"/>
    <s v="GAMHARIA"/>
    <m/>
    <n v="940016"/>
    <s v="TATA BLUESCOPE STEEL PVT LTD."/>
    <n v="3521297"/>
    <s v="PPGL C Y550 D0C7 0.30BMT(0.34TPT)X1220"/>
    <s v="B18"/>
    <s v="Y550PL"/>
    <s v="D0C7"/>
    <n v="0.3"/>
    <n v="1220"/>
    <n v="0"/>
    <n v="28"/>
    <n v="0"/>
    <n v="28"/>
    <n v="0"/>
    <n v="28"/>
    <n v="0"/>
    <n v="28"/>
    <n v="0"/>
    <n v="0"/>
    <n v="0"/>
    <n v="28"/>
    <n v="0"/>
    <n v="0"/>
    <n v="28"/>
    <n v="0"/>
    <n v="0"/>
    <n v="0"/>
    <m/>
  </r>
  <r>
    <n v="744"/>
    <d v="2025-09-26T00:00:00"/>
    <s v="ZBTO"/>
    <n v="9519146150"/>
    <n v="2"/>
    <s v="9519146150-2"/>
    <s v="Oct'25"/>
    <x v="1"/>
    <x v="1"/>
    <m/>
    <x v="1"/>
    <x v="1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n v="28"/>
    <n v="0"/>
    <n v="28"/>
    <n v="0"/>
    <n v="28"/>
    <n v="0"/>
    <n v="0"/>
    <n v="0"/>
    <n v="28"/>
    <n v="0"/>
    <n v="0"/>
    <n v="0"/>
    <n v="0"/>
    <n v="0"/>
    <n v="0"/>
    <n v="0"/>
    <n v="28"/>
    <m/>
  </r>
  <r>
    <n v="744"/>
    <d v="2025-09-25T00:00:00"/>
    <s v="ZBTO"/>
    <n v="9519142746"/>
    <n v="1"/>
    <s v="9519142746-1"/>
    <s v="Oct'25"/>
    <x v="1"/>
    <x v="1"/>
    <m/>
    <x v="1"/>
    <x v="1"/>
    <s v="TBSPL"/>
    <s v="GAMHARIA"/>
    <m/>
    <n v="940016"/>
    <s v="TATA BLUESCOPE STEEL PVT LTD."/>
    <n v="4001001"/>
    <s v="PPGL C HARD Y550PL D0C9 0.63(TPT)X1220"/>
    <s v="B18"/>
    <s v="Y550PL"/>
    <s v="D0C9"/>
    <n v="0.63"/>
    <n v="1220"/>
    <n v="0"/>
    <n v="56"/>
    <n v="0"/>
    <n v="56"/>
    <n v="0"/>
    <n v="56"/>
    <n v="0"/>
    <n v="56"/>
    <n v="0"/>
    <n v="0"/>
    <n v="0"/>
    <n v="56"/>
    <n v="0"/>
    <n v="0"/>
    <n v="56"/>
    <n v="0"/>
    <n v="0"/>
    <n v="0"/>
    <m/>
  </r>
  <r>
    <n v="744"/>
    <d v="2025-09-25T00:00:00"/>
    <s v="ZBTO"/>
    <n v="9519142346"/>
    <n v="3"/>
    <s v="9519142346-3"/>
    <s v="Oct'25"/>
    <x v="1"/>
    <x v="1"/>
    <m/>
    <x v="1"/>
    <x v="1"/>
    <s v="TBSPL"/>
    <s v="GAMHARIA"/>
    <m/>
    <n v="940016"/>
    <s v="TATA BLUESCOPE STEEL PVT LTD."/>
    <n v="3521297"/>
    <s v="PPGL C Y550 D0C7 0.30BMT(0.34TPT)X1220"/>
    <s v="B18"/>
    <s v="Y550PL"/>
    <s v="D0C7"/>
    <n v="0.3"/>
    <n v="1220"/>
    <n v="0"/>
    <n v="28"/>
    <n v="0"/>
    <n v="28"/>
    <n v="0"/>
    <n v="28"/>
    <n v="0"/>
    <n v="28"/>
    <n v="0"/>
    <n v="0"/>
    <n v="0"/>
    <n v="28"/>
    <n v="0"/>
    <n v="0"/>
    <n v="28"/>
    <n v="0"/>
    <n v="0"/>
    <n v="0"/>
    <m/>
  </r>
  <r>
    <n v="744"/>
    <d v="2025-09-25T00:00:00"/>
    <s v="ZBTO"/>
    <n v="9519142346"/>
    <n v="4"/>
    <s v="9519142346-4"/>
    <s v="Oct'25"/>
    <x v="1"/>
    <x v="1"/>
    <m/>
    <x v="1"/>
    <x v="1"/>
    <s v="TBSPL"/>
    <s v="GAMHARIA"/>
    <m/>
    <n v="940016"/>
    <s v="TATA BLUESCOPE STEEL PVT LTD."/>
    <n v="3521297"/>
    <s v="PPGL C Y550 D0C7 0.30BMT(0.34TPT)X1220"/>
    <s v="B18"/>
    <s v="Y550PL"/>
    <s v="D0C7"/>
    <n v="0.3"/>
    <n v="1220"/>
    <n v="0"/>
    <n v="28"/>
    <n v="0"/>
    <n v="28"/>
    <n v="0"/>
    <n v="28"/>
    <n v="0"/>
    <n v="28"/>
    <n v="0"/>
    <n v="0"/>
    <n v="0"/>
    <n v="28"/>
    <n v="0"/>
    <n v="0"/>
    <n v="28"/>
    <n v="0"/>
    <n v="0"/>
    <n v="0"/>
    <m/>
  </r>
  <r>
    <n v="744"/>
    <d v="2025-09-26T00:00:00"/>
    <s v="ZBTO"/>
    <n v="9519146150"/>
    <n v="1"/>
    <s v="9519146150-1"/>
    <s v="Oct'25"/>
    <x v="1"/>
    <x v="1"/>
    <m/>
    <x v="1"/>
    <x v="1"/>
    <s v="TBSPL"/>
    <s v="GAMHARIA"/>
    <m/>
    <n v="940016"/>
    <s v="TATA BLUESCOPE STEEL PVT LTD."/>
    <n v="3522241"/>
    <s v="PPGL C Y550 D0C7 0.43BMT(0.47TPT)X1220"/>
    <s v="B18"/>
    <s v="Y550PL"/>
    <s v="D0C7"/>
    <n v="0.43"/>
    <n v="1220"/>
    <n v="0"/>
    <n v="280"/>
    <n v="0"/>
    <n v="280"/>
    <n v="0"/>
    <n v="280"/>
    <n v="0"/>
    <n v="0"/>
    <n v="0"/>
    <n v="280"/>
    <n v="0"/>
    <n v="0"/>
    <n v="0"/>
    <n v="0"/>
    <n v="0"/>
    <n v="0"/>
    <n v="0"/>
    <n v="280"/>
    <m/>
  </r>
  <r>
    <n v="743"/>
    <d v="2025-09-26T00:00:00"/>
    <s v="ZBTO"/>
    <n v="9519144936"/>
    <n v="4"/>
    <s v="9519144936-4"/>
    <s v="Oct'25"/>
    <x v="3"/>
    <x v="10"/>
    <m/>
    <x v="1"/>
    <x v="1"/>
    <s v="South"/>
    <s v="Telangana"/>
    <m/>
    <n v="188152"/>
    <s v="Metalkraft Limited"/>
    <n v="3886090"/>
    <s v="GL COIL HARD  Y550GL GL6H 0.900X1250"/>
    <s v="B04"/>
    <s v="Y550GL"/>
    <s v="GL6H"/>
    <n v="0.9"/>
    <n v="1250"/>
    <n v="0"/>
    <n v="203"/>
    <n v="0"/>
    <n v="203"/>
    <n v="0"/>
    <n v="203"/>
    <n v="0"/>
    <n v="0"/>
    <n v="203"/>
    <n v="0"/>
    <n v="0"/>
    <n v="203"/>
    <n v="0"/>
    <n v="0"/>
    <n v="0"/>
    <n v="203"/>
    <n v="0"/>
    <n v="0"/>
    <m/>
  </r>
  <r>
    <n v="743"/>
    <d v="2025-09-27T00:00:00"/>
    <s v="ZBTO"/>
    <n v="9519148419"/>
    <n v="3"/>
    <s v="9519148419-3"/>
    <s v="Oct'25"/>
    <x v="3"/>
    <x v="10"/>
    <m/>
    <x v="1"/>
    <x v="1"/>
    <s v="TBSPL"/>
    <s v="Jharkhand"/>
    <m/>
    <n v="942283"/>
    <s v="TATA BLUESCOPE STEEL PRIVATE L"/>
    <n v="1882051"/>
    <s v="GL COIL HARD Y550GL H6GL 0.90 X 1250"/>
    <s v="B04"/>
    <s v="Y550GL"/>
    <s v="H6GL"/>
    <n v="0.9"/>
    <n v="1250"/>
    <n v="0"/>
    <n v="290"/>
    <n v="0"/>
    <n v="290"/>
    <n v="0"/>
    <n v="290"/>
    <n v="0"/>
    <n v="0"/>
    <n v="0"/>
    <n v="290"/>
    <n v="0"/>
    <n v="0"/>
    <n v="0"/>
    <n v="0"/>
    <n v="0"/>
    <n v="0"/>
    <n v="0"/>
    <n v="290"/>
    <m/>
  </r>
  <r>
    <n v="743"/>
    <d v="2025-09-27T00:00:00"/>
    <s v="ZBTO"/>
    <n v="9519148419"/>
    <n v="4"/>
    <s v="9519148419-4"/>
    <s v="Oct'25"/>
    <x v="3"/>
    <x v="10"/>
    <n v="5000"/>
    <x v="1"/>
    <x v="1"/>
    <s v="TBSPL"/>
    <s v="Jharkhand"/>
    <m/>
    <n v="942283"/>
    <s v="TATA BLUESCOPE STEEL PRIVATE L"/>
    <n v="1882051"/>
    <s v="GL COIL HARD Y550GL H6GL 0.90 X 1250"/>
    <s v="B04"/>
    <s v="Y550GL"/>
    <s v="H6GL"/>
    <n v="0.9"/>
    <n v="1250"/>
    <n v="0"/>
    <n v="145"/>
    <n v="0"/>
    <n v="145"/>
    <n v="0"/>
    <n v="145"/>
    <n v="0"/>
    <n v="0"/>
    <n v="145"/>
    <n v="0"/>
    <n v="0"/>
    <n v="0"/>
    <n v="0"/>
    <n v="0"/>
    <n v="0"/>
    <n v="0"/>
    <n v="0"/>
    <n v="145"/>
    <m/>
  </r>
  <r>
    <n v="744"/>
    <d v="2025-09-26T00:00:00"/>
    <s v="ZBTO"/>
    <n v="9519146150"/>
    <n v="3"/>
    <s v="9519146150-3"/>
    <s v="Oct'25"/>
    <x v="1"/>
    <x v="1"/>
    <m/>
    <x v="1"/>
    <x v="1"/>
    <s v="TBSPL"/>
    <s v="Jharkhand"/>
    <m/>
    <n v="940016"/>
    <s v="TATA BLUESCOPE STEEL PVT LTD."/>
    <n v="3522241"/>
    <s v="PPGL C Y550 D0C7 0.43BMT(0.47TPT)X1220"/>
    <s v="B18"/>
    <s v="Y550PL"/>
    <s v="D0C7"/>
    <n v="0.43"/>
    <n v="1220"/>
    <n v="0"/>
    <n v="84"/>
    <n v="0"/>
    <n v="84"/>
    <n v="0"/>
    <n v="84"/>
    <n v="0"/>
    <n v="0"/>
    <n v="0"/>
    <n v="84"/>
    <n v="0"/>
    <n v="0"/>
    <n v="0"/>
    <n v="0"/>
    <n v="0"/>
    <n v="0"/>
    <n v="0"/>
    <n v="84"/>
    <m/>
  </r>
  <r>
    <n v="744"/>
    <d v="2025-09-26T00:00:00"/>
    <s v="ZBTO"/>
    <n v="9519146199"/>
    <n v="5"/>
    <s v="9519146199-5"/>
    <s v="Oct'25"/>
    <x v="1"/>
    <x v="1"/>
    <m/>
    <x v="1"/>
    <x v="1"/>
    <s v="TBSPL"/>
    <s v="Rajasthan"/>
    <m/>
    <n v="940008"/>
    <s v="TATA BLUESCOPE STEEL PVT LTD."/>
    <n v="3522241"/>
    <s v="PPGL C Y550 D0C7 0.43BMT(0.47TPT)X1220"/>
    <s v="B18"/>
    <s v="Y550PL"/>
    <s v="D0C7"/>
    <n v="0.43"/>
    <n v="1220"/>
    <n v="0"/>
    <n v="140"/>
    <n v="0"/>
    <n v="140"/>
    <n v="0"/>
    <n v="140"/>
    <n v="0"/>
    <n v="0"/>
    <n v="0"/>
    <n v="140"/>
    <n v="0"/>
    <n v="0"/>
    <n v="0"/>
    <n v="0"/>
    <n v="0"/>
    <n v="0"/>
    <n v="0"/>
    <n v="140"/>
    <m/>
  </r>
  <r>
    <n v="743"/>
    <d v="2025-09-26T00:00:00"/>
    <s v="ZBTO"/>
    <n v="9519144936"/>
    <n v="1"/>
    <s v="9519144936-1"/>
    <s v="Oct'25"/>
    <x v="3"/>
    <x v="10"/>
    <m/>
    <x v="1"/>
    <x v="1"/>
    <s v="South"/>
    <s v="Telangana"/>
    <m/>
    <n v="188152"/>
    <s v="Metalkraft Limited"/>
    <n v="3886090"/>
    <s v="GL COIL HARD  Y550GL GL6H 0.900X1250"/>
    <s v="B04"/>
    <s v="Y550GL"/>
    <s v="GL6H"/>
    <n v="0.9"/>
    <n v="1250"/>
    <n v="0"/>
    <n v="261"/>
    <n v="9.35"/>
    <n v="251.65"/>
    <n v="9.35"/>
    <n v="251.65"/>
    <n v="0"/>
    <n v="0"/>
    <n v="251.65"/>
    <n v="0"/>
    <n v="0"/>
    <n v="261"/>
    <n v="0"/>
    <n v="0"/>
    <n v="0"/>
    <n v="261"/>
    <n v="0"/>
    <n v="0"/>
    <m/>
  </r>
  <r>
    <n v="743"/>
    <d v="2025-09-26T00:00:00"/>
    <s v="ZBTO"/>
    <n v="9519144936"/>
    <n v="2"/>
    <s v="9519144936-2"/>
    <s v="Oct'25"/>
    <x v="3"/>
    <x v="10"/>
    <m/>
    <x v="1"/>
    <x v="1"/>
    <s v="South"/>
    <s v="Telangana"/>
    <m/>
    <n v="188152"/>
    <s v="Metalkraft Limited"/>
    <n v="3886090"/>
    <s v="GL COIL HARD  Y550GL GL6H 0.900X1250"/>
    <s v="B04"/>
    <s v="Y550GL"/>
    <s v="GL6H"/>
    <n v="0.9"/>
    <n v="1250"/>
    <n v="0"/>
    <n v="261"/>
    <n v="0"/>
    <n v="261"/>
    <n v="0"/>
    <n v="261"/>
    <n v="0"/>
    <n v="0"/>
    <n v="261"/>
    <n v="0"/>
    <n v="0"/>
    <n v="261"/>
    <n v="0"/>
    <n v="0"/>
    <n v="0"/>
    <n v="261"/>
    <n v="0"/>
    <n v="0"/>
    <m/>
  </r>
  <r>
    <n v="743"/>
    <d v="2025-09-26T00:00:00"/>
    <s v="ZBTO"/>
    <n v="9519144936"/>
    <n v="3"/>
    <s v="9519144936-3"/>
    <s v="Oct'25"/>
    <x v="3"/>
    <x v="10"/>
    <m/>
    <x v="1"/>
    <x v="1"/>
    <s v="South"/>
    <s v="Telangana"/>
    <m/>
    <n v="188152"/>
    <s v="Metalkraft Limited"/>
    <n v="3886090"/>
    <s v="GL COIL HARD  Y550GL GL6H 0.900X1250"/>
    <s v="B04"/>
    <s v="Y550GL"/>
    <s v="GL6H"/>
    <n v="0.9"/>
    <n v="1250"/>
    <n v="0"/>
    <n v="203"/>
    <n v="0"/>
    <n v="203"/>
    <n v="0"/>
    <n v="203"/>
    <n v="0"/>
    <n v="203"/>
    <n v="0"/>
    <n v="0"/>
    <n v="0"/>
    <n v="203"/>
    <n v="0"/>
    <n v="0"/>
    <n v="203"/>
    <n v="0"/>
    <n v="0"/>
    <n v="0"/>
    <m/>
  </r>
  <r>
    <n v="743"/>
    <d v="2025-09-26T00:00:00"/>
    <s v="ZBTO"/>
    <n v="9519144746"/>
    <n v="8"/>
    <s v="9519144746-8"/>
    <s v="Oct'25"/>
    <x v="3"/>
    <x v="14"/>
    <m/>
    <x v="1"/>
    <x v="1"/>
    <s v="East"/>
    <s v="West Bengal"/>
    <m/>
    <n v="101122"/>
    <s v="JINDAL INDIA LIMITED"/>
    <n v="3988091"/>
    <s v="GL COIL HARD  Y550GL H7GL 0.440X1240"/>
    <s v="B04"/>
    <s v="Y550GL"/>
    <s v="H7GL"/>
    <n v="0.44"/>
    <n v="1240"/>
    <n v="0"/>
    <n v="280"/>
    <n v="0"/>
    <n v="280"/>
    <n v="0"/>
    <n v="280"/>
    <n v="0"/>
    <n v="0"/>
    <n v="280"/>
    <n v="0"/>
    <n v="0"/>
    <n v="280"/>
    <n v="0"/>
    <n v="0"/>
    <n v="0"/>
    <n v="280"/>
    <n v="0"/>
    <n v="0"/>
    <m/>
  </r>
  <r>
    <n v="743"/>
    <d v="2025-09-26T00:00:00"/>
    <s v="ZBTO"/>
    <n v="9519144746"/>
    <n v="9"/>
    <s v="9519144746-9"/>
    <s v="Oct'25"/>
    <x v="3"/>
    <x v="14"/>
    <m/>
    <x v="1"/>
    <x v="1"/>
    <s v="East"/>
    <s v="West Bengal"/>
    <m/>
    <n v="101122"/>
    <s v="JINDAL INDIA LIMITED"/>
    <n v="3988091"/>
    <s v="GL COIL HARD  Y550GL H7GL 0.440X1240"/>
    <s v="B04"/>
    <s v="Y550GL"/>
    <s v="H7GL"/>
    <n v="0.44"/>
    <n v="1240"/>
    <n v="0"/>
    <n v="280"/>
    <n v="0"/>
    <n v="280"/>
    <n v="0"/>
    <n v="280"/>
    <n v="0"/>
    <n v="280"/>
    <n v="0"/>
    <n v="0"/>
    <n v="0"/>
    <n v="280"/>
    <n v="0"/>
    <n v="0"/>
    <n v="280"/>
    <n v="0"/>
    <n v="0"/>
    <n v="0"/>
    <m/>
  </r>
  <r>
    <n v="743"/>
    <d v="2025-09-25T00:00:00"/>
    <s v="ZBTO"/>
    <n v="9519142211"/>
    <n v="1"/>
    <s v="9519142211-1"/>
    <s v="Oct'25"/>
    <x v="3"/>
    <x v="1"/>
    <m/>
    <x v="1"/>
    <x v="1"/>
    <s v="TBSPL"/>
    <m/>
    <m/>
    <n v="942284"/>
    <s v="TATA BLUESCOPE STEEL PRIVATE L"/>
    <n v="4108810"/>
    <s v="GL COIL HARD  Y550GL M310 0.350X1220"/>
    <s v="B04"/>
    <s v="Y550GL"/>
    <s v="M310"/>
    <n v="0.35"/>
    <n v="1220"/>
    <n v="0"/>
    <n v="56"/>
    <n v="0"/>
    <n v="56"/>
    <n v="0"/>
    <n v="56"/>
    <n v="0"/>
    <n v="0"/>
    <n v="56"/>
    <n v="0"/>
    <n v="0"/>
    <n v="56"/>
    <n v="0"/>
    <n v="0"/>
    <n v="0"/>
    <n v="56"/>
    <n v="0"/>
    <n v="0"/>
    <m/>
  </r>
  <r>
    <n v="743"/>
    <d v="2025-09-27T00:00:00"/>
    <s v="ZBTO"/>
    <n v="9519148419"/>
    <n v="2"/>
    <s v="9519148419-2"/>
    <s v="Oct'25"/>
    <x v="3"/>
    <x v="1"/>
    <m/>
    <x v="1"/>
    <x v="1"/>
    <s v="TBSPL"/>
    <m/>
    <m/>
    <n v="942283"/>
    <s v="TATA BLUESCOPE STEEL PRIVATE L"/>
    <n v="1882051"/>
    <s v="GL COIL HARD Y550GL H6GL 0.90 X 1250"/>
    <s v="B04"/>
    <s v="Y550GL"/>
    <s v="H6GL"/>
    <n v="0.9"/>
    <n v="1250"/>
    <n v="0"/>
    <n v="290"/>
    <n v="0"/>
    <n v="290"/>
    <n v="0"/>
    <n v="290"/>
    <n v="0"/>
    <n v="0"/>
    <n v="0"/>
    <n v="290"/>
    <n v="0"/>
    <n v="290"/>
    <n v="0"/>
    <n v="0"/>
    <n v="0"/>
    <n v="290"/>
    <n v="0"/>
    <n v="0"/>
    <m/>
  </r>
  <r>
    <n v="743"/>
    <d v="2025-09-27T00:00:00"/>
    <s v="ZBTO"/>
    <n v="9519148534"/>
    <n v="1"/>
    <s v="9519148534-1"/>
    <s v="Oct'25"/>
    <x v="3"/>
    <x v="10"/>
    <m/>
    <x v="1"/>
    <x v="1"/>
    <s v="TBSPL"/>
    <m/>
    <m/>
    <n v="942284"/>
    <s v="TATA BLUESCOPE STEEL PRIVATE L"/>
    <n v="4124997"/>
    <s v="GL COIL HARD  Y550GL M308 0.630X1220"/>
    <s v="B04"/>
    <s v="Y550GL"/>
    <s v="M308"/>
    <n v="0.63"/>
    <n v="1220"/>
    <n v="0"/>
    <n v="28"/>
    <n v="0"/>
    <n v="28"/>
    <n v="0"/>
    <n v="28"/>
    <n v="0"/>
    <n v="28"/>
    <n v="0"/>
    <n v="0"/>
    <n v="0"/>
    <n v="28"/>
    <n v="0"/>
    <n v="0"/>
    <n v="28"/>
    <n v="0"/>
    <n v="0"/>
    <n v="0"/>
    <m/>
  </r>
  <r>
    <n v="744"/>
    <d v="2025-09-24T00:00:00"/>
    <s v="ZBTO"/>
    <n v="9519138217"/>
    <n v="7"/>
    <s v="9519138217-7"/>
    <s v="Oct'25"/>
    <x v="1"/>
    <x v="1"/>
    <m/>
    <x v="1"/>
    <x v="1"/>
    <s v="TBSPL"/>
    <m/>
    <m/>
    <n v="940008"/>
    <s v="TATA BLUESCOPE STEEL PVT LTD."/>
    <n v="3522241"/>
    <s v="PPGL C Y550 D0C7 0.43BMT(0.47TPT)X1220"/>
    <s v="B18"/>
    <s v="Y550PL"/>
    <s v="D0C7"/>
    <n v="0.43"/>
    <n v="1220"/>
    <n v="0"/>
    <n v="168"/>
    <n v="0"/>
    <n v="168"/>
    <n v="0"/>
    <n v="168"/>
    <n v="0"/>
    <n v="168"/>
    <n v="0"/>
    <n v="0"/>
    <n v="0"/>
    <n v="168"/>
    <n v="0"/>
    <n v="0"/>
    <n v="0"/>
    <n v="168"/>
    <n v="0"/>
    <n v="0"/>
    <m/>
  </r>
  <r>
    <n v="744"/>
    <d v="2025-09-24T00:00:00"/>
    <s v="ZBTO"/>
    <n v="9519138217"/>
    <n v="8"/>
    <s v="9519138217-8"/>
    <s v="Oct'25"/>
    <x v="1"/>
    <x v="1"/>
    <m/>
    <x v="1"/>
    <x v="1"/>
    <s v="TBSPL"/>
    <m/>
    <m/>
    <n v="940008"/>
    <s v="TATA BLUESCOPE STEEL PVT LTD."/>
    <n v="3522241"/>
    <s v="PPGL C Y550 D0C7 0.43BMT(0.47TPT)X1220"/>
    <s v="B18"/>
    <s v="Y550PL"/>
    <s v="D0C7"/>
    <n v="0.43"/>
    <n v="1220"/>
    <n v="0"/>
    <n v="140"/>
    <n v="0"/>
    <n v="140"/>
    <n v="0"/>
    <n v="140"/>
    <n v="0"/>
    <n v="0"/>
    <n v="140"/>
    <n v="0"/>
    <n v="0"/>
    <n v="140"/>
    <n v="0"/>
    <n v="0"/>
    <n v="0"/>
    <n v="140"/>
    <n v="0"/>
    <n v="0"/>
    <m/>
  </r>
  <r>
    <n v="744"/>
    <d v="2025-09-26T00:00:00"/>
    <s v="ZBTO"/>
    <n v="9519146199"/>
    <n v="4"/>
    <s v="9519146199-4"/>
    <s v="Oct'25"/>
    <x v="1"/>
    <x v="1"/>
    <m/>
    <x v="1"/>
    <x v="1"/>
    <s v="TBSPL"/>
    <m/>
    <m/>
    <n v="940008"/>
    <s v="TATA BLUESCOPE STEEL PVT LTD."/>
    <n v="3522241"/>
    <s v="PPGL C Y550 D0C7 0.43BMT(0.47TPT)X1220"/>
    <s v="B18"/>
    <s v="Y550PL"/>
    <s v="D0C7"/>
    <n v="0.43"/>
    <n v="1220"/>
    <n v="0"/>
    <n v="252"/>
    <n v="0"/>
    <n v="252"/>
    <n v="0"/>
    <n v="252"/>
    <n v="0"/>
    <n v="252"/>
    <n v="0"/>
    <n v="0"/>
    <n v="0"/>
    <n v="252"/>
    <n v="0"/>
    <n v="0"/>
    <n v="0"/>
    <n v="252"/>
    <n v="0"/>
    <n v="0"/>
    <m/>
  </r>
  <r>
    <n v="743"/>
    <d v="2025-09-18T00:00:00"/>
    <s v="ZBTO"/>
    <n v="9519114672"/>
    <n v="1"/>
    <s v="9519114672-1"/>
    <s v="Oct'25"/>
    <x v="2"/>
    <x v="11"/>
    <m/>
    <x v="0"/>
    <x v="0"/>
    <s v="East"/>
    <m/>
    <m/>
    <n v="116649"/>
    <s v="SAGAR STEELS"/>
    <n v="1300228"/>
    <s v="GP COIL SOFT-TATXGP-GLK1-0.5X1220"/>
    <s v="C02"/>
    <s v="TATXGP"/>
    <s v="GLK1"/>
    <n v="0.5"/>
    <n v="1220"/>
    <n v="0"/>
    <n v="28"/>
    <n v="0"/>
    <n v="28"/>
    <n v="0"/>
    <n v="28"/>
    <n v="28"/>
    <n v="0"/>
    <n v="0"/>
    <n v="0"/>
    <n v="0"/>
    <n v="28"/>
    <n v="0"/>
    <n v="28"/>
    <n v="0"/>
    <n v="0"/>
    <n v="0"/>
    <n v="0"/>
    <m/>
  </r>
  <r>
    <n v="743"/>
    <d v="2025-08-27T00:00:00"/>
    <s v="ZBTO"/>
    <n v="9519054625"/>
    <n v="10"/>
    <s v="9519054625-10"/>
    <s v="Oct'25"/>
    <x v="2"/>
    <x v="11"/>
    <m/>
    <x v="0"/>
    <x v="0"/>
    <s v="East"/>
    <m/>
    <m/>
    <n v="116649"/>
    <s v="SAGAR STEELS"/>
    <n v="1300230"/>
    <s v="GP COIL SOFT-TATXGP-GLK1-0.3X1220"/>
    <s v="C02"/>
    <s v="TATXGP"/>
    <s v="GLK1"/>
    <n v="0.3"/>
    <n v="1220"/>
    <n v="0"/>
    <n v="112"/>
    <n v="0"/>
    <n v="112"/>
    <n v="0"/>
    <n v="112"/>
    <n v="112"/>
    <n v="0"/>
    <n v="0"/>
    <n v="0"/>
    <n v="0"/>
    <n v="112"/>
    <n v="0"/>
    <n v="112"/>
    <n v="0"/>
    <n v="0"/>
    <n v="0"/>
    <n v="0"/>
    <m/>
  </r>
  <r>
    <n v="743"/>
    <d v="2025-09-29T00:00:00"/>
    <s v="ZBTO"/>
    <n v="9518975095"/>
    <n v="3"/>
    <s v="9518975095-3"/>
    <s v="Oct'25"/>
    <x v="2"/>
    <x v="11"/>
    <m/>
    <x v="0"/>
    <x v="0"/>
    <s v="East"/>
    <m/>
    <m/>
    <n v="936511"/>
    <s v="SAGAR STEELS PROCESSING &amp; MANUFACTU"/>
    <n v="3671523"/>
    <s v="GP COIL TATXGP GLK2 0.450X1220"/>
    <s v="C02"/>
    <s v="TATXGP"/>
    <s v="GLK2"/>
    <n v="0.45"/>
    <n v="1220"/>
    <n v="0"/>
    <n v="28"/>
    <n v="0"/>
    <n v="28"/>
    <n v="0"/>
    <n v="28"/>
    <n v="28"/>
    <n v="0"/>
    <n v="0"/>
    <n v="0"/>
    <n v="0"/>
    <n v="28"/>
    <n v="0"/>
    <n v="28"/>
    <n v="0"/>
    <n v="0"/>
    <n v="0"/>
    <n v="0"/>
    <m/>
  </r>
  <r>
    <n v="742"/>
    <d v="2025-09-29T00:00:00"/>
    <s v="ZBTO"/>
    <n v="9518921586"/>
    <n v="8"/>
    <s v="9518921586-8"/>
    <s v="Oct'25"/>
    <x v="0"/>
    <x v="4"/>
    <m/>
    <x v="0"/>
    <x v="0"/>
    <s v="South"/>
    <m/>
    <m/>
    <n v="939422"/>
    <s v="VIJAY VENKAT STEELS PRIVATE LIMITED"/>
    <n v="1804826"/>
    <s v="CRCA COIL-TATXXD-AU03-0.9X1250"/>
    <s v="C01"/>
    <s v="TATXXD"/>
    <s v="AU03"/>
    <n v="0.9"/>
    <n v="1250"/>
    <n v="0"/>
    <n v="29"/>
    <n v="0"/>
    <n v="29"/>
    <n v="0"/>
    <n v="29"/>
    <n v="0"/>
    <n v="0"/>
    <n v="29"/>
    <n v="0"/>
    <n v="0"/>
    <n v="29"/>
    <n v="0"/>
    <n v="0"/>
    <n v="0"/>
    <n v="29"/>
    <n v="0"/>
    <n v="0"/>
    <m/>
  </r>
  <r>
    <n v="743"/>
    <d v="2025-09-29T00:00:00"/>
    <s v="ZBTO"/>
    <n v="9519155004"/>
    <n v="1"/>
    <s v="9519155004-1"/>
    <s v="Oct'25"/>
    <x v="2"/>
    <x v="15"/>
    <n v="400"/>
    <x v="0"/>
    <x v="0"/>
    <s v="West"/>
    <m/>
    <m/>
    <m/>
    <s v="TEJRAM RAMNIWAS AGARWAL"/>
    <n v="2282960"/>
    <s v="GP COIL SOFT TATXGP ROS1 0.60X1220"/>
    <s v="C02"/>
    <s v="TATXGP"/>
    <s v="ROS1"/>
    <n v="0.6"/>
    <n v="1220"/>
    <n v="0"/>
    <n v="224"/>
    <n v="0"/>
    <n v="224"/>
    <n v="0"/>
    <n v="224"/>
    <n v="0"/>
    <n v="0"/>
    <n v="224"/>
    <n v="0"/>
    <n v="0"/>
    <n v="224"/>
    <n v="0"/>
    <n v="0"/>
    <n v="0"/>
    <n v="224"/>
    <n v="0"/>
    <n v="0"/>
    <m/>
  </r>
  <r>
    <n v="743"/>
    <d v="2025-09-29T00:00:00"/>
    <s v="ZBTO"/>
    <n v="9519155004"/>
    <n v="2"/>
    <s v="9519155004-2"/>
    <s v="Oct'25"/>
    <x v="2"/>
    <x v="15"/>
    <m/>
    <x v="0"/>
    <x v="0"/>
    <s v="West"/>
    <m/>
    <m/>
    <m/>
    <s v="TEJRAM RAMNIWAS AGARWAL"/>
    <n v="2282960"/>
    <s v="GP COIL SOFT TATXGP ROS1 0.60X1220"/>
    <s v="C02"/>
    <s v="TATXGP"/>
    <s v="ROS1"/>
    <n v="0.6"/>
    <n v="1220"/>
    <n v="0"/>
    <n v="196"/>
    <n v="0"/>
    <n v="196"/>
    <n v="0"/>
    <n v="196"/>
    <n v="0"/>
    <n v="0"/>
    <n v="196"/>
    <n v="0"/>
    <n v="0"/>
    <n v="196"/>
    <n v="0"/>
    <n v="0"/>
    <n v="0"/>
    <n v="196"/>
    <n v="0"/>
    <n v="0"/>
    <m/>
  </r>
  <r>
    <n v="4310"/>
    <d v="2025-09-30T00:00:00"/>
    <s v="ZBTF"/>
    <n v="9519157788"/>
    <n v="1"/>
    <s v="9519157788-1"/>
    <s v="Oct'25"/>
    <x v="0"/>
    <x v="12"/>
    <m/>
    <x v="0"/>
    <x v="3"/>
    <s v="South"/>
    <m/>
    <m/>
    <n v="600108"/>
    <s v="TATA CENTRE"/>
    <n v="2420514"/>
    <s v="CRCA COIL TATXXD AH03 0.800X1250"/>
    <s v="C01"/>
    <s v="TATXXD"/>
    <s v="AH03"/>
    <n v="0.8"/>
    <n v="1250"/>
    <n v="0"/>
    <n v="29"/>
    <n v="0"/>
    <n v="28.998999999999999"/>
    <n v="0"/>
    <n v="28.998999999999999"/>
    <n v="0"/>
    <n v="0"/>
    <n v="28.998999999999999"/>
    <n v="0"/>
    <n v="0"/>
    <n v="28.998999999999999"/>
    <n v="0"/>
    <n v="0"/>
    <n v="0"/>
    <n v="28.998999999999999"/>
    <n v="0"/>
    <n v="0"/>
    <m/>
  </r>
  <r>
    <n v="4310"/>
    <d v="2025-09-30T00:00:00"/>
    <s v="ZBTF"/>
    <n v="9519157788"/>
    <n v="2"/>
    <s v="9519157788-2"/>
    <s v="Oct'25"/>
    <x v="0"/>
    <x v="12"/>
    <m/>
    <x v="0"/>
    <x v="3"/>
    <s v="South"/>
    <m/>
    <m/>
    <n v="600108"/>
    <s v="TATA CENTRE"/>
    <n v="2420516"/>
    <s v="CRCA COIL TATXXD AH03 0.900X1250"/>
    <s v="C01"/>
    <s v="TATXXD"/>
    <s v="AH03"/>
    <n v="0.9"/>
    <n v="1250"/>
    <n v="0"/>
    <n v="145"/>
    <n v="0"/>
    <n v="144.999"/>
    <n v="0"/>
    <n v="144.999"/>
    <n v="0"/>
    <n v="144.999"/>
    <n v="0"/>
    <n v="0"/>
    <n v="0"/>
    <n v="144.999"/>
    <n v="0"/>
    <n v="0"/>
    <n v="144.999"/>
    <n v="0"/>
    <n v="0"/>
    <n v="0"/>
    <m/>
  </r>
  <r>
    <n v="4310"/>
    <d v="2025-09-30T00:00:00"/>
    <s v="ZBTF"/>
    <n v="9519157788"/>
    <n v="3"/>
    <s v="9519157788-3"/>
    <s v="Oct'25"/>
    <x v="0"/>
    <x v="12"/>
    <m/>
    <x v="0"/>
    <x v="3"/>
    <s v="South"/>
    <m/>
    <m/>
    <n v="600108"/>
    <s v="TATA CENTRE"/>
    <n v="2420518"/>
    <s v="CRCA COIL TATXXD AH03 1X1250"/>
    <s v="C01"/>
    <s v="TATXXD"/>
    <s v="AH03"/>
    <n v="1"/>
    <n v="1250"/>
    <n v="0"/>
    <n v="203"/>
    <n v="0"/>
    <n v="202.999"/>
    <n v="0"/>
    <n v="202.999"/>
    <n v="0"/>
    <n v="0"/>
    <n v="0"/>
    <n v="202.999"/>
    <n v="0"/>
    <n v="202.999"/>
    <n v="0"/>
    <n v="0"/>
    <n v="0"/>
    <n v="0"/>
    <n v="202.999"/>
    <n v="0"/>
    <m/>
  </r>
  <r>
    <n v="4310"/>
    <d v="2025-09-30T00:00:00"/>
    <s v="ZBTF"/>
    <n v="9519157788"/>
    <n v="4"/>
    <s v="9519157788-4"/>
    <s v="Oct'25"/>
    <x v="0"/>
    <x v="12"/>
    <m/>
    <x v="0"/>
    <x v="3"/>
    <s v="South"/>
    <m/>
    <m/>
    <n v="600108"/>
    <s v="TATA CENTRE"/>
    <n v="2420521"/>
    <s v="CRCA COIL TATXXD AH03 1.200X1250"/>
    <s v="C01"/>
    <s v="TATXXD"/>
    <s v="AH03"/>
    <n v="1.2"/>
    <n v="1250"/>
    <n v="0"/>
    <n v="290"/>
    <n v="0"/>
    <n v="289.99900000000002"/>
    <n v="0"/>
    <n v="289.99900000000002"/>
    <n v="0"/>
    <n v="0"/>
    <n v="0"/>
    <n v="0"/>
    <n v="289.99900000000002"/>
    <n v="0"/>
    <n v="0"/>
    <n v="0"/>
    <n v="0"/>
    <n v="0"/>
    <n v="0"/>
    <n v="289.99900000000002"/>
    <m/>
  </r>
  <r>
    <n v="742"/>
    <d v="2025-09-21T00:00:00"/>
    <s v="ZBTO"/>
    <n v="9519126750"/>
    <n v="1"/>
    <s v="9519126750-1"/>
    <s v="Oct'25"/>
    <x v="0"/>
    <x v="2"/>
    <m/>
    <x v="1"/>
    <x v="1"/>
    <s v="West"/>
    <s v="Gujarat"/>
    <m/>
    <n v="189022"/>
    <s v="Balmer Lawrie And Company Limi"/>
    <n v="3492271"/>
    <s v="CRCA SHEET TATXXD BT02 0.900X913X1800"/>
    <s v="C06"/>
    <s v="TATXXD"/>
    <s v="BT02"/>
    <n v="0.9"/>
    <n v="913"/>
    <n v="1800"/>
    <n v="63"/>
    <n v="0"/>
    <n v="63"/>
    <n v="0"/>
    <n v="63"/>
    <n v="0"/>
    <n v="63"/>
    <n v="0"/>
    <n v="0"/>
    <n v="0"/>
    <n v="63"/>
    <n v="0"/>
    <n v="0"/>
    <n v="63"/>
    <n v="0"/>
    <n v="0"/>
    <n v="0"/>
    <m/>
  </r>
  <r>
    <n v="742"/>
    <d v="2025-09-21T00:00:00"/>
    <s v="ZBTO"/>
    <n v="9519126750"/>
    <n v="2"/>
    <s v="9519126750-2"/>
    <s v="Oct'25"/>
    <x v="0"/>
    <x v="2"/>
    <m/>
    <x v="1"/>
    <x v="1"/>
    <s v="West"/>
    <s v="Gujarat"/>
    <m/>
    <n v="189022"/>
    <s v="Balmer Lawrie And Company Limi"/>
    <n v="3404312"/>
    <s v="CRCA SHEET TATXXD BT02 0.970X913X1800"/>
    <s v="C06"/>
    <s v="TATXXD"/>
    <s v="BT02"/>
    <n v="0.97"/>
    <n v="913"/>
    <n v="1800"/>
    <n v="105"/>
    <n v="0"/>
    <n v="105"/>
    <n v="0"/>
    <n v="105"/>
    <n v="0"/>
    <n v="105"/>
    <n v="0"/>
    <n v="0"/>
    <n v="0"/>
    <n v="105"/>
    <n v="0"/>
    <n v="0"/>
    <n v="105"/>
    <n v="0"/>
    <n v="0"/>
    <n v="0"/>
    <m/>
  </r>
  <r>
    <n v="742"/>
    <d v="2025-09-21T00:00:00"/>
    <s v="ZBTO"/>
    <n v="9519126750"/>
    <n v="3"/>
    <s v="9519126750-3"/>
    <s v="Oct'25"/>
    <x v="0"/>
    <x v="2"/>
    <m/>
    <x v="1"/>
    <x v="1"/>
    <s v="West"/>
    <s v="Gujarat"/>
    <m/>
    <n v="189022"/>
    <s v="Balmer Lawrie And Company Limi"/>
    <n v="3492272"/>
    <s v="CRCA SHEET TATXXD BT02 1.200X910X1800"/>
    <s v="C06"/>
    <s v="TATXXD"/>
    <s v="BT02"/>
    <n v="1.2"/>
    <n v="910"/>
    <n v="1800"/>
    <n v="63"/>
    <n v="0"/>
    <n v="63"/>
    <n v="0"/>
    <n v="63"/>
    <n v="0"/>
    <n v="63"/>
    <n v="0"/>
    <n v="0"/>
    <n v="0"/>
    <n v="63"/>
    <n v="0"/>
    <n v="0"/>
    <n v="63"/>
    <n v="0"/>
    <n v="0"/>
    <n v="0"/>
    <m/>
  </r>
  <r>
    <n v="742"/>
    <d v="2025-09-21T00:00:00"/>
    <s v="ZBTO"/>
    <n v="9519126750"/>
    <n v="4"/>
    <s v="9519126750-4"/>
    <s v="Oct'25"/>
    <x v="0"/>
    <x v="2"/>
    <m/>
    <x v="1"/>
    <x v="1"/>
    <s v="West"/>
    <s v="Gujarat"/>
    <m/>
    <n v="189022"/>
    <s v="Balmer Lawrie And Company Limi"/>
    <n v="3409914"/>
    <s v="CRCA SHEET TATXXD BT02 1.200X914X1800"/>
    <s v="C06"/>
    <s v="TATXXD"/>
    <s v="BT02"/>
    <n v="1.2"/>
    <n v="914"/>
    <n v="1800"/>
    <n v="21"/>
    <n v="0"/>
    <n v="21"/>
    <n v="0"/>
    <n v="21"/>
    <n v="0"/>
    <n v="21"/>
    <n v="0"/>
    <n v="0"/>
    <n v="0"/>
    <n v="21"/>
    <n v="0"/>
    <n v="0"/>
    <n v="21"/>
    <n v="0"/>
    <n v="0"/>
    <n v="0"/>
    <m/>
  </r>
  <r>
    <n v="742"/>
    <d v="2025-07-08T00:00:00"/>
    <s v="ZBTO"/>
    <n v="9518914422"/>
    <n v="1"/>
    <s v="9518914422-1"/>
    <s v="Oct'25"/>
    <x v="0"/>
    <x v="2"/>
    <m/>
    <x v="1"/>
    <x v="1"/>
    <s v="South"/>
    <s v="PATTANCHERY"/>
    <m/>
    <n v="947865"/>
    <s v="CHANDRA CONTAINER MANUFACTURERS"/>
    <n v="4006905"/>
    <s v="CR COIL TATXXD BT04 0.450X848"/>
    <s v="C01"/>
    <s v="TATXXD"/>
    <s v="BT04"/>
    <n v="0.45"/>
    <n v="848"/>
    <n v="0"/>
    <n v="138"/>
    <n v="122.74"/>
    <n v="15.26"/>
    <n v="0"/>
    <n v="15.26"/>
    <n v="0"/>
    <n v="15.26"/>
    <n v="0"/>
    <n v="0"/>
    <n v="0"/>
    <n v="15.26"/>
    <n v="0"/>
    <n v="0"/>
    <n v="15.26"/>
    <n v="0"/>
    <n v="0"/>
    <n v="0"/>
    <s v="CHANDRA CONTAINER MANUFACTURERS"/>
  </r>
  <r>
    <n v="742"/>
    <d v="2025-06-27T00:00:00"/>
    <s v="ZBTO"/>
    <n v="9518886012"/>
    <n v="2"/>
    <s v="9518886012-2"/>
    <s v="Oct'25"/>
    <x v="0"/>
    <x v="12"/>
    <m/>
    <x v="0"/>
    <x v="0"/>
    <s v="East"/>
    <s v="JSR"/>
    <m/>
    <n v="155536"/>
    <s v="TATA STEEL DOWNSTREAM PRODUCTS LIMI"/>
    <n v="2420525"/>
    <s v="CRCA COIL TATXXD AH03 2X1250"/>
    <s v="C01"/>
    <s v="TATXXD"/>
    <s v="AH03"/>
    <n v="2"/>
    <n v="1250"/>
    <n v="0"/>
    <n v="174"/>
    <n v="157.79"/>
    <n v="16.21"/>
    <n v="0"/>
    <n v="16.21"/>
    <n v="16.21"/>
    <n v="0"/>
    <n v="0"/>
    <n v="0"/>
    <n v="0"/>
    <n v="16.21"/>
    <n v="0"/>
    <n v="16.21"/>
    <n v="0"/>
    <n v="0"/>
    <n v="0"/>
    <n v="0"/>
    <s v="TATA STEEL DOWNSTREAM PRODUCTS LIMI"/>
  </r>
  <r>
    <n v="742"/>
    <d v="2025-07-21T00:00:00"/>
    <s v="ZBTO"/>
    <n v="9518946840"/>
    <n v="4"/>
    <s v="9518946840-4"/>
    <s v="Oct'25"/>
    <x v="0"/>
    <x v="4"/>
    <m/>
    <x v="0"/>
    <x v="0"/>
    <s v="North"/>
    <s v="LONI"/>
    <m/>
    <n v="123052"/>
    <s v="G R GUPTA &amp; BROS"/>
    <n v="1804854"/>
    <s v="CRCA COIL-TATXXD-AU03-1.2X1250"/>
    <s v="C01"/>
    <s v="TATXXD"/>
    <s v="AU03"/>
    <n v="1.2"/>
    <n v="1250"/>
    <n v="0"/>
    <n v="57.999000000000002"/>
    <n v="43.81"/>
    <n v="14.189"/>
    <n v="0"/>
    <n v="14.189"/>
    <n v="14.189"/>
    <n v="0"/>
    <n v="0"/>
    <n v="0"/>
    <n v="0"/>
    <n v="14.189"/>
    <n v="0"/>
    <n v="14.189"/>
    <n v="0"/>
    <n v="0"/>
    <n v="0"/>
    <n v="0"/>
    <s v="G R GUPTA &amp; BROS"/>
  </r>
  <r>
    <n v="742"/>
    <d v="2025-08-02T00:00:00"/>
    <s v="ZBTF"/>
    <n v="9518988388"/>
    <n v="3"/>
    <s v="9518988388-3"/>
    <s v="Oct'25"/>
    <x v="0"/>
    <x v="4"/>
    <m/>
    <x v="0"/>
    <x v="3"/>
    <s v="South"/>
    <s v="THIRUVALLUR"/>
    <m/>
    <n v="600250"/>
    <s v="TATA CENTER"/>
    <n v="187525"/>
    <s v="CR COIL-ICF  DQ TATXXD AU03 1.00 X 1250"/>
    <s v="C01"/>
    <s v="TATXXD"/>
    <s v="AU03"/>
    <n v="1"/>
    <n v="1250"/>
    <n v="0"/>
    <n v="298.15600000000001"/>
    <n v="286.82499999999999"/>
    <n v="11.331"/>
    <n v="0"/>
    <n v="11.331"/>
    <n v="0"/>
    <n v="11.331"/>
    <n v="0"/>
    <n v="0"/>
    <n v="0"/>
    <n v="11.331"/>
    <n v="0"/>
    <n v="0"/>
    <n v="11.331"/>
    <n v="0"/>
    <n v="0"/>
    <n v="0"/>
    <s v="TATA CENTER"/>
  </r>
  <r>
    <n v="742"/>
    <d v="2025-08-02T00:00:00"/>
    <s v="ZBTF"/>
    <n v="9518988388"/>
    <n v="4"/>
    <s v="9518988388-4"/>
    <s v="Oct'25"/>
    <x v="0"/>
    <x v="4"/>
    <m/>
    <x v="0"/>
    <x v="3"/>
    <s v="South"/>
    <s v="THIRUVALLUR"/>
    <m/>
    <n v="600250"/>
    <s v="TATA CENTER"/>
    <n v="187525"/>
    <s v="CR COIL-ICF  DQ TATXXD AU03 1.00 X 1250"/>
    <s v="C01"/>
    <s v="TATXXD"/>
    <s v="AU03"/>
    <n v="1"/>
    <n v="1250"/>
    <n v="0"/>
    <n v="174.74100000000001"/>
    <n v="168.67"/>
    <n v="6.0709999999999997"/>
    <n v="0"/>
    <n v="6.0709999999999997"/>
    <n v="0"/>
    <n v="6.0709999999999997"/>
    <n v="0"/>
    <n v="0"/>
    <n v="0"/>
    <n v="6.0709999999999997"/>
    <n v="0"/>
    <n v="0"/>
    <n v="6.0709999999999997"/>
    <n v="0"/>
    <n v="0"/>
    <n v="0"/>
    <s v="TATA CENTER"/>
  </r>
  <r>
    <n v="742"/>
    <d v="2025-08-02T00:00:00"/>
    <s v="ZBTF"/>
    <n v="9518988388"/>
    <n v="5"/>
    <s v="9518988388-5"/>
    <s v="Oct'25"/>
    <x v="0"/>
    <x v="4"/>
    <m/>
    <x v="0"/>
    <x v="3"/>
    <s v="South"/>
    <s v="THIRUVALLUR"/>
    <m/>
    <n v="600250"/>
    <s v="TATA CENTER"/>
    <n v="187529"/>
    <s v="CR COIL-ICF  DQ TATXXD AU03 1.20 X 1250"/>
    <s v="C01"/>
    <s v="TATXXD"/>
    <s v="AU03"/>
    <n v="1.2"/>
    <n v="1250"/>
    <n v="0"/>
    <n v="193.55"/>
    <n v="179.48"/>
    <n v="14.07"/>
    <n v="0"/>
    <n v="14.07"/>
    <n v="0"/>
    <n v="14.07"/>
    <n v="0"/>
    <n v="0"/>
    <n v="0"/>
    <n v="14.07"/>
    <n v="0"/>
    <n v="0"/>
    <n v="14.07"/>
    <n v="0"/>
    <n v="0"/>
    <n v="0"/>
    <s v="TATA CENTER"/>
  </r>
  <r>
    <n v="742"/>
    <d v="2025-06-18T00:00:00"/>
    <s v="ZBTF"/>
    <n v="9518858355"/>
    <n v="1"/>
    <s v="9518858355-1"/>
    <s v="Oct'25"/>
    <x v="0"/>
    <x v="3"/>
    <m/>
    <x v="1"/>
    <x v="3"/>
    <s v="South"/>
    <s v="THIRUVALLUR"/>
    <m/>
    <n v="600250"/>
    <s v="TATA CENTER"/>
    <n v="3659268"/>
    <s v="CR COIL TSBSTA EL03 0.500X1217"/>
    <s v="C01"/>
    <s v="TSBSTA"/>
    <s v="EL03"/>
    <n v="0.5"/>
    <n v="1217"/>
    <n v="0"/>
    <n v="279.99"/>
    <n v="263.42500000000001"/>
    <n v="16.565000000000001"/>
    <n v="0"/>
    <n v="16.565000000000001"/>
    <n v="16.565000000000001"/>
    <n v="0"/>
    <n v="0"/>
    <n v="0"/>
    <n v="0"/>
    <n v="16.565000000000001"/>
    <n v="0"/>
    <n v="16.565000000000001"/>
    <n v="0"/>
    <n v="0"/>
    <n v="0"/>
    <n v="0"/>
    <s v="TATA CENTER"/>
  </r>
  <r>
    <n v="742"/>
    <d v="2025-07-18T00:00:00"/>
    <s v="ZBTO"/>
    <n v="9518938765"/>
    <n v="1"/>
    <s v="9518938765-1"/>
    <s v="Oct'25"/>
    <x v="0"/>
    <x v="7"/>
    <m/>
    <x v="0"/>
    <x v="0"/>
    <s v="East"/>
    <s v="PATNA"/>
    <m/>
    <n v="103227"/>
    <s v="BMW VENTURES LIMITED"/>
    <n v="3239408"/>
    <s v="CRCA SHEET TATCRC SR16 0.300X900X2500"/>
    <s v="C06"/>
    <s v="TATCRC"/>
    <s v="SR16"/>
    <n v="0.3"/>
    <n v="900"/>
    <n v="2500"/>
    <n v="17.995000000000001"/>
    <n v="0"/>
    <n v="17.995000000000001"/>
    <n v="0"/>
    <n v="17.995000000000001"/>
    <n v="17.995000000000001"/>
    <n v="0"/>
    <n v="0"/>
    <n v="0"/>
    <n v="0"/>
    <n v="17.995000000000001"/>
    <n v="0"/>
    <n v="17.995000000000001"/>
    <n v="0"/>
    <n v="0"/>
    <n v="0"/>
    <n v="0"/>
    <s v="BMW VENTURES LIMITED"/>
  </r>
  <r>
    <n v="742"/>
    <d v="2025-07-25T00:00:00"/>
    <s v="ZBTO"/>
    <n v="9518957825"/>
    <n v="1"/>
    <s v="9519114756-1"/>
    <s v="Oct'25"/>
    <x v="0"/>
    <x v="7"/>
    <m/>
    <x v="0"/>
    <x v="0"/>
    <s v="East"/>
    <s v="HOWRAH"/>
    <m/>
    <n v="925093"/>
    <s v="SITARAM IRON AND STEEL PVT LTD"/>
    <n v="3239536"/>
    <s v="CRCA SHEET TATCRC SR16 0.350X900X2500"/>
    <s v="C06"/>
    <s v="TATCRC"/>
    <s v="SR16"/>
    <n v="0.35"/>
    <n v="900"/>
    <n v="2500"/>
    <n v="42"/>
    <n v="0"/>
    <n v="42"/>
    <n v="0"/>
    <n v="42"/>
    <n v="0"/>
    <n v="42"/>
    <n v="0"/>
    <n v="0"/>
    <n v="0"/>
    <n v="42"/>
    <n v="0"/>
    <n v="0"/>
    <n v="42"/>
    <n v="0"/>
    <n v="0"/>
    <n v="0"/>
    <s v="SITARAM IRON AND STEEL PVT LTD"/>
  </r>
  <r>
    <n v="743"/>
    <s v="01.10.2025"/>
    <s v="ZBTO"/>
    <n v="9519161623"/>
    <n v="1"/>
    <s v="9519161623-1"/>
    <s v="Oct'25"/>
    <x v="3"/>
    <x v="10"/>
    <m/>
    <x v="1"/>
    <x v="1"/>
    <s v="North"/>
    <s v="LONI"/>
    <m/>
    <n v="944226"/>
    <s v="PURSHOTAM PROFILES PRIVATE LIMITED"/>
    <n v="3889776"/>
    <s v="GL COIL HARD  Y550GL H0GL 0.900X1249"/>
    <s v="B04"/>
    <s v="Y550GL"/>
    <s v="H0GL"/>
    <n v="0.9"/>
    <n v="1249"/>
    <n v="0"/>
    <n v="290"/>
    <n v="0"/>
    <n v="290"/>
    <n v="0"/>
    <n v="290"/>
    <n v="0"/>
    <n v="0"/>
    <n v="0"/>
    <n v="290"/>
    <n v="0"/>
    <n v="290"/>
    <n v="0"/>
    <n v="0"/>
    <n v="0"/>
    <n v="290"/>
    <n v="0"/>
    <n v="0"/>
    <s v="PURSHOTAM PROFILES PRIVATE LIMITED"/>
  </r>
  <r>
    <n v="743"/>
    <s v="03.10.2025"/>
    <s v="ZBTO"/>
    <n v="9519163513"/>
    <n v="1"/>
    <s v="9519163513-1"/>
    <s v="Oct'25"/>
    <x v="3"/>
    <x v="10"/>
    <m/>
    <x v="1"/>
    <x v="1"/>
    <s v="North"/>
    <s v="LONI"/>
    <m/>
    <n v="944226"/>
    <s v="PURSHOTAM PROFILES PRIVATE LIMITED"/>
    <n v="3889776"/>
    <s v="GL COIL HARD  Y550GL H0GL 0.900X1249"/>
    <s v="B04"/>
    <s v="Y550GL"/>
    <s v="H0GL"/>
    <n v="0.9"/>
    <n v="1249"/>
    <n v="0"/>
    <n v="290"/>
    <n v="0"/>
    <n v="290"/>
    <n v="0"/>
    <n v="290"/>
    <n v="0"/>
    <n v="0"/>
    <n v="0"/>
    <n v="290"/>
    <n v="0"/>
    <n v="290"/>
    <n v="0"/>
    <n v="0"/>
    <n v="0"/>
    <n v="290"/>
    <n v="0"/>
    <n v="0"/>
    <s v="PURSHOTAM PROFILES PRIVATE LIMITED"/>
  </r>
  <r>
    <n v="743"/>
    <s v="03.10.2025"/>
    <s v="ZBTO"/>
    <n v="9519163520"/>
    <n v="1"/>
    <s v="9519163520-1"/>
    <s v="Oct'25"/>
    <x v="3"/>
    <x v="10"/>
    <m/>
    <x v="1"/>
    <x v="1"/>
    <s v="North"/>
    <s v="LONI"/>
    <m/>
    <n v="944226"/>
    <s v="PURSHOTAM PROFILES PRIVATE LIMITED"/>
    <n v="3889776"/>
    <s v="GL COIL HARD  Y550GL H0GL 0.900X1249"/>
    <s v="B04"/>
    <s v="Y550GL"/>
    <s v="H0GL"/>
    <n v="0.9"/>
    <n v="1249"/>
    <n v="0"/>
    <n v="290"/>
    <n v="0"/>
    <n v="290"/>
    <n v="0"/>
    <n v="290"/>
    <n v="0"/>
    <n v="0"/>
    <n v="0"/>
    <n v="290"/>
    <n v="0"/>
    <n v="290"/>
    <n v="0"/>
    <n v="0"/>
    <n v="0"/>
    <n v="290"/>
    <n v="0"/>
    <n v="0"/>
    <s v="PURSHOTAM PROFILES PRIVATE LIMITED"/>
  </r>
  <r>
    <n v="743"/>
    <s v="03.10.2025"/>
    <s v="ZBTO"/>
    <n v="9519163521"/>
    <n v="1"/>
    <s v="9519163521-1"/>
    <s v="Oct'25"/>
    <x v="3"/>
    <x v="10"/>
    <m/>
    <x v="1"/>
    <x v="1"/>
    <s v="North"/>
    <s v="LONI"/>
    <m/>
    <n v="944226"/>
    <s v="PURSHOTAM PROFILES PRIVATE LIMITED"/>
    <n v="3889776"/>
    <s v="GL COIL HARD  Y550GL H0GL 0.900X1249"/>
    <s v="B04"/>
    <s v="Y550GL"/>
    <s v="H0GL"/>
    <n v="0.9"/>
    <n v="1249"/>
    <n v="0"/>
    <n v="145"/>
    <n v="0"/>
    <n v="145"/>
    <n v="0"/>
    <n v="145"/>
    <n v="0"/>
    <n v="0"/>
    <n v="0"/>
    <n v="145"/>
    <n v="0"/>
    <n v="145"/>
    <n v="0"/>
    <n v="0"/>
    <n v="0"/>
    <n v="145"/>
    <n v="0"/>
    <n v="0"/>
    <s v="PURSHOTAM PROFILES PRIVATE LIMITED"/>
  </r>
  <r>
    <n v="743"/>
    <s v="03.10.2025"/>
    <s v="ZBTO"/>
    <n v="9519164284"/>
    <n v="1"/>
    <s v="9519164284-1"/>
    <s v="Oct'25"/>
    <x v="3"/>
    <x v="10"/>
    <m/>
    <x v="1"/>
    <x v="1"/>
    <s v="North"/>
    <s v="LONI"/>
    <m/>
    <n v="944226"/>
    <s v="PURSHOTAM PROFILES PRIVATE LIMITED"/>
    <n v="4007669"/>
    <s v="GL COIL HARD  Y550GL H0GL 0.900X1200"/>
    <s v="B04"/>
    <s v="Y550GL"/>
    <s v="H0GL"/>
    <n v="0.9"/>
    <n v="1200"/>
    <n v="0"/>
    <n v="297"/>
    <n v="0"/>
    <n v="297"/>
    <n v="0"/>
    <n v="297"/>
    <n v="0"/>
    <n v="0"/>
    <n v="0"/>
    <n v="297"/>
    <n v="0"/>
    <n v="297"/>
    <n v="0"/>
    <n v="0"/>
    <n v="0"/>
    <n v="0"/>
    <n v="297"/>
    <n v="0"/>
    <s v="PURSHOTAM PROFILES PRIVATE LIMITED"/>
  </r>
  <r>
    <n v="743"/>
    <s v="03.10.2025"/>
    <s v="ZBTO"/>
    <n v="9519164290"/>
    <n v="1"/>
    <s v="9519164290-1"/>
    <s v="Oct'25"/>
    <x v="3"/>
    <x v="10"/>
    <m/>
    <x v="1"/>
    <x v="1"/>
    <s v="North"/>
    <s v="LONI"/>
    <m/>
    <n v="944226"/>
    <s v="PURSHOTAM PROFILES PRIVATE LIMITED"/>
    <n v="4007669"/>
    <s v="GL COIL HARD  Y550GL H0GL 0.900X1200"/>
    <s v="B04"/>
    <s v="Y550GL"/>
    <s v="H0GL"/>
    <n v="0.9"/>
    <n v="1200"/>
    <n v="0"/>
    <n v="297"/>
    <n v="0"/>
    <n v="297"/>
    <n v="0"/>
    <n v="297"/>
    <n v="0"/>
    <n v="0"/>
    <n v="0"/>
    <n v="297"/>
    <n v="0"/>
    <n v="297"/>
    <n v="0"/>
    <n v="0"/>
    <n v="0"/>
    <n v="0"/>
    <n v="297"/>
    <n v="0"/>
    <s v="PURSHOTAM PROFILES PRIVATE LIMITED"/>
  </r>
  <r>
    <n v="743"/>
    <s v="03.10.2025"/>
    <s v="ZBTO"/>
    <n v="9519164291"/>
    <n v="1"/>
    <s v="9519164291-1"/>
    <s v="Oct'25"/>
    <x v="3"/>
    <x v="10"/>
    <m/>
    <x v="1"/>
    <x v="1"/>
    <s v="North"/>
    <s v="LONI"/>
    <m/>
    <n v="944226"/>
    <s v="PURSHOTAM PROFILES PRIVATE LIMITED"/>
    <n v="4007669"/>
    <s v="GL COIL HARD  Y550GL H0GL 0.900X1200"/>
    <s v="B04"/>
    <s v="Y550GL"/>
    <s v="H0GL"/>
    <n v="0.9"/>
    <n v="1200"/>
    <n v="0"/>
    <n v="297"/>
    <n v="0"/>
    <n v="297"/>
    <n v="0"/>
    <n v="297"/>
    <n v="0"/>
    <n v="0"/>
    <n v="0"/>
    <n v="0"/>
    <n v="297"/>
    <n v="297"/>
    <n v="0"/>
    <n v="0"/>
    <n v="0"/>
    <n v="0"/>
    <n v="297"/>
    <n v="0"/>
    <s v="PURSHOTAM PROFILES PRIVATE LIMITED"/>
  </r>
  <r>
    <n v="743"/>
    <s v="03.10.2025"/>
    <s v="ZBTO"/>
    <n v="9519164293"/>
    <n v="1"/>
    <s v="9519164293-1"/>
    <s v="Oct'25"/>
    <x v="3"/>
    <x v="10"/>
    <m/>
    <x v="1"/>
    <x v="1"/>
    <s v="North"/>
    <s v="LONI"/>
    <m/>
    <n v="944226"/>
    <s v="PURSHOTAM PROFILES PRIVATE LIMITED"/>
    <n v="4007669"/>
    <s v="GL COIL HARD  Y550GL H0GL 0.900X1200"/>
    <s v="B04"/>
    <s v="Y550GL"/>
    <s v="H0GL"/>
    <n v="0.9"/>
    <n v="1200"/>
    <n v="0"/>
    <n v="297"/>
    <n v="0"/>
    <n v="297"/>
    <n v="0"/>
    <n v="297"/>
    <n v="0"/>
    <n v="0"/>
    <n v="0"/>
    <n v="0"/>
    <n v="297"/>
    <n v="297"/>
    <n v="0"/>
    <n v="0"/>
    <n v="0"/>
    <n v="0"/>
    <n v="297"/>
    <n v="0"/>
    <s v="PURSHOTAM PROFILES PRIVATE LIMITED"/>
  </r>
  <r>
    <n v="743"/>
    <s v="03.10.2025"/>
    <s v="ZBTO"/>
    <n v="9519164295"/>
    <n v="1"/>
    <s v="9519164295-1"/>
    <s v="Oct'25"/>
    <x v="3"/>
    <x v="10"/>
    <m/>
    <x v="1"/>
    <x v="1"/>
    <s v="North"/>
    <s v="LONI"/>
    <m/>
    <n v="944226"/>
    <s v="PURSHOTAM PROFILES PRIVATE LIMITED"/>
    <n v="4007669"/>
    <s v="GL COIL HARD  Y550GL H0GL 0.900X1200"/>
    <s v="B04"/>
    <s v="Y550GL"/>
    <s v="H0GL"/>
    <n v="0.9"/>
    <n v="1200"/>
    <n v="0"/>
    <n v="297"/>
    <n v="0"/>
    <n v="297"/>
    <n v="0"/>
    <n v="297"/>
    <n v="0"/>
    <n v="0"/>
    <n v="0"/>
    <n v="0"/>
    <n v="297"/>
    <n v="297"/>
    <n v="0"/>
    <n v="0"/>
    <n v="0"/>
    <n v="0"/>
    <n v="297"/>
    <n v="0"/>
    <s v="PURSHOTAM PROFILES PRIVATE LIMITED"/>
  </r>
  <r>
    <n v="743"/>
    <s v="03.10.2025"/>
    <s v="ZBTO"/>
    <n v="9519164375"/>
    <n v="1"/>
    <s v="9519164375-1"/>
    <s v="Oct'25"/>
    <x v="3"/>
    <x v="10"/>
    <m/>
    <x v="1"/>
    <x v="1"/>
    <s v="North"/>
    <s v="LONI"/>
    <m/>
    <n v="944226"/>
    <s v="PURSHOTAM PROFILES PRIVATE LIMITED"/>
    <n v="4007669"/>
    <s v="GL COIL HARD  Y550GL H0GL 0.900X1200"/>
    <s v="B04"/>
    <s v="Y550GL"/>
    <s v="H0GL"/>
    <n v="0.9"/>
    <n v="1200"/>
    <n v="0"/>
    <n v="27"/>
    <n v="0"/>
    <n v="27"/>
    <n v="0"/>
    <n v="27"/>
    <n v="0"/>
    <n v="0"/>
    <n v="0"/>
    <n v="0"/>
    <n v="27"/>
    <n v="0"/>
    <n v="0"/>
    <n v="0"/>
    <n v="0"/>
    <n v="0"/>
    <n v="0"/>
    <n v="27"/>
    <s v="PURSHOTAM PROFILES PRIVATE LIMITED"/>
  </r>
  <r>
    <n v="743"/>
    <d v="2025-08-27T00:00:00"/>
    <s v="ZBTO"/>
    <n v="9519054625"/>
    <n v="11"/>
    <s v="9519054625-11"/>
    <s v="Oct'25"/>
    <x v="2"/>
    <x v="5"/>
    <m/>
    <x v="0"/>
    <x v="0"/>
    <s v="East"/>
    <s v="GUWAHATI"/>
    <m/>
    <n v="116649"/>
    <s v="SAGAR STEELS"/>
    <n v="1851074"/>
    <s v="GP COIL SOFT-TATXGP-GLK1-0.28X900"/>
    <s v="C02"/>
    <s v="TATXGP"/>
    <s v="GLK1"/>
    <n v="0.28000000000000003"/>
    <n v="900"/>
    <n v="0"/>
    <n v="105"/>
    <n v="0"/>
    <n v="105"/>
    <n v="0"/>
    <n v="105"/>
    <n v="0"/>
    <n v="0"/>
    <n v="105"/>
    <n v="0"/>
    <n v="0"/>
    <n v="105"/>
    <n v="0"/>
    <n v="0"/>
    <n v="0"/>
    <n v="105"/>
    <n v="0"/>
    <n v="0"/>
    <s v="SAGAR STEELS"/>
  </r>
  <r>
    <n v="742"/>
    <m/>
    <s v="ZBTC"/>
    <m/>
    <m/>
    <s v="60893680-1"/>
    <s v="Stocks"/>
    <x v="0"/>
    <x v="2"/>
    <m/>
    <x v="1"/>
    <x v="3"/>
    <s v="North"/>
    <m/>
    <m/>
    <m/>
    <s v="Pilkhuwa Depot"/>
    <n v="2164800"/>
    <s v="CRCA COIL TATXXD BT02 0.970X913"/>
    <s v="C01"/>
    <s v="TATXXD"/>
    <s v="BT02"/>
    <n v="0.97"/>
    <n v="913"/>
    <m/>
    <n v="138"/>
    <n v="122.74"/>
    <n v="15.26"/>
    <n v="8.07"/>
    <n v="0"/>
    <n v="0"/>
    <n v="0"/>
    <n v="0"/>
    <n v="0"/>
    <n v="0"/>
    <n v="8.07"/>
    <n v="8.07"/>
    <n v="0"/>
    <n v="0"/>
    <n v="0"/>
    <n v="0"/>
    <n v="0"/>
    <m/>
  </r>
  <r>
    <n v="743"/>
    <m/>
    <s v="ZBTC"/>
    <m/>
    <m/>
    <s v="60895201-22"/>
    <s v="Stocks"/>
    <x v="2"/>
    <x v="11"/>
    <m/>
    <x v="0"/>
    <x v="3"/>
    <s v=""/>
    <m/>
    <m/>
    <m/>
    <s v="Pilkhuwa Depot"/>
    <n v="1851145"/>
    <s v="GP SHEET SOFT-TATXGP-GK09-0.5X1220"/>
    <s v="B11"/>
    <s v="TATXGP"/>
    <s v="GK09"/>
    <n v="0.5"/>
    <n v="1220"/>
    <m/>
    <n v="174"/>
    <n v="157.79"/>
    <n v="16.21"/>
    <n v="3.4849999999999999"/>
    <n v="0"/>
    <n v="0"/>
    <n v="0"/>
    <n v="0"/>
    <n v="0"/>
    <n v="0"/>
    <n v="3.4849999999999999"/>
    <n v="3.4849999999999999"/>
    <n v="0"/>
    <n v="0"/>
    <n v="0"/>
    <n v="0"/>
    <n v="0"/>
    <m/>
  </r>
  <r>
    <n v="743"/>
    <m/>
    <s v="ZBTC"/>
    <m/>
    <m/>
    <s v="60907771-14"/>
    <s v="Stocks"/>
    <x v="3"/>
    <x v="10"/>
    <m/>
    <x v="1"/>
    <x v="3"/>
    <s v=""/>
    <m/>
    <m/>
    <m/>
    <s v="Pilkhuwa Depot"/>
    <n v="3865176"/>
    <s v="GL COIL HARD  Y550GL HGL6 0.900X1250"/>
    <s v="B04"/>
    <s v="Y550GL"/>
    <s v="HGL6"/>
    <n v="0.9"/>
    <n v="1250"/>
    <m/>
    <n v="57.999000000000002"/>
    <n v="43.81"/>
    <n v="14.189"/>
    <n v="2.79"/>
    <n v="0"/>
    <n v="0"/>
    <n v="0"/>
    <n v="0"/>
    <n v="0"/>
    <n v="0"/>
    <n v="2.79"/>
    <n v="2.79"/>
    <n v="0"/>
    <n v="0"/>
    <n v="0"/>
    <n v="0"/>
    <n v="0"/>
    <m/>
  </r>
  <r>
    <n v="743"/>
    <m/>
    <s v="ZBTC"/>
    <m/>
    <m/>
    <s v="60917918-9"/>
    <s v="Stocks"/>
    <x v="3"/>
    <x v="2"/>
    <m/>
    <x v="1"/>
    <x v="3"/>
    <s v=""/>
    <m/>
    <m/>
    <m/>
    <s v="Pilkhuwa Depot"/>
    <n v="3789964"/>
    <s v="GL C YS550 H6GL 0.60BMT(0.65TCT)X1250"/>
    <s v="B04"/>
    <s v="Y550GL"/>
    <s v="H6GL"/>
    <n v="0.6"/>
    <n v="1250"/>
    <m/>
    <n v="298.15600000000001"/>
    <n v="286.82499999999999"/>
    <n v="11.331"/>
    <n v="9.875"/>
    <n v="0"/>
    <n v="0"/>
    <n v="0"/>
    <n v="0"/>
    <n v="0"/>
    <n v="0"/>
    <n v="9.875"/>
    <n v="9.875"/>
    <n v="0"/>
    <n v="0"/>
    <n v="0"/>
    <n v="0"/>
    <n v="0"/>
    <m/>
  </r>
  <r>
    <n v="743"/>
    <m/>
    <s v="ZBTC"/>
    <m/>
    <m/>
    <s v="60929536-9"/>
    <s v="Stocks"/>
    <x v="3"/>
    <x v="10"/>
    <m/>
    <x v="1"/>
    <x v="3"/>
    <s v=""/>
    <m/>
    <m/>
    <m/>
    <s v="Pilkhuwa Depot"/>
    <n v="3865176"/>
    <s v="GL COIL HARD  Y550GL HGL6 0.900X1250"/>
    <s v="B04"/>
    <s v="Y550GL"/>
    <s v="HGL6"/>
    <n v="0.9"/>
    <n v="1250"/>
    <m/>
    <n v="174.74100000000001"/>
    <n v="168.67"/>
    <n v="6.0709999999999997"/>
    <n v="2.335"/>
    <n v="0"/>
    <n v="0"/>
    <n v="0"/>
    <n v="0"/>
    <n v="0"/>
    <n v="0"/>
    <n v="2.335"/>
    <n v="2.335"/>
    <n v="0"/>
    <n v="0"/>
    <n v="0"/>
    <n v="0"/>
    <n v="0"/>
    <m/>
  </r>
  <r>
    <n v="742"/>
    <m/>
    <s v="ZBTC"/>
    <m/>
    <m/>
    <s v="60938878-1"/>
    <s v="Stocks"/>
    <x v="0"/>
    <x v="4"/>
    <m/>
    <x v="0"/>
    <x v="3"/>
    <s v=""/>
    <m/>
    <m/>
    <m/>
    <s v="GANNAVARAM STOCKYARD"/>
    <n v="1804854"/>
    <s v="CRCA COIL-TATXXD-AU03-1.2X1250"/>
    <s v="C01"/>
    <s v="TATXXD"/>
    <s v="AU03"/>
    <n v="1.2"/>
    <n v="1250"/>
    <m/>
    <n v="193.55"/>
    <n v="179.48"/>
    <n v="14.07"/>
    <n v="25.94"/>
    <n v="0"/>
    <n v="0"/>
    <n v="0"/>
    <n v="0"/>
    <n v="0"/>
    <n v="0"/>
    <n v="25.94"/>
    <n v="25.94"/>
    <n v="0"/>
    <n v="0"/>
    <n v="0"/>
    <n v="0"/>
    <n v="0"/>
    <m/>
  </r>
  <r>
    <n v="743"/>
    <m/>
    <s v="ZBTC"/>
    <m/>
    <m/>
    <s v="60939640-11"/>
    <s v="Stocks"/>
    <x v="3"/>
    <x v="10"/>
    <m/>
    <x v="1"/>
    <x v="3"/>
    <s v=""/>
    <m/>
    <m/>
    <m/>
    <s v="Pilkhuwa Depot"/>
    <n v="3951358"/>
    <s v="GL COIL HARD  Y550GL GL6H 0.900X1050"/>
    <s v="B04"/>
    <s v="Y550GL"/>
    <s v="GL6H"/>
    <n v="0.9"/>
    <n v="1050"/>
    <m/>
    <n v="279.99"/>
    <n v="263.42500000000001"/>
    <n v="16.565000000000001"/>
    <n v="21.9"/>
    <n v="0"/>
    <n v="0"/>
    <n v="0"/>
    <n v="0"/>
    <n v="0"/>
    <n v="0"/>
    <n v="21.9"/>
    <n v="21.9"/>
    <n v="0"/>
    <n v="0"/>
    <n v="0"/>
    <n v="0"/>
    <n v="0"/>
    <m/>
  </r>
  <r>
    <n v="742"/>
    <m/>
    <s v="ZBTC"/>
    <m/>
    <m/>
    <s v="60942015-4"/>
    <s v="Stocks"/>
    <x v="0"/>
    <x v="2"/>
    <m/>
    <x v="1"/>
    <x v="3"/>
    <s v="South"/>
    <m/>
    <m/>
    <m/>
    <s v="GANNAVARAM STOCKYARD"/>
    <n v="4006905"/>
    <s v="CR COIL TATXXD BT04 0.450X848"/>
    <s v="C01"/>
    <s v="TATXXD"/>
    <s v="BT04"/>
    <n v="0.45"/>
    <n v="848"/>
    <m/>
    <n v="17.995000000000001"/>
    <n v="0"/>
    <n v="17.995000000000001"/>
    <n v="5.7750000000000004"/>
    <n v="0"/>
    <n v="0"/>
    <n v="0"/>
    <n v="0"/>
    <n v="0"/>
    <n v="0"/>
    <n v="5.7750000000000004"/>
    <n v="5.7750000000000004"/>
    <n v="0"/>
    <n v="0"/>
    <n v="0"/>
    <n v="0"/>
    <n v="0"/>
    <m/>
  </r>
  <r>
    <n v="743"/>
    <m/>
    <s v="ZBTC"/>
    <m/>
    <m/>
    <s v="60942127-8"/>
    <s v="Stocks"/>
    <x v="3"/>
    <x v="2"/>
    <m/>
    <x v="1"/>
    <x v="3"/>
    <s v="South"/>
    <m/>
    <m/>
    <m/>
    <s v="HYDERABAD STOCKYARD"/>
    <n v="3433846"/>
    <s v="GL COIL SKINPASS Y300GL SGL2 0.420X1235"/>
    <s v="B06"/>
    <s v="Y300GL"/>
    <s v="SGL2"/>
    <n v="0.42"/>
    <n v="1235"/>
    <m/>
    <n v="42"/>
    <n v="0"/>
    <n v="42"/>
    <n v="7.98"/>
    <n v="0"/>
    <n v="0"/>
    <n v="0"/>
    <n v="0"/>
    <n v="0"/>
    <n v="0"/>
    <n v="7.98"/>
    <n v="7.98"/>
    <n v="0"/>
    <n v="0"/>
    <n v="0"/>
    <n v="0"/>
    <n v="0"/>
    <m/>
  </r>
  <r>
    <n v="742"/>
    <m/>
    <s v="ZBTC"/>
    <m/>
    <m/>
    <s v="60943003-1"/>
    <s v="Stocks"/>
    <x v="0"/>
    <x v="2"/>
    <m/>
    <x v="1"/>
    <x v="3"/>
    <s v="North"/>
    <m/>
    <m/>
    <m/>
    <s v="Pilkhuwa Depot"/>
    <n v="2164800"/>
    <s v="CRCA COIL TATXXD BT02 0.970X913"/>
    <s v="C01"/>
    <s v="TATXXD"/>
    <s v="BT02"/>
    <n v="0.97"/>
    <n v="913"/>
    <m/>
    <n v="290"/>
    <n v="0"/>
    <n v="290"/>
    <n v="7.12"/>
    <n v="0"/>
    <n v="0"/>
    <n v="0"/>
    <n v="0"/>
    <n v="0"/>
    <n v="0"/>
    <n v="7.12"/>
    <n v="7.12"/>
    <n v="0"/>
    <n v="0"/>
    <n v="0"/>
    <n v="0"/>
    <n v="0"/>
    <m/>
  </r>
  <r>
    <n v="743"/>
    <m/>
    <s v="ZBTC"/>
    <m/>
    <m/>
    <s v="60943798-1"/>
    <s v="Stocks"/>
    <x v="3"/>
    <x v="10"/>
    <m/>
    <x v="1"/>
    <x v="3"/>
    <s v=""/>
    <m/>
    <m/>
    <m/>
    <s v="Pilkhuwa Depot"/>
    <n v="4112281"/>
    <s v="GL COIL HARD  Y550GL HGL7 0.800X1040"/>
    <s v="B04"/>
    <s v="Y550GL"/>
    <s v="HGL7"/>
    <n v="0.8"/>
    <n v="1040"/>
    <m/>
    <n v="290"/>
    <n v="0"/>
    <n v="290"/>
    <n v="9.1950000000000003"/>
    <n v="0"/>
    <n v="0"/>
    <n v="0"/>
    <n v="0"/>
    <n v="0"/>
    <n v="0"/>
    <n v="9.1950000000000003"/>
    <n v="9.1950000000000003"/>
    <n v="0"/>
    <n v="0"/>
    <n v="0"/>
    <n v="0"/>
    <n v="0"/>
    <m/>
  </r>
  <r>
    <n v="744"/>
    <m/>
    <s v="ZBTC"/>
    <m/>
    <m/>
    <s v="9517079217-15"/>
    <s v="Stocks"/>
    <x v="1"/>
    <x v="1"/>
    <m/>
    <x v="1"/>
    <x v="1"/>
    <s v="TBSPL"/>
    <m/>
    <m/>
    <m/>
    <s v="TATA BLUESCOPE STEEL PVT LTD"/>
    <n v="3242536"/>
    <s v="PPGL PROF Y550PL PLH1 0.430X1010X6100"/>
    <s v="B20"/>
    <s v="Y550PL"/>
    <s v="PLH1"/>
    <n v="0.43"/>
    <n v="1010"/>
    <m/>
    <n v="290"/>
    <n v="0"/>
    <n v="290"/>
    <n v="1.57"/>
    <n v="0"/>
    <n v="0"/>
    <n v="0"/>
    <n v="0"/>
    <n v="0"/>
    <n v="0"/>
    <n v="1.57"/>
    <n v="0"/>
    <n v="1.57"/>
    <n v="0"/>
    <n v="0"/>
    <n v="0"/>
    <n v="0"/>
    <m/>
  </r>
  <r>
    <n v="743"/>
    <m/>
    <s v="ZBTC"/>
    <m/>
    <m/>
    <s v="9517427639-3"/>
    <s v="Stocks"/>
    <x v="2"/>
    <x v="5"/>
    <m/>
    <x v="0"/>
    <x v="0"/>
    <s v="East"/>
    <m/>
    <m/>
    <m/>
    <s v="Shree Bajrang Steel Udyog"/>
    <n v="1854424"/>
    <s v="GP COIL SOFT-TATXGP-GK09-0.6X900"/>
    <s v="C02"/>
    <s v="TATXGP"/>
    <s v="GK09"/>
    <n v="0.6"/>
    <n v="900"/>
    <m/>
    <n v="145"/>
    <n v="0"/>
    <n v="145"/>
    <n v="4.84"/>
    <n v="0"/>
    <n v="0"/>
    <n v="0"/>
    <n v="0"/>
    <n v="0"/>
    <n v="0"/>
    <n v="4.84"/>
    <n v="4.84"/>
    <n v="0"/>
    <n v="0"/>
    <n v="0"/>
    <n v="0"/>
    <n v="0"/>
    <m/>
  </r>
  <r>
    <n v="742"/>
    <m/>
    <s v="ZBTO"/>
    <m/>
    <m/>
    <s v="9517771144-8"/>
    <s v="Stocks"/>
    <x v="0"/>
    <x v="7"/>
    <m/>
    <x v="0"/>
    <x v="0"/>
    <s v="East"/>
    <m/>
    <m/>
    <m/>
    <s v="PSPL STEEL PROCESSORS PRIVATE"/>
    <n v="3533338"/>
    <s v="CRCA SHEET TATCRC SR16 0.400X1000X2000"/>
    <s v="C06"/>
    <s v="TATCRC"/>
    <s v="SR16"/>
    <n v="0.4"/>
    <n v="1000"/>
    <m/>
    <n v="297"/>
    <n v="0"/>
    <n v="297"/>
    <n v="2.8450000000000002"/>
    <n v="0"/>
    <n v="0"/>
    <n v="0"/>
    <n v="0"/>
    <n v="0"/>
    <n v="0"/>
    <n v="2.8450000000000002"/>
    <n v="2.8450000000000002"/>
    <n v="0"/>
    <n v="0"/>
    <n v="0"/>
    <n v="0"/>
    <n v="0"/>
    <m/>
  </r>
  <r>
    <n v="742"/>
    <m/>
    <s v="ZBTO"/>
    <m/>
    <m/>
    <s v="9517928529-1"/>
    <s v="Stocks"/>
    <x v="0"/>
    <x v="7"/>
    <m/>
    <x v="0"/>
    <x v="0"/>
    <s v="East"/>
    <m/>
    <m/>
    <m/>
    <s v="PSPL STEEL PROCESSORS PRIVATE"/>
    <n v="3240765"/>
    <s v="CRCA SHEET TSBCRC SR15 0.500X1250X2500"/>
    <s v="C06"/>
    <s v="TSBCRC"/>
    <s v="SR15"/>
    <n v="0.5"/>
    <n v="1250"/>
    <m/>
    <n v="297"/>
    <n v="0"/>
    <n v="297"/>
    <n v="5.7650000000000006"/>
    <n v="0"/>
    <n v="0"/>
    <n v="0"/>
    <n v="0"/>
    <n v="0"/>
    <n v="0"/>
    <n v="5.7650000000000006"/>
    <n v="5.7650000000000006"/>
    <n v="0"/>
    <n v="0"/>
    <n v="0"/>
    <n v="0"/>
    <n v="0"/>
    <m/>
  </r>
  <r>
    <n v="742"/>
    <m/>
    <s v="ZBTO"/>
    <m/>
    <m/>
    <s v="9518188607-1"/>
    <s v="Stocks"/>
    <x v="0"/>
    <x v="7"/>
    <m/>
    <x v="0"/>
    <x v="0"/>
    <s v="West"/>
    <m/>
    <m/>
    <m/>
    <s v="ROHIT &amp; COMPANY"/>
    <n v="3870145"/>
    <s v="CRCA SHEET TATCRC SR16 0.400X1250X1980"/>
    <s v="C06"/>
    <s v="TATCRC"/>
    <s v="SR16"/>
    <n v="0.4"/>
    <n v="1250"/>
    <m/>
    <n v="297"/>
    <n v="0"/>
    <n v="297"/>
    <n v="2.84"/>
    <n v="0"/>
    <n v="0"/>
    <n v="0"/>
    <n v="0"/>
    <n v="0"/>
    <n v="0"/>
    <n v="2.84"/>
    <n v="2.84"/>
    <n v="0"/>
    <n v="0"/>
    <n v="0"/>
    <n v="0"/>
    <n v="0"/>
    <m/>
  </r>
  <r>
    <n v="742"/>
    <m/>
    <s v="ZBTO"/>
    <m/>
    <m/>
    <s v="9518197222-2"/>
    <s v="Stocks"/>
    <x v="0"/>
    <x v="7"/>
    <m/>
    <x v="0"/>
    <x v="0"/>
    <s v="West"/>
    <m/>
    <m/>
    <m/>
    <s v="S K M STEELS LIMITED"/>
    <n v="3240765"/>
    <s v="CRCA SHEET TSBCRC SR15 0.500X1250X2500"/>
    <s v="C06"/>
    <s v="TSBCRC"/>
    <s v="SR15"/>
    <n v="0.5"/>
    <n v="1250"/>
    <m/>
    <n v="297"/>
    <n v="0"/>
    <n v="297"/>
    <n v="2.855"/>
    <n v="0"/>
    <n v="0"/>
    <n v="0"/>
    <n v="0"/>
    <n v="0"/>
    <n v="0"/>
    <n v="2.855"/>
    <n v="2.855"/>
    <n v="0"/>
    <n v="0"/>
    <n v="0"/>
    <n v="0"/>
    <n v="0"/>
    <m/>
  </r>
  <r>
    <n v="743"/>
    <m/>
    <s v="ZBTC"/>
    <m/>
    <m/>
    <s v="9518294311-1"/>
    <s v="Stocks"/>
    <x v="3"/>
    <x v="10"/>
    <m/>
    <x v="1"/>
    <x v="1"/>
    <s v="West"/>
    <m/>
    <m/>
    <m/>
    <s v="PURSHOTAM PROFILES PRIVATE LIM"/>
    <n v="3865176"/>
    <s v="GL COIL HARD  Y550GL HGL6 0.900X1250"/>
    <s v="B04"/>
    <s v="Y550GL"/>
    <s v="HGL6"/>
    <n v="0.9"/>
    <n v="1250"/>
    <m/>
    <n v="105"/>
    <n v="0"/>
    <n v="105"/>
    <n v="6.2050000000000001"/>
    <n v="0"/>
    <n v="0"/>
    <n v="0"/>
    <n v="0"/>
    <n v="0"/>
    <n v="0"/>
    <n v="6.2050000000000001"/>
    <n v="6.2050000000000001"/>
    <n v="0"/>
    <n v="0"/>
    <n v="0"/>
    <n v="0"/>
    <n v="0"/>
    <m/>
  </r>
  <r>
    <n v="744"/>
    <m/>
    <s v="ZBTO"/>
    <m/>
    <m/>
    <s v="9518295812-2"/>
    <s v="Stocks"/>
    <x v="1"/>
    <x v="1"/>
    <m/>
    <x v="1"/>
    <x v="1"/>
    <s v="TBSPL"/>
    <m/>
    <m/>
    <m/>
    <s v="TATA BLUESCOPE STEEL PRIVATE L"/>
    <n v="1633706"/>
    <s v="PPGL C Y550 HPL3 0.42BMT(0.50TPT)X1220"/>
    <s v="B18"/>
    <s v="Y550PL"/>
    <s v="HPL3"/>
    <n v="0.42"/>
    <n v="1220"/>
    <m/>
    <m/>
    <m/>
    <m/>
    <n v="3.3149999999999999"/>
    <n v="0"/>
    <n v="0"/>
    <n v="0"/>
    <n v="0"/>
    <n v="0"/>
    <n v="0"/>
    <n v="3.3149999999999999"/>
    <n v="0"/>
    <n v="3.3149999999999999"/>
    <n v="0"/>
    <n v="0"/>
    <n v="0"/>
    <n v="0"/>
    <m/>
  </r>
  <r>
    <n v="743"/>
    <m/>
    <s v="ZBTF"/>
    <m/>
    <m/>
    <s v="9518341433-2"/>
    <s v="Stocks"/>
    <x v="2"/>
    <x v="5"/>
    <m/>
    <x v="0"/>
    <x v="2"/>
    <s v="East"/>
    <m/>
    <m/>
    <m/>
    <s v="TATA CENTRE"/>
    <n v="1854424"/>
    <s v="GP COIL SOFT-TATXGP-GK09-0.6X900"/>
    <s v="C02"/>
    <s v="TATXGP"/>
    <s v="GK09"/>
    <n v="0.6"/>
    <n v="900"/>
    <m/>
    <m/>
    <m/>
    <m/>
    <n v="9.5399999999999991"/>
    <n v="0"/>
    <n v="0"/>
    <n v="0"/>
    <n v="0"/>
    <n v="0"/>
    <n v="0"/>
    <n v="9.5399999999999991"/>
    <n v="9.5399999999999991"/>
    <n v="0"/>
    <n v="0"/>
    <n v="0"/>
    <n v="0"/>
    <n v="0"/>
    <m/>
  </r>
  <r>
    <n v="742"/>
    <m/>
    <s v="ZBTO"/>
    <m/>
    <m/>
    <s v="9518400614-9"/>
    <s v="Stocks"/>
    <x v="0"/>
    <x v="7"/>
    <m/>
    <x v="0"/>
    <x v="0"/>
    <s v="South"/>
    <m/>
    <m/>
    <m/>
    <s v="BESTEEL KUMMENCHERY,"/>
    <n v="3239538"/>
    <s v="CRCA SHEET TATCRC SR16 0.350X1000X1910"/>
    <s v="C06"/>
    <s v="TATCRC"/>
    <s v="SR16"/>
    <n v="0.35"/>
    <n v="1000"/>
    <m/>
    <m/>
    <m/>
    <m/>
    <n v="3.0150000000000001"/>
    <n v="0"/>
    <n v="0"/>
    <n v="0"/>
    <n v="0"/>
    <n v="0"/>
    <n v="0"/>
    <n v="3.0150000000000001"/>
    <n v="3.0150000000000001"/>
    <n v="0"/>
    <n v="0"/>
    <n v="0"/>
    <n v="0"/>
    <n v="0"/>
    <m/>
  </r>
  <r>
    <n v="742"/>
    <m/>
    <s v="ZBTO"/>
    <m/>
    <m/>
    <s v="9518429066-8"/>
    <s v="Stocks"/>
    <x v="0"/>
    <x v="7"/>
    <m/>
    <x v="0"/>
    <x v="0"/>
    <s v="East"/>
    <m/>
    <m/>
    <m/>
    <s v="BHARTIA  DISTRIBUTORS PVT. LTD"/>
    <n v="3240818"/>
    <s v="CRCA SHEET TSBCRC SR15 0.900X1000X2500"/>
    <s v="C06"/>
    <s v="TSBCRC"/>
    <s v="SR15"/>
    <n v="0.9"/>
    <n v="1000"/>
    <m/>
    <m/>
    <m/>
    <m/>
    <n v="2.9750000000000001"/>
    <n v="0"/>
    <n v="0"/>
    <n v="0"/>
    <n v="0"/>
    <n v="0"/>
    <n v="0"/>
    <n v="2.9750000000000001"/>
    <n v="2.9750000000000001"/>
    <n v="0"/>
    <n v="0"/>
    <n v="0"/>
    <n v="0"/>
    <n v="0"/>
    <m/>
  </r>
  <r>
    <n v="743"/>
    <m/>
    <s v="ZBTO"/>
    <m/>
    <m/>
    <s v="9518457019-4"/>
    <s v="Stocks"/>
    <x v="3"/>
    <x v="10"/>
    <m/>
    <x v="1"/>
    <x v="1"/>
    <s v="South"/>
    <m/>
    <m/>
    <m/>
    <s v="PENNAR INDUSTRIES LIMITED"/>
    <n v="3924555"/>
    <s v="GL COIL HARD  Y550GL HGL6 0.900X1045"/>
    <s v="B04"/>
    <s v="Y550GL"/>
    <s v="HGL6"/>
    <n v="0.9"/>
    <n v="1045"/>
    <m/>
    <m/>
    <m/>
    <m/>
    <n v="8.9600000000000009"/>
    <n v="0"/>
    <n v="0"/>
    <n v="0"/>
    <n v="0"/>
    <n v="0"/>
    <n v="0"/>
    <n v="8.9600000000000009"/>
    <n v="8.9600000000000009"/>
    <n v="0"/>
    <n v="0"/>
    <n v="0"/>
    <n v="0"/>
    <n v="0"/>
    <m/>
  </r>
  <r>
    <n v="743"/>
    <m/>
    <s v="ZBTC"/>
    <m/>
    <m/>
    <s v="9518493528-7"/>
    <s v="Stocks"/>
    <x v="2"/>
    <x v="5"/>
    <m/>
    <x v="0"/>
    <x v="0"/>
    <s v="North"/>
    <m/>
    <m/>
    <m/>
    <s v="JAIN STEEL DISTRIBUTORS"/>
    <n v="3661684"/>
    <s v="GP COIL TATXGP GK09 0.630X1000"/>
    <s v="C02"/>
    <s v="TATXGP"/>
    <s v="GK09"/>
    <n v="0.63"/>
    <n v="1000"/>
    <m/>
    <m/>
    <m/>
    <m/>
    <n v="4.9349999999999996"/>
    <n v="0"/>
    <n v="0"/>
    <n v="0"/>
    <n v="0"/>
    <n v="0"/>
    <n v="0"/>
    <n v="4.9349999999999996"/>
    <n v="4.9349999999999996"/>
    <n v="0"/>
    <n v="0"/>
    <n v="0"/>
    <n v="0"/>
    <n v="0"/>
    <m/>
  </r>
  <r>
    <n v="743"/>
    <m/>
    <s v="ZBTC"/>
    <m/>
    <m/>
    <s v="9518519364-1"/>
    <s v="Stocks"/>
    <x v="3"/>
    <x v="10"/>
    <m/>
    <x v="1"/>
    <x v="1"/>
    <s v="South"/>
    <m/>
    <m/>
    <m/>
    <s v="R.K .Metal Roofings Private Li"/>
    <n v="3884496"/>
    <s v="GL COIL HARD  Y550GL HGL6 0.900X1220"/>
    <s v="B04"/>
    <s v="Y550GL"/>
    <s v="HGL6"/>
    <n v="0.9"/>
    <n v="1220"/>
    <m/>
    <m/>
    <m/>
    <m/>
    <n v="10.86"/>
    <n v="0"/>
    <n v="0"/>
    <n v="0"/>
    <n v="0"/>
    <n v="0"/>
    <n v="0"/>
    <n v="10.86"/>
    <n v="10.86"/>
    <n v="0"/>
    <n v="0"/>
    <n v="0"/>
    <n v="0"/>
    <n v="0"/>
    <m/>
  </r>
  <r>
    <n v="743"/>
    <m/>
    <s v="ZBTO"/>
    <m/>
    <m/>
    <s v="9518519620-1"/>
    <s v="Stocks"/>
    <x v="2"/>
    <x v="5"/>
    <m/>
    <x v="0"/>
    <x v="0"/>
    <s v="East"/>
    <m/>
    <m/>
    <m/>
    <s v="BMW VENTURES LIMITED"/>
    <n v="1191955"/>
    <s v="GP COIL SOFT-TATXGP-GK09-0.3X900"/>
    <s v="C02"/>
    <s v="TATXGP"/>
    <s v="GK09"/>
    <n v="0.3"/>
    <n v="900"/>
    <m/>
    <m/>
    <m/>
    <m/>
    <n v="5.0149999999999997"/>
    <n v="0"/>
    <n v="0"/>
    <n v="0"/>
    <n v="0"/>
    <n v="0"/>
    <n v="0"/>
    <n v="5.0149999999999997"/>
    <n v="5.0149999999999997"/>
    <n v="0"/>
    <n v="0"/>
    <n v="0"/>
    <n v="0"/>
    <n v="0"/>
    <m/>
  </r>
  <r>
    <n v="742"/>
    <m/>
    <s v="ZBTC"/>
    <m/>
    <m/>
    <s v="9518522829-1"/>
    <s v="Stocks"/>
    <x v="0"/>
    <x v="7"/>
    <m/>
    <x v="0"/>
    <x v="0"/>
    <s v="East"/>
    <m/>
    <m/>
    <m/>
    <s v="R. S. BOKARO METAL (P) LTD."/>
    <n v="2427614"/>
    <s v="CRCA SHEET TATCRC SR16 0.350X900X2500"/>
    <s v="C06"/>
    <s v="TATCRC"/>
    <s v="SR16"/>
    <n v="0.35"/>
    <n v="900"/>
    <m/>
    <m/>
    <m/>
    <m/>
    <n v="1.7649999999999999"/>
    <n v="0"/>
    <n v="0"/>
    <n v="0"/>
    <n v="0"/>
    <n v="0"/>
    <n v="0"/>
    <n v="1.7649999999999999"/>
    <n v="1.7649999999999999"/>
    <n v="0"/>
    <n v="0"/>
    <n v="0"/>
    <n v="0"/>
    <n v="0"/>
    <m/>
  </r>
  <r>
    <n v="742"/>
    <m/>
    <s v="ZBTC"/>
    <m/>
    <m/>
    <s v="9518525587-1"/>
    <s v="Stocks"/>
    <x v="0"/>
    <x v="7"/>
    <m/>
    <x v="0"/>
    <x v="0"/>
    <s v="East"/>
    <m/>
    <m/>
    <m/>
    <s v="PASA ASSOCIATES PRIVATE LIMITE"/>
    <n v="3240793"/>
    <s v="CRCA SHEET TSBCRC SR15 0.700X1250X2500"/>
    <s v="C06"/>
    <s v="TSBCRC"/>
    <s v="SR15"/>
    <n v="0.7"/>
    <n v="1250"/>
    <m/>
    <m/>
    <m/>
    <m/>
    <n v="8.42"/>
    <n v="0"/>
    <n v="0"/>
    <n v="0"/>
    <n v="0"/>
    <n v="0"/>
    <n v="0"/>
    <n v="8.42"/>
    <n v="8.42"/>
    <n v="0"/>
    <n v="0"/>
    <n v="0"/>
    <n v="0"/>
    <n v="0"/>
    <m/>
  </r>
  <r>
    <n v="743"/>
    <m/>
    <s v="ZBTO"/>
    <m/>
    <m/>
    <s v="9518531619-1"/>
    <s v="Stocks"/>
    <x v="3"/>
    <x v="10"/>
    <m/>
    <x v="1"/>
    <x v="1"/>
    <s v="South"/>
    <m/>
    <m/>
    <m/>
    <s v="Metalkraft Limited"/>
    <n v="3951358"/>
    <s v="GL COIL HARD  Y550GL GL6H 0.900X1050"/>
    <s v="B04"/>
    <s v="Y550GL"/>
    <s v="GL6H"/>
    <n v="0.9"/>
    <n v="1050"/>
    <m/>
    <m/>
    <m/>
    <m/>
    <n v="51.755000000000003"/>
    <n v="0"/>
    <n v="0"/>
    <n v="0"/>
    <n v="0"/>
    <n v="0"/>
    <n v="0"/>
    <n v="51.755000000000003"/>
    <n v="51.755000000000003"/>
    <n v="0"/>
    <n v="0"/>
    <n v="0"/>
    <n v="0"/>
    <n v="0"/>
    <m/>
  </r>
  <r>
    <n v="743"/>
    <m/>
    <s v="ZBTO"/>
    <m/>
    <m/>
    <s v="9518531619-3"/>
    <s v="Stocks"/>
    <x v="3"/>
    <x v="10"/>
    <m/>
    <x v="1"/>
    <x v="1"/>
    <s v="South"/>
    <m/>
    <m/>
    <m/>
    <s v="Metalkraft Limited"/>
    <n v="3951358"/>
    <s v="GL COIL HARD  Y550GL GL6H 0.900X1050"/>
    <s v="B04"/>
    <s v="Y550GL"/>
    <s v="GL6H"/>
    <n v="0.9"/>
    <n v="1050"/>
    <m/>
    <m/>
    <m/>
    <m/>
    <n v="112.65"/>
    <n v="0"/>
    <n v="0"/>
    <n v="0"/>
    <n v="0"/>
    <n v="0"/>
    <n v="0"/>
    <n v="112.65"/>
    <n v="112.65"/>
    <n v="0"/>
    <n v="0"/>
    <n v="0"/>
    <n v="0"/>
    <n v="0"/>
    <m/>
  </r>
  <r>
    <n v="742"/>
    <m/>
    <s v="ZBTC"/>
    <m/>
    <m/>
    <s v="9518535497-1"/>
    <s v="Stocks"/>
    <x v="0"/>
    <x v="4"/>
    <m/>
    <x v="0"/>
    <x v="0"/>
    <s v="West"/>
    <m/>
    <m/>
    <m/>
    <s v="ANM ISPAT PRIVATE LIMITED"/>
    <n v="1804870"/>
    <s v="CRCA COIL-TATXXD-AU03-2X1000"/>
    <s v="C01"/>
    <s v="TATXXD"/>
    <s v="AU03"/>
    <n v="2"/>
    <n v="1000"/>
    <m/>
    <m/>
    <m/>
    <m/>
    <n v="39.9"/>
    <n v="0"/>
    <n v="0"/>
    <n v="0"/>
    <n v="0"/>
    <n v="0"/>
    <n v="0"/>
    <n v="39.9"/>
    <n v="39.9"/>
    <n v="0"/>
    <n v="0"/>
    <n v="0"/>
    <n v="0"/>
    <n v="0"/>
    <m/>
  </r>
  <r>
    <n v="744"/>
    <m/>
    <s v="ZBTO"/>
    <m/>
    <m/>
    <s v="9518543214-6"/>
    <s v="Stocks"/>
    <x v="1"/>
    <x v="1"/>
    <m/>
    <x v="1"/>
    <x v="1"/>
    <s v="TBSPL"/>
    <m/>
    <m/>
    <m/>
    <s v="TATA BLUESCOPE STEEL PVT LTD."/>
    <n v="3900141"/>
    <s v="PPGL C Y550 ISC6 0.43BMT(0.48TPT)X1220"/>
    <s v="B18"/>
    <s v="Y550PL"/>
    <s v="ISC6"/>
    <n v="0.43"/>
    <n v="1220"/>
    <m/>
    <m/>
    <m/>
    <m/>
    <n v="3.95"/>
    <n v="0"/>
    <n v="0"/>
    <n v="0"/>
    <n v="0"/>
    <n v="0"/>
    <n v="0"/>
    <n v="3.95"/>
    <n v="0"/>
    <n v="3.95"/>
    <n v="0"/>
    <n v="0"/>
    <n v="0"/>
    <n v="0"/>
    <m/>
  </r>
  <r>
    <n v="743"/>
    <m/>
    <s v="ZBTO"/>
    <m/>
    <m/>
    <s v="9518561462-1"/>
    <s v="Stocks"/>
    <x v="2"/>
    <x v="6"/>
    <m/>
    <x v="0"/>
    <x v="0"/>
    <s v="West"/>
    <m/>
    <m/>
    <m/>
    <s v="WRINKLE DISTRIBUTORS PVT LTD."/>
    <n v="3708868"/>
    <s v="GP COIL TATGPH GP02 0.500X1350"/>
    <s v="C05"/>
    <s v="TATGPH"/>
    <s v="GP02"/>
    <n v="0.5"/>
    <n v="1350"/>
    <m/>
    <m/>
    <m/>
    <m/>
    <n v="3.9049999999999998"/>
    <n v="0"/>
    <n v="0"/>
    <n v="0"/>
    <n v="0"/>
    <n v="0"/>
    <n v="0"/>
    <n v="3.9049999999999998"/>
    <n v="3.9049999999999998"/>
    <n v="0"/>
    <n v="0"/>
    <n v="0"/>
    <n v="0"/>
    <n v="0"/>
    <m/>
  </r>
  <r>
    <n v="743"/>
    <m/>
    <s v="ZBTO"/>
    <m/>
    <m/>
    <s v="9518613067-2"/>
    <s v="Stocks"/>
    <x v="3"/>
    <x v="10"/>
    <m/>
    <x v="1"/>
    <x v="1"/>
    <s v="South"/>
    <m/>
    <m/>
    <m/>
    <s v="PENNAR INDUSTRIES LIMITED"/>
    <n v="3886225"/>
    <s v="GL COIL HARD  Y550GL HGL6 0.900X1242"/>
    <s v="B04"/>
    <s v="Y550GL"/>
    <s v="HGL6"/>
    <n v="0.9"/>
    <n v="1242"/>
    <m/>
    <m/>
    <m/>
    <m/>
    <n v="26.34"/>
    <n v="0"/>
    <n v="0"/>
    <n v="0"/>
    <n v="0"/>
    <n v="0"/>
    <n v="0"/>
    <n v="26.34"/>
    <n v="26.34"/>
    <n v="0"/>
    <n v="0"/>
    <n v="0"/>
    <n v="0"/>
    <n v="0"/>
    <m/>
  </r>
  <r>
    <n v="742"/>
    <m/>
    <s v="ZBTO"/>
    <m/>
    <m/>
    <s v="9518613349-1"/>
    <s v="Stocks"/>
    <x v="0"/>
    <x v="7"/>
    <m/>
    <x v="0"/>
    <x v="0"/>
    <s v="East"/>
    <m/>
    <m/>
    <m/>
    <s v="BHARTIA  DISTRIBUTORS PVT. LTD"/>
    <n v="3240785"/>
    <s v="CRCA SHEET TSBCRC SR15 0.600X1250X2500"/>
    <s v="C06"/>
    <s v="TSBCRC"/>
    <s v="SR15"/>
    <n v="0.6"/>
    <n v="1250"/>
    <m/>
    <m/>
    <m/>
    <m/>
    <n v="2.84"/>
    <n v="0"/>
    <n v="0"/>
    <n v="0"/>
    <n v="0"/>
    <n v="0"/>
    <n v="0"/>
    <n v="2.84"/>
    <n v="2.84"/>
    <n v="0"/>
    <n v="0"/>
    <n v="0"/>
    <n v="0"/>
    <n v="0"/>
    <m/>
  </r>
  <r>
    <n v="742"/>
    <m/>
    <s v="ZBTC"/>
    <m/>
    <m/>
    <s v="9518620199-1"/>
    <s v="Stocks"/>
    <x v="0"/>
    <x v="4"/>
    <m/>
    <x v="0"/>
    <x v="0"/>
    <s v="South"/>
    <m/>
    <m/>
    <m/>
    <s v="GOVINDARAJA MUDALIAR SONS PVT"/>
    <n v="1206324"/>
    <s v="CRCA SHEET TATXXD AU03 0.750X1250X2500"/>
    <s v="C06"/>
    <s v="TATXXD"/>
    <s v="AU03"/>
    <n v="0.75"/>
    <n v="1250"/>
    <m/>
    <m/>
    <m/>
    <m/>
    <n v="2.9049999999999998"/>
    <n v="0"/>
    <n v="0"/>
    <n v="0"/>
    <n v="0"/>
    <n v="0"/>
    <n v="0"/>
    <n v="2.9049999999999998"/>
    <n v="2.9049999999999998"/>
    <n v="0"/>
    <n v="0"/>
    <n v="0"/>
    <n v="0"/>
    <n v="0"/>
    <m/>
  </r>
  <r>
    <n v="743"/>
    <m/>
    <s v="ZBTC"/>
    <m/>
    <m/>
    <s v="9518647736-1"/>
    <s v="Stocks"/>
    <x v="2"/>
    <x v="6"/>
    <m/>
    <x v="0"/>
    <x v="0"/>
    <s v="South"/>
    <m/>
    <m/>
    <m/>
    <s v="S C SHETTAR &amp; SONS PRIVATE LIM"/>
    <n v="3708868"/>
    <s v="GP COIL TATGPH GP02 0.500X1350"/>
    <s v="C05"/>
    <s v="TATGPH"/>
    <s v="GP02"/>
    <n v="0.5"/>
    <n v="1350"/>
    <m/>
    <m/>
    <m/>
    <m/>
    <n v="12.489999999999998"/>
    <n v="0"/>
    <n v="0"/>
    <n v="0"/>
    <n v="0"/>
    <n v="0"/>
    <n v="0"/>
    <n v="12.489999999999998"/>
    <n v="12.489999999999998"/>
    <n v="0"/>
    <n v="0"/>
    <n v="0"/>
    <n v="0"/>
    <n v="0"/>
    <m/>
  </r>
  <r>
    <n v="742"/>
    <d v="2025-06-27T00:00:00"/>
    <s v="ZBTO"/>
    <m/>
    <m/>
    <s v="9518664809-1"/>
    <s v="Stocks"/>
    <x v="0"/>
    <x v="7"/>
    <m/>
    <x v="0"/>
    <x v="0"/>
    <s v="West"/>
    <m/>
    <m/>
    <m/>
    <s v="TEJRAM RAMNIWAS AGARWAL"/>
    <n v="3239557"/>
    <s v="CRCA SHEET TATCRC SR16 0.400X1250X2500"/>
    <s v="C06"/>
    <s v="TATCRC"/>
    <s v="SR16"/>
    <n v="0.4"/>
    <n v="1250"/>
    <m/>
    <m/>
    <m/>
    <m/>
    <n v="2.7949999999999999"/>
    <n v="0"/>
    <n v="0"/>
    <n v="0"/>
    <n v="0"/>
    <n v="0"/>
    <n v="0"/>
    <n v="2.7949999999999999"/>
    <n v="2.7949999999999999"/>
    <n v="0"/>
    <n v="0"/>
    <n v="0"/>
    <n v="0"/>
    <n v="0"/>
    <m/>
  </r>
  <r>
    <n v="742"/>
    <d v="2025-06-27T00:00:00"/>
    <s v="ZBTO"/>
    <m/>
    <m/>
    <s v="9518666887-4"/>
    <s v="Stocks"/>
    <x v="0"/>
    <x v="7"/>
    <m/>
    <x v="0"/>
    <x v="0"/>
    <s v="North"/>
    <m/>
    <m/>
    <m/>
    <s v="INDIA STEEL INDUSTRIES"/>
    <n v="3437524"/>
    <s v="CRCA SHEET TATCRC SR16 0.400X1250X2030"/>
    <s v="C06"/>
    <s v="TATCRC"/>
    <s v="SR16"/>
    <n v="0.4"/>
    <n v="1250"/>
    <m/>
    <m/>
    <m/>
    <m/>
    <n v="2.74"/>
    <n v="0"/>
    <n v="0"/>
    <n v="0"/>
    <n v="0"/>
    <n v="0"/>
    <n v="0"/>
    <n v="2.74"/>
    <n v="2.74"/>
    <n v="0"/>
    <n v="0"/>
    <n v="0"/>
    <n v="0"/>
    <n v="0"/>
    <m/>
  </r>
  <r>
    <n v="742"/>
    <d v="2025-06-02T00:00:00"/>
    <s v="ZBTO"/>
    <m/>
    <m/>
    <s v="9518694924-6"/>
    <s v="Stocks"/>
    <x v="0"/>
    <x v="7"/>
    <m/>
    <x v="0"/>
    <x v="0"/>
    <s v="East"/>
    <m/>
    <m/>
    <m/>
    <s v="BMW VENTURES LIMITED"/>
    <n v="3239557"/>
    <s v="CRCA SHEET TATCRC SR16 0.400X1250X2500"/>
    <s v="C06"/>
    <s v="TATCRC"/>
    <s v="SR16"/>
    <n v="0.4"/>
    <n v="1250"/>
    <m/>
    <m/>
    <m/>
    <m/>
    <n v="8.4450000000000003"/>
    <n v="0"/>
    <n v="0"/>
    <n v="0"/>
    <n v="0"/>
    <n v="0"/>
    <n v="0"/>
    <n v="8.4450000000000003"/>
    <n v="8.4450000000000003"/>
    <n v="0"/>
    <n v="0"/>
    <n v="0"/>
    <n v="0"/>
    <n v="0"/>
    <m/>
  </r>
  <r>
    <n v="743"/>
    <m/>
    <s v="ZBTO"/>
    <m/>
    <m/>
    <s v="9518700211-1"/>
    <s v="Stocks"/>
    <x v="2"/>
    <x v="5"/>
    <m/>
    <x v="0"/>
    <x v="0"/>
    <s v="East"/>
    <m/>
    <m/>
    <m/>
    <s v="BHARTIA  DISTRIBUTORS PVT. LTD"/>
    <n v="1142792"/>
    <s v="GP COIL SOFT-TATXGP-GLK1-0.3X900"/>
    <s v="C02"/>
    <s v="TATXGP"/>
    <s v="GLK1"/>
    <n v="0.3"/>
    <n v="900"/>
    <m/>
    <m/>
    <m/>
    <m/>
    <n v="4.22"/>
    <n v="0"/>
    <n v="0"/>
    <n v="0"/>
    <n v="0"/>
    <n v="0"/>
    <n v="0"/>
    <n v="4.22"/>
    <n v="4.22"/>
    <n v="0"/>
    <n v="0"/>
    <n v="0"/>
    <n v="0"/>
    <n v="0"/>
    <m/>
  </r>
  <r>
    <n v="743"/>
    <m/>
    <s v="ZBTC"/>
    <m/>
    <m/>
    <s v="9518710315-1"/>
    <s v="Stocks"/>
    <x v="2"/>
    <x v="6"/>
    <m/>
    <x v="0"/>
    <x v="0"/>
    <s v="South"/>
    <m/>
    <m/>
    <m/>
    <s v="S C SHETTAR &amp; SONS PRIVATE LIM"/>
    <n v="3708868"/>
    <s v="GP COIL TATGPH GP02 0.500X1350"/>
    <s v="C05"/>
    <s v="TATGPH"/>
    <s v="GP02"/>
    <n v="0.5"/>
    <n v="1350"/>
    <m/>
    <m/>
    <m/>
    <m/>
    <n v="6.125"/>
    <n v="0"/>
    <n v="0"/>
    <n v="0"/>
    <n v="0"/>
    <n v="0"/>
    <n v="0"/>
    <n v="6.125"/>
    <n v="6.125"/>
    <n v="0"/>
    <n v="0"/>
    <n v="0"/>
    <n v="0"/>
    <n v="0"/>
    <m/>
  </r>
  <r>
    <n v="742"/>
    <m/>
    <s v="ZBTC"/>
    <m/>
    <m/>
    <s v="9518729536-1"/>
    <s v="Stocks"/>
    <x v="0"/>
    <x v="4"/>
    <m/>
    <x v="0"/>
    <x v="0"/>
    <s v="South"/>
    <m/>
    <m/>
    <m/>
    <s v="G K ISPAT PRIVATE LIMITED"/>
    <n v="1804908"/>
    <s v="CRCA COIL TATCRC TR15 0.5X1250"/>
    <s v="C01"/>
    <s v="TATCRC"/>
    <s v="TR15"/>
    <n v="0.5"/>
    <n v="1250"/>
    <m/>
    <m/>
    <m/>
    <m/>
    <n v="25.785"/>
    <n v="0"/>
    <n v="0"/>
    <n v="0"/>
    <n v="0"/>
    <n v="0"/>
    <n v="0"/>
    <n v="25.785"/>
    <n v="25.785"/>
    <n v="0"/>
    <n v="0"/>
    <n v="0"/>
    <n v="0"/>
    <n v="0"/>
    <m/>
  </r>
  <r>
    <n v="743"/>
    <d v="2025-05-09T00:00:00"/>
    <s v="ZBTO"/>
    <m/>
    <m/>
    <s v="9518741571-2"/>
    <s v="Stocks"/>
    <x v="3"/>
    <x v="1"/>
    <m/>
    <x v="1"/>
    <x v="1"/>
    <s v="TBSPL"/>
    <m/>
    <m/>
    <m/>
    <s v="TATA BLUESCOPE STEEL PRIVATE L"/>
    <n v="1881969"/>
    <s v="GL C YS550 H6GL 0.45BMT(0.50TCT)X1220"/>
    <s v="B04"/>
    <s v="Y550GL"/>
    <s v="H6GL"/>
    <n v="0.45"/>
    <n v="1220"/>
    <m/>
    <m/>
    <m/>
    <m/>
    <n v="25.545000000000002"/>
    <n v="0"/>
    <n v="0"/>
    <n v="0"/>
    <n v="0"/>
    <n v="0"/>
    <n v="0"/>
    <n v="25.545000000000002"/>
    <n v="0"/>
    <n v="25.545000000000002"/>
    <n v="0"/>
    <n v="0"/>
    <n v="0"/>
    <n v="0"/>
    <m/>
  </r>
  <r>
    <n v="743"/>
    <d v="2025-05-29T00:00:00"/>
    <s v="ZBTO"/>
    <m/>
    <m/>
    <s v="9518752759-3"/>
    <s v="Stocks"/>
    <x v="3"/>
    <x v="10"/>
    <m/>
    <x v="1"/>
    <x v="1"/>
    <s v="South"/>
    <m/>
    <m/>
    <m/>
    <s v="Metalkraft Limited"/>
    <n v="3903395"/>
    <s v="GL COIL HARD  Y550GL GL6H 0.900X1220"/>
    <s v="B04"/>
    <s v="Y550GL"/>
    <s v="GL6H"/>
    <n v="0.9"/>
    <n v="1220"/>
    <m/>
    <m/>
    <m/>
    <m/>
    <n v="10.43"/>
    <n v="0"/>
    <n v="0"/>
    <n v="0"/>
    <n v="0"/>
    <n v="0"/>
    <n v="0"/>
    <n v="10.43"/>
    <n v="10.43"/>
    <n v="0"/>
    <n v="0"/>
    <n v="0"/>
    <n v="0"/>
    <n v="0"/>
    <m/>
  </r>
  <r>
    <n v="742"/>
    <d v="2025-05-29T00:00:00"/>
    <s v="ZBTO"/>
    <m/>
    <m/>
    <s v="9518771117-4"/>
    <s v="Stocks"/>
    <x v="0"/>
    <x v="4"/>
    <m/>
    <x v="0"/>
    <x v="0"/>
    <s v="South"/>
    <m/>
    <m/>
    <m/>
    <s v="RAVINDRA IRON WORKS"/>
    <n v="1801804"/>
    <s v="CRCA COIL-TATXXD-AU03-1X1250"/>
    <s v="C01"/>
    <s v="TATXXD"/>
    <s v="AU03"/>
    <n v="1"/>
    <n v="1250"/>
    <m/>
    <m/>
    <m/>
    <m/>
    <n v="14.08"/>
    <n v="0"/>
    <n v="0"/>
    <n v="0"/>
    <n v="0"/>
    <n v="0"/>
    <n v="0"/>
    <n v="14.08"/>
    <n v="14.08"/>
    <n v="0"/>
    <n v="0"/>
    <n v="0"/>
    <n v="0"/>
    <n v="0"/>
    <m/>
  </r>
  <r>
    <n v="742"/>
    <m/>
    <s v="ZBTC"/>
    <m/>
    <m/>
    <s v="9518780835-1"/>
    <s v="Stocks"/>
    <x v="0"/>
    <x v="4"/>
    <m/>
    <x v="0"/>
    <x v="0"/>
    <s v="South"/>
    <m/>
    <m/>
    <m/>
    <s v="RAVINDRA IRON WORKS"/>
    <n v="1801804"/>
    <s v="CRCA COIL-TATXXD-AU03-1X1250"/>
    <s v="C01"/>
    <s v="TATXXD"/>
    <s v="AU03"/>
    <n v="1"/>
    <n v="1250"/>
    <m/>
    <m/>
    <m/>
    <m/>
    <n v="10.5"/>
    <n v="0"/>
    <n v="0"/>
    <n v="0"/>
    <n v="0"/>
    <n v="0"/>
    <n v="0"/>
    <n v="10.5"/>
    <n v="10.5"/>
    <n v="0"/>
    <n v="0"/>
    <n v="0"/>
    <n v="0"/>
    <n v="0"/>
    <m/>
  </r>
  <r>
    <n v="743"/>
    <d v="2025-06-02T00:00:00"/>
    <s v="ZBTF"/>
    <m/>
    <m/>
    <s v="9518803391-6"/>
    <s v="Stocks"/>
    <x v="2"/>
    <x v="8"/>
    <m/>
    <x v="0"/>
    <x v="2"/>
    <s v="East"/>
    <m/>
    <m/>
    <m/>
    <s v="NIPPON CRYO PRIVATE LIMITED"/>
    <n v="3776939"/>
    <s v="GP COIL TATGPH GP02 0.400X1015"/>
    <s v="C05"/>
    <s v="TATGPH"/>
    <s v="GP02"/>
    <n v="0.4"/>
    <n v="1015"/>
    <m/>
    <m/>
    <m/>
    <m/>
    <n v="6.46"/>
    <n v="0"/>
    <n v="0"/>
    <n v="0"/>
    <n v="0"/>
    <n v="0"/>
    <n v="0"/>
    <n v="6.46"/>
    <n v="6.46"/>
    <n v="0"/>
    <n v="0"/>
    <n v="0"/>
    <n v="0"/>
    <n v="0"/>
    <m/>
  </r>
  <r>
    <n v="742"/>
    <d v="2025-06-30T00:00:00"/>
    <s v="ZBTO"/>
    <m/>
    <m/>
    <s v="9518807155-1"/>
    <s v="Stocks"/>
    <x v="0"/>
    <x v="2"/>
    <m/>
    <x v="1"/>
    <x v="1"/>
    <s v="South"/>
    <m/>
    <m/>
    <m/>
    <s v="CHANDRA CONTAINER MANUFACTURER"/>
    <n v="4042197"/>
    <s v="CR COIL TATXXD BT04 0.400X1020"/>
    <s v="C01"/>
    <s v="TATXXD"/>
    <s v="BT04"/>
    <n v="0.4"/>
    <n v="1020"/>
    <m/>
    <m/>
    <m/>
    <m/>
    <n v="6.17"/>
    <n v="0"/>
    <n v="0"/>
    <n v="0"/>
    <n v="0"/>
    <n v="0"/>
    <n v="0"/>
    <n v="6.17"/>
    <n v="6.17"/>
    <n v="0"/>
    <n v="0"/>
    <n v="0"/>
    <n v="0"/>
    <n v="0"/>
    <m/>
  </r>
  <r>
    <n v="742"/>
    <d v="2025-05-29T00:00:00"/>
    <s v="ZBTC"/>
    <m/>
    <m/>
    <s v="9518807248-1"/>
    <s v="Stocks"/>
    <x v="0"/>
    <x v="2"/>
    <m/>
    <x v="1"/>
    <x v="1"/>
    <s v=""/>
    <m/>
    <m/>
    <m/>
    <s v=""/>
    <n v="513006"/>
    <s v="CRSHTCORTEN IRS:M-41/97 1.6X1250X2500"/>
    <s v="C06"/>
    <s v="TATXHS"/>
    <s v="RL02"/>
    <n v="1.6"/>
    <n v="1250"/>
    <m/>
    <m/>
    <m/>
    <m/>
    <n v="3"/>
    <n v="0"/>
    <n v="0"/>
    <n v="0"/>
    <n v="0"/>
    <n v="0"/>
    <n v="0"/>
    <n v="3"/>
    <n v="3"/>
    <n v="0"/>
    <n v="0"/>
    <n v="0"/>
    <n v="0"/>
    <n v="0"/>
    <m/>
  </r>
  <r>
    <n v="742"/>
    <d v="2025-05-31T00:00:00"/>
    <s v="ZBTO"/>
    <m/>
    <m/>
    <s v="9518813207-2"/>
    <s v="Stocks"/>
    <x v="0"/>
    <x v="7"/>
    <m/>
    <x v="0"/>
    <x v="0"/>
    <s v="West"/>
    <m/>
    <m/>
    <m/>
    <s v="TEJRAM RAMNIWAS AGARWAL"/>
    <n v="3239568"/>
    <s v="CRCA SHEET TATCRC SR16 0.450X1250X2500"/>
    <s v="C06"/>
    <s v="TATCRC"/>
    <s v="SR16"/>
    <n v="0.45"/>
    <n v="1250"/>
    <m/>
    <m/>
    <m/>
    <m/>
    <n v="2.8250000000000002"/>
    <n v="0"/>
    <n v="0"/>
    <n v="0"/>
    <n v="0"/>
    <n v="0"/>
    <n v="0"/>
    <n v="2.8250000000000002"/>
    <n v="2.8250000000000002"/>
    <n v="0"/>
    <n v="0"/>
    <n v="0"/>
    <n v="0"/>
    <n v="0"/>
    <m/>
  </r>
  <r>
    <n v="743"/>
    <d v="2025-06-04T00:00:00"/>
    <s v="ZBTO"/>
    <m/>
    <m/>
    <s v="9518821283-2"/>
    <s v="Stocks"/>
    <x v="2"/>
    <x v="6"/>
    <m/>
    <x v="0"/>
    <x v="0"/>
    <s v="South"/>
    <m/>
    <m/>
    <m/>
    <s v="S C SHETTAR &amp; SONS PRIVATE LIM"/>
    <n v="3708868"/>
    <s v="GP COIL TATGPH GP02 0.500X1350"/>
    <s v="C05"/>
    <s v="TATGPH"/>
    <s v="GP02"/>
    <n v="0.5"/>
    <n v="1350"/>
    <m/>
    <m/>
    <m/>
    <m/>
    <n v="2.2650000000000001"/>
    <n v="0"/>
    <n v="0"/>
    <n v="0"/>
    <n v="0"/>
    <n v="0"/>
    <n v="0"/>
    <n v="2.2650000000000001"/>
    <n v="2.2650000000000001"/>
    <n v="0"/>
    <n v="0"/>
    <n v="0"/>
    <n v="0"/>
    <n v="0"/>
    <m/>
  </r>
  <r>
    <n v="743"/>
    <m/>
    <s v="ZBTC"/>
    <m/>
    <m/>
    <s v="9518830129-1"/>
    <s v="Stocks"/>
    <x v="2"/>
    <x v="5"/>
    <m/>
    <x v="0"/>
    <x v="0"/>
    <s v="West"/>
    <m/>
    <m/>
    <m/>
    <s v="ANM ISPAT PRIVATE LIMITED"/>
    <n v="1851133"/>
    <s v="GP SHEET SOFT-TATXGP-GK09-0.35X900"/>
    <s v="B11"/>
    <s v="TATXGP"/>
    <s v="GK09"/>
    <n v="0.35"/>
    <n v="900"/>
    <m/>
    <m/>
    <m/>
    <m/>
    <n v="10.719999999999999"/>
    <n v="0"/>
    <n v="0"/>
    <n v="0"/>
    <n v="0"/>
    <n v="0"/>
    <n v="0"/>
    <n v="10.719999999999999"/>
    <n v="10.719999999999999"/>
    <n v="0"/>
    <n v="0"/>
    <n v="0"/>
    <n v="0"/>
    <n v="0"/>
    <m/>
  </r>
  <r>
    <n v="744"/>
    <m/>
    <s v="ZBTC"/>
    <m/>
    <m/>
    <s v="9518847268-13"/>
    <s v="Stocks"/>
    <x v="1"/>
    <x v="1"/>
    <m/>
    <x v="1"/>
    <x v="1"/>
    <s v="TBSPL"/>
    <m/>
    <m/>
    <m/>
    <s v="TATA BLUESCOPE STEEL PRIVATE L"/>
    <n v="3440567"/>
    <s v="PPGL C Y300 SPL2 0.430BMT(0.48TPT)X1100"/>
    <s v="B17"/>
    <s v="Y300PL"/>
    <s v="SPL2"/>
    <n v="0.43"/>
    <n v="1100"/>
    <m/>
    <m/>
    <m/>
    <m/>
    <n v="1.5"/>
    <n v="0"/>
    <n v="0"/>
    <n v="0"/>
    <n v="0"/>
    <n v="0"/>
    <n v="0"/>
    <n v="1.5"/>
    <n v="0"/>
    <n v="1.5"/>
    <n v="0"/>
    <n v="0"/>
    <n v="0"/>
    <n v="0"/>
    <m/>
  </r>
  <r>
    <n v="743"/>
    <d v="2025-06-27T00:00:00"/>
    <s v="ZBTO"/>
    <m/>
    <m/>
    <s v="9518862156-2"/>
    <s v="Stocks"/>
    <x v="2"/>
    <x v="5"/>
    <m/>
    <x v="0"/>
    <x v="0"/>
    <s v="East"/>
    <m/>
    <m/>
    <m/>
    <s v="Shree Bajrang Steel Udyog"/>
    <n v="1191955"/>
    <s v="GP COIL SOFT-TATXGP-GK09-0.3X900"/>
    <s v="C02"/>
    <s v="TATXGP"/>
    <s v="GK09"/>
    <n v="0.3"/>
    <n v="900"/>
    <m/>
    <m/>
    <m/>
    <m/>
    <n v="12.01"/>
    <n v="0"/>
    <n v="0"/>
    <n v="0"/>
    <n v="0"/>
    <n v="0"/>
    <n v="0"/>
    <n v="12.01"/>
    <n v="12.01"/>
    <n v="0"/>
    <n v="0"/>
    <n v="0"/>
    <n v="0"/>
    <n v="0"/>
    <m/>
  </r>
  <r>
    <n v="744"/>
    <d v="2025-06-25T00:00:00"/>
    <s v="ZBTO"/>
    <m/>
    <m/>
    <s v="9518875799-3"/>
    <s v="Stocks"/>
    <x v="1"/>
    <x v="1"/>
    <m/>
    <x v="1"/>
    <x v="1"/>
    <s v="TBSPL"/>
    <m/>
    <m/>
    <m/>
    <s v="TATA BLUESCOPE STEEL PVT LTD."/>
    <n v="3797658"/>
    <s v="PPGL C Y550 ISC6 0.40BMT(0.45TPT)X1220"/>
    <s v="B18"/>
    <s v="Y550PL"/>
    <s v="ISC6"/>
    <n v="0.4"/>
    <n v="1220"/>
    <m/>
    <m/>
    <m/>
    <m/>
    <n v="14.925000000000001"/>
    <n v="0"/>
    <n v="0"/>
    <n v="0"/>
    <n v="0"/>
    <n v="0"/>
    <n v="0"/>
    <n v="14.925000000000001"/>
    <n v="0"/>
    <n v="14.925000000000001"/>
    <n v="0"/>
    <n v="0"/>
    <n v="0"/>
    <n v="0"/>
    <m/>
  </r>
  <r>
    <n v="742"/>
    <d v="2025-07-29T00:00:00"/>
    <s v="ZBTO"/>
    <m/>
    <m/>
    <s v="9518876027-8"/>
    <s v="Stocks"/>
    <x v="0"/>
    <x v="7"/>
    <m/>
    <x v="0"/>
    <x v="0"/>
    <s v="South"/>
    <m/>
    <m/>
    <m/>
    <s v="BASEER AND CO"/>
    <n v="3239536"/>
    <s v="CRCA SHEET TATCRC SR16 0.350X900X2500"/>
    <s v="C06"/>
    <s v="TATCRC"/>
    <s v="SR16"/>
    <n v="0.35"/>
    <n v="900"/>
    <m/>
    <m/>
    <m/>
    <m/>
    <n v="8.42"/>
    <n v="0"/>
    <n v="0"/>
    <n v="0"/>
    <n v="0"/>
    <n v="0"/>
    <n v="0"/>
    <n v="8.42"/>
    <n v="8.42"/>
    <n v="0"/>
    <n v="0"/>
    <n v="0"/>
    <n v="0"/>
    <n v="0"/>
    <m/>
  </r>
  <r>
    <n v="743"/>
    <d v="2025-07-03T00:00:00"/>
    <s v="ZBTO"/>
    <m/>
    <m/>
    <s v="9518897984-3"/>
    <s v="Stocks"/>
    <x v="2"/>
    <x v="11"/>
    <m/>
    <x v="0"/>
    <x v="0"/>
    <s v="West"/>
    <m/>
    <m/>
    <m/>
    <s v="JAUSHNA STEELS (INDIA) PVT. LT"/>
    <n v="1312665"/>
    <s v="GP COIL TATXGP GLK2 0.600X1220"/>
    <s v="C02"/>
    <s v="TATXGP"/>
    <s v="GLK2"/>
    <n v="0.6"/>
    <n v="1220"/>
    <m/>
    <m/>
    <m/>
    <m/>
    <n v="4.3600000000000003"/>
    <n v="0"/>
    <n v="0"/>
    <n v="0"/>
    <n v="0"/>
    <n v="0"/>
    <n v="0"/>
    <n v="4.3600000000000003"/>
    <n v="4.3600000000000003"/>
    <n v="0"/>
    <n v="0"/>
    <n v="0"/>
    <n v="0"/>
    <n v="0"/>
    <m/>
  </r>
  <r>
    <n v="742"/>
    <d v="2025-08-21T00:00:00"/>
    <s v="ZBTO"/>
    <m/>
    <m/>
    <s v="9518900193-14"/>
    <s v="Stocks"/>
    <x v="0"/>
    <x v="7"/>
    <m/>
    <x v="0"/>
    <x v="0"/>
    <s v="South"/>
    <m/>
    <m/>
    <m/>
    <s v="BESTEEL KUMMENCHERY,"/>
    <n v="3941695"/>
    <s v="CRCA SHEET TATCRC SR16 0.400X1220X2440"/>
    <s v="C06"/>
    <s v="TATCRC"/>
    <s v="SR16"/>
    <n v="0.4"/>
    <n v="1220"/>
    <m/>
    <m/>
    <m/>
    <m/>
    <n v="22.245000000000005"/>
    <n v="0"/>
    <n v="0"/>
    <n v="0"/>
    <n v="0"/>
    <n v="0"/>
    <n v="0"/>
    <n v="22.245000000000005"/>
    <n v="22.245000000000005"/>
    <n v="0"/>
    <n v="0"/>
    <n v="0"/>
    <n v="0"/>
    <n v="0"/>
    <m/>
  </r>
  <r>
    <n v="743"/>
    <d v="2025-07-02T00:00:00"/>
    <s v="ZBTO"/>
    <m/>
    <m/>
    <s v="9518902718-3"/>
    <s v="Stocks"/>
    <x v="2"/>
    <x v="8"/>
    <m/>
    <x v="0"/>
    <x v="0"/>
    <s v="East"/>
    <m/>
    <m/>
    <m/>
    <s v="BMW VENTURES LIMITED"/>
    <n v="3708869"/>
    <s v="GP COIL TATGPH GP02 0.500X900"/>
    <s v="C05"/>
    <s v="TATGPH"/>
    <s v="GP02"/>
    <n v="0.5"/>
    <n v="900"/>
    <m/>
    <m/>
    <m/>
    <m/>
    <n v="4.875"/>
    <n v="0"/>
    <n v="0"/>
    <n v="0"/>
    <n v="0"/>
    <n v="0"/>
    <n v="0"/>
    <n v="4.875"/>
    <n v="4.875"/>
    <n v="0"/>
    <n v="0"/>
    <n v="0"/>
    <n v="0"/>
    <n v="0"/>
    <m/>
  </r>
  <r>
    <n v="742"/>
    <d v="2025-07-23T00:00:00"/>
    <s v="ZBTO"/>
    <m/>
    <m/>
    <s v="9518914097-1"/>
    <s v="Stocks"/>
    <x v="0"/>
    <x v="2"/>
    <m/>
    <x v="1"/>
    <x v="1"/>
    <s v="South"/>
    <m/>
    <m/>
    <m/>
    <s v="Baba Container Manufacturers"/>
    <n v="3867646"/>
    <s v="CR COIL TATXXD BT04 0.600X900"/>
    <s v="C01"/>
    <s v="TATXXD"/>
    <s v="BT04"/>
    <n v="0.6"/>
    <n v="900"/>
    <m/>
    <m/>
    <m/>
    <m/>
    <n v="73.960000000000008"/>
    <n v="0"/>
    <n v="0"/>
    <n v="0"/>
    <n v="0"/>
    <n v="0"/>
    <n v="0"/>
    <n v="73.960000000000008"/>
    <n v="73.960000000000008"/>
    <n v="0"/>
    <n v="0"/>
    <n v="0"/>
    <n v="0"/>
    <n v="0"/>
    <m/>
  </r>
  <r>
    <n v="742"/>
    <d v="2025-07-23T00:00:00"/>
    <s v="ZBTO"/>
    <m/>
    <m/>
    <s v="9518914097-2"/>
    <s v="Stocks"/>
    <x v="0"/>
    <x v="2"/>
    <m/>
    <x v="1"/>
    <x v="1"/>
    <s v="South"/>
    <m/>
    <m/>
    <m/>
    <s v="Baba Container Manufacturers"/>
    <n v="3867647"/>
    <s v="CR COIL TATXXD BT03 0.600X1120"/>
    <s v="C01"/>
    <s v="TATXXD"/>
    <s v="BT03"/>
    <n v="0.6"/>
    <n v="1120"/>
    <m/>
    <m/>
    <m/>
    <m/>
    <n v="138.63999999999999"/>
    <n v="0"/>
    <n v="0"/>
    <n v="0"/>
    <n v="0"/>
    <n v="0"/>
    <n v="0"/>
    <n v="138.63999999999999"/>
    <n v="138.63999999999999"/>
    <n v="0"/>
    <n v="0"/>
    <n v="0"/>
    <n v="0"/>
    <n v="0"/>
    <m/>
  </r>
  <r>
    <n v="743"/>
    <d v="2025-08-29T00:00:00"/>
    <s v="ZBTO"/>
    <m/>
    <m/>
    <s v="9518914709-3"/>
    <s v="Stocks"/>
    <x v="2"/>
    <x v="5"/>
    <m/>
    <x v="0"/>
    <x v="0"/>
    <s v="North"/>
    <m/>
    <m/>
    <m/>
    <s v="Rakesh Steel Inds.(P) Ltd."/>
    <n v="1854363"/>
    <s v="GP COIL SOFT-TATXGP-GLK1-0.22X900"/>
    <s v="C02"/>
    <s v="TATXGP"/>
    <s v="GLK1"/>
    <n v="0.22"/>
    <n v="900"/>
    <m/>
    <m/>
    <m/>
    <m/>
    <n v="4.3099999999999996"/>
    <n v="0"/>
    <n v="0"/>
    <n v="0"/>
    <n v="0"/>
    <n v="0"/>
    <n v="0"/>
    <n v="4.3099999999999996"/>
    <n v="4.3099999999999996"/>
    <n v="0"/>
    <n v="0"/>
    <n v="0"/>
    <n v="0"/>
    <n v="0"/>
    <m/>
  </r>
  <r>
    <n v="743"/>
    <d v="2025-07-13T00:00:00"/>
    <s v="ZBTO"/>
    <m/>
    <m/>
    <s v="9518925800-1"/>
    <s v="Stocks"/>
    <x v="2"/>
    <x v="11"/>
    <m/>
    <x v="0"/>
    <x v="0"/>
    <s v="South"/>
    <m/>
    <m/>
    <m/>
    <s v="TATA STEEL DOWNSTREAM PRODUCTS"/>
    <n v="1851847"/>
    <s v="GP COIL SOFT-TSBXGP-T1GP-0.3X1220"/>
    <s v="C02"/>
    <s v="TSBXGP"/>
    <s v="T1GP"/>
    <n v="0.3"/>
    <n v="1220"/>
    <m/>
    <m/>
    <m/>
    <m/>
    <n v="9.1750000000000007"/>
    <n v="0"/>
    <n v="0"/>
    <n v="0"/>
    <n v="0"/>
    <n v="0"/>
    <n v="0"/>
    <n v="9.1750000000000007"/>
    <n v="9.1750000000000007"/>
    <n v="0"/>
    <n v="0"/>
    <n v="0"/>
    <n v="0"/>
    <n v="0"/>
    <m/>
  </r>
  <r>
    <n v="743"/>
    <d v="2025-08-29T00:00:00"/>
    <s v="ZBTO"/>
    <m/>
    <m/>
    <s v="9518933421-2"/>
    <s v="Stocks"/>
    <x v="2"/>
    <x v="5"/>
    <m/>
    <x v="0"/>
    <x v="0"/>
    <s v="North"/>
    <m/>
    <m/>
    <m/>
    <s v="JAISWAL IRON STORES"/>
    <n v="1851065"/>
    <s v="GP COIL SOFT-TATXGP-GK09-0.25X900"/>
    <s v="C02"/>
    <s v="TATXGP"/>
    <s v="GK09"/>
    <n v="0.25"/>
    <n v="900"/>
    <m/>
    <m/>
    <m/>
    <m/>
    <n v="18.38"/>
    <n v="0"/>
    <n v="0"/>
    <n v="0"/>
    <n v="0"/>
    <n v="0"/>
    <n v="0"/>
    <n v="18.38"/>
    <n v="18.38"/>
    <n v="0"/>
    <n v="0"/>
    <n v="0"/>
    <n v="0"/>
    <n v="0"/>
    <m/>
  </r>
  <r>
    <n v="742"/>
    <m/>
    <s v="ZBTC"/>
    <m/>
    <m/>
    <s v="9518935944-2"/>
    <s v="Stocks"/>
    <x v="0"/>
    <x v="7"/>
    <m/>
    <x v="0"/>
    <x v="0"/>
    <s v="North"/>
    <m/>
    <m/>
    <m/>
    <s v="O.V.S. ISPAT UDYOG"/>
    <n v="3444592"/>
    <s v="CRCA SHEET TATCRC SR16 0.450X1250X2030"/>
    <s v="C06"/>
    <s v="TATCRC"/>
    <s v="SR16"/>
    <n v="0.45"/>
    <n v="1250"/>
    <m/>
    <m/>
    <m/>
    <m/>
    <n v="2.67"/>
    <n v="0"/>
    <n v="0"/>
    <n v="0"/>
    <n v="0"/>
    <n v="0"/>
    <n v="0"/>
    <n v="2.67"/>
    <n v="2.67"/>
    <n v="0"/>
    <n v="0"/>
    <n v="0"/>
    <n v="0"/>
    <n v="0"/>
    <m/>
  </r>
  <r>
    <n v="742"/>
    <d v="2025-07-30T00:00:00"/>
    <s v="ZBTO"/>
    <m/>
    <m/>
    <s v="9518938766-6"/>
    <s v="Stocks"/>
    <x v="0"/>
    <x v="7"/>
    <m/>
    <x v="0"/>
    <x v="0"/>
    <s v="East"/>
    <m/>
    <m/>
    <m/>
    <s v="BMW VENTURES LIMITED"/>
    <n v="2441002"/>
    <s v="CRCA SHEET TATCRC SR16 0.380X1250X2500"/>
    <s v="C06"/>
    <s v="TATCRC"/>
    <s v="SR16"/>
    <n v="0.38"/>
    <n v="1250"/>
    <m/>
    <m/>
    <m/>
    <m/>
    <n v="2.1749999999999998"/>
    <n v="0"/>
    <n v="0"/>
    <n v="0"/>
    <n v="0"/>
    <n v="0"/>
    <n v="0"/>
    <n v="2.1749999999999998"/>
    <n v="2.1749999999999998"/>
    <n v="0"/>
    <n v="0"/>
    <n v="0"/>
    <n v="0"/>
    <n v="0"/>
    <m/>
  </r>
  <r>
    <n v="742"/>
    <d v="2025-07-29T00:00:00"/>
    <s v="ZBTO"/>
    <m/>
    <m/>
    <s v="9518938766-7"/>
    <s v="Stocks"/>
    <x v="0"/>
    <x v="7"/>
    <m/>
    <x v="0"/>
    <x v="0"/>
    <s v="East"/>
    <m/>
    <m/>
    <m/>
    <s v="BMW VENTURES LIMITED"/>
    <n v="3239554"/>
    <s v="CRCA SHEET TATCRC SR16 0.400X1000X2500"/>
    <s v="C06"/>
    <s v="TATCRC"/>
    <s v="SR16"/>
    <n v="0.4"/>
    <n v="1000"/>
    <m/>
    <m/>
    <m/>
    <m/>
    <n v="2.52"/>
    <n v="0"/>
    <n v="0"/>
    <n v="0"/>
    <n v="0"/>
    <n v="0"/>
    <n v="0"/>
    <n v="2.52"/>
    <n v="2.52"/>
    <n v="0"/>
    <n v="0"/>
    <n v="0"/>
    <n v="0"/>
    <n v="0"/>
    <m/>
  </r>
  <r>
    <n v="742"/>
    <d v="2025-07-29T00:00:00"/>
    <s v="ZBTO"/>
    <m/>
    <m/>
    <s v="9518939680-10"/>
    <s v="Stocks"/>
    <x v="0"/>
    <x v="7"/>
    <m/>
    <x v="0"/>
    <x v="0"/>
    <s v="South"/>
    <m/>
    <m/>
    <m/>
    <s v="BASEER AND CO"/>
    <n v="3239536"/>
    <s v="CRCA SHEET TATCRC SR16 0.350X900X2500"/>
    <s v="C06"/>
    <s v="TATCRC"/>
    <s v="SR16"/>
    <n v="0.35"/>
    <n v="900"/>
    <m/>
    <m/>
    <m/>
    <m/>
    <n v="11.049999999999999"/>
    <n v="0"/>
    <n v="0"/>
    <n v="0"/>
    <n v="0"/>
    <n v="0"/>
    <n v="0"/>
    <n v="11.049999999999999"/>
    <n v="11.049999999999999"/>
    <n v="0"/>
    <n v="0"/>
    <n v="0"/>
    <n v="0"/>
    <n v="0"/>
    <m/>
  </r>
  <r>
    <n v="742"/>
    <d v="2025-08-26T00:00:00"/>
    <s v="ZBTO"/>
    <m/>
    <m/>
    <s v="9518944233-7"/>
    <s v="Stocks"/>
    <x v="0"/>
    <x v="4"/>
    <m/>
    <x v="0"/>
    <x v="0"/>
    <s v="South"/>
    <m/>
    <m/>
    <m/>
    <s v="SITARAM IRON AND STEEL PVT LTD"/>
    <n v="2155233"/>
    <s v="CRCA COIL TATXXD AU03 2.5X1250"/>
    <s v="C01"/>
    <s v="TATXXD"/>
    <s v="AU03"/>
    <n v="2.5"/>
    <n v="1250"/>
    <m/>
    <m/>
    <m/>
    <m/>
    <n v="25.095000000000002"/>
    <n v="0"/>
    <n v="0"/>
    <n v="0"/>
    <n v="0"/>
    <n v="0"/>
    <n v="0"/>
    <n v="25.095000000000002"/>
    <n v="25.095000000000002"/>
    <n v="0"/>
    <n v="0"/>
    <n v="0"/>
    <n v="0"/>
    <n v="0"/>
    <m/>
  </r>
  <r>
    <n v="742"/>
    <d v="2025-07-30T00:00:00"/>
    <s v="ZBTO"/>
    <m/>
    <m/>
    <s v="9518946015-3"/>
    <s v="Stocks"/>
    <x v="0"/>
    <x v="7"/>
    <m/>
    <x v="0"/>
    <x v="0"/>
    <s v="East"/>
    <m/>
    <m/>
    <m/>
    <s v="BHARTIA  DISTRIBUTORS PVT. LTD"/>
    <n v="3239548"/>
    <s v="CRCA SHEET TATCRC SR16 0.400X900X2500"/>
    <s v="C06"/>
    <s v="TATCRC"/>
    <s v="SR16"/>
    <n v="0.4"/>
    <n v="900"/>
    <m/>
    <m/>
    <m/>
    <m/>
    <n v="2.125"/>
    <n v="0"/>
    <n v="0"/>
    <n v="0"/>
    <n v="0"/>
    <n v="0"/>
    <n v="0"/>
    <n v="2.125"/>
    <n v="2.125"/>
    <n v="0"/>
    <n v="0"/>
    <n v="0"/>
    <n v="0"/>
    <n v="0"/>
    <m/>
  </r>
  <r>
    <n v="744"/>
    <d v="2025-07-22T00:00:00"/>
    <s v="ZBTO"/>
    <m/>
    <m/>
    <s v="9518948558-2"/>
    <s v="Stocks"/>
    <x v="1"/>
    <x v="1"/>
    <m/>
    <x v="1"/>
    <x v="1"/>
    <s v="TBSPL"/>
    <m/>
    <m/>
    <m/>
    <s v="TATA BLUESCOPE STEEL PVT LTD."/>
    <n v="3522241"/>
    <s v="PPGL C Y550 D0C7 0.43BMT(0.47TPT)X1220"/>
    <s v="B18"/>
    <s v="Y550PL"/>
    <s v="D0C7"/>
    <n v="0.43"/>
    <n v="1220"/>
    <m/>
    <m/>
    <m/>
    <m/>
    <n v="4.5049999999999999"/>
    <n v="0"/>
    <n v="0"/>
    <n v="0"/>
    <n v="0"/>
    <n v="0"/>
    <n v="0"/>
    <n v="4.5049999999999999"/>
    <n v="0"/>
    <n v="4.5049999999999999"/>
    <n v="0"/>
    <n v="0"/>
    <n v="0"/>
    <n v="0"/>
    <m/>
  </r>
  <r>
    <n v="743"/>
    <m/>
    <s v="ZBTC"/>
    <m/>
    <m/>
    <s v="9518949719-1"/>
    <s v="Stocks"/>
    <x v="3"/>
    <x v="10"/>
    <m/>
    <x v="1"/>
    <x v="1"/>
    <s v="North"/>
    <m/>
    <m/>
    <m/>
    <s v="PRABH DAYAL OM PARKASH INFRA."/>
    <n v="3982724"/>
    <s v="GL COIL HARD  Y550GL HGL6 0.900X1200"/>
    <s v="B04"/>
    <s v="Y550GL"/>
    <s v="HGL6"/>
    <n v="0.9"/>
    <n v="1200"/>
    <m/>
    <m/>
    <m/>
    <m/>
    <n v="9.6"/>
    <n v="0"/>
    <n v="0"/>
    <n v="0"/>
    <n v="0"/>
    <n v="0"/>
    <n v="0"/>
    <n v="9.6"/>
    <n v="9.6"/>
    <n v="0"/>
    <n v="0"/>
    <n v="0"/>
    <n v="0"/>
    <n v="0"/>
    <m/>
  </r>
  <r>
    <n v="744"/>
    <m/>
    <s v="ZBTC"/>
    <m/>
    <m/>
    <s v="9518950115-11"/>
    <s v="Stocks"/>
    <x v="1"/>
    <x v="1"/>
    <m/>
    <x v="1"/>
    <x v="1"/>
    <s v="TBSPL"/>
    <m/>
    <m/>
    <m/>
    <s v="TATA BLUESCOPE STEEL PRIVATE L"/>
    <n v="3724432"/>
    <s v="PPGL C HARD Y550PL PLH1 0.430X1020"/>
    <s v="B18"/>
    <s v="Y550PL"/>
    <s v="PLH1"/>
    <n v="0.43"/>
    <n v="1020"/>
    <m/>
    <m/>
    <m/>
    <m/>
    <n v="13.940000000000001"/>
    <n v="0"/>
    <n v="0"/>
    <n v="0"/>
    <n v="0"/>
    <n v="0"/>
    <n v="0"/>
    <n v="13.940000000000001"/>
    <n v="0"/>
    <n v="13.940000000000001"/>
    <n v="0"/>
    <n v="0"/>
    <n v="0"/>
    <n v="0"/>
    <m/>
  </r>
  <r>
    <n v="744"/>
    <d v="2025-07-23T00:00:00"/>
    <s v="ZBTO"/>
    <m/>
    <m/>
    <s v="9518951741-10"/>
    <s v="Stocks"/>
    <x v="1"/>
    <x v="1"/>
    <m/>
    <x v="1"/>
    <x v="1"/>
    <s v="TBSPL"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n v="19.48"/>
    <n v="0"/>
    <n v="0"/>
    <n v="0"/>
    <n v="0"/>
    <n v="0"/>
    <n v="0"/>
    <n v="19.48"/>
    <n v="0"/>
    <n v="19.48"/>
    <n v="0"/>
    <n v="0"/>
    <n v="0"/>
    <n v="0"/>
    <m/>
  </r>
  <r>
    <n v="744"/>
    <d v="2025-07-23T00:00:00"/>
    <s v="ZBTO"/>
    <m/>
    <m/>
    <s v="9518951741-6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19.234999999999999"/>
    <n v="0"/>
    <n v="0"/>
    <n v="0"/>
    <n v="0"/>
    <n v="0"/>
    <n v="0"/>
    <n v="19.234999999999999"/>
    <n v="0"/>
    <n v="19.234999999999999"/>
    <n v="0"/>
    <n v="0"/>
    <n v="0"/>
    <n v="0"/>
    <m/>
  </r>
  <r>
    <n v="744"/>
    <d v="2025-07-23T00:00:00"/>
    <s v="ZBTO"/>
    <m/>
    <m/>
    <s v="9518951741-7"/>
    <s v="Stocks"/>
    <x v="1"/>
    <x v="1"/>
    <m/>
    <x v="1"/>
    <x v="1"/>
    <s v="TBSPL"/>
    <m/>
    <m/>
    <m/>
    <s v="TATA BLUESCOPE STEEL PRIVATE L"/>
    <n v="3960726"/>
    <s v="PPGL C HARD Y550PL D0C9 0.450(TPT)X1220"/>
    <s v="B18"/>
    <s v="Y550PL"/>
    <s v="D0C9"/>
    <n v="0.45"/>
    <n v="1220"/>
    <m/>
    <m/>
    <m/>
    <m/>
    <n v="8.08"/>
    <n v="0"/>
    <n v="0"/>
    <n v="0"/>
    <n v="0"/>
    <n v="0"/>
    <n v="0"/>
    <n v="8.08"/>
    <n v="0"/>
    <n v="8.08"/>
    <n v="0"/>
    <n v="0"/>
    <n v="0"/>
    <n v="0"/>
    <m/>
  </r>
  <r>
    <n v="744"/>
    <d v="2025-07-23T00:00:00"/>
    <s v="ZBTO"/>
    <m/>
    <m/>
    <s v="9518951741-9"/>
    <s v="Stocks"/>
    <x v="1"/>
    <x v="1"/>
    <m/>
    <x v="1"/>
    <x v="1"/>
    <s v="TBSPL"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n v="7.93"/>
    <n v="0"/>
    <n v="0"/>
    <n v="0"/>
    <n v="0"/>
    <n v="0"/>
    <n v="0"/>
    <n v="7.93"/>
    <n v="0"/>
    <n v="7.93"/>
    <n v="0"/>
    <n v="0"/>
    <n v="0"/>
    <n v="0"/>
    <m/>
  </r>
  <r>
    <n v="742"/>
    <d v="2025-07-29T00:00:00"/>
    <s v="ZBTO"/>
    <m/>
    <m/>
    <s v="9518952391-1"/>
    <s v="Stocks"/>
    <x v="0"/>
    <x v="2"/>
    <m/>
    <x v="1"/>
    <x v="1"/>
    <s v="West"/>
    <m/>
    <m/>
    <m/>
    <s v="Balmer Lawrie And Co. Ltd."/>
    <n v="2164800"/>
    <s v="CRCA COIL TATXXD BT02 0.970X913"/>
    <s v="C01"/>
    <s v="TATXXD"/>
    <s v="BT02"/>
    <n v="0.97"/>
    <n v="913"/>
    <m/>
    <m/>
    <m/>
    <m/>
    <n v="8.2550000000000008"/>
    <n v="0"/>
    <n v="0"/>
    <n v="0"/>
    <n v="0"/>
    <n v="0"/>
    <n v="0"/>
    <n v="8.2550000000000008"/>
    <n v="8.2550000000000008"/>
    <n v="0"/>
    <n v="0"/>
    <n v="0"/>
    <n v="0"/>
    <n v="0"/>
    <m/>
  </r>
  <r>
    <n v="742"/>
    <d v="2025-07-29T00:00:00"/>
    <s v="ZBTO"/>
    <m/>
    <m/>
    <s v="9518952581-1"/>
    <s v="Stocks"/>
    <x v="0"/>
    <x v="7"/>
    <m/>
    <x v="0"/>
    <x v="0"/>
    <s v="North"/>
    <m/>
    <m/>
    <m/>
    <s v="O.V.S. ISPAT UDYOG"/>
    <n v="3240781"/>
    <s v="CRCA SHEET TSBCRC SR15 0.600X1250X2030"/>
    <s v="C06"/>
    <s v="TSBCRC"/>
    <s v="SR15"/>
    <n v="0.6"/>
    <n v="1250"/>
    <m/>
    <m/>
    <m/>
    <m/>
    <n v="8.65"/>
    <n v="0"/>
    <n v="0"/>
    <n v="0"/>
    <n v="0"/>
    <n v="0"/>
    <n v="0"/>
    <n v="8.65"/>
    <n v="8.65"/>
    <n v="0"/>
    <n v="0"/>
    <n v="0"/>
    <n v="0"/>
    <n v="0"/>
    <m/>
  </r>
  <r>
    <n v="742"/>
    <d v="2025-07-29T00:00:00"/>
    <s v="ZBTO"/>
    <m/>
    <m/>
    <s v="9518952680-2"/>
    <s v="Stocks"/>
    <x v="0"/>
    <x v="2"/>
    <m/>
    <x v="1"/>
    <x v="1"/>
    <s v="North"/>
    <m/>
    <m/>
    <m/>
    <s v="Balmer Lawrie &amp; Co. Ltd.,"/>
    <n v="2164800"/>
    <s v="CRCA COIL TATXXD BT02 0.970X913"/>
    <s v="C01"/>
    <s v="TATXXD"/>
    <s v="BT02"/>
    <n v="0.97"/>
    <n v="913"/>
    <m/>
    <m/>
    <m/>
    <m/>
    <n v="17.47"/>
    <n v="0"/>
    <n v="0"/>
    <n v="0"/>
    <n v="0"/>
    <n v="0"/>
    <n v="0"/>
    <n v="17.47"/>
    <n v="17.47"/>
    <n v="0"/>
    <n v="0"/>
    <n v="0"/>
    <n v="0"/>
    <n v="0"/>
    <m/>
  </r>
  <r>
    <n v="744"/>
    <d v="2025-07-23T00:00:00"/>
    <s v="ZBTO"/>
    <m/>
    <m/>
    <s v="9518952963-1"/>
    <s v="Stocks"/>
    <x v="1"/>
    <x v="1"/>
    <m/>
    <x v="1"/>
    <x v="1"/>
    <s v="TBSPL"/>
    <m/>
    <m/>
    <m/>
    <s v="TATA BLUESCOPE STEEL PVT LTD."/>
    <n v="3522241"/>
    <s v="PPGL C Y550 D0C7 0.43BMT(0.47TPT)X1220"/>
    <s v="B18"/>
    <s v="Y550PL"/>
    <s v="D0C7"/>
    <n v="0.43"/>
    <n v="1220"/>
    <m/>
    <m/>
    <m/>
    <m/>
    <n v="16.28"/>
    <n v="0"/>
    <n v="0"/>
    <n v="0"/>
    <n v="0"/>
    <n v="0"/>
    <n v="0"/>
    <n v="16.28"/>
    <n v="0"/>
    <n v="16.28"/>
    <n v="0"/>
    <n v="0"/>
    <n v="0"/>
    <n v="0"/>
    <m/>
  </r>
  <r>
    <n v="744"/>
    <d v="2025-07-23T00:00:00"/>
    <s v="ZBTO"/>
    <m/>
    <m/>
    <s v="9518952963-2"/>
    <s v="Stocks"/>
    <x v="1"/>
    <x v="1"/>
    <m/>
    <x v="1"/>
    <x v="1"/>
    <s v="TBSPL"/>
    <m/>
    <m/>
    <m/>
    <s v="TATA BLUESCOPE STEEL PVT LTD."/>
    <n v="3522241"/>
    <s v="PPGL C Y550 D0C7 0.43BMT(0.47TPT)X1220"/>
    <s v="B18"/>
    <s v="Y550PL"/>
    <s v="D0C7"/>
    <n v="0.43"/>
    <n v="1220"/>
    <m/>
    <m/>
    <m/>
    <m/>
    <n v="11.145"/>
    <n v="0"/>
    <n v="0"/>
    <n v="0"/>
    <n v="0"/>
    <n v="0"/>
    <n v="0"/>
    <n v="11.145"/>
    <n v="0"/>
    <n v="11.145"/>
    <n v="0"/>
    <n v="0"/>
    <n v="0"/>
    <n v="0"/>
    <m/>
  </r>
  <r>
    <n v="744"/>
    <d v="2025-07-23T00:00:00"/>
    <s v="ZBTO"/>
    <m/>
    <m/>
    <s v="9518952963-3"/>
    <s v="Stocks"/>
    <x v="1"/>
    <x v="1"/>
    <m/>
    <x v="1"/>
    <x v="1"/>
    <s v="TBSPL"/>
    <m/>
    <m/>
    <m/>
    <s v="TATA BLUESCOPE STEEL PVT LTD."/>
    <n v="3522241"/>
    <s v="PPGL C Y550 D0C7 0.43BMT(0.47TPT)X1220"/>
    <s v="B18"/>
    <s v="Y550PL"/>
    <s v="D0C7"/>
    <n v="0.43"/>
    <n v="1220"/>
    <m/>
    <m/>
    <m/>
    <m/>
    <n v="8.1750000000000007"/>
    <n v="0"/>
    <n v="0"/>
    <n v="0"/>
    <n v="0"/>
    <n v="0"/>
    <n v="0"/>
    <n v="8.1750000000000007"/>
    <n v="0"/>
    <n v="8.1750000000000007"/>
    <n v="0"/>
    <n v="0"/>
    <n v="0"/>
    <n v="0"/>
    <m/>
  </r>
  <r>
    <n v="742"/>
    <m/>
    <s v="ZBTO"/>
    <m/>
    <m/>
    <s v="9518953204-1"/>
    <s v="Stocks"/>
    <x v="0"/>
    <x v="4"/>
    <m/>
    <x v="0"/>
    <x v="0"/>
    <s v=""/>
    <m/>
    <m/>
    <m/>
    <s v=""/>
    <n v="187515"/>
    <s v="CR COIL-ICF  DQ TATXXD AU03 0.80 X 1250"/>
    <s v="C01"/>
    <s v="TATXXD"/>
    <s v="AU03"/>
    <n v="0.8"/>
    <n v="1250"/>
    <m/>
    <m/>
    <m/>
    <m/>
    <n v="23.47"/>
    <n v="0"/>
    <n v="0"/>
    <n v="0"/>
    <n v="0"/>
    <n v="0"/>
    <n v="0"/>
    <n v="23.47"/>
    <n v="23.47"/>
    <n v="0"/>
    <n v="0"/>
    <n v="0"/>
    <n v="0"/>
    <n v="0"/>
    <m/>
  </r>
  <r>
    <n v="743"/>
    <d v="2025-07-29T00:00:00"/>
    <s v="ZBTO"/>
    <m/>
    <m/>
    <s v="9518956349-1"/>
    <s v="Stocks"/>
    <x v="2"/>
    <x v="11"/>
    <m/>
    <x v="0"/>
    <x v="0"/>
    <s v="East"/>
    <m/>
    <m/>
    <m/>
    <s v="BHARTIA  DISTRIBUTORS PVT. LTD"/>
    <n v="1300230"/>
    <s v="GP COIL SOFT-TATXGP-GLK1-0.3X1220"/>
    <s v="C02"/>
    <s v="TATXGP"/>
    <s v="GLK1"/>
    <n v="0.3"/>
    <n v="1220"/>
    <m/>
    <m/>
    <m/>
    <m/>
    <n v="22.674999999999997"/>
    <n v="0"/>
    <n v="0"/>
    <n v="0"/>
    <n v="0"/>
    <n v="0"/>
    <n v="0"/>
    <n v="22.674999999999997"/>
    <n v="22.674999999999997"/>
    <n v="0"/>
    <n v="0"/>
    <n v="0"/>
    <n v="0"/>
    <n v="0"/>
    <m/>
  </r>
  <r>
    <n v="742"/>
    <d v="2025-07-24T00:00:00"/>
    <s v="ZBTO"/>
    <m/>
    <m/>
    <s v="9518956633-1"/>
    <s v="Stocks"/>
    <x v="0"/>
    <x v="2"/>
    <m/>
    <x v="1"/>
    <x v="1"/>
    <s v="South"/>
    <m/>
    <m/>
    <m/>
    <s v="Balmer Lawrie &amp; Co. Limited"/>
    <n v="3781084"/>
    <s v="CR COIL TATXXD BT02 0.970X1005"/>
    <s v="C01"/>
    <s v="TATXXD"/>
    <s v="BT02"/>
    <n v="0.97"/>
    <n v="1005"/>
    <m/>
    <m/>
    <m/>
    <m/>
    <n v="7.04"/>
    <n v="0"/>
    <n v="0"/>
    <n v="0"/>
    <n v="0"/>
    <n v="0"/>
    <n v="0"/>
    <n v="7.04"/>
    <n v="7.04"/>
    <n v="0"/>
    <n v="0"/>
    <n v="0"/>
    <n v="0"/>
    <n v="0"/>
    <m/>
  </r>
  <r>
    <n v="743"/>
    <d v="2025-07-29T00:00:00"/>
    <s v="ZBTO"/>
    <m/>
    <m/>
    <s v="9518957720-1"/>
    <s v="Stocks"/>
    <x v="3"/>
    <x v="2"/>
    <m/>
    <x v="1"/>
    <x v="1"/>
    <s v="South"/>
    <m/>
    <m/>
    <m/>
    <s v="Colorshine Coated Pvt.Ltd."/>
    <n v="4096235"/>
    <s v="GL COIL HARD  Y550GL H7GL 0.320X1235"/>
    <s v="B04"/>
    <s v="Y550GL"/>
    <s v="H7GL"/>
    <n v="0.32"/>
    <n v="1235"/>
    <m/>
    <m/>
    <m/>
    <m/>
    <n v="5.86"/>
    <n v="0"/>
    <n v="0"/>
    <n v="0"/>
    <n v="0"/>
    <n v="0"/>
    <n v="0"/>
    <n v="5.86"/>
    <n v="5.86"/>
    <n v="0"/>
    <n v="0"/>
    <n v="0"/>
    <n v="0"/>
    <n v="0"/>
    <m/>
  </r>
  <r>
    <n v="743"/>
    <m/>
    <s v="ZBTC"/>
    <m/>
    <m/>
    <s v="9518958914-2"/>
    <s v="Stocks"/>
    <x v="2"/>
    <x v="6"/>
    <m/>
    <x v="0"/>
    <x v="0"/>
    <s v="West"/>
    <m/>
    <m/>
    <m/>
    <s v="MAHARASHTRA METAL INDUSTRIES P"/>
    <n v="3708868"/>
    <s v="GP COIL TATGPH GP02 0.500X1350"/>
    <s v="C05"/>
    <s v="TATGPH"/>
    <s v="GP02"/>
    <n v="0.5"/>
    <n v="1350"/>
    <m/>
    <m/>
    <m/>
    <m/>
    <n v="13.155000000000001"/>
    <n v="0"/>
    <n v="0"/>
    <n v="0"/>
    <n v="0"/>
    <n v="0"/>
    <n v="0"/>
    <n v="13.155000000000001"/>
    <n v="13.155000000000001"/>
    <n v="0"/>
    <n v="0"/>
    <n v="0"/>
    <n v="0"/>
    <n v="0"/>
    <m/>
  </r>
  <r>
    <n v="743"/>
    <d v="2025-07-25T00:00:00"/>
    <s v="ZBTO"/>
    <m/>
    <m/>
    <s v="9518958986-1"/>
    <s v="Stocks"/>
    <x v="2"/>
    <x v="11"/>
    <m/>
    <x v="0"/>
    <x v="0"/>
    <s v="East"/>
    <m/>
    <m/>
    <m/>
    <s v="PASA ASSOCIATES PRIVATE LIMITE"/>
    <n v="1854399"/>
    <s v="GP COIL SOFT-TATXGP-GK09-0.35X1220"/>
    <s v="C02"/>
    <s v="TATXGP"/>
    <s v="GK09"/>
    <n v="0.35"/>
    <n v="1220"/>
    <m/>
    <m/>
    <m/>
    <m/>
    <n v="4.6449999999999996"/>
    <n v="0"/>
    <n v="0"/>
    <n v="0"/>
    <n v="0"/>
    <n v="0"/>
    <n v="0"/>
    <n v="4.6449999999999996"/>
    <n v="4.6449999999999996"/>
    <n v="0"/>
    <n v="0"/>
    <n v="0"/>
    <n v="0"/>
    <n v="0"/>
    <m/>
  </r>
  <r>
    <n v="743"/>
    <d v="2025-07-25T00:00:00"/>
    <s v="ZBTO"/>
    <m/>
    <m/>
    <s v="9518958986-4"/>
    <s v="Stocks"/>
    <x v="2"/>
    <x v="5"/>
    <m/>
    <x v="0"/>
    <x v="0"/>
    <s v="East"/>
    <m/>
    <m/>
    <m/>
    <s v="PASA ASSOCIATES PRIVATE LIMITE"/>
    <n v="1353179"/>
    <s v="GP COIL TATXGP GK09 0.500X900"/>
    <s v="C02"/>
    <s v="TATXGP"/>
    <s v="GK09"/>
    <n v="0.5"/>
    <n v="900"/>
    <m/>
    <m/>
    <m/>
    <m/>
    <n v="4.6749999999999998"/>
    <n v="0"/>
    <n v="0"/>
    <n v="0"/>
    <n v="0"/>
    <n v="0"/>
    <n v="0"/>
    <n v="4.6749999999999998"/>
    <n v="4.6749999999999998"/>
    <n v="0"/>
    <n v="0"/>
    <n v="0"/>
    <n v="0"/>
    <n v="0"/>
    <m/>
  </r>
  <r>
    <n v="743"/>
    <d v="2025-07-28T00:00:00"/>
    <s v="ZBTO"/>
    <m/>
    <m/>
    <s v="9518962589-2"/>
    <s v="Stocks"/>
    <x v="3"/>
    <x v="1"/>
    <m/>
    <x v="1"/>
    <x v="1"/>
    <s v="TBSPL"/>
    <m/>
    <m/>
    <m/>
    <s v="TATA BLUESCOPE STEEL PRIVATE L"/>
    <n v="1881969"/>
    <s v="GL C YS550 H6GL 0.45BMT(0.50TCT)X1220"/>
    <s v="B04"/>
    <s v="Y550GL"/>
    <s v="H6GL"/>
    <n v="0.45"/>
    <n v="1220"/>
    <m/>
    <m/>
    <m/>
    <m/>
    <n v="4.2149999999999999"/>
    <n v="0"/>
    <n v="0"/>
    <n v="0"/>
    <n v="0"/>
    <n v="0"/>
    <n v="0"/>
    <n v="4.2149999999999999"/>
    <n v="0"/>
    <n v="4.2149999999999999"/>
    <n v="0"/>
    <n v="0"/>
    <n v="0"/>
    <n v="0"/>
    <m/>
  </r>
  <r>
    <n v="743"/>
    <d v="2025-07-26T00:00:00"/>
    <s v="ZBTO"/>
    <m/>
    <m/>
    <s v="9518962589-3"/>
    <s v="Stocks"/>
    <x v="3"/>
    <x v="1"/>
    <m/>
    <x v="1"/>
    <x v="1"/>
    <s v="TBSPL"/>
    <m/>
    <m/>
    <m/>
    <s v="TATA BLUESCOPE STEEL PRIVATE L"/>
    <n v="3239573"/>
    <s v="GL C YS550 H6GL 0.42BMT(0.47TCT)X1220"/>
    <s v="B04"/>
    <s v="Y550GL"/>
    <s v="H6GL"/>
    <n v="0.42"/>
    <n v="1220"/>
    <m/>
    <m/>
    <m/>
    <m/>
    <n v="36.614999999999995"/>
    <n v="0"/>
    <n v="0"/>
    <n v="0"/>
    <n v="0"/>
    <n v="0"/>
    <n v="0"/>
    <n v="36.614999999999995"/>
    <n v="0"/>
    <n v="36.614999999999995"/>
    <n v="0"/>
    <n v="0"/>
    <n v="0"/>
    <n v="0"/>
    <m/>
  </r>
  <r>
    <n v="744"/>
    <d v="2025-07-26T00:00:00"/>
    <s v="ZBTO"/>
    <m/>
    <m/>
    <s v="9518962673-7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3.32"/>
    <n v="0"/>
    <n v="0"/>
    <n v="0"/>
    <n v="0"/>
    <n v="0"/>
    <n v="0"/>
    <n v="3.32"/>
    <n v="0"/>
    <n v="3.32"/>
    <n v="0"/>
    <n v="0"/>
    <n v="0"/>
    <n v="0"/>
    <m/>
  </r>
  <r>
    <n v="743"/>
    <d v="2025-08-01T00:00:00"/>
    <s v="ZBTO"/>
    <m/>
    <m/>
    <s v="9518972366-7"/>
    <s v="Stocks"/>
    <x v="2"/>
    <x v="11"/>
    <m/>
    <x v="0"/>
    <x v="0"/>
    <s v="North"/>
    <m/>
    <m/>
    <m/>
    <s v="K D J P STEELS PVT LTD"/>
    <n v="1851092"/>
    <s v="GP COIL SOFT-TATXGP-GLK1-0.4X1250"/>
    <s v="C02"/>
    <s v="TATXGP"/>
    <s v="GLK1"/>
    <n v="0.4"/>
    <n v="1250"/>
    <m/>
    <m/>
    <m/>
    <m/>
    <n v="16.09"/>
    <n v="0"/>
    <n v="0"/>
    <n v="0"/>
    <n v="0"/>
    <n v="0"/>
    <n v="0"/>
    <n v="16.09"/>
    <n v="16.09"/>
    <n v="0"/>
    <n v="0"/>
    <n v="0"/>
    <n v="0"/>
    <n v="0"/>
    <m/>
  </r>
  <r>
    <n v="744"/>
    <d v="2025-07-30T00:00:00"/>
    <s v="ZBTO"/>
    <m/>
    <m/>
    <s v="9518976975-1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37.289999999999992"/>
    <n v="0"/>
    <n v="0"/>
    <n v="0"/>
    <n v="0"/>
    <n v="0"/>
    <n v="0"/>
    <n v="37.289999999999992"/>
    <n v="0"/>
    <n v="37.289999999999992"/>
    <n v="0"/>
    <n v="0"/>
    <n v="0"/>
    <n v="0"/>
    <m/>
  </r>
  <r>
    <n v="744"/>
    <d v="2025-07-30T00:00:00"/>
    <s v="ZBTO"/>
    <m/>
    <m/>
    <s v="9518976975-10"/>
    <s v="Stocks"/>
    <x v="1"/>
    <x v="1"/>
    <m/>
    <x v="1"/>
    <x v="1"/>
    <s v="TBSPL"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n v="16.895"/>
    <n v="0"/>
    <n v="0"/>
    <n v="0"/>
    <n v="0"/>
    <n v="0"/>
    <n v="0"/>
    <n v="16.895"/>
    <n v="0"/>
    <n v="16.895"/>
    <n v="0"/>
    <n v="0"/>
    <n v="0"/>
    <n v="0"/>
    <m/>
  </r>
  <r>
    <n v="744"/>
    <d v="2025-07-30T00:00:00"/>
    <s v="ZBTO"/>
    <m/>
    <m/>
    <s v="9518976975-13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9.1449999999999996"/>
    <n v="0"/>
    <n v="0"/>
    <n v="0"/>
    <n v="0"/>
    <n v="0"/>
    <n v="0"/>
    <n v="9.1449999999999996"/>
    <n v="0"/>
    <n v="9.1449999999999996"/>
    <n v="0"/>
    <n v="0"/>
    <n v="0"/>
    <n v="0"/>
    <m/>
  </r>
  <r>
    <n v="744"/>
    <d v="2025-07-30T00:00:00"/>
    <s v="ZBTO"/>
    <m/>
    <m/>
    <s v="9518976975-14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4.12"/>
    <n v="0"/>
    <n v="0"/>
    <n v="0"/>
    <n v="0"/>
    <n v="0"/>
    <n v="0"/>
    <n v="4.12"/>
    <n v="0"/>
    <n v="4.12"/>
    <n v="0"/>
    <n v="0"/>
    <n v="0"/>
    <n v="0"/>
    <m/>
  </r>
  <r>
    <n v="744"/>
    <d v="2025-07-30T00:00:00"/>
    <s v="ZBTO"/>
    <m/>
    <m/>
    <s v="9518976975-19"/>
    <s v="Stocks"/>
    <x v="1"/>
    <x v="1"/>
    <m/>
    <x v="1"/>
    <x v="1"/>
    <s v="TBSPL"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n v="11.754999999999999"/>
    <n v="0"/>
    <n v="0"/>
    <n v="0"/>
    <n v="0"/>
    <n v="0"/>
    <n v="0"/>
    <n v="11.754999999999999"/>
    <n v="0"/>
    <n v="11.754999999999999"/>
    <n v="0"/>
    <n v="0"/>
    <n v="0"/>
    <n v="0"/>
    <m/>
  </r>
  <r>
    <n v="744"/>
    <d v="2025-07-30T00:00:00"/>
    <s v="ZBTO"/>
    <m/>
    <m/>
    <s v="9518976975-20"/>
    <s v="Stocks"/>
    <x v="1"/>
    <x v="1"/>
    <m/>
    <x v="1"/>
    <x v="1"/>
    <s v="TBSPL"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n v="17.635000000000002"/>
    <n v="0"/>
    <n v="0"/>
    <n v="0"/>
    <n v="0"/>
    <n v="0"/>
    <n v="0"/>
    <n v="17.635000000000002"/>
    <n v="0"/>
    <n v="17.635000000000002"/>
    <n v="0"/>
    <n v="0"/>
    <n v="0"/>
    <n v="0"/>
    <m/>
  </r>
  <r>
    <n v="744"/>
    <d v="2025-07-30T00:00:00"/>
    <s v="ZBTO"/>
    <m/>
    <m/>
    <s v="9518976975-3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31.03"/>
    <n v="0"/>
    <n v="0"/>
    <n v="0"/>
    <n v="0"/>
    <n v="0"/>
    <n v="0"/>
    <n v="31.03"/>
    <n v="0"/>
    <n v="31.03"/>
    <n v="0"/>
    <n v="0"/>
    <n v="0"/>
    <n v="0"/>
    <m/>
  </r>
  <r>
    <n v="744"/>
    <d v="2025-07-30T00:00:00"/>
    <s v="ZBTO"/>
    <m/>
    <m/>
    <s v="9518976975-6"/>
    <s v="Stocks"/>
    <x v="1"/>
    <x v="1"/>
    <m/>
    <x v="1"/>
    <x v="1"/>
    <s v="TBSPL"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n v="3.76"/>
    <n v="0"/>
    <n v="0"/>
    <n v="0"/>
    <n v="0"/>
    <n v="0"/>
    <n v="0"/>
    <n v="3.76"/>
    <n v="0"/>
    <n v="3.76"/>
    <n v="0"/>
    <n v="0"/>
    <n v="0"/>
    <n v="0"/>
    <m/>
  </r>
  <r>
    <n v="744"/>
    <d v="2025-07-30T00:00:00"/>
    <s v="ZBTO"/>
    <m/>
    <m/>
    <s v="9518976975-7"/>
    <s v="Stocks"/>
    <x v="1"/>
    <x v="1"/>
    <m/>
    <x v="1"/>
    <x v="1"/>
    <s v="TBSPL"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n v="18.064999999999998"/>
    <n v="0"/>
    <n v="0"/>
    <n v="0"/>
    <n v="0"/>
    <n v="0"/>
    <n v="0"/>
    <n v="18.064999999999998"/>
    <n v="0"/>
    <n v="18.064999999999998"/>
    <n v="0"/>
    <n v="0"/>
    <n v="0"/>
    <n v="0"/>
    <m/>
  </r>
  <r>
    <n v="742"/>
    <d v="2025-08-21T00:00:00"/>
    <s v="ZBTO"/>
    <m/>
    <m/>
    <s v="9518980071-6"/>
    <s v="Stocks"/>
    <x v="0"/>
    <x v="7"/>
    <m/>
    <x v="0"/>
    <x v="0"/>
    <s v="East"/>
    <m/>
    <m/>
    <m/>
    <s v="RAMESH COMPANY"/>
    <n v="3239557"/>
    <s v="CRCA SHEET TATCRC SR16 0.400X1250X2500"/>
    <s v="C06"/>
    <s v="TATCRC"/>
    <s v="SR16"/>
    <n v="0.4"/>
    <n v="1250"/>
    <m/>
    <m/>
    <m/>
    <m/>
    <n v="2.46"/>
    <n v="0"/>
    <n v="0"/>
    <n v="0"/>
    <n v="0"/>
    <n v="0"/>
    <n v="0"/>
    <n v="2.46"/>
    <n v="2.46"/>
    <n v="0"/>
    <n v="0"/>
    <n v="0"/>
    <n v="0"/>
    <n v="0"/>
    <m/>
  </r>
  <r>
    <n v="744"/>
    <d v="2025-08-01T00:00:00"/>
    <s v="ZBTO"/>
    <m/>
    <m/>
    <s v="9518985918-3"/>
    <s v="Stocks"/>
    <x v="1"/>
    <x v="1"/>
    <m/>
    <x v="1"/>
    <x v="1"/>
    <s v="TBSPL"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n v="27.919999999999998"/>
    <n v="0"/>
    <n v="0"/>
    <n v="0"/>
    <n v="0"/>
    <n v="0"/>
    <n v="0"/>
    <n v="27.919999999999998"/>
    <n v="0"/>
    <n v="27.919999999999998"/>
    <n v="0"/>
    <n v="0"/>
    <n v="0"/>
    <n v="0"/>
    <m/>
  </r>
  <r>
    <n v="744"/>
    <d v="2025-08-01T00:00:00"/>
    <s v="ZBTO"/>
    <m/>
    <m/>
    <s v="9518985918-4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12.475000000000001"/>
    <n v="0"/>
    <n v="0"/>
    <n v="0"/>
    <n v="0"/>
    <n v="0"/>
    <n v="0"/>
    <n v="12.475000000000001"/>
    <n v="0"/>
    <n v="12.475000000000001"/>
    <n v="0"/>
    <n v="0"/>
    <n v="0"/>
    <n v="0"/>
    <m/>
  </r>
  <r>
    <n v="744"/>
    <d v="2025-08-01T00:00:00"/>
    <s v="ZBTO"/>
    <m/>
    <m/>
    <s v="9518985918-5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12.824999999999999"/>
    <n v="0"/>
    <n v="0"/>
    <n v="0"/>
    <n v="0"/>
    <n v="0"/>
    <n v="0"/>
    <n v="12.824999999999999"/>
    <n v="0"/>
    <n v="12.824999999999999"/>
    <n v="0"/>
    <n v="0"/>
    <n v="0"/>
    <n v="0"/>
    <m/>
  </r>
  <r>
    <n v="742"/>
    <m/>
    <s v="ZBTC"/>
    <m/>
    <m/>
    <s v="9518986468-1"/>
    <s v="Stocks"/>
    <x v="0"/>
    <x v="16"/>
    <m/>
    <x v="0"/>
    <x v="0"/>
    <s v="North"/>
    <m/>
    <m/>
    <m/>
    <s v="SWASTIK STEEL PROCESSOR LLP"/>
    <n v="2439201"/>
    <s v="CRCA COIL TSBSTA EL06 0.500X1170"/>
    <s v="C01"/>
    <s v="TSBSTA"/>
    <s v="EL06"/>
    <n v="0.5"/>
    <n v="1170"/>
    <m/>
    <m/>
    <m/>
    <m/>
    <n v="6.9550000000000001"/>
    <n v="0"/>
    <n v="0"/>
    <n v="0"/>
    <n v="0"/>
    <n v="0"/>
    <n v="0"/>
    <n v="6.9550000000000001"/>
    <n v="6.9550000000000001"/>
    <n v="0"/>
    <n v="0"/>
    <n v="0"/>
    <n v="0"/>
    <n v="0"/>
    <m/>
  </r>
  <r>
    <n v="744"/>
    <d v="2025-08-01T00:00:00"/>
    <s v="ZBTO"/>
    <m/>
    <m/>
    <s v="9518986930-1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66.485000000000014"/>
    <n v="0"/>
    <n v="0"/>
    <n v="0"/>
    <n v="0"/>
    <n v="0"/>
    <n v="0"/>
    <n v="66.485000000000014"/>
    <n v="0"/>
    <n v="66.485000000000014"/>
    <n v="0"/>
    <n v="0"/>
    <n v="0"/>
    <n v="0"/>
    <m/>
  </r>
  <r>
    <n v="744"/>
    <d v="2025-08-01T00:00:00"/>
    <s v="ZBTO"/>
    <m/>
    <m/>
    <s v="9518986930-4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44.04"/>
    <n v="0"/>
    <n v="0"/>
    <n v="0"/>
    <n v="0"/>
    <n v="0"/>
    <n v="0"/>
    <n v="44.04"/>
    <n v="0"/>
    <n v="44.04"/>
    <n v="0"/>
    <n v="0"/>
    <n v="0"/>
    <n v="0"/>
    <m/>
  </r>
  <r>
    <n v="743"/>
    <m/>
    <s v="ZBTC"/>
    <m/>
    <m/>
    <s v="9518988824-1"/>
    <s v="Stocks"/>
    <x v="2"/>
    <x v="5"/>
    <m/>
    <x v="0"/>
    <x v="0"/>
    <s v="East"/>
    <m/>
    <m/>
    <m/>
    <s v="SAGAR STEELS"/>
    <n v="3484324"/>
    <s v="GP SH SOFT TATXGP GK09 0.300X900X2500"/>
    <s v="B11"/>
    <s v="TATXGP"/>
    <s v="GK09"/>
    <n v="0.3"/>
    <n v="900"/>
    <m/>
    <m/>
    <m/>
    <m/>
    <n v="14.23"/>
    <n v="0"/>
    <n v="0"/>
    <n v="0"/>
    <n v="0"/>
    <n v="0"/>
    <n v="0"/>
    <n v="14.23"/>
    <n v="14.23"/>
    <n v="0"/>
    <n v="0"/>
    <n v="0"/>
    <n v="0"/>
    <n v="0"/>
    <m/>
  </r>
  <r>
    <n v="743"/>
    <d v="2025-08-05T00:00:00"/>
    <s v="ZBTO"/>
    <m/>
    <m/>
    <s v="9518991615-2"/>
    <s v="Stocks"/>
    <x v="2"/>
    <x v="6"/>
    <m/>
    <x v="0"/>
    <x v="0"/>
    <s v="East"/>
    <m/>
    <m/>
    <m/>
    <s v="BMW VENTURES LIMITED"/>
    <n v="3907468"/>
    <s v="GP COIL TATXGP GP02 0.350X1350"/>
    <s v="C05"/>
    <s v="TATXGP"/>
    <s v="GP02"/>
    <n v="0.35"/>
    <n v="1350"/>
    <m/>
    <m/>
    <m/>
    <m/>
    <n v="19.414999999999999"/>
    <n v="0"/>
    <n v="0"/>
    <n v="0"/>
    <n v="0"/>
    <n v="0"/>
    <n v="0"/>
    <n v="19.414999999999999"/>
    <n v="19.414999999999999"/>
    <n v="0"/>
    <n v="0"/>
    <n v="0"/>
    <n v="0"/>
    <n v="0"/>
    <m/>
  </r>
  <r>
    <n v="744"/>
    <d v="2025-08-08T00:00:00"/>
    <s v="ZBTO"/>
    <m/>
    <m/>
    <s v="9519003169-1"/>
    <s v="Stocks"/>
    <x v="1"/>
    <x v="1"/>
    <m/>
    <x v="1"/>
    <x v="1"/>
    <s v="TBSPL"/>
    <m/>
    <m/>
    <m/>
    <s v="TATA BLUESCOPE STEEL PRIVATE L"/>
    <n v="3940122"/>
    <s v="PPGL C HARD Y550PL D0C9 0.470(TPT)X1220"/>
    <s v="B18"/>
    <s v="Y550PL"/>
    <s v="D0C9"/>
    <n v="0.47"/>
    <n v="1220"/>
    <m/>
    <m/>
    <m/>
    <m/>
    <n v="4.13"/>
    <n v="0"/>
    <n v="0"/>
    <n v="0"/>
    <n v="0"/>
    <n v="0"/>
    <n v="0"/>
    <n v="4.13"/>
    <n v="0"/>
    <n v="4.13"/>
    <n v="0"/>
    <n v="0"/>
    <n v="0"/>
    <n v="0"/>
    <m/>
  </r>
  <r>
    <n v="742"/>
    <d v="2025-08-20T00:00:00"/>
    <s v="ZBTF"/>
    <m/>
    <m/>
    <s v="9519016025-2"/>
    <s v="Stocks"/>
    <x v="0"/>
    <x v="9"/>
    <m/>
    <x v="2"/>
    <x v="4"/>
    <s v="South"/>
    <m/>
    <m/>
    <m/>
    <s v="TUBES DIVISION"/>
    <n v="2279503"/>
    <s v="CRCA COIL TSBHSQ TU99 1.600X1270"/>
    <s v="C01"/>
    <s v="TSBHSQ"/>
    <s v="TU99"/>
    <n v="1.6"/>
    <n v="1270"/>
    <m/>
    <m/>
    <m/>
    <m/>
    <n v="12.78"/>
    <n v="0"/>
    <n v="0"/>
    <n v="0"/>
    <n v="0"/>
    <n v="0"/>
    <n v="0"/>
    <n v="12.78"/>
    <n v="12.78"/>
    <n v="0"/>
    <n v="0"/>
    <n v="0"/>
    <n v="0"/>
    <n v="0"/>
    <m/>
  </r>
  <r>
    <n v="742"/>
    <d v="2025-08-29T00:00:00"/>
    <s v="ZBTO"/>
    <m/>
    <m/>
    <s v="9519025593-5"/>
    <s v="Stocks"/>
    <x v="0"/>
    <x v="7"/>
    <m/>
    <x v="0"/>
    <x v="0"/>
    <s v="North"/>
    <m/>
    <m/>
    <m/>
    <s v="O.V.S. ISPAT UDYOG"/>
    <n v="3240787"/>
    <s v="CRCA SHEET TSBCRC SR15 0.700X1250X1930"/>
    <s v="C06"/>
    <s v="TSBCRC"/>
    <s v="SR15"/>
    <n v="0.7"/>
    <n v="1250"/>
    <m/>
    <m/>
    <m/>
    <m/>
    <n v="4.2200000000000006"/>
    <n v="0"/>
    <n v="0"/>
    <n v="0"/>
    <n v="0"/>
    <n v="0"/>
    <n v="0"/>
    <n v="4.2200000000000006"/>
    <n v="4.2200000000000006"/>
    <n v="0"/>
    <n v="0"/>
    <n v="0"/>
    <n v="0"/>
    <n v="0"/>
    <m/>
  </r>
  <r>
    <n v="743"/>
    <d v="2025-08-29T00:00:00"/>
    <s v="ZBTO"/>
    <m/>
    <m/>
    <s v="9519031945-2"/>
    <s v="Stocks"/>
    <x v="2"/>
    <x v="5"/>
    <m/>
    <x v="0"/>
    <x v="0"/>
    <s v="East"/>
    <m/>
    <m/>
    <m/>
    <s v="BHARTIA  DISTRIBUTORS PVT. LTD"/>
    <n v="3484326"/>
    <s v="GP SH SOFT TATXGP GK09 0.400X900X2500"/>
    <s v="B11"/>
    <s v="TATXGP"/>
    <s v="GK09"/>
    <n v="0.4"/>
    <n v="900"/>
    <m/>
    <m/>
    <m/>
    <m/>
    <n v="56.295000000000002"/>
    <n v="0"/>
    <n v="0"/>
    <n v="0"/>
    <n v="0"/>
    <n v="0"/>
    <n v="0"/>
    <n v="56.295000000000002"/>
    <n v="56.295000000000002"/>
    <n v="0"/>
    <n v="0"/>
    <n v="0"/>
    <n v="0"/>
    <n v="0"/>
    <m/>
  </r>
  <r>
    <n v="744"/>
    <d v="2025-08-20T00:00:00"/>
    <s v="ZBTO"/>
    <m/>
    <m/>
    <s v="9519032306-1"/>
    <s v="Stocks"/>
    <x v="1"/>
    <x v="1"/>
    <m/>
    <x v="1"/>
    <x v="1"/>
    <s v="TBSPL"/>
    <m/>
    <m/>
    <m/>
    <s v="TATA BLUESCOPE STEEL PVT LTD."/>
    <n v="3522241"/>
    <s v="PPGL C Y550 D0C7 0.43BMT(0.47TPT)X1220"/>
    <s v="B18"/>
    <s v="Y550PL"/>
    <s v="D0C7"/>
    <n v="0.43"/>
    <n v="1220"/>
    <m/>
    <m/>
    <m/>
    <m/>
    <n v="2.8149999999999999"/>
    <n v="0"/>
    <n v="0"/>
    <n v="0"/>
    <n v="0"/>
    <n v="0"/>
    <n v="0"/>
    <n v="2.8149999999999999"/>
    <n v="0"/>
    <n v="2.8149999999999999"/>
    <n v="0"/>
    <n v="0"/>
    <n v="0"/>
    <n v="0"/>
    <m/>
  </r>
  <r>
    <n v="742"/>
    <m/>
    <s v="ZBTC"/>
    <m/>
    <m/>
    <s v="9519035254-1"/>
    <s v="Stocks"/>
    <x v="0"/>
    <x v="0"/>
    <m/>
    <x v="0"/>
    <x v="0"/>
    <s v="South"/>
    <m/>
    <m/>
    <m/>
    <s v="SITARAM IRON AND STEEL PVT LTD"/>
    <n v="3867647"/>
    <s v="CR COIL TATXXD BT03 0.600X1120"/>
    <s v="C01"/>
    <s v="TATXXD"/>
    <s v="BT03"/>
    <n v="0.6"/>
    <n v="1120"/>
    <m/>
    <m/>
    <m/>
    <m/>
    <n v="7.9"/>
    <n v="0"/>
    <n v="0"/>
    <n v="0"/>
    <n v="0"/>
    <n v="0"/>
    <n v="0"/>
    <n v="7.9"/>
    <n v="7.9"/>
    <n v="0"/>
    <n v="0"/>
    <n v="0"/>
    <n v="0"/>
    <n v="0"/>
    <m/>
  </r>
  <r>
    <n v="744"/>
    <d v="2025-08-21T00:00:00"/>
    <s v="ZBTO"/>
    <m/>
    <m/>
    <s v="9519035613-4"/>
    <s v="Stocks"/>
    <x v="1"/>
    <x v="1"/>
    <m/>
    <x v="1"/>
    <x v="1"/>
    <s v="TBSPL"/>
    <m/>
    <m/>
    <m/>
    <s v="TATA BLUESCOPE STEEL PVT LTD."/>
    <n v="3522241"/>
    <s v="PPGL C Y550 D0C7 0.43BMT(0.47TPT)X1220"/>
    <s v="B18"/>
    <s v="Y550PL"/>
    <s v="D0C7"/>
    <n v="0.43"/>
    <n v="1220"/>
    <m/>
    <m/>
    <m/>
    <m/>
    <n v="53.904999999999994"/>
    <n v="0"/>
    <n v="0"/>
    <n v="0"/>
    <n v="0"/>
    <n v="0"/>
    <n v="0"/>
    <n v="53.904999999999994"/>
    <n v="0"/>
    <n v="53.904999999999994"/>
    <n v="0"/>
    <n v="0"/>
    <n v="0"/>
    <n v="0"/>
    <m/>
  </r>
  <r>
    <n v="743"/>
    <d v="2025-08-21T00:00:00"/>
    <s v="ZBTO"/>
    <m/>
    <m/>
    <s v="9519036122-1"/>
    <s v="Stocks"/>
    <x v="3"/>
    <x v="1"/>
    <m/>
    <x v="1"/>
    <x v="1"/>
    <s v="TBSPL"/>
    <m/>
    <m/>
    <m/>
    <s v="TATA BLUESCOPE STEEL PRIVATE L"/>
    <n v="3946364"/>
    <s v="GL COIL HARD Y550GL M308 0.50 (TCT)X1220"/>
    <s v="B04"/>
    <s v="Y550GL"/>
    <s v="M308"/>
    <n v="0.5"/>
    <n v="1220"/>
    <m/>
    <m/>
    <m/>
    <m/>
    <n v="13.76"/>
    <n v="0"/>
    <n v="0"/>
    <n v="0"/>
    <n v="0"/>
    <n v="0"/>
    <n v="0"/>
    <n v="13.76"/>
    <n v="0"/>
    <n v="13.76"/>
    <n v="0"/>
    <n v="0"/>
    <n v="0"/>
    <n v="0"/>
    <m/>
  </r>
  <r>
    <n v="743"/>
    <d v="2025-08-21T00:00:00"/>
    <s v="ZBTO"/>
    <m/>
    <m/>
    <s v="9519036122-2"/>
    <s v="Stocks"/>
    <x v="3"/>
    <x v="1"/>
    <m/>
    <x v="1"/>
    <x v="1"/>
    <s v="TBSPL"/>
    <m/>
    <m/>
    <m/>
    <s v="TATA BLUESCOPE STEEL PRIVATE L"/>
    <n v="3946364"/>
    <s v="GL COIL HARD Y550GL M308 0.50 (TCT)X1220"/>
    <s v="B04"/>
    <s v="Y550GL"/>
    <s v="M308"/>
    <n v="0.5"/>
    <n v="1220"/>
    <m/>
    <m/>
    <m/>
    <m/>
    <n v="66.88"/>
    <n v="0"/>
    <n v="0"/>
    <n v="0"/>
    <n v="0"/>
    <n v="0"/>
    <n v="0"/>
    <n v="66.88"/>
    <n v="0"/>
    <n v="66.88"/>
    <n v="0"/>
    <n v="0"/>
    <n v="0"/>
    <n v="0"/>
    <m/>
  </r>
  <r>
    <n v="743"/>
    <d v="2025-08-21T00:00:00"/>
    <s v="ZBTO"/>
    <m/>
    <m/>
    <s v="9519036122-3"/>
    <s v="Stocks"/>
    <x v="3"/>
    <x v="1"/>
    <m/>
    <x v="1"/>
    <x v="1"/>
    <s v="TBSPL"/>
    <m/>
    <m/>
    <m/>
    <s v="TATA BLUESCOPE STEEL PRIVATE L"/>
    <n v="3946364"/>
    <s v="GL COIL HARD Y550GL M308 0.50 (TCT)X1220"/>
    <s v="B04"/>
    <s v="Y550GL"/>
    <s v="M308"/>
    <n v="0.5"/>
    <n v="1220"/>
    <m/>
    <m/>
    <m/>
    <m/>
    <n v="27.45"/>
    <n v="0"/>
    <n v="0"/>
    <n v="0"/>
    <n v="0"/>
    <n v="0"/>
    <n v="0"/>
    <n v="27.45"/>
    <n v="0"/>
    <n v="0"/>
    <n v="27.45"/>
    <n v="0"/>
    <n v="0"/>
    <n v="0"/>
    <m/>
  </r>
  <r>
    <n v="743"/>
    <d v="2025-08-21T00:00:00"/>
    <s v="ZBTO"/>
    <m/>
    <m/>
    <s v="9519036122-4"/>
    <s v="Stocks"/>
    <x v="3"/>
    <x v="1"/>
    <m/>
    <x v="1"/>
    <x v="1"/>
    <s v="TBSPL"/>
    <m/>
    <m/>
    <m/>
    <s v="TATA BLUESCOPE STEEL PRIVATE L"/>
    <n v="3946364"/>
    <s v="GL COIL HARD Y550GL M308 0.50 (TCT)X1220"/>
    <s v="B04"/>
    <s v="Y550GL"/>
    <s v="M308"/>
    <n v="0.5"/>
    <n v="1220"/>
    <m/>
    <m/>
    <m/>
    <m/>
    <n v="27.279999999999998"/>
    <n v="0"/>
    <n v="0"/>
    <n v="0"/>
    <n v="0"/>
    <n v="0"/>
    <n v="0"/>
    <n v="27.279999999999998"/>
    <n v="0"/>
    <n v="0"/>
    <n v="27.279999999999998"/>
    <n v="0"/>
    <n v="0"/>
    <n v="0"/>
    <m/>
  </r>
  <r>
    <n v="743"/>
    <d v="2025-08-21T00:00:00"/>
    <s v="ZBTO"/>
    <m/>
    <m/>
    <s v="9519036122-5"/>
    <s v="Stocks"/>
    <x v="3"/>
    <x v="1"/>
    <m/>
    <x v="1"/>
    <x v="1"/>
    <s v="TBSPL"/>
    <m/>
    <m/>
    <m/>
    <s v="TATA BLUESCOPE STEEL PRIVATE L"/>
    <n v="3946364"/>
    <s v="GL COIL HARD Y550GL M308 0.50 (TCT)X1220"/>
    <s v="B04"/>
    <s v="Y550GL"/>
    <s v="M308"/>
    <n v="0.5"/>
    <n v="1220"/>
    <m/>
    <m/>
    <m/>
    <m/>
    <n v="60.765000000000001"/>
    <n v="0"/>
    <n v="0"/>
    <n v="0"/>
    <n v="0"/>
    <n v="0"/>
    <n v="0"/>
    <n v="60.765000000000001"/>
    <n v="0"/>
    <n v="0"/>
    <n v="60.765000000000001"/>
    <n v="0"/>
    <n v="0"/>
    <n v="0"/>
    <m/>
  </r>
  <r>
    <n v="743"/>
    <d v="2025-08-21T00:00:00"/>
    <s v="ZBTO"/>
    <m/>
    <m/>
    <s v="9519036122-9"/>
    <s v="Stocks"/>
    <x v="3"/>
    <x v="1"/>
    <m/>
    <x v="1"/>
    <x v="1"/>
    <s v="TBSPL"/>
    <m/>
    <m/>
    <m/>
    <s v="TATA BLUESCOPE STEEL PRIVATE L"/>
    <n v="3946364"/>
    <s v="GL COIL HARD Y550GL M308 0.50 (TCT)X1220"/>
    <s v="B04"/>
    <s v="Y550GL"/>
    <s v="M308"/>
    <n v="0.5"/>
    <n v="1220"/>
    <m/>
    <m/>
    <m/>
    <m/>
    <n v="16.97"/>
    <n v="0"/>
    <n v="0"/>
    <n v="0"/>
    <n v="0"/>
    <n v="0"/>
    <n v="0"/>
    <n v="16.97"/>
    <n v="0"/>
    <n v="0"/>
    <n v="16.97"/>
    <n v="0"/>
    <n v="0"/>
    <n v="0"/>
    <m/>
  </r>
  <r>
    <n v="743"/>
    <d v="2025-08-22T00:00:00"/>
    <s v="ZBTO"/>
    <m/>
    <m/>
    <s v="9519036674-6"/>
    <s v="Stocks"/>
    <x v="3"/>
    <x v="14"/>
    <m/>
    <x v="1"/>
    <x v="1"/>
    <s v="East"/>
    <m/>
    <m/>
    <m/>
    <s v="JINDAL INDIA LIMITED"/>
    <n v="3988091"/>
    <s v="GL COIL HARD  Y550GL H7GL 0.440X1240"/>
    <s v="B04"/>
    <s v="Y550GL"/>
    <s v="H7GL"/>
    <n v="0.44"/>
    <n v="1240"/>
    <m/>
    <m/>
    <m/>
    <m/>
    <n v="13.9"/>
    <n v="0"/>
    <n v="0"/>
    <n v="0"/>
    <n v="0"/>
    <n v="0"/>
    <n v="0"/>
    <n v="13.9"/>
    <n v="13.9"/>
    <n v="0"/>
    <n v="0"/>
    <n v="0"/>
    <n v="0"/>
    <n v="0"/>
    <m/>
  </r>
  <r>
    <n v="742"/>
    <d v="2025-08-29T00:00:00"/>
    <s v="ZBTO"/>
    <m/>
    <m/>
    <s v="9519039752-1"/>
    <s v="Stocks"/>
    <x v="0"/>
    <x v="2"/>
    <m/>
    <x v="1"/>
    <x v="1"/>
    <s v="West"/>
    <m/>
    <m/>
    <m/>
    <s v="Galaxy Stamping Pvt. Ltd."/>
    <n v="1804785"/>
    <s v="CRCA COIL-TATCRC-TR20-0.5X1250"/>
    <s v="C01"/>
    <s v="TATCRC"/>
    <s v="TR20"/>
    <n v="0.5"/>
    <n v="1250"/>
    <m/>
    <m/>
    <m/>
    <m/>
    <n v="19.39"/>
    <n v="0"/>
    <n v="0"/>
    <n v="0"/>
    <n v="0"/>
    <n v="0"/>
    <n v="0"/>
    <n v="19.39"/>
    <n v="19.39"/>
    <n v="0"/>
    <n v="0"/>
    <n v="0"/>
    <n v="0"/>
    <n v="0"/>
    <m/>
  </r>
  <r>
    <n v="742"/>
    <d v="2025-08-29T00:00:00"/>
    <s v="ZBTO"/>
    <m/>
    <m/>
    <s v="9519040022-1"/>
    <s v="Stocks"/>
    <x v="0"/>
    <x v="2"/>
    <m/>
    <x v="1"/>
    <x v="1"/>
    <s v="West"/>
    <m/>
    <m/>
    <m/>
    <s v="Balmer Lawrie And Company Limi"/>
    <n v="2164792"/>
    <s v="CRCA COIL TATXXD BT02 0.900X913"/>
    <s v="C01"/>
    <s v="TATXXD"/>
    <s v="BT02"/>
    <n v="0.9"/>
    <n v="913"/>
    <m/>
    <m/>
    <m/>
    <m/>
    <n v="17.79"/>
    <n v="0"/>
    <n v="0"/>
    <n v="0"/>
    <n v="0"/>
    <n v="0"/>
    <n v="0"/>
    <n v="17.79"/>
    <n v="17.79"/>
    <n v="0"/>
    <n v="0"/>
    <n v="0"/>
    <n v="0"/>
    <n v="0"/>
    <m/>
  </r>
  <r>
    <n v="742"/>
    <d v="2025-08-22T00:00:00"/>
    <s v="ZBTO"/>
    <m/>
    <m/>
    <s v="9519040469-1"/>
    <s v="Stocks"/>
    <x v="0"/>
    <x v="2"/>
    <m/>
    <x v="1"/>
    <x v="1"/>
    <s v="West"/>
    <m/>
    <m/>
    <m/>
    <s v="Balmer Lawrie And Co. Ltd."/>
    <n v="3683012"/>
    <s v="CR COIL TATXXD BT01 0.970X1215"/>
    <s v="C01"/>
    <s v="TATXXD"/>
    <s v="BT01"/>
    <n v="0.97"/>
    <n v="1215"/>
    <m/>
    <m/>
    <m/>
    <m/>
    <n v="7.34"/>
    <n v="0"/>
    <n v="0"/>
    <n v="0"/>
    <n v="0"/>
    <n v="0"/>
    <n v="0"/>
    <n v="7.34"/>
    <n v="7.34"/>
    <n v="0"/>
    <n v="0"/>
    <n v="0"/>
    <n v="0"/>
    <n v="0"/>
    <m/>
  </r>
  <r>
    <n v="744"/>
    <d v="2025-08-26T00:00:00"/>
    <s v="ZBTO"/>
    <m/>
    <m/>
    <s v="9519050617-2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7.49"/>
    <n v="0"/>
    <n v="0"/>
    <n v="0"/>
    <n v="0"/>
    <n v="0"/>
    <n v="0"/>
    <n v="7.49"/>
    <n v="0"/>
    <n v="7.49"/>
    <n v="0"/>
    <n v="0"/>
    <n v="0"/>
    <n v="0"/>
    <m/>
  </r>
  <r>
    <n v="742"/>
    <m/>
    <s v="ZBTC"/>
    <m/>
    <m/>
    <s v="9519050947-2"/>
    <s v="Stocks"/>
    <x v="0"/>
    <x v="4"/>
    <m/>
    <x v="0"/>
    <x v="0"/>
    <s v="South"/>
    <m/>
    <m/>
    <m/>
    <s v="G K ISPAT PRIVATE LIMITED"/>
    <n v="187529"/>
    <s v="CR COIL-ICF  DQ TATXXD AU03 1.20 X 1250"/>
    <s v="C01"/>
    <s v="TATXXD"/>
    <s v="AU03"/>
    <n v="1.2"/>
    <n v="1250"/>
    <m/>
    <m/>
    <m/>
    <m/>
    <n v="25.395"/>
    <n v="0"/>
    <n v="0"/>
    <n v="0"/>
    <n v="0"/>
    <n v="0"/>
    <n v="0"/>
    <n v="25.395"/>
    <n v="25.395"/>
    <n v="0"/>
    <n v="0"/>
    <n v="0"/>
    <n v="0"/>
    <n v="0"/>
    <m/>
  </r>
  <r>
    <n v="743"/>
    <d v="2025-08-27T00:00:00"/>
    <s v="ZBTO"/>
    <m/>
    <m/>
    <s v="9519051431-1"/>
    <s v="Stocks"/>
    <x v="3"/>
    <x v="1"/>
    <m/>
    <x v="1"/>
    <x v="1"/>
    <s v="TBSPL"/>
    <m/>
    <m/>
    <m/>
    <s v="TATA BLUESCOPE STEEL PRIVATE L"/>
    <n v="1882051"/>
    <s v="GL COIL HARD Y550GL H6GL 0.90 X 1250"/>
    <s v="B04"/>
    <s v="Y550GL"/>
    <s v="H6GL"/>
    <n v="0.9"/>
    <n v="1250"/>
    <m/>
    <m/>
    <m/>
    <m/>
    <n v="8.59"/>
    <n v="0"/>
    <n v="0"/>
    <n v="0"/>
    <n v="0"/>
    <n v="0"/>
    <n v="0"/>
    <n v="8.59"/>
    <n v="0"/>
    <n v="0"/>
    <n v="8.59"/>
    <n v="0"/>
    <n v="0"/>
    <n v="0"/>
    <m/>
  </r>
  <r>
    <n v="743"/>
    <d v="2025-08-27T00:00:00"/>
    <s v="ZBTO"/>
    <m/>
    <m/>
    <s v="9519051431-2"/>
    <s v="Stocks"/>
    <x v="3"/>
    <x v="1"/>
    <m/>
    <x v="1"/>
    <x v="1"/>
    <s v="TBSPL"/>
    <m/>
    <m/>
    <m/>
    <s v="TATA BLUESCOPE STEEL PRIVATE L"/>
    <n v="1882051"/>
    <s v="GL COIL HARD Y550GL H6GL 0.90 X 1250"/>
    <s v="B04"/>
    <s v="Y550GL"/>
    <s v="H6GL"/>
    <n v="0.9"/>
    <n v="1250"/>
    <m/>
    <m/>
    <m/>
    <m/>
    <n v="93.95"/>
    <n v="0"/>
    <n v="0"/>
    <n v="0"/>
    <n v="0"/>
    <n v="0"/>
    <n v="0"/>
    <n v="93.95"/>
    <n v="0"/>
    <n v="0"/>
    <n v="93.95"/>
    <n v="0"/>
    <n v="0"/>
    <n v="0"/>
    <m/>
  </r>
  <r>
    <n v="743"/>
    <m/>
    <s v="ZBTC"/>
    <m/>
    <m/>
    <s v="9519051785-1"/>
    <s v="Stocks"/>
    <x v="3"/>
    <x v="1"/>
    <m/>
    <x v="1"/>
    <x v="1"/>
    <s v="TBSPL"/>
    <m/>
    <m/>
    <m/>
    <s v="TATA BLUESCOPE STEEL PRIVATE L"/>
    <n v="3946362"/>
    <s v="GL COIL HARD Y550GL M308 0.47 (TCT)X1220"/>
    <s v="B04"/>
    <s v="Y550GL"/>
    <s v="M308"/>
    <n v="0.47"/>
    <n v="1220"/>
    <m/>
    <m/>
    <m/>
    <m/>
    <n v="96.485000000000014"/>
    <n v="0"/>
    <n v="0"/>
    <n v="0"/>
    <n v="0"/>
    <n v="0"/>
    <n v="0"/>
    <n v="96.485000000000014"/>
    <n v="0"/>
    <n v="0"/>
    <n v="96.485000000000014"/>
    <n v="0"/>
    <n v="0"/>
    <n v="0"/>
    <m/>
  </r>
  <r>
    <n v="743"/>
    <m/>
    <s v="ZBTC"/>
    <m/>
    <m/>
    <s v="9519069463-1"/>
    <s v="Stocks"/>
    <x v="3"/>
    <x v="1"/>
    <m/>
    <x v="1"/>
    <x v="1"/>
    <s v="TBSPL"/>
    <m/>
    <m/>
    <m/>
    <s v="TATA BLUESCOPE STEEL PRIVATE L"/>
    <n v="1882051"/>
    <s v="GL COIL HARD Y550GL H6GL 0.90 X 1250"/>
    <s v="B04"/>
    <s v="Y550GL"/>
    <s v="H6GL"/>
    <n v="0.9"/>
    <n v="1250"/>
    <m/>
    <m/>
    <m/>
    <m/>
    <n v="25.574999999999999"/>
    <n v="0"/>
    <n v="0"/>
    <n v="0"/>
    <n v="0"/>
    <n v="0"/>
    <n v="0"/>
    <n v="25.574999999999999"/>
    <n v="0"/>
    <n v="0"/>
    <n v="25.574999999999999"/>
    <n v="0"/>
    <n v="0"/>
    <n v="0"/>
    <m/>
  </r>
  <r>
    <n v="743"/>
    <m/>
    <s v="ZBTC"/>
    <m/>
    <m/>
    <s v="9519092714-2"/>
    <s v="Stocks"/>
    <x v="3"/>
    <x v="1"/>
    <m/>
    <x v="1"/>
    <x v="1"/>
    <s v="TBSPL"/>
    <m/>
    <m/>
    <m/>
    <s v="TATA BLUESCOPE STEEL PRIVATE L"/>
    <n v="3946363"/>
    <s v="GL COIL HARD Y550GL M308 0.60 (TCT)X1220"/>
    <s v="B04"/>
    <s v="Y550GL"/>
    <s v="M308"/>
    <n v="0.6"/>
    <n v="1220"/>
    <m/>
    <m/>
    <m/>
    <m/>
    <n v="76.185000000000002"/>
    <n v="0"/>
    <n v="0"/>
    <n v="0"/>
    <n v="0"/>
    <n v="0"/>
    <n v="0"/>
    <n v="76.185000000000002"/>
    <n v="0"/>
    <n v="0"/>
    <n v="76.185000000000002"/>
    <n v="0"/>
    <n v="0"/>
    <n v="0"/>
    <m/>
  </r>
  <r>
    <n v="742"/>
    <m/>
    <s v="ZBTC"/>
    <m/>
    <m/>
    <s v="9519092720-2"/>
    <s v="Stocks"/>
    <x v="0"/>
    <x v="7"/>
    <m/>
    <x v="0"/>
    <x v="0"/>
    <s v="East"/>
    <m/>
    <m/>
    <m/>
    <s v="SAGAR STEELS"/>
    <n v="3515913"/>
    <s v="CR COIL TSBCRC SR25 0.500X900"/>
    <s v="C01"/>
    <s v="TSBCRC"/>
    <s v="SR25"/>
    <n v="0.5"/>
    <n v="900"/>
    <m/>
    <m/>
    <m/>
    <m/>
    <n v="18.84"/>
    <n v="0"/>
    <n v="0"/>
    <n v="0"/>
    <n v="0"/>
    <n v="0"/>
    <n v="0"/>
    <n v="18.84"/>
    <n v="18.84"/>
    <n v="0"/>
    <n v="0"/>
    <n v="0"/>
    <n v="0"/>
    <n v="0"/>
    <m/>
  </r>
  <r>
    <n v="744"/>
    <m/>
    <s v="ZBTC"/>
    <m/>
    <m/>
    <s v="9519092832-4"/>
    <s v="Stocks"/>
    <x v="1"/>
    <x v="1"/>
    <m/>
    <x v="1"/>
    <x v="1"/>
    <s v="TBSPL"/>
    <m/>
    <m/>
    <m/>
    <s v="TATA BLUESCOPE STEEL PRIVATE L"/>
    <n v="1635150"/>
    <s v="PPGL C Y550 HPL3 0.50BMT(0.58TPT)X1220"/>
    <s v="B18"/>
    <s v="Y550PL"/>
    <s v="HPL3"/>
    <n v="0.5"/>
    <n v="1220"/>
    <m/>
    <m/>
    <m/>
    <m/>
    <n v="1.925"/>
    <n v="0"/>
    <n v="0"/>
    <n v="0"/>
    <n v="0"/>
    <n v="0"/>
    <n v="0"/>
    <n v="1.925"/>
    <n v="0"/>
    <n v="1.925"/>
    <n v="0"/>
    <n v="0"/>
    <n v="0"/>
    <n v="0"/>
    <m/>
  </r>
  <r>
    <n v="743"/>
    <m/>
    <s v="ZBTC"/>
    <m/>
    <m/>
    <s v="9519096418-1"/>
    <s v="Stocks"/>
    <x v="3"/>
    <x v="1"/>
    <m/>
    <x v="1"/>
    <x v="1"/>
    <s v="TBSPL"/>
    <m/>
    <m/>
    <m/>
    <s v="TATA BLUESCOPE STEEL PRIVATE L"/>
    <n v="3856038"/>
    <s v="GL C YS550 M306 0.33BMT(0.35TCT)X1000"/>
    <s v="B04"/>
    <s v="Y550GL"/>
    <s v="M306"/>
    <n v="0.33"/>
    <n v="1000"/>
    <m/>
    <m/>
    <m/>
    <m/>
    <n v="4.1500000000000004"/>
    <n v="0"/>
    <n v="0"/>
    <n v="0"/>
    <n v="0"/>
    <n v="0"/>
    <n v="0"/>
    <n v="4.1500000000000004"/>
    <n v="0"/>
    <n v="0"/>
    <n v="4.1500000000000004"/>
    <n v="0"/>
    <n v="0"/>
    <n v="0"/>
    <m/>
  </r>
  <r>
    <n v="742"/>
    <m/>
    <s v="ZBTC"/>
    <m/>
    <m/>
    <s v="9519098192-4"/>
    <s v="Stocks"/>
    <x v="0"/>
    <x v="7"/>
    <m/>
    <x v="0"/>
    <x v="0"/>
    <s v="East"/>
    <m/>
    <m/>
    <m/>
    <s v="Shree Bajrang Steel Udyog"/>
    <n v="3240785"/>
    <s v="CRCA SHEET TSBCRC SR15 0.600X1250X2500"/>
    <s v="C06"/>
    <s v="TSBCRC"/>
    <s v="SR15"/>
    <n v="0.6"/>
    <n v="1250"/>
    <m/>
    <m/>
    <m/>
    <m/>
    <n v="2.7"/>
    <n v="0"/>
    <n v="0"/>
    <n v="0"/>
    <n v="0"/>
    <n v="0"/>
    <n v="0"/>
    <n v="2.7"/>
    <n v="2.7"/>
    <n v="0"/>
    <n v="0"/>
    <n v="0"/>
    <n v="0"/>
    <n v="0"/>
    <m/>
  </r>
  <r>
    <n v="744"/>
    <m/>
    <s v="ZBTC"/>
    <m/>
    <m/>
    <s v="9519108485-5"/>
    <s v="Stocks"/>
    <x v="1"/>
    <x v="1"/>
    <m/>
    <x v="1"/>
    <x v="1"/>
    <s v="TBSPL"/>
    <m/>
    <m/>
    <m/>
    <s v="TATA BLUESCOPE STEEL PRIVATE L"/>
    <n v="3996225"/>
    <s v="PPGL C Y550 HPL6 0.40BMT(0.47TPT)X1220"/>
    <s v="B18"/>
    <s v="Y550PL"/>
    <s v="HPL6"/>
    <n v="0.4"/>
    <n v="1220"/>
    <m/>
    <m/>
    <m/>
    <m/>
    <n v="5.05"/>
    <n v="0"/>
    <n v="0"/>
    <n v="0"/>
    <n v="0"/>
    <n v="0"/>
    <n v="0"/>
    <n v="5.05"/>
    <n v="0"/>
    <n v="5.05"/>
    <n v="0"/>
    <n v="0"/>
    <n v="0"/>
    <n v="0"/>
    <m/>
  </r>
  <r>
    <n v="744"/>
    <m/>
    <s v="ZBTC"/>
    <m/>
    <m/>
    <s v="9519108485-6"/>
    <s v="Stocks"/>
    <x v="1"/>
    <x v="1"/>
    <m/>
    <x v="1"/>
    <x v="1"/>
    <s v="TBSPL"/>
    <m/>
    <m/>
    <m/>
    <s v="TATA BLUESCOPE STEEL PRIVATE L"/>
    <n v="3996225"/>
    <s v="PPGL C Y550 HPL6 0.40BMT(0.47TPT)X1220"/>
    <s v="B18"/>
    <s v="Y550PL"/>
    <s v="HPL6"/>
    <n v="0.4"/>
    <n v="1220"/>
    <m/>
    <m/>
    <m/>
    <m/>
    <n v="1.9450000000000001"/>
    <n v="0"/>
    <n v="0"/>
    <n v="0"/>
    <n v="0"/>
    <n v="0"/>
    <n v="0"/>
    <n v="1.9450000000000001"/>
    <n v="0"/>
    <n v="1.9450000000000001"/>
    <n v="0"/>
    <n v="0"/>
    <n v="0"/>
    <n v="0"/>
    <m/>
  </r>
  <r>
    <n v="742"/>
    <m/>
    <s v="ZBTC"/>
    <m/>
    <m/>
    <s v="9519112820-2"/>
    <s v="Stocks"/>
    <x v="0"/>
    <x v="4"/>
    <m/>
    <x v="0"/>
    <x v="0"/>
    <s v="North"/>
    <m/>
    <m/>
    <m/>
    <s v="G R GUPTA &amp; BROS"/>
    <n v="1804908"/>
    <s v="CRCA COIL TATCRC TR15 0.5X1250"/>
    <s v="C01"/>
    <s v="TATCRC"/>
    <s v="TR15"/>
    <n v="0.5"/>
    <n v="1250"/>
    <m/>
    <m/>
    <m/>
    <m/>
    <n v="8.69"/>
    <n v="0"/>
    <n v="0"/>
    <n v="0"/>
    <n v="0"/>
    <n v="0"/>
    <n v="0"/>
    <n v="8.69"/>
    <n v="8.69"/>
    <n v="0"/>
    <n v="0"/>
    <n v="0"/>
    <n v="0"/>
    <n v="0"/>
    <m/>
  </r>
  <r>
    <n v="742"/>
    <m/>
    <s v="ZBTC"/>
    <m/>
    <m/>
    <s v="9519114466-3"/>
    <s v="Stocks"/>
    <x v="0"/>
    <x v="7"/>
    <m/>
    <x v="0"/>
    <x v="0"/>
    <s v="North"/>
    <m/>
    <m/>
    <m/>
    <s v="SWASTIK STEEL PROCESSOR LLP"/>
    <n v="3914106"/>
    <s v="CRCA SHEET TSBCRC SR15 0.550X1250X2500"/>
    <s v="C06"/>
    <s v="TSBCRC"/>
    <s v="SR15"/>
    <n v="0.55000000000000004"/>
    <n v="1250"/>
    <m/>
    <m/>
    <m/>
    <m/>
    <n v="2.9"/>
    <n v="0"/>
    <n v="0"/>
    <n v="0"/>
    <n v="0"/>
    <n v="0"/>
    <n v="0"/>
    <n v="2.9"/>
    <n v="2.9"/>
    <n v="0"/>
    <n v="0"/>
    <n v="0"/>
    <n v="0"/>
    <n v="0"/>
    <m/>
  </r>
  <r>
    <n v="742"/>
    <m/>
    <s v="ZBTC"/>
    <m/>
    <m/>
    <s v="9519136720-2"/>
    <s v="Stocks"/>
    <x v="0"/>
    <x v="4"/>
    <m/>
    <x v="0"/>
    <x v="0"/>
    <s v="South"/>
    <m/>
    <m/>
    <m/>
    <s v="SRI BALAJI STEEL TRADERS"/>
    <n v="187538"/>
    <s v="CR COIL-ICF TATXXD AU03 1.60X1250"/>
    <s v="C01"/>
    <s v="TATXXD"/>
    <s v="AU03"/>
    <n v="1.6"/>
    <n v="1250"/>
    <m/>
    <m/>
    <m/>
    <m/>
    <n v="7.64"/>
    <n v="0"/>
    <n v="0"/>
    <n v="0"/>
    <n v="0"/>
    <n v="0"/>
    <n v="0"/>
    <n v="7.64"/>
    <n v="7.64"/>
    <n v="0"/>
    <n v="0"/>
    <n v="0"/>
    <n v="0"/>
    <n v="0"/>
    <m/>
  </r>
  <r>
    <n v="743"/>
    <m/>
    <s v="ZBTC"/>
    <m/>
    <m/>
    <s v="9519138592-1"/>
    <s v="Stocks"/>
    <x v="3"/>
    <x v="1"/>
    <m/>
    <x v="1"/>
    <x v="1"/>
    <s v="TBSPL"/>
    <m/>
    <m/>
    <m/>
    <s v="TATA BLUESCOPE STEEL PRIVATE L"/>
    <n v="3239573"/>
    <s v="GL C YS550 H6GL 0.42BMT(0.47TCT)X1220"/>
    <s v="B04"/>
    <s v="Y550GL"/>
    <s v="H6GL"/>
    <n v="0.42"/>
    <n v="1220"/>
    <m/>
    <m/>
    <m/>
    <m/>
    <n v="17.954999999999998"/>
    <n v="0"/>
    <n v="0"/>
    <n v="0"/>
    <n v="0"/>
    <n v="0"/>
    <n v="0"/>
    <n v="17.954999999999998"/>
    <n v="0"/>
    <n v="0"/>
    <n v="17.954999999999998"/>
    <n v="0"/>
    <n v="0"/>
    <n v="0"/>
    <m/>
  </r>
  <r>
    <n v="744"/>
    <m/>
    <s v="ZBTC"/>
    <m/>
    <m/>
    <s v="9519138677-7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43.34"/>
    <n v="0"/>
    <n v="0"/>
    <n v="0"/>
    <n v="0"/>
    <n v="0"/>
    <n v="0"/>
    <n v="43.34"/>
    <n v="0"/>
    <n v="43.34"/>
    <n v="0"/>
    <n v="0"/>
    <n v="0"/>
    <n v="0"/>
    <m/>
  </r>
  <r>
    <n v="744"/>
    <m/>
    <s v="ZBTC"/>
    <m/>
    <m/>
    <s v="9519138677-8"/>
    <s v="Stocks"/>
    <x v="1"/>
    <x v="1"/>
    <m/>
    <x v="1"/>
    <x v="1"/>
    <s v="TBSPL"/>
    <m/>
    <m/>
    <m/>
    <s v="TATA BLUESCOPE STEEL PRIVATE L"/>
    <n v="3902332"/>
    <s v="PPGL C HARD Y550PL D0C9 0.50(TPT)X1220"/>
    <s v="B18"/>
    <s v="Y550PL"/>
    <s v="D0C9"/>
    <n v="0.5"/>
    <n v="1220"/>
    <m/>
    <m/>
    <m/>
    <m/>
    <n v="49.839999999999996"/>
    <n v="0"/>
    <n v="0"/>
    <n v="0"/>
    <n v="0"/>
    <n v="0"/>
    <n v="0"/>
    <n v="49.839999999999996"/>
    <n v="0"/>
    <n v="49.839999999999996"/>
    <n v="0"/>
    <n v="0"/>
    <n v="0"/>
    <n v="0"/>
    <m/>
  </r>
  <r>
    <n v="742"/>
    <m/>
    <s v="ZBTC"/>
    <m/>
    <m/>
    <s v="9519141861-1"/>
    <s v="Stocks"/>
    <x v="0"/>
    <x v="3"/>
    <m/>
    <x v="1"/>
    <x v="1"/>
    <s v="North"/>
    <m/>
    <m/>
    <m/>
    <s v="Kumar Precision Stampings Pvt."/>
    <n v="2439203"/>
    <s v="CRCA COIL TSBSTA EL06 0.500X1160"/>
    <s v="C01"/>
    <s v="TSBSTA"/>
    <s v="EL06"/>
    <n v="0.5"/>
    <n v="1160"/>
    <m/>
    <m/>
    <m/>
    <m/>
    <n v="36.824999999999996"/>
    <n v="0"/>
    <n v="0"/>
    <n v="0"/>
    <n v="0"/>
    <n v="0"/>
    <n v="0"/>
    <n v="36.824999999999996"/>
    <n v="36.824999999999996"/>
    <n v="0"/>
    <n v="0"/>
    <n v="0"/>
    <n v="0"/>
    <n v="0"/>
    <m/>
  </r>
  <r>
    <n v="742"/>
    <m/>
    <s v="ZBTC"/>
    <m/>
    <m/>
    <s v="9519141861-2"/>
    <s v="Stocks"/>
    <x v="0"/>
    <x v="3"/>
    <m/>
    <x v="1"/>
    <x v="1"/>
    <s v="North"/>
    <m/>
    <m/>
    <m/>
    <s v="Kumar Precision Stampings Pvt."/>
    <n v="2439203"/>
    <s v="CRCA COIL TSBSTA EL06 0.500X1160"/>
    <s v="C01"/>
    <s v="TSBSTA"/>
    <s v="EL06"/>
    <n v="0.5"/>
    <n v="1160"/>
    <m/>
    <m/>
    <m/>
    <m/>
    <n v="12.54"/>
    <n v="0"/>
    <n v="0"/>
    <n v="0"/>
    <n v="0"/>
    <n v="0"/>
    <n v="0"/>
    <n v="12.54"/>
    <n v="12.54"/>
    <n v="0"/>
    <n v="0"/>
    <n v="0"/>
    <n v="0"/>
    <n v="0"/>
    <m/>
  </r>
  <r>
    <n v="742"/>
    <m/>
    <s v="ZBTC"/>
    <m/>
    <m/>
    <s v="9519155895-1"/>
    <s v="Stocks"/>
    <x v="0"/>
    <x v="2"/>
    <m/>
    <x v="1"/>
    <x v="1"/>
    <s v="South"/>
    <m/>
    <m/>
    <m/>
    <s v="Baba Container Manufacturers"/>
    <n v="3867647"/>
    <s v="CR COIL TATXXD BT03 0.600X1120"/>
    <s v="C01"/>
    <s v="TATXXD"/>
    <s v="BT03"/>
    <n v="0.6"/>
    <n v="1120"/>
    <m/>
    <m/>
    <m/>
    <m/>
    <n v="35.945"/>
    <n v="0"/>
    <n v="0"/>
    <n v="0"/>
    <n v="0"/>
    <n v="0"/>
    <n v="0"/>
    <n v="35.945"/>
    <n v="35.945"/>
    <n v="0"/>
    <n v="0"/>
    <n v="0"/>
    <n v="0"/>
    <n v="0"/>
    <m/>
  </r>
  <r>
    <n v="742"/>
    <m/>
    <s v="ZBTC"/>
    <m/>
    <m/>
    <s v="9519156223-1"/>
    <s v="Stocks"/>
    <x v="0"/>
    <x v="2"/>
    <m/>
    <x v="1"/>
    <x v="1"/>
    <s v="West"/>
    <m/>
    <m/>
    <m/>
    <s v="Balmer Lawrie And Company Limi"/>
    <n v="2164800"/>
    <s v="CRCA COIL TATXXD BT02 0.970X913"/>
    <s v="C01"/>
    <s v="TATXXD"/>
    <s v="BT02"/>
    <n v="0.97"/>
    <n v="913"/>
    <m/>
    <m/>
    <m/>
    <m/>
    <n v="7.14"/>
    <n v="0"/>
    <n v="0"/>
    <n v="0"/>
    <n v="0"/>
    <n v="0"/>
    <n v="0"/>
    <n v="7.14"/>
    <n v="7.14"/>
    <n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C2479-290B-4A79-9539-6972E41D5119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5" firstHeaderRow="1" firstDataRow="2" firstDataCol="2" rowPageCount="1" colPageCount="1"/>
  <pivotFields count="10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5"/>
        <item x="4"/>
        <item x="2"/>
        <item x="1"/>
        <item x="3"/>
        <item t="default"/>
      </items>
    </pivotField>
    <pivotField axis="axisRow" compact="0" outline="0" showAll="0">
      <items count="20">
        <item x="1"/>
        <item x="3"/>
        <item x="2"/>
        <item x="14"/>
        <item x="9"/>
        <item x="16"/>
        <item x="4"/>
        <item x="8"/>
        <item x="6"/>
        <item x="13"/>
        <item x="12"/>
        <item x="0"/>
        <item x="15"/>
        <item x="5"/>
        <item x="7"/>
        <item x="17"/>
        <item x="10"/>
        <item x="11"/>
        <item x="1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2"/>
    <field x="13"/>
  </rowFields>
  <rowItems count="21">
    <i>
      <x/>
      <x v="6"/>
    </i>
    <i r="1">
      <x v="7"/>
    </i>
    <i r="1">
      <x v="11"/>
    </i>
    <i r="1">
      <x v="12"/>
    </i>
    <i r="1">
      <x v="13"/>
    </i>
    <i r="1">
      <x v="14"/>
    </i>
    <i t="default">
      <x/>
    </i>
    <i>
      <x v="2"/>
      <x v="1"/>
    </i>
    <i r="1">
      <x v="6"/>
    </i>
    <i r="1">
      <x v="10"/>
    </i>
    <i r="1">
      <x v="15"/>
    </i>
    <i t="default">
      <x v="2"/>
    </i>
    <i>
      <x v="3"/>
      <x v="8"/>
    </i>
    <i r="1">
      <x v="9"/>
    </i>
    <i r="1">
      <x v="16"/>
    </i>
    <i r="1">
      <x v="17"/>
    </i>
    <i r="1">
      <x v="18"/>
    </i>
    <i t="default">
      <x v="3"/>
    </i>
    <i>
      <x v="5"/>
      <x v="1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 OSP Oct'25" fld="14" baseField="0" baseItem="0"/>
    <dataField name=" Exp. BTF as on 01-10-25" fld="61" baseField="0" baseItem="0" numFmtId="1"/>
    <dataField name=" BTF 01.10.25" fld="36" baseField="0" baseItem="0" numFmtId="1"/>
  </dataFields>
  <formats count="25">
    <format dxfId="172">
      <pivotArea outline="0" collapsedLevelsAreSubtotals="1" fieldPosition="0"/>
    </format>
    <format dxfId="171">
      <pivotArea field="-2" type="button" dataOnly="0" labelOnly="1" outline="0" axis="axisCol" fieldPosition="0"/>
    </format>
    <format dxfId="170">
      <pivotArea type="topRight" dataOnly="0" labelOnly="1" outline="0" fieldPosition="0"/>
    </format>
    <format dxfId="1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8">
      <pivotArea field="12" type="button" dataOnly="0" labelOnly="1" outline="0" axis="axisRow" fieldPosition="0"/>
    </format>
    <format dxfId="167">
      <pivotArea field="13" type="button" dataOnly="0" labelOnly="1" outline="0" axis="axisRow" fieldPosition="1"/>
    </format>
    <format dxfId="1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5">
      <pivotArea field="12" type="button" dataOnly="0" labelOnly="1" outline="0" axis="axisRow" fieldPosition="0"/>
    </format>
    <format dxfId="164">
      <pivotArea field="13" type="button" dataOnly="0" labelOnly="1" outline="0" axis="axisRow" fieldPosition="1"/>
    </format>
    <format dxfId="1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2">
      <pivotArea outline="0" collapsedLevelsAreSubtotals="1" fieldPosition="0"/>
    </format>
    <format dxfId="161">
      <pivotArea dataOnly="0" outline="0" fieldPosition="0">
        <references count="1">
          <reference field="12" count="0" defaultSubtotal="1"/>
        </references>
      </pivotArea>
    </format>
    <format dxfId="160">
      <pivotArea outline="0" collapsedLevelsAreSubtotals="1" fieldPosition="0"/>
    </format>
    <format dxfId="159">
      <pivotArea field="12" type="button" dataOnly="0" labelOnly="1" outline="0" axis="axisRow" fieldPosition="0"/>
    </format>
    <format dxfId="158">
      <pivotArea field="13" type="button" dataOnly="0" labelOnly="1" outline="0" axis="axisRow" fieldPosition="1"/>
    </format>
    <format dxfId="157">
      <pivotArea dataOnly="0" labelOnly="1" outline="0" fieldPosition="0">
        <references count="1">
          <reference field="12" count="5">
            <x v="0"/>
            <x v="1"/>
            <x v="2"/>
            <x v="3"/>
            <x v="5"/>
          </reference>
        </references>
      </pivotArea>
    </format>
    <format dxfId="156">
      <pivotArea dataOnly="0" labelOnly="1" outline="0" fieldPosition="0">
        <references count="1">
          <reference field="12" count="5" defaultSubtotal="1">
            <x v="0"/>
            <x v="1"/>
            <x v="2"/>
            <x v="3"/>
            <x v="5"/>
          </reference>
        </references>
      </pivotArea>
    </format>
    <format dxfId="155">
      <pivotArea dataOnly="0" labelOnly="1" grandRow="1" outline="0" fieldPosition="0"/>
    </format>
    <format dxfId="154">
      <pivotArea dataOnly="0" labelOnly="1" outline="0" fieldPosition="0">
        <references count="2">
          <reference field="12" count="1" selected="0">
            <x v="0"/>
          </reference>
          <reference field="13" count="6">
            <x v="6"/>
            <x v="7"/>
            <x v="11"/>
            <x v="12"/>
            <x v="13"/>
            <x v="14"/>
          </reference>
        </references>
      </pivotArea>
    </format>
    <format dxfId="153">
      <pivotArea dataOnly="0" labelOnly="1" outline="0" fieldPosition="0">
        <references count="2">
          <reference field="12" count="1" selected="0">
            <x v="1"/>
          </reference>
          <reference field="13" count="2">
            <x v="4"/>
            <x v="6"/>
          </reference>
        </references>
      </pivotArea>
    </format>
    <format dxfId="152">
      <pivotArea dataOnly="0" labelOnly="1" outline="0" fieldPosition="0">
        <references count="2">
          <reference field="12" count="1" selected="0">
            <x v="2"/>
          </reference>
          <reference field="13" count="3">
            <x v="1"/>
            <x v="6"/>
            <x v="10"/>
          </reference>
        </references>
      </pivotArea>
    </format>
    <format dxfId="151">
      <pivotArea dataOnly="0" labelOnly="1" outline="0" fieldPosition="0">
        <references count="2">
          <reference field="12" count="1" selected="0">
            <x v="3"/>
          </reference>
          <reference field="13" count="3">
            <x v="2"/>
            <x v="8"/>
            <x v="9"/>
          </reference>
        </references>
      </pivotArea>
    </format>
    <format dxfId="150">
      <pivotArea dataOnly="0" labelOnly="1" outline="0" fieldPosition="0">
        <references count="2">
          <reference field="12" count="1" selected="0">
            <x v="5"/>
          </reference>
          <reference field="13" count="1">
            <x v="1"/>
          </reference>
        </references>
      </pivotArea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8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464D5-1D26-49A1-AB92-6A40F873FCD9}" name="PivotTable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I12" firstHeaderRow="2" firstDataRow="2" firstDataCol="8" rowPageCount="1" colPageCount="1"/>
  <pivotFields count="97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3"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m="1"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m="1" x="5"/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5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5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5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5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5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31">
        <item m="1" x="1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67"/>
    <field x="75"/>
    <field x="74"/>
    <field x="73"/>
    <field x="72"/>
    <field x="71"/>
    <field x="70"/>
    <field x="76"/>
  </rowFields>
  <rowItems count="8">
    <i>
      <x v="1"/>
      <x v="1"/>
      <x v="3"/>
      <x v="1"/>
      <x v="1"/>
      <x v="1"/>
      <x v="1"/>
      <x v="21"/>
    </i>
    <i r="2">
      <x v="7"/>
      <x v="1"/>
      <x v="1"/>
      <x v="1"/>
      <x v="1"/>
      <x v="17"/>
    </i>
    <i r="2">
      <x v="10"/>
      <x v="1"/>
      <x v="1"/>
      <x v="1"/>
      <x v="1"/>
      <x v="75"/>
    </i>
    <i r="1">
      <x v="18"/>
      <x v="7"/>
      <x v="1"/>
      <x v="1"/>
      <x v="1"/>
      <x v="1"/>
      <x v="117"/>
    </i>
    <i>
      <x v="25"/>
      <x v="1"/>
      <x v="4"/>
      <x v="14"/>
      <x v="14"/>
      <x v="14"/>
      <x v="1"/>
      <x v="129"/>
    </i>
    <i r="2">
      <x v="10"/>
      <x v="1"/>
      <x v="1"/>
      <x v="1"/>
      <x v="1"/>
      <x v="75"/>
    </i>
    <i r="3">
      <x v="14"/>
      <x v="14"/>
      <x v="14"/>
      <x v="1"/>
      <x v="92"/>
    </i>
    <i t="grand">
      <x/>
    </i>
  </rowItems>
  <colItems count="1">
    <i/>
  </colItems>
  <pageFields count="1">
    <pageField fld="65" hier="-1"/>
  </pageFields>
  <dataFields count="1">
    <dataField name="Sum of Exp. BTF as on 01-10-25" fld="57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03EA6-A025-43C9-9EA8-3B8C0938CFC9}" name="PivotTable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Q28" firstHeaderRow="1" firstDataRow="2" firstDataCol="2"/>
  <pivotFields count="4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2"/>
        <item m="1" x="4"/>
        <item x="1"/>
        <item t="default"/>
      </items>
    </pivotField>
    <pivotField axis="axisRow" compact="0" outline="0" showAll="0">
      <items count="23">
        <item m="1" x="17"/>
        <item x="1"/>
        <item x="0"/>
        <item x="16"/>
        <item m="1" x="18"/>
        <item x="13"/>
        <item x="15"/>
        <item x="8"/>
        <item x="6"/>
        <item x="11"/>
        <item x="2"/>
        <item m="1" x="21"/>
        <item x="3"/>
        <item x="14"/>
        <item m="1" x="19"/>
        <item m="1" x="20"/>
        <item x="10"/>
        <item x="4"/>
        <item x="12"/>
        <item x="7"/>
        <item x="9"/>
        <item x="5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7"/>
    <field x="8"/>
  </rowFields>
  <rowItems count="24">
    <i>
      <x/>
      <x v="2"/>
    </i>
    <i r="1">
      <x v="3"/>
    </i>
    <i r="1">
      <x v="5"/>
    </i>
    <i r="1">
      <x v="10"/>
    </i>
    <i r="1">
      <x v="12"/>
    </i>
    <i r="1">
      <x v="17"/>
    </i>
    <i r="1">
      <x v="18"/>
    </i>
    <i r="1">
      <x v="19"/>
    </i>
    <i r="1">
      <x v="20"/>
    </i>
    <i t="default">
      <x/>
    </i>
    <i>
      <x v="2"/>
      <x v="1"/>
    </i>
    <i r="1">
      <x v="10"/>
    </i>
    <i r="1">
      <x v="13"/>
    </i>
    <i r="1">
      <x v="16"/>
    </i>
    <i t="default">
      <x v="2"/>
    </i>
    <i>
      <x v="3"/>
      <x v="6"/>
    </i>
    <i r="1">
      <x v="7"/>
    </i>
    <i r="1">
      <x v="8"/>
    </i>
    <i r="1">
      <x v="9"/>
    </i>
    <i r="1">
      <x v="21"/>
    </i>
    <i t="default">
      <x v="3"/>
    </i>
    <i>
      <x v="5"/>
      <x v="1"/>
    </i>
    <i t="default">
      <x v="5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 OSP Oct'25" fld="9" baseField="0" baseItem="0"/>
    <dataField name=" Total planned GR" fld="29" baseField="0" baseItem="0"/>
    <dataField name=" FG 202540" fld="30" baseField="0" baseItem="0"/>
    <dataField name=" FG 202541" fld="31" baseField="0" baseItem="0"/>
    <dataField name=" FG 202542" fld="32" baseField="0" baseItem="0"/>
    <dataField name=" FG 202543" fld="33" baseField="0" baseItem="0"/>
    <dataField name=" FG 202544" fld="34" baseField="0" baseItem="0"/>
    <dataField name=" FG Stock 01.10.25" fld="28" baseField="0" baseItem="0" numFmtId="1"/>
    <dataField name=" Total planned Dispatch" fld="35" baseField="14" baseItem="2"/>
    <dataField name=" Disp 202540" fld="36" baseField="14" baseItem="2"/>
    <dataField name=" Disp 202541" fld="37" baseField="14" baseItem="2"/>
    <dataField name=" Disp 202542" fld="38" baseField="14" baseItem="2"/>
    <dataField name=" Disp 202543" fld="39" baseField="14" baseItem="2"/>
    <dataField name=" Disp 202544" fld="40" baseField="14" baseItem="2"/>
    <dataField name=" CF stock Oct'25" fld="41" baseField="14" baseItem="2"/>
  </dataFields>
  <formats count="144"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-2" type="button" dataOnly="0" labelOnly="1" outline="0" axis="axisCol" fieldPosition="0"/>
    </format>
    <format dxfId="144">
      <pivotArea type="topRight" dataOnly="0" labelOnly="1" outline="0" fieldPosition="0"/>
    </format>
    <format dxfId="143">
      <pivotArea field="7" type="button" dataOnly="0" labelOnly="1" outline="0" axis="axisRow" fieldPosition="0"/>
    </format>
    <format dxfId="142">
      <pivotArea field="8" type="button" dataOnly="0" labelOnly="1" outline="0" axis="axisRow" fieldPosition="1"/>
    </format>
    <format dxfId="141">
      <pivotArea dataOnly="0" labelOnly="1" outline="0" fieldPosition="0">
        <references count="1">
          <reference field="7" count="4">
            <x v="0"/>
            <x v="2"/>
            <x v="3"/>
            <x v="5"/>
          </reference>
        </references>
      </pivotArea>
    </format>
    <format dxfId="140">
      <pivotArea dataOnly="0" labelOnly="1" outline="0" fieldPosition="0">
        <references count="1">
          <reference field="7" count="4" defaultSubtotal="1">
            <x v="0"/>
            <x v="2"/>
            <x v="3"/>
            <x v="5"/>
          </reference>
        </references>
      </pivotArea>
    </format>
    <format dxfId="139">
      <pivotArea dataOnly="0" labelOnly="1" grandRow="1" outline="0" fieldPosition="0"/>
    </format>
    <format dxfId="138">
      <pivotArea dataOnly="0" labelOnly="1" outline="0" fieldPosition="0">
        <references count="2">
          <reference field="7" count="1" selected="0">
            <x v="0"/>
          </reference>
          <reference field="8" count="9">
            <x v="2"/>
            <x v="3"/>
            <x v="5"/>
            <x v="10"/>
            <x v="12"/>
            <x v="17"/>
            <x v="18"/>
            <x v="19"/>
            <x v="20"/>
          </reference>
        </references>
      </pivotArea>
    </format>
    <format dxfId="137">
      <pivotArea dataOnly="0" labelOnly="1" outline="0" fieldPosition="0">
        <references count="2">
          <reference field="7" count="1" selected="0">
            <x v="2"/>
          </reference>
          <reference field="8" count="4">
            <x v="1"/>
            <x v="10"/>
            <x v="13"/>
            <x v="16"/>
          </reference>
        </references>
      </pivotArea>
    </format>
    <format dxfId="136">
      <pivotArea dataOnly="0" labelOnly="1" outline="0" fieldPosition="0">
        <references count="2">
          <reference field="7" count="1" selected="0">
            <x v="3"/>
          </reference>
          <reference field="8" count="5">
            <x v="6"/>
            <x v="7"/>
            <x v="8"/>
            <x v="9"/>
            <x v="21"/>
          </reference>
        </references>
      </pivotArea>
    </format>
    <format dxfId="135">
      <pivotArea dataOnly="0" labelOnly="1" outline="0" fieldPosition="0">
        <references count="2">
          <reference field="7" count="1" selected="0">
            <x v="5"/>
          </reference>
          <reference field="8" count="1">
            <x v="1"/>
          </reference>
        </references>
      </pivotArea>
    </format>
    <format dxfId="13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type="origin" dataOnly="0" labelOnly="1" outline="0" fieldPosition="0"/>
    </format>
    <format dxfId="130">
      <pivotArea field="-2" type="button" dataOnly="0" labelOnly="1" outline="0" axis="axisCol" fieldPosition="0"/>
    </format>
    <format dxfId="129">
      <pivotArea type="topRight" dataOnly="0" labelOnly="1" outline="0" fieldPosition="0"/>
    </format>
    <format dxfId="128">
      <pivotArea field="7" type="button" dataOnly="0" labelOnly="1" outline="0" axis="axisRow" fieldPosition="0"/>
    </format>
    <format dxfId="127">
      <pivotArea field="8" type="button" dataOnly="0" labelOnly="1" outline="0" axis="axisRow" fieldPosition="1"/>
    </format>
    <format dxfId="126">
      <pivotArea dataOnly="0" labelOnly="1" outline="0" fieldPosition="0">
        <references count="1">
          <reference field="7" count="4">
            <x v="0"/>
            <x v="2"/>
            <x v="3"/>
            <x v="5"/>
          </reference>
        </references>
      </pivotArea>
    </format>
    <format dxfId="125">
      <pivotArea dataOnly="0" labelOnly="1" outline="0" fieldPosition="0">
        <references count="1">
          <reference field="7" count="4" defaultSubtotal="1">
            <x v="0"/>
            <x v="2"/>
            <x v="3"/>
            <x v="5"/>
          </reference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2">
          <reference field="7" count="1" selected="0">
            <x v="0"/>
          </reference>
          <reference field="8" count="9">
            <x v="2"/>
            <x v="3"/>
            <x v="5"/>
            <x v="10"/>
            <x v="12"/>
            <x v="17"/>
            <x v="18"/>
            <x v="19"/>
            <x v="20"/>
          </reference>
        </references>
      </pivotArea>
    </format>
    <format dxfId="122">
      <pivotArea dataOnly="0" labelOnly="1" outline="0" fieldPosition="0">
        <references count="2">
          <reference field="7" count="1" selected="0">
            <x v="2"/>
          </reference>
          <reference field="8" count="4">
            <x v="1"/>
            <x v="10"/>
            <x v="13"/>
            <x v="16"/>
          </reference>
        </references>
      </pivotArea>
    </format>
    <format dxfId="121">
      <pivotArea dataOnly="0" labelOnly="1" outline="0" fieldPosition="0">
        <references count="2">
          <reference field="7" count="1" selected="0">
            <x v="3"/>
          </reference>
          <reference field="8" count="5">
            <x v="6"/>
            <x v="7"/>
            <x v="8"/>
            <x v="9"/>
            <x v="21"/>
          </reference>
        </references>
      </pivotArea>
    </format>
    <format dxfId="120">
      <pivotArea dataOnly="0" labelOnly="1" outline="0" fieldPosition="0">
        <references count="2">
          <reference field="7" count="1" selected="0">
            <x v="5"/>
          </reference>
          <reference field="8" count="1">
            <x v="1"/>
          </reference>
        </references>
      </pivotArea>
    </format>
    <format dxfId="119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-2" type="button" dataOnly="0" labelOnly="1" outline="0" axis="axisCol" fieldPosition="0"/>
    </format>
    <format dxfId="114">
      <pivotArea type="topRight" dataOnly="0" labelOnly="1" outline="0" fieldPosition="0"/>
    </format>
    <format dxfId="113">
      <pivotArea field="7" type="button" dataOnly="0" labelOnly="1" outline="0" axis="axisRow" fieldPosition="0"/>
    </format>
    <format dxfId="112">
      <pivotArea field="8" type="button" dataOnly="0" labelOnly="1" outline="0" axis="axisRow" fieldPosition="1"/>
    </format>
    <format dxfId="111">
      <pivotArea dataOnly="0" labelOnly="1" outline="0" fieldPosition="0">
        <references count="1">
          <reference field="7" count="4">
            <x v="0"/>
            <x v="2"/>
            <x v="3"/>
            <x v="5"/>
          </reference>
        </references>
      </pivotArea>
    </format>
    <format dxfId="110">
      <pivotArea dataOnly="0" labelOnly="1" outline="0" fieldPosition="0">
        <references count="1">
          <reference field="7" count="4" defaultSubtotal="1">
            <x v="0"/>
            <x v="2"/>
            <x v="3"/>
            <x v="5"/>
          </reference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2">
          <reference field="7" count="1" selected="0">
            <x v="0"/>
          </reference>
          <reference field="8" count="9">
            <x v="2"/>
            <x v="3"/>
            <x v="5"/>
            <x v="10"/>
            <x v="12"/>
            <x v="17"/>
            <x v="18"/>
            <x v="19"/>
            <x v="20"/>
          </reference>
        </references>
      </pivotArea>
    </format>
    <format dxfId="107">
      <pivotArea dataOnly="0" labelOnly="1" outline="0" fieldPosition="0">
        <references count="2">
          <reference field="7" count="1" selected="0">
            <x v="2"/>
          </reference>
          <reference field="8" count="4">
            <x v="1"/>
            <x v="10"/>
            <x v="13"/>
            <x v="16"/>
          </reference>
        </references>
      </pivotArea>
    </format>
    <format dxfId="106">
      <pivotArea dataOnly="0" labelOnly="1" outline="0" fieldPosition="0">
        <references count="2">
          <reference field="7" count="1" selected="0">
            <x v="3"/>
          </reference>
          <reference field="8" count="5">
            <x v="6"/>
            <x v="7"/>
            <x v="8"/>
            <x v="9"/>
            <x v="21"/>
          </reference>
        </references>
      </pivotArea>
    </format>
    <format dxfId="105">
      <pivotArea dataOnly="0" labelOnly="1" outline="0" fieldPosition="0">
        <references count="2">
          <reference field="7" count="1" selected="0">
            <x v="5"/>
          </reference>
          <reference field="8" count="1">
            <x v="1"/>
          </reference>
        </references>
      </pivotArea>
    </format>
    <format dxfId="10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03">
      <pivotArea outline="0" collapsedLevelsAreSubtotals="1" fieldPosition="0"/>
    </format>
    <format dxfId="102">
      <pivotArea field="-2" type="button" dataOnly="0" labelOnly="1" outline="0" axis="axisCol" fieldPosition="0"/>
    </format>
    <format dxfId="101">
      <pivotArea type="topRight" dataOnly="0" labelOnly="1" outline="0" fieldPosition="0"/>
    </format>
    <format dxfId="100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99">
      <pivotArea outline="0" collapsedLevelsAreSubtotals="1" fieldPosition="0"/>
    </format>
    <format dxfId="98">
      <pivotArea field="7" type="button" dataOnly="0" labelOnly="1" outline="0" axis="axisRow" fieldPosition="0"/>
    </format>
    <format dxfId="97">
      <pivotArea field="8" type="button" dataOnly="0" labelOnly="1" outline="0" axis="axisRow" fieldPosition="1"/>
    </format>
    <format dxfId="96">
      <pivotArea dataOnly="0" labelOnly="1" outline="0" fieldPosition="0">
        <references count="1">
          <reference field="7" count="4">
            <x v="0"/>
            <x v="2"/>
            <x v="3"/>
            <x v="5"/>
          </reference>
        </references>
      </pivotArea>
    </format>
    <format dxfId="95">
      <pivotArea dataOnly="0" labelOnly="1" outline="0" fieldPosition="0">
        <references count="1">
          <reference field="7" count="4" defaultSubtotal="1">
            <x v="0"/>
            <x v="2"/>
            <x v="3"/>
            <x v="5"/>
          </reference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2">
          <reference field="7" count="1" selected="0">
            <x v="0"/>
          </reference>
          <reference field="8" count="9">
            <x v="2"/>
            <x v="3"/>
            <x v="5"/>
            <x v="10"/>
            <x v="12"/>
            <x v="17"/>
            <x v="18"/>
            <x v="19"/>
            <x v="20"/>
          </reference>
        </references>
      </pivotArea>
    </format>
    <format dxfId="92">
      <pivotArea dataOnly="0" labelOnly="1" outline="0" fieldPosition="0">
        <references count="2">
          <reference field="7" count="1" selected="0">
            <x v="2"/>
          </reference>
          <reference field="8" count="4">
            <x v="1"/>
            <x v="10"/>
            <x v="13"/>
            <x v="16"/>
          </reference>
        </references>
      </pivotArea>
    </format>
    <format dxfId="91">
      <pivotArea dataOnly="0" labelOnly="1" outline="0" fieldPosition="0">
        <references count="2">
          <reference field="7" count="1" selected="0">
            <x v="3"/>
          </reference>
          <reference field="8" count="5">
            <x v="6"/>
            <x v="7"/>
            <x v="8"/>
            <x v="9"/>
            <x v="21"/>
          </reference>
        </references>
      </pivotArea>
    </format>
    <format dxfId="90">
      <pivotArea dataOnly="0" labelOnly="1" outline="0" fieldPosition="0">
        <references count="2">
          <reference field="7" count="1" selected="0">
            <x v="5"/>
          </reference>
          <reference field="8" count="1">
            <x v="1"/>
          </reference>
        </references>
      </pivotArea>
    </format>
    <format dxfId="89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88">
      <pivotArea outline="0" collapsedLevelsAreSubtotals="1" fieldPosition="0"/>
    </format>
    <format dxfId="87">
      <pivotArea field="7" type="button" dataOnly="0" labelOnly="1" outline="0" axis="axisRow" fieldPosition="0"/>
    </format>
    <format dxfId="86">
      <pivotArea field="8" type="button" dataOnly="0" labelOnly="1" outline="0" axis="axisRow" fieldPosition="1"/>
    </format>
    <format dxfId="85">
      <pivotArea dataOnly="0" labelOnly="1" outline="0" fieldPosition="0">
        <references count="1">
          <reference field="7" count="4">
            <x v="0"/>
            <x v="2"/>
            <x v="3"/>
            <x v="5"/>
          </reference>
        </references>
      </pivotArea>
    </format>
    <format dxfId="84">
      <pivotArea dataOnly="0" labelOnly="1" outline="0" fieldPosition="0">
        <references count="1">
          <reference field="7" count="4" defaultSubtotal="1">
            <x v="0"/>
            <x v="2"/>
            <x v="3"/>
            <x v="5"/>
          </reference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2">
          <reference field="7" count="1" selected="0">
            <x v="0"/>
          </reference>
          <reference field="8" count="9">
            <x v="2"/>
            <x v="3"/>
            <x v="5"/>
            <x v="10"/>
            <x v="12"/>
            <x v="17"/>
            <x v="18"/>
            <x v="19"/>
            <x v="20"/>
          </reference>
        </references>
      </pivotArea>
    </format>
    <format dxfId="81">
      <pivotArea dataOnly="0" labelOnly="1" outline="0" fieldPosition="0">
        <references count="2">
          <reference field="7" count="1" selected="0">
            <x v="2"/>
          </reference>
          <reference field="8" count="4">
            <x v="1"/>
            <x v="10"/>
            <x v="13"/>
            <x v="16"/>
          </reference>
        </references>
      </pivotArea>
    </format>
    <format dxfId="80">
      <pivotArea dataOnly="0" labelOnly="1" outline="0" fieldPosition="0">
        <references count="2">
          <reference field="7" count="1" selected="0">
            <x v="3"/>
          </reference>
          <reference field="8" count="5">
            <x v="6"/>
            <x v="7"/>
            <x v="8"/>
            <x v="9"/>
            <x v="21"/>
          </reference>
        </references>
      </pivotArea>
    </format>
    <format dxfId="79">
      <pivotArea dataOnly="0" labelOnly="1" outline="0" fieldPosition="0">
        <references count="2">
          <reference field="7" count="1" selected="0">
            <x v="5"/>
          </reference>
          <reference field="8" count="1">
            <x v="1"/>
          </reference>
        </references>
      </pivotArea>
    </format>
    <format dxfId="78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77">
      <pivotArea field="7" type="button" dataOnly="0" labelOnly="1" outline="0" axis="axisRow" fieldPosition="0"/>
    </format>
    <format dxfId="76">
      <pivotArea field="8" type="button" dataOnly="0" labelOnly="1" outline="0" axis="axisRow" fieldPosition="1"/>
    </format>
    <format dxfId="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  <format dxfId="73">
      <pivotArea dataOnly="0" labelOnly="1" grandRow="1" outline="0" fieldPosition="0"/>
    </format>
    <format dxfId="72">
      <pivotArea outline="0" fieldPosition="0">
        <references count="2">
          <reference field="4294967294" count="1" selected="0">
            <x v="0"/>
          </reference>
          <reference field="7" count="1" selected="0" defaultSubtotal="1">
            <x v="0"/>
          </reference>
        </references>
      </pivotArea>
    </format>
    <format dxfId="71">
      <pivotArea dataOnly="0" labelOnly="1" outline="0" fieldPosition="0">
        <references count="1">
          <reference field="7" count="1" defaultSubtotal="1">
            <x v="0"/>
          </reference>
        </references>
      </pivotArea>
    </format>
    <format dxfId="70">
      <pivotArea outline="0" fieldPosition="0">
        <references count="2">
          <reference field="4294967294" count="1" selected="0">
            <x v="0"/>
          </reference>
          <reference field="7" count="1" selected="0" defaultSubtotal="1">
            <x v="2"/>
          </reference>
        </references>
      </pivotArea>
    </format>
    <format dxfId="69">
      <pivotArea dataOnly="0" labelOnly="1" outline="0" fieldPosition="0">
        <references count="1">
          <reference field="7" count="1" defaultSubtotal="1">
            <x v="2"/>
          </reference>
        </references>
      </pivotArea>
    </format>
    <format dxfId="68">
      <pivotArea outline="0" fieldPosition="0">
        <references count="2">
          <reference field="4294967294" count="1" selected="0">
            <x v="0"/>
          </reference>
          <reference field="7" count="1" selected="0" defaultSubtotal="1">
            <x v="3"/>
          </reference>
        </references>
      </pivotArea>
    </format>
    <format dxfId="67">
      <pivotArea dataOnly="0" labelOnly="1" outline="0" fieldPosition="0">
        <references count="1">
          <reference field="7" count="1" defaultSubtotal="1">
            <x v="3"/>
          </reference>
        </references>
      </pivotArea>
    </format>
    <format dxfId="66">
      <pivotArea outline="0" fieldPosition="0">
        <references count="2">
          <reference field="4294967294" count="1" selected="0">
            <x v="0"/>
          </reference>
          <reference field="7" count="1" selected="0" defaultSubtotal="1">
            <x v="5"/>
          </reference>
        </references>
      </pivotArea>
    </format>
    <format dxfId="65">
      <pivotArea dataOnly="0" labelOnly="1" outline="0" offset="IV256" fieldPosition="0">
        <references count="1">
          <reference field="7" count="1" defaultSubtotal="1">
            <x v="5"/>
          </reference>
        </references>
      </pivotArea>
    </format>
    <format dxfId="64">
      <pivotArea dataOnly="0" labelOnly="1" outline="0" offset="A256" fieldPosition="0">
        <references count="1">
          <reference field="7" count="1" defaultSubtotal="1">
            <x v="5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2">
      <pivotArea outline="0" fieldPosition="0">
        <references count="2">
          <reference field="4294967294" count="1" selected="0">
            <x v="1"/>
          </reference>
          <reference field="7" count="1" selected="0" defaultSubtotal="1">
            <x v="0"/>
          </reference>
        </references>
      </pivotArea>
    </format>
    <format dxfId="61">
      <pivotArea outline="0" fieldPosition="0">
        <references count="2">
          <reference field="4294967294" count="1" selected="0">
            <x v="1"/>
          </reference>
          <reference field="7" count="1" selected="0" defaultSubtotal="1">
            <x v="2"/>
          </reference>
        </references>
      </pivotArea>
    </format>
    <format dxfId="60">
      <pivotArea outline="0" fieldPosition="0">
        <references count="2">
          <reference field="4294967294" count="1" selected="0">
            <x v="1"/>
          </reference>
          <reference field="7" count="1" selected="0" defaultSubtotal="1">
            <x v="3"/>
          </reference>
        </references>
      </pivotArea>
    </format>
    <format dxfId="59">
      <pivotArea outline="0" fieldPosition="0">
        <references count="2">
          <reference field="4294967294" count="1" selected="0">
            <x v="1"/>
          </reference>
          <reference field="7" count="1" selected="0" defaultSubtotal="1">
            <x v="5"/>
          </reference>
        </references>
      </pivotArea>
    </format>
    <format dxfId="58">
      <pivotArea field="7" grandRow="1" outline="0" axis="axisRow" fieldPosition="0">
        <references count="1">
          <reference field="4294967294" count="1" selected="0">
            <x v="1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6">
      <pivotArea outline="0" fieldPosition="0">
        <references count="2">
          <reference field="4294967294" count="1" selected="0">
            <x v="8"/>
          </reference>
          <reference field="7" count="1" selected="0" defaultSubtotal="1">
            <x v="0"/>
          </reference>
        </references>
      </pivotArea>
    </format>
    <format dxfId="55">
      <pivotArea outline="0" fieldPosition="0">
        <references count="2">
          <reference field="4294967294" count="1" selected="0">
            <x v="8"/>
          </reference>
          <reference field="7" count="1" selected="0" defaultSubtotal="1">
            <x v="2"/>
          </reference>
        </references>
      </pivotArea>
    </format>
    <format dxfId="54">
      <pivotArea outline="0" fieldPosition="0">
        <references count="2">
          <reference field="4294967294" count="1" selected="0">
            <x v="8"/>
          </reference>
          <reference field="7" count="1" selected="0" defaultSubtotal="1">
            <x v="3"/>
          </reference>
        </references>
      </pivotArea>
    </format>
    <format dxfId="53">
      <pivotArea outline="0" fieldPosition="0">
        <references count="2">
          <reference field="4294967294" count="1" selected="0">
            <x v="8"/>
          </reference>
          <reference field="7" count="1" selected="0" defaultSubtotal="1">
            <x v="5"/>
          </reference>
        </references>
      </pivotArea>
    </format>
    <format dxfId="52">
      <pivotArea field="7" grandRow="1" outline="0" axis="axisRow" fieldPosition="0">
        <references count="1">
          <reference field="4294967294" count="1" selected="0">
            <x v="8"/>
          </reference>
        </references>
      </pivotArea>
    </format>
    <format dxfId="51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50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7" count="1" selected="0" defaultSubtotal="1">
            <x v="0"/>
          </reference>
        </references>
      </pivotArea>
    </format>
    <format dxfId="49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7" count="1" selected="0" defaultSubtotal="1">
            <x v="2"/>
          </reference>
        </references>
      </pivotArea>
    </format>
    <format dxfId="48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7" count="1" selected="0" defaultSubtotal="1">
            <x v="3"/>
          </reference>
        </references>
      </pivotArea>
    </format>
    <format dxfId="47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7" count="1" selected="0" defaultSubtotal="1">
            <x v="5"/>
          </reference>
        </references>
      </pivotArea>
    </format>
    <format dxfId="46">
      <pivotArea field="7" grandRow="1" outline="0" axis="axisRow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4">
      <pivotArea outline="0" fieldPosition="0">
        <references count="2">
          <reference field="4294967294" count="1" selected="0">
            <x v="7"/>
          </reference>
          <reference field="7" count="1" selected="0" defaultSubtotal="1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2">
      <pivotArea outline="0" fieldPosition="0">
        <references count="2">
          <reference field="4294967294" count="1" selected="0">
            <x v="14"/>
          </reference>
          <reference field="7" count="1" selected="0" defaultSubtotal="1">
            <x v="0"/>
          </reference>
        </references>
      </pivotArea>
    </format>
    <format dxfId="41">
      <pivotArea outline="0" fieldPosition="0">
        <references count="2">
          <reference field="4294967294" count="1" selected="0">
            <x v="7"/>
          </reference>
          <reference field="7" count="1" selected="0" defaultSubtotal="1">
            <x v="2"/>
          </reference>
        </references>
      </pivotArea>
    </format>
    <format dxfId="40">
      <pivotArea outline="0" fieldPosition="0">
        <references count="2">
          <reference field="4294967294" count="1" selected="0">
            <x v="14"/>
          </reference>
          <reference field="7" count="1" selected="0" defaultSubtotal="1">
            <x v="2"/>
          </reference>
        </references>
      </pivotArea>
    </format>
    <format dxfId="39">
      <pivotArea outline="0" fieldPosition="0">
        <references count="2">
          <reference field="4294967294" count="1" selected="0">
            <x v="7"/>
          </reference>
          <reference field="7" count="1" selected="0" defaultSubtotal="1">
            <x v="3"/>
          </reference>
        </references>
      </pivotArea>
    </format>
    <format dxfId="38">
      <pivotArea outline="0" fieldPosition="0">
        <references count="2">
          <reference field="4294967294" count="1" selected="0">
            <x v="14"/>
          </reference>
          <reference field="7" count="1" selected="0" defaultSubtotal="1">
            <x v="3"/>
          </reference>
        </references>
      </pivotArea>
    </format>
    <format dxfId="37">
      <pivotArea outline="0" fieldPosition="0">
        <references count="2">
          <reference field="4294967294" count="1" selected="0">
            <x v="7"/>
          </reference>
          <reference field="7" count="1" selected="0" defaultSubtotal="1">
            <x v="5"/>
          </reference>
        </references>
      </pivotArea>
    </format>
    <format dxfId="36">
      <pivotArea outline="0" fieldPosition="0">
        <references count="2">
          <reference field="4294967294" count="1" selected="0">
            <x v="14"/>
          </reference>
          <reference field="7" count="1" selected="0" defaultSubtotal="1">
            <x v="5"/>
          </reference>
        </references>
      </pivotArea>
    </format>
    <format dxfId="35">
      <pivotArea field="7" grandRow="1" outline="0" axis="axisRow" fieldPosition="0">
        <references count="1">
          <reference field="4294967294" count="1" selected="0">
            <x v="7"/>
          </reference>
        </references>
      </pivotArea>
    </format>
    <format dxfId="34">
      <pivotArea field="7" grandRow="1" outline="0" axis="axisRow" fieldPosition="0">
        <references count="1">
          <reference field="4294967294" count="1" selected="0">
            <x v="14"/>
          </reference>
        </references>
      </pivotArea>
    </format>
    <format dxfId="33">
      <pivotArea dataOnly="0" labelOnly="1" outline="0" fieldPosition="0">
        <references count="1">
          <reference field="4294967294" count="5">
            <x v="9"/>
            <x v="10"/>
            <x v="11"/>
            <x v="12"/>
            <x v="13"/>
          </reference>
        </references>
      </pivotArea>
    </format>
    <format dxfId="32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7" count="1" selected="0" defaultSubtotal="1">
            <x v="0"/>
          </reference>
        </references>
      </pivotArea>
    </format>
    <format dxfId="31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7" count="1" selected="0" defaultSubtotal="1">
            <x v="2"/>
          </reference>
        </references>
      </pivotArea>
    </format>
    <format dxfId="30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7" count="1" selected="0" defaultSubtotal="1">
            <x v="3"/>
          </reference>
        </references>
      </pivotArea>
    </format>
    <format dxfId="29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7" count="1" selected="0" defaultSubtotal="1">
            <x v="5"/>
          </reference>
        </references>
      </pivotArea>
    </format>
    <format dxfId="28">
      <pivotArea field="7" grandRow="1" outline="0" axis="axisRow" fieldPosition="0">
        <references count="1">
          <reference field="4294967294" count="5" selected="0">
            <x v="9"/>
            <x v="10"/>
            <x v="11"/>
            <x v="12"/>
            <x v="13"/>
          </reference>
        </references>
      </pivotArea>
    </format>
    <format dxfId="27">
      <pivotArea field="7" type="button" dataOnly="0" labelOnly="1" outline="0" axis="axisRow" fieldPosition="0"/>
    </format>
    <format dxfId="26">
      <pivotArea field="8" type="button" dataOnly="0" labelOnly="1" outline="0" axis="axisRow" fieldPosition="1"/>
    </format>
    <format dxfId="25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4">
      <pivotArea outline="0" collapsedLevelsAreSubtotals="1" fieldPosition="0"/>
    </format>
    <format dxfId="23">
      <pivotArea field="7" type="button" dataOnly="0" labelOnly="1" outline="0" axis="axisRow" fieldPosition="0"/>
    </format>
    <format dxfId="22">
      <pivotArea field="8" type="button" dataOnly="0" labelOnly="1" outline="0" axis="axisRow" fieldPosition="1"/>
    </format>
    <format dxfId="21">
      <pivotArea dataOnly="0" labelOnly="1" outline="0" fieldPosition="0">
        <references count="1">
          <reference field="7" count="4">
            <x v="0"/>
            <x v="2"/>
            <x v="3"/>
            <x v="5"/>
          </reference>
        </references>
      </pivotArea>
    </format>
    <format dxfId="20">
      <pivotArea dataOnly="0" labelOnly="1" outline="0" fieldPosition="0">
        <references count="1">
          <reference field="7" count="4" defaultSubtotal="1">
            <x v="0"/>
            <x v="2"/>
            <x v="3"/>
            <x v="5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2">
          <reference field="7" count="1" selected="0">
            <x v="0"/>
          </reference>
          <reference field="8" count="9">
            <x v="2"/>
            <x v="3"/>
            <x v="5"/>
            <x v="10"/>
            <x v="12"/>
            <x v="17"/>
            <x v="18"/>
            <x v="19"/>
            <x v="20"/>
          </reference>
        </references>
      </pivotArea>
    </format>
    <format dxfId="17">
      <pivotArea dataOnly="0" labelOnly="1" outline="0" fieldPosition="0">
        <references count="2">
          <reference field="7" count="1" selected="0">
            <x v="2"/>
          </reference>
          <reference field="8" count="4">
            <x v="1"/>
            <x v="10"/>
            <x v="13"/>
            <x v="16"/>
          </reference>
        </references>
      </pivotArea>
    </format>
    <format dxfId="16">
      <pivotArea dataOnly="0" labelOnly="1" outline="0" fieldPosition="0">
        <references count="2">
          <reference field="7" count="1" selected="0">
            <x v="3"/>
          </reference>
          <reference field="8" count="5">
            <x v="6"/>
            <x v="7"/>
            <x v="8"/>
            <x v="9"/>
            <x v="21"/>
          </reference>
        </references>
      </pivotArea>
    </format>
    <format dxfId="15">
      <pivotArea dataOnly="0" labelOnly="1" outline="0" fieldPosition="0">
        <references count="2">
          <reference field="7" count="1" selected="0">
            <x v="5"/>
          </reference>
          <reference field="8" count="1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3">
      <pivotArea type="origin" dataOnly="0" labelOnly="1" outline="0" fieldPosition="0"/>
    </format>
    <format dxfId="12">
      <pivotArea field="7" type="button" dataOnly="0" labelOnly="1" outline="0" axis="axisRow" fieldPosition="0"/>
    </format>
    <format dxfId="11">
      <pivotArea field="8" type="button" dataOnly="0" labelOnly="1" outline="0" axis="axisRow" fieldPosition="1"/>
    </format>
    <format dxfId="10">
      <pivotArea dataOnly="0" labelOnly="1" outline="0" fieldPosition="0">
        <references count="1">
          <reference field="7" count="4">
            <x v="0"/>
            <x v="2"/>
            <x v="3"/>
            <x v="5"/>
          </reference>
        </references>
      </pivotArea>
    </format>
    <format dxfId="9">
      <pivotArea dataOnly="0" labelOnly="1" outline="0" fieldPosition="0">
        <references count="1">
          <reference field="7" count="4" defaultSubtotal="1">
            <x v="0"/>
            <x v="2"/>
            <x v="3"/>
            <x v="5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2">
          <reference field="7" count="1" selected="0">
            <x v="0"/>
          </reference>
          <reference field="8" count="9">
            <x v="2"/>
            <x v="3"/>
            <x v="5"/>
            <x v="10"/>
            <x v="12"/>
            <x v="17"/>
            <x v="18"/>
            <x v="19"/>
            <x v="20"/>
          </reference>
        </references>
      </pivotArea>
    </format>
    <format dxfId="6">
      <pivotArea dataOnly="0" labelOnly="1" outline="0" fieldPosition="0">
        <references count="2">
          <reference field="7" count="1" selected="0">
            <x v="2"/>
          </reference>
          <reference field="8" count="4">
            <x v="1"/>
            <x v="10"/>
            <x v="13"/>
            <x v="16"/>
          </reference>
        </references>
      </pivotArea>
    </format>
    <format dxfId="5">
      <pivotArea dataOnly="0" labelOnly="1" outline="0" fieldPosition="0">
        <references count="2">
          <reference field="7" count="1" selected="0">
            <x v="3"/>
          </reference>
          <reference field="8" count="5">
            <x v="6"/>
            <x v="7"/>
            <x v="8"/>
            <x v="9"/>
            <x v="21"/>
          </reference>
        </references>
      </pivotArea>
    </format>
    <format dxfId="4">
      <pivotArea dataOnly="0" labelOnly="1" outline="0" fieldPosition="0">
        <references count="2">
          <reference field="7" count="1" selected="0">
            <x v="5"/>
          </reference>
          <reference field="8" count="1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65B8-7233-4E6C-9393-73C720744201}">
  <dimension ref="A1:E32"/>
  <sheetViews>
    <sheetView workbookViewId="0">
      <pane ySplit="4" topLeftCell="A5" activePane="bottomLeft" state="frozen"/>
      <selection pane="bottomLeft" activeCell="C9" sqref="C9"/>
    </sheetView>
  </sheetViews>
  <sheetFormatPr defaultRowHeight="15.5" x14ac:dyDescent="0.35"/>
  <cols>
    <col min="1" max="1" width="10.58203125" bestFit="1" customWidth="1"/>
    <col min="2" max="2" width="15.75" bestFit="1" customWidth="1"/>
    <col min="3" max="3" width="10.25" style="24" bestFit="1" customWidth="1"/>
    <col min="4" max="4" width="10.5" style="24" bestFit="1" customWidth="1"/>
    <col min="5" max="5" width="7.75" bestFit="1" customWidth="1"/>
  </cols>
  <sheetData>
    <row r="1" spans="1:5" x14ac:dyDescent="0.35">
      <c r="A1" s="23" t="s">
        <v>947</v>
      </c>
      <c r="B1" t="s">
        <v>948</v>
      </c>
    </row>
    <row r="3" spans="1:5" x14ac:dyDescent="0.35">
      <c r="C3" s="25" t="s">
        <v>1161</v>
      </c>
      <c r="E3" s="24"/>
    </row>
    <row r="4" spans="1:5" s="26" customFormat="1" ht="34.5" customHeight="1" x14ac:dyDescent="0.35">
      <c r="A4" s="27" t="s">
        <v>1</v>
      </c>
      <c r="B4" s="27" t="s">
        <v>949</v>
      </c>
      <c r="C4" s="28" t="s">
        <v>1162</v>
      </c>
      <c r="D4" s="28" t="s">
        <v>1163</v>
      </c>
      <c r="E4" s="36" t="s">
        <v>1369</v>
      </c>
    </row>
    <row r="5" spans="1:5" x14ac:dyDescent="0.35">
      <c r="A5" s="29" t="s">
        <v>21</v>
      </c>
      <c r="B5" s="29" t="s">
        <v>969</v>
      </c>
      <c r="C5" s="30">
        <v>4800</v>
      </c>
      <c r="D5" s="31">
        <v>4767.6530000000002</v>
      </c>
      <c r="E5" s="31">
        <v>4926.2120000000004</v>
      </c>
    </row>
    <row r="6" spans="1:5" x14ac:dyDescent="0.35">
      <c r="A6" s="29"/>
      <c r="B6" s="29" t="s">
        <v>974</v>
      </c>
      <c r="C6" s="30">
        <v>3500</v>
      </c>
      <c r="D6" s="31">
        <v>2367.29</v>
      </c>
      <c r="E6" s="31">
        <v>2901.5300000000007</v>
      </c>
    </row>
    <row r="7" spans="1:5" x14ac:dyDescent="0.35">
      <c r="A7" s="29"/>
      <c r="B7" s="29" t="s">
        <v>22</v>
      </c>
      <c r="C7" s="30">
        <v>3600</v>
      </c>
      <c r="D7" s="31">
        <v>3419.0309999999995</v>
      </c>
      <c r="E7" s="31">
        <v>3484.3509999999997</v>
      </c>
    </row>
    <row r="8" spans="1:5" x14ac:dyDescent="0.35">
      <c r="A8" s="29"/>
      <c r="B8" s="29" t="s">
        <v>975</v>
      </c>
      <c r="C8" s="30">
        <v>1800</v>
      </c>
      <c r="D8" s="31">
        <v>1691.3500000000001</v>
      </c>
      <c r="E8" s="31">
        <v>1829.4960000000003</v>
      </c>
    </row>
    <row r="9" spans="1:5" x14ac:dyDescent="0.35">
      <c r="A9" s="29"/>
      <c r="B9" s="29" t="s">
        <v>71</v>
      </c>
      <c r="C9" s="30">
        <v>5000</v>
      </c>
      <c r="D9" s="31">
        <v>5179.3719999999985</v>
      </c>
      <c r="E9" s="31">
        <v>5179.3719999999985</v>
      </c>
    </row>
    <row r="10" spans="1:5" x14ac:dyDescent="0.35">
      <c r="A10" s="29"/>
      <c r="B10" s="29" t="s">
        <v>971</v>
      </c>
      <c r="C10" s="30">
        <v>1300</v>
      </c>
      <c r="D10" s="31">
        <v>1519.5449999999998</v>
      </c>
      <c r="E10" s="31">
        <v>1572.2249999999999</v>
      </c>
    </row>
    <row r="11" spans="1:5" x14ac:dyDescent="0.35">
      <c r="A11" s="32" t="s">
        <v>1157</v>
      </c>
      <c r="B11" s="32"/>
      <c r="C11" s="33">
        <v>20000</v>
      </c>
      <c r="D11" s="34">
        <v>18944.240999999998</v>
      </c>
      <c r="E11" s="34">
        <v>19893.185999999998</v>
      </c>
    </row>
    <row r="12" spans="1:5" x14ac:dyDescent="0.35">
      <c r="A12" s="29" t="s">
        <v>56</v>
      </c>
      <c r="B12" s="29" t="s">
        <v>968</v>
      </c>
      <c r="C12" s="30">
        <v>2500</v>
      </c>
      <c r="D12" s="31">
        <v>2313.04</v>
      </c>
      <c r="E12" s="31">
        <v>2413.0500000000002</v>
      </c>
    </row>
    <row r="13" spans="1:5" x14ac:dyDescent="0.35">
      <c r="A13" s="29"/>
      <c r="B13" s="29" t="s">
        <v>969</v>
      </c>
      <c r="C13" s="30">
        <v>1100</v>
      </c>
      <c r="D13" s="31">
        <v>93.801999999999992</v>
      </c>
      <c r="E13" s="31">
        <v>236.06199999999998</v>
      </c>
    </row>
    <row r="14" spans="1:5" x14ac:dyDescent="0.35">
      <c r="A14" s="29"/>
      <c r="B14" s="29" t="s">
        <v>57</v>
      </c>
      <c r="C14" s="30">
        <v>5000</v>
      </c>
      <c r="D14" s="31">
        <v>2334.0699999999997</v>
      </c>
      <c r="E14" s="31">
        <v>2418.5699999999997</v>
      </c>
    </row>
    <row r="15" spans="1:5" x14ac:dyDescent="0.35">
      <c r="A15" s="29"/>
      <c r="B15" t="s">
        <v>1287</v>
      </c>
      <c r="C15" s="30">
        <v>2400</v>
      </c>
      <c r="D15" s="31">
        <v>2202.4899999999998</v>
      </c>
      <c r="E15" s="31">
        <v>2315.9899999999998</v>
      </c>
    </row>
    <row r="16" spans="1:5" x14ac:dyDescent="0.35">
      <c r="A16" s="32" t="s">
        <v>1158</v>
      </c>
      <c r="B16" s="32"/>
      <c r="C16" s="33">
        <v>11000</v>
      </c>
      <c r="D16" s="34">
        <v>6943.402</v>
      </c>
      <c r="E16" s="34">
        <v>7383.6719999999996</v>
      </c>
    </row>
    <row r="17" spans="1:5" x14ac:dyDescent="0.35">
      <c r="A17" s="29" t="s">
        <v>63</v>
      </c>
      <c r="B17" s="29" t="s">
        <v>972</v>
      </c>
      <c r="C17" s="30">
        <v>7100</v>
      </c>
      <c r="D17" s="31">
        <v>6579.170000000001</v>
      </c>
      <c r="E17" s="31">
        <v>7139.0950000000003</v>
      </c>
    </row>
    <row r="18" spans="1:5" x14ac:dyDescent="0.35">
      <c r="A18" s="29"/>
      <c r="B18" s="29" t="s">
        <v>973</v>
      </c>
      <c r="C18" s="30">
        <v>1000</v>
      </c>
      <c r="D18" s="31">
        <v>1014.5449999999998</v>
      </c>
      <c r="E18" s="31">
        <v>1019.4349999999998</v>
      </c>
    </row>
    <row r="19" spans="1:5" x14ac:dyDescent="0.35">
      <c r="A19" s="29"/>
      <c r="B19" t="s">
        <v>1291</v>
      </c>
      <c r="C19" s="30">
        <v>1000</v>
      </c>
      <c r="D19" s="31">
        <v>712.75800000000004</v>
      </c>
      <c r="E19" s="31">
        <v>712.75800000000004</v>
      </c>
    </row>
    <row r="20" spans="1:5" x14ac:dyDescent="0.35">
      <c r="A20" s="29"/>
      <c r="B20" t="s">
        <v>1292</v>
      </c>
      <c r="C20" s="30">
        <v>500</v>
      </c>
      <c r="D20" s="31">
        <v>539.024</v>
      </c>
      <c r="E20" s="31">
        <v>539.024</v>
      </c>
    </row>
    <row r="21" spans="1:5" x14ac:dyDescent="0.35">
      <c r="A21" s="29"/>
      <c r="B21" t="s">
        <v>275</v>
      </c>
      <c r="C21" s="30">
        <v>400</v>
      </c>
      <c r="D21" s="31">
        <v>420</v>
      </c>
      <c r="E21" s="31">
        <v>420</v>
      </c>
    </row>
    <row r="22" spans="1:5" x14ac:dyDescent="0.35">
      <c r="A22" s="32" t="s">
        <v>1159</v>
      </c>
      <c r="B22" s="32"/>
      <c r="C22" s="33">
        <v>10000</v>
      </c>
      <c r="D22" s="34">
        <v>9265.4970000000012</v>
      </c>
      <c r="E22" s="34">
        <v>9830.3119999999999</v>
      </c>
    </row>
    <row r="23" spans="1:5" x14ac:dyDescent="0.35">
      <c r="A23" s="29" t="s">
        <v>86</v>
      </c>
      <c r="B23" s="29" t="s">
        <v>968</v>
      </c>
      <c r="C23" s="30">
        <v>7500</v>
      </c>
      <c r="D23" s="31">
        <v>7474.1450000000004</v>
      </c>
      <c r="E23" s="31">
        <v>7900.89</v>
      </c>
    </row>
    <row r="24" spans="1:5" x14ac:dyDescent="0.35">
      <c r="A24" s="32" t="s">
        <v>1160</v>
      </c>
      <c r="B24" s="32"/>
      <c r="C24" s="33">
        <v>7500</v>
      </c>
      <c r="D24" s="34">
        <v>7474.1450000000004</v>
      </c>
      <c r="E24" s="34">
        <v>7900.89</v>
      </c>
    </row>
    <row r="25" spans="1:5" x14ac:dyDescent="0.35">
      <c r="A25" s="29" t="s">
        <v>1156</v>
      </c>
      <c r="B25" s="29"/>
      <c r="C25" s="30">
        <v>48500</v>
      </c>
      <c r="D25" s="31">
        <v>42627.285000000003</v>
      </c>
      <c r="E25" s="31">
        <v>45008.06</v>
      </c>
    </row>
    <row r="26" spans="1:5" x14ac:dyDescent="0.35">
      <c r="C26"/>
      <c r="D26"/>
    </row>
    <row r="27" spans="1:5" x14ac:dyDescent="0.35">
      <c r="C27"/>
      <c r="D27"/>
    </row>
    <row r="28" spans="1:5" x14ac:dyDescent="0.35">
      <c r="C28"/>
      <c r="D28"/>
    </row>
    <row r="29" spans="1:5" x14ac:dyDescent="0.35">
      <c r="C29"/>
      <c r="D29"/>
    </row>
    <row r="30" spans="1:5" x14ac:dyDescent="0.35">
      <c r="C30"/>
      <c r="D30"/>
    </row>
    <row r="31" spans="1:5" x14ac:dyDescent="0.35">
      <c r="C31"/>
      <c r="D31"/>
    </row>
    <row r="32" spans="1:5" x14ac:dyDescent="0.35">
      <c r="C32"/>
      <c r="D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5364-A4FA-4439-975E-747D234BAFDA}">
  <dimension ref="A1:I12"/>
  <sheetViews>
    <sheetView workbookViewId="0">
      <selection activeCell="H7" sqref="H7"/>
    </sheetView>
  </sheetViews>
  <sheetFormatPr defaultRowHeight="15.5" x14ac:dyDescent="0.35"/>
  <cols>
    <col min="1" max="1" width="22.4140625" bestFit="1" customWidth="1"/>
    <col min="2" max="2" width="7.83203125" bestFit="1" customWidth="1"/>
    <col min="8" max="8" width="15.33203125" bestFit="1" customWidth="1"/>
    <col min="9" max="9" width="8.75" bestFit="1" customWidth="1"/>
  </cols>
  <sheetData>
    <row r="1" spans="1:9" x14ac:dyDescent="0.35">
      <c r="A1" s="23" t="s">
        <v>951</v>
      </c>
      <c r="B1" t="s">
        <v>1178</v>
      </c>
    </row>
    <row r="3" spans="1:9" x14ac:dyDescent="0.35">
      <c r="A3" s="23" t="s">
        <v>1179</v>
      </c>
    </row>
    <row r="4" spans="1:9" x14ac:dyDescent="0.35">
      <c r="A4" s="23" t="s">
        <v>952</v>
      </c>
      <c r="B4" s="23" t="s">
        <v>6</v>
      </c>
      <c r="C4" s="23" t="s">
        <v>5</v>
      </c>
      <c r="D4" s="23" t="s">
        <v>4</v>
      </c>
      <c r="E4" s="23" t="s">
        <v>953</v>
      </c>
      <c r="F4" s="23" t="s">
        <v>3</v>
      </c>
      <c r="G4" s="23" t="s">
        <v>2</v>
      </c>
      <c r="H4" s="23" t="s">
        <v>954</v>
      </c>
      <c r="I4" t="s">
        <v>1180</v>
      </c>
    </row>
    <row r="5" spans="1:9" x14ac:dyDescent="0.35">
      <c r="A5" t="s">
        <v>42</v>
      </c>
      <c r="B5">
        <v>1250</v>
      </c>
      <c r="C5">
        <v>2</v>
      </c>
      <c r="D5" t="s">
        <v>40</v>
      </c>
      <c r="E5" t="s">
        <v>41</v>
      </c>
      <c r="F5" t="s">
        <v>39</v>
      </c>
      <c r="G5">
        <v>367</v>
      </c>
      <c r="H5">
        <v>1196250</v>
      </c>
      <c r="I5">
        <v>442.74</v>
      </c>
    </row>
    <row r="6" spans="1:9" x14ac:dyDescent="0.35">
      <c r="A6" t="s">
        <v>42</v>
      </c>
      <c r="B6">
        <v>1250</v>
      </c>
      <c r="C6">
        <v>2.5</v>
      </c>
      <c r="D6" t="s">
        <v>40</v>
      </c>
      <c r="E6" t="s">
        <v>41</v>
      </c>
      <c r="F6" t="s">
        <v>39</v>
      </c>
      <c r="G6">
        <v>367</v>
      </c>
      <c r="H6">
        <v>407933</v>
      </c>
      <c r="I6">
        <v>800.95499999999993</v>
      </c>
    </row>
    <row r="7" spans="1:9" x14ac:dyDescent="0.35">
      <c r="A7" t="s">
        <v>42</v>
      </c>
      <c r="B7">
        <v>1250</v>
      </c>
      <c r="C7">
        <v>4</v>
      </c>
      <c r="D7" t="s">
        <v>40</v>
      </c>
      <c r="E7" t="s">
        <v>41</v>
      </c>
      <c r="F7" t="s">
        <v>39</v>
      </c>
      <c r="G7">
        <v>367</v>
      </c>
      <c r="H7">
        <v>406488</v>
      </c>
      <c r="I7">
        <v>145</v>
      </c>
    </row>
    <row r="8" spans="1:9" x14ac:dyDescent="0.35">
      <c r="A8" t="s">
        <v>42</v>
      </c>
      <c r="B8">
        <v>1320</v>
      </c>
      <c r="C8">
        <v>2.5</v>
      </c>
      <c r="D8" t="s">
        <v>40</v>
      </c>
      <c r="E8" t="s">
        <v>41</v>
      </c>
      <c r="F8" t="s">
        <v>39</v>
      </c>
      <c r="G8">
        <v>367</v>
      </c>
      <c r="H8">
        <v>3655810</v>
      </c>
      <c r="I8">
        <v>60</v>
      </c>
    </row>
    <row r="9" spans="1:9" x14ac:dyDescent="0.35">
      <c r="A9" t="s">
        <v>397</v>
      </c>
      <c r="B9">
        <v>1250</v>
      </c>
      <c r="C9">
        <v>3.2</v>
      </c>
      <c r="D9" t="s">
        <v>290</v>
      </c>
      <c r="E9" t="s">
        <v>291</v>
      </c>
      <c r="F9" t="s">
        <v>289</v>
      </c>
      <c r="G9">
        <v>367</v>
      </c>
      <c r="H9">
        <v>4007880</v>
      </c>
      <c r="I9">
        <v>493</v>
      </c>
    </row>
    <row r="10" spans="1:9" x14ac:dyDescent="0.35">
      <c r="A10" t="s">
        <v>397</v>
      </c>
      <c r="B10">
        <v>1250</v>
      </c>
      <c r="C10">
        <v>4</v>
      </c>
      <c r="D10" t="s">
        <v>40</v>
      </c>
      <c r="E10" t="s">
        <v>41</v>
      </c>
      <c r="F10" t="s">
        <v>39</v>
      </c>
      <c r="G10">
        <v>367</v>
      </c>
      <c r="H10">
        <v>406488</v>
      </c>
      <c r="I10">
        <v>86</v>
      </c>
    </row>
    <row r="11" spans="1:9" x14ac:dyDescent="0.35">
      <c r="A11" t="s">
        <v>397</v>
      </c>
      <c r="B11">
        <v>1250</v>
      </c>
      <c r="C11">
        <v>4</v>
      </c>
      <c r="D11" t="s">
        <v>290</v>
      </c>
      <c r="E11" t="s">
        <v>291</v>
      </c>
      <c r="F11" t="s">
        <v>289</v>
      </c>
      <c r="G11">
        <v>367</v>
      </c>
      <c r="H11">
        <v>4096819</v>
      </c>
      <c r="I11">
        <v>928</v>
      </c>
    </row>
    <row r="12" spans="1:9" x14ac:dyDescent="0.35">
      <c r="A12" t="s">
        <v>1156</v>
      </c>
      <c r="I12">
        <v>2955.6949999999997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7552-0729-4550-8B01-5098FD31F87A}">
  <dimension ref="A1:Q28"/>
  <sheetViews>
    <sheetView tabSelected="1" zoomScale="80" zoomScaleNormal="80" workbookViewId="0">
      <pane ySplit="4" topLeftCell="A5" activePane="bottomLeft" state="frozen"/>
      <selection pane="bottomLeft" activeCell="S14" sqref="S14"/>
    </sheetView>
  </sheetViews>
  <sheetFormatPr defaultRowHeight="15.5" x14ac:dyDescent="0.35"/>
  <cols>
    <col min="1" max="1" width="10.58203125" style="53" bestFit="1" customWidth="1"/>
    <col min="2" max="2" width="15.75" style="53" bestFit="1" customWidth="1"/>
    <col min="3" max="3" width="6.33203125" style="40" bestFit="1" customWidth="1"/>
    <col min="4" max="4" width="7.58203125" style="40" bestFit="1" customWidth="1"/>
    <col min="5" max="9" width="7.1640625" style="40" bestFit="1" customWidth="1"/>
    <col min="10" max="10" width="8.4140625" style="40" bestFit="1" customWidth="1"/>
    <col min="11" max="11" width="8.08203125" style="40" bestFit="1" customWidth="1"/>
    <col min="12" max="16" width="7.1640625" style="40" bestFit="1" customWidth="1"/>
    <col min="17" max="17" width="6.33203125" style="40" bestFit="1" customWidth="1"/>
  </cols>
  <sheetData>
    <row r="1" spans="1:17" x14ac:dyDescent="0.35">
      <c r="A1"/>
      <c r="B1"/>
    </row>
    <row r="3" spans="1:17" hidden="1" x14ac:dyDescent="0.35">
      <c r="C3" s="41" t="s">
        <v>1161</v>
      </c>
    </row>
    <row r="4" spans="1:17" ht="50" customHeight="1" x14ac:dyDescent="0.35">
      <c r="A4" s="54" t="s">
        <v>1</v>
      </c>
      <c r="B4" s="54" t="s">
        <v>949</v>
      </c>
      <c r="C4" s="42" t="s">
        <v>1162</v>
      </c>
      <c r="D4" s="43" t="s">
        <v>1405</v>
      </c>
      <c r="E4" s="44" t="s">
        <v>1406</v>
      </c>
      <c r="F4" s="44" t="s">
        <v>1407</v>
      </c>
      <c r="G4" s="44" t="s">
        <v>1408</v>
      </c>
      <c r="H4" s="44" t="s">
        <v>1409</v>
      </c>
      <c r="I4" s="44" t="s">
        <v>1410</v>
      </c>
      <c r="J4" s="45" t="s">
        <v>1411</v>
      </c>
      <c r="K4" s="43" t="s">
        <v>1412</v>
      </c>
      <c r="L4" s="46" t="s">
        <v>1413</v>
      </c>
      <c r="M4" s="46" t="s">
        <v>1414</v>
      </c>
      <c r="N4" s="46" t="s">
        <v>1415</v>
      </c>
      <c r="O4" s="46" t="s">
        <v>1416</v>
      </c>
      <c r="P4" s="46" t="s">
        <v>1417</v>
      </c>
      <c r="Q4" s="45" t="s">
        <v>1418</v>
      </c>
    </row>
    <row r="5" spans="1:17" x14ac:dyDescent="0.35">
      <c r="A5" s="55" t="s">
        <v>21</v>
      </c>
      <c r="B5" s="55" t="s">
        <v>970</v>
      </c>
      <c r="C5" s="47"/>
      <c r="D5" s="47">
        <v>287.82899999999995</v>
      </c>
      <c r="E5" s="47">
        <v>0</v>
      </c>
      <c r="F5" s="47">
        <v>0</v>
      </c>
      <c r="G5" s="47">
        <v>0</v>
      </c>
      <c r="H5" s="47">
        <v>0</v>
      </c>
      <c r="I5" s="47">
        <v>287.82899999999995</v>
      </c>
      <c r="J5" s="47">
        <v>7.9</v>
      </c>
      <c r="K5" s="47">
        <v>7.9</v>
      </c>
      <c r="L5" s="47">
        <v>7.9</v>
      </c>
      <c r="M5" s="47">
        <v>0</v>
      </c>
      <c r="N5" s="47">
        <v>0</v>
      </c>
      <c r="O5" s="47">
        <v>0</v>
      </c>
      <c r="P5" s="47">
        <v>0</v>
      </c>
      <c r="Q5" s="47">
        <v>287.82899999999995</v>
      </c>
    </row>
    <row r="6" spans="1:17" x14ac:dyDescent="0.35">
      <c r="A6" s="55"/>
      <c r="B6" s="55" t="s">
        <v>976</v>
      </c>
      <c r="C6" s="47"/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6.9550000000000001</v>
      </c>
      <c r="K6" s="47">
        <v>6.9550000000000001</v>
      </c>
      <c r="L6" s="47">
        <v>6.9550000000000001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</row>
    <row r="7" spans="1:17" x14ac:dyDescent="0.35">
      <c r="A7" s="55"/>
      <c r="B7" s="55" t="s">
        <v>104</v>
      </c>
      <c r="C7" s="47"/>
      <c r="D7" s="47">
        <v>52</v>
      </c>
      <c r="E7" s="47">
        <v>26</v>
      </c>
      <c r="F7" s="47">
        <v>26</v>
      </c>
      <c r="G7" s="47">
        <v>0</v>
      </c>
      <c r="H7" s="47">
        <v>0</v>
      </c>
      <c r="I7" s="47">
        <v>0</v>
      </c>
      <c r="J7" s="47">
        <v>0</v>
      </c>
      <c r="K7" s="47">
        <v>52</v>
      </c>
      <c r="L7" s="47">
        <v>0</v>
      </c>
      <c r="M7" s="47">
        <v>0</v>
      </c>
      <c r="N7" s="47">
        <v>52</v>
      </c>
      <c r="O7" s="47">
        <v>0</v>
      </c>
      <c r="P7" s="47">
        <v>0</v>
      </c>
      <c r="Q7" s="47">
        <v>0</v>
      </c>
    </row>
    <row r="8" spans="1:17" x14ac:dyDescent="0.35">
      <c r="A8" s="55"/>
      <c r="B8" s="55" t="s">
        <v>969</v>
      </c>
      <c r="C8" s="47">
        <v>4800</v>
      </c>
      <c r="D8" s="47">
        <v>5125.2619999999997</v>
      </c>
      <c r="E8" s="47">
        <v>201.28699999999998</v>
      </c>
      <c r="F8" s="47">
        <v>659.25</v>
      </c>
      <c r="G8" s="47">
        <v>992.42399999999998</v>
      </c>
      <c r="H8" s="47">
        <v>1414.3030000000001</v>
      </c>
      <c r="I8" s="47">
        <v>1857.998</v>
      </c>
      <c r="J8" s="47">
        <v>605.95000000000005</v>
      </c>
      <c r="K8" s="47">
        <v>5247.2030000000004</v>
      </c>
      <c r="L8" s="47">
        <v>484.63</v>
      </c>
      <c r="M8" s="47">
        <v>635.43200000000002</v>
      </c>
      <c r="N8" s="47">
        <v>659.25</v>
      </c>
      <c r="O8" s="47">
        <v>1597.894</v>
      </c>
      <c r="P8" s="47">
        <v>1869.9970000000001</v>
      </c>
      <c r="Q8" s="47">
        <v>819.99900000000002</v>
      </c>
    </row>
    <row r="9" spans="1:17" x14ac:dyDescent="0.35">
      <c r="A9" s="55"/>
      <c r="B9" s="55" t="s">
        <v>974</v>
      </c>
      <c r="C9" s="47">
        <v>3500</v>
      </c>
      <c r="D9" s="47">
        <v>2943.75</v>
      </c>
      <c r="E9" s="47">
        <v>234.10000000000002</v>
      </c>
      <c r="F9" s="47">
        <v>131.51</v>
      </c>
      <c r="G9" s="47">
        <v>1063.5500000000002</v>
      </c>
      <c r="H9" s="47">
        <v>918.32999999999993</v>
      </c>
      <c r="I9" s="47">
        <v>596.26</v>
      </c>
      <c r="J9" s="47">
        <v>576.88</v>
      </c>
      <c r="K9" s="47">
        <v>3214.3699999999994</v>
      </c>
      <c r="L9" s="47">
        <v>73.97999999999999</v>
      </c>
      <c r="M9" s="47">
        <v>405.02000000000004</v>
      </c>
      <c r="N9" s="47">
        <v>542.29000000000008</v>
      </c>
      <c r="O9" s="47">
        <v>849.505</v>
      </c>
      <c r="P9" s="47">
        <v>1343.575</v>
      </c>
      <c r="Q9" s="47">
        <v>306.26</v>
      </c>
    </row>
    <row r="10" spans="1:17" x14ac:dyDescent="0.35">
      <c r="A10" s="55"/>
      <c r="B10" s="55" t="s">
        <v>22</v>
      </c>
      <c r="C10" s="47">
        <v>3600</v>
      </c>
      <c r="D10" s="47">
        <v>3623.538</v>
      </c>
      <c r="E10" s="47">
        <v>282.03800000000001</v>
      </c>
      <c r="F10" s="47">
        <v>1530.9019999999994</v>
      </c>
      <c r="G10" s="47">
        <v>986.20299999999997</v>
      </c>
      <c r="H10" s="47">
        <v>764.39499999999998</v>
      </c>
      <c r="I10" s="47">
        <v>60</v>
      </c>
      <c r="J10" s="47">
        <v>389.42500000000001</v>
      </c>
      <c r="K10" s="47">
        <v>3952.9629999999997</v>
      </c>
      <c r="L10" s="47">
        <v>342.54500000000002</v>
      </c>
      <c r="M10" s="47">
        <v>1001.3889999999999</v>
      </c>
      <c r="N10" s="47">
        <v>846.26100000000008</v>
      </c>
      <c r="O10" s="47">
        <v>998.37299999999993</v>
      </c>
      <c r="P10" s="47">
        <v>764.39499999999998</v>
      </c>
      <c r="Q10" s="47">
        <v>60</v>
      </c>
    </row>
    <row r="11" spans="1:17" ht="19" customHeight="1" x14ac:dyDescent="0.35">
      <c r="A11" s="55"/>
      <c r="B11" s="55" t="s">
        <v>975</v>
      </c>
      <c r="C11" s="47">
        <v>1800</v>
      </c>
      <c r="D11" s="47">
        <v>1660.6610000000001</v>
      </c>
      <c r="E11" s="47">
        <v>249.86500000000001</v>
      </c>
      <c r="F11" s="47">
        <v>594.79899999999998</v>
      </c>
      <c r="G11" s="47">
        <v>322.99900000000002</v>
      </c>
      <c r="H11" s="47">
        <v>202.999</v>
      </c>
      <c r="I11" s="47">
        <v>289.99900000000002</v>
      </c>
      <c r="J11" s="47">
        <v>99.254999999999995</v>
      </c>
      <c r="K11" s="47">
        <v>1469.9170000000001</v>
      </c>
      <c r="L11" s="47">
        <v>59.224999999999994</v>
      </c>
      <c r="M11" s="47">
        <v>249.86500000000001</v>
      </c>
      <c r="N11" s="47">
        <v>634.82900000000006</v>
      </c>
      <c r="O11" s="47">
        <v>322.99900000000002</v>
      </c>
      <c r="P11" s="47">
        <v>202.999</v>
      </c>
      <c r="Q11" s="47">
        <v>289.99900000000002</v>
      </c>
    </row>
    <row r="12" spans="1:17" x14ac:dyDescent="0.35">
      <c r="A12" s="55"/>
      <c r="B12" s="55" t="s">
        <v>71</v>
      </c>
      <c r="C12" s="47">
        <v>5000</v>
      </c>
      <c r="D12" s="47">
        <v>5012.8470000000007</v>
      </c>
      <c r="E12" s="47">
        <v>428.45200000000006</v>
      </c>
      <c r="F12" s="47">
        <v>1020.587</v>
      </c>
      <c r="G12" s="47">
        <v>1266.415</v>
      </c>
      <c r="H12" s="47">
        <v>1372.9739999999999</v>
      </c>
      <c r="I12" s="47">
        <v>924.41899999999998</v>
      </c>
      <c r="J12" s="47">
        <v>404.09999999999997</v>
      </c>
      <c r="K12" s="47">
        <v>4900.9470000000019</v>
      </c>
      <c r="L12" s="47">
        <v>314.84999999999985</v>
      </c>
      <c r="M12" s="47">
        <v>845.447</v>
      </c>
      <c r="N12" s="47">
        <v>1306.0970000000002</v>
      </c>
      <c r="O12" s="47">
        <v>1436.5650000000001</v>
      </c>
      <c r="P12" s="47">
        <v>997.98800000000006</v>
      </c>
      <c r="Q12" s="47">
        <v>516</v>
      </c>
    </row>
    <row r="13" spans="1:17" x14ac:dyDescent="0.35">
      <c r="A13" s="55"/>
      <c r="B13" s="55" t="s">
        <v>971</v>
      </c>
      <c r="C13" s="47">
        <v>1300</v>
      </c>
      <c r="D13" s="47">
        <v>1457.33</v>
      </c>
      <c r="E13" s="47">
        <v>153.01999999999998</v>
      </c>
      <c r="F13" s="47">
        <v>116</v>
      </c>
      <c r="G13" s="47">
        <v>479.31</v>
      </c>
      <c r="H13" s="47">
        <v>709</v>
      </c>
      <c r="I13" s="47">
        <v>0</v>
      </c>
      <c r="J13" s="47">
        <v>158.81</v>
      </c>
      <c r="K13" s="47">
        <v>1413.14</v>
      </c>
      <c r="L13" s="47">
        <v>179.19000000000003</v>
      </c>
      <c r="M13" s="47">
        <v>248.64</v>
      </c>
      <c r="N13" s="47">
        <v>290</v>
      </c>
      <c r="O13" s="47">
        <v>595.30999999999995</v>
      </c>
      <c r="P13" s="47">
        <v>100</v>
      </c>
      <c r="Q13" s="47">
        <v>203</v>
      </c>
    </row>
    <row r="14" spans="1:17" x14ac:dyDescent="0.35">
      <c r="A14" s="56" t="s">
        <v>1157</v>
      </c>
      <c r="B14" s="56"/>
      <c r="C14" s="48">
        <v>20000</v>
      </c>
      <c r="D14" s="49">
        <v>20163.217000000004</v>
      </c>
      <c r="E14" s="50">
        <v>1574.7619999999999</v>
      </c>
      <c r="F14" s="50">
        <v>4079.0479999999993</v>
      </c>
      <c r="G14" s="50">
        <v>5110.9010000000007</v>
      </c>
      <c r="H14" s="50">
        <v>5382.0009999999993</v>
      </c>
      <c r="I14" s="50">
        <v>4016.5050000000001</v>
      </c>
      <c r="J14" s="51">
        <v>2249.2749999999996</v>
      </c>
      <c r="K14" s="49">
        <v>20265.395</v>
      </c>
      <c r="L14" s="52">
        <v>1469.2749999999999</v>
      </c>
      <c r="M14" s="52">
        <v>3385.7930000000001</v>
      </c>
      <c r="N14" s="52">
        <v>4330.7270000000008</v>
      </c>
      <c r="O14" s="52">
        <v>5800.6459999999988</v>
      </c>
      <c r="P14" s="52">
        <v>5278.9540000000006</v>
      </c>
      <c r="Q14" s="51">
        <v>2483.087</v>
      </c>
    </row>
    <row r="15" spans="1:17" x14ac:dyDescent="0.35">
      <c r="A15" s="55" t="s">
        <v>56</v>
      </c>
      <c r="B15" s="55" t="s">
        <v>968</v>
      </c>
      <c r="C15" s="47">
        <v>2500</v>
      </c>
      <c r="D15" s="47">
        <v>2606.96</v>
      </c>
      <c r="E15" s="47">
        <v>847.10500000000002</v>
      </c>
      <c r="F15" s="47">
        <v>1064.1600000000001</v>
      </c>
      <c r="G15" s="47">
        <v>108.1</v>
      </c>
      <c r="H15" s="47">
        <v>290</v>
      </c>
      <c r="I15" s="47">
        <v>297.59500000000003</v>
      </c>
      <c r="J15" s="47">
        <v>1596.575</v>
      </c>
      <c r="K15" s="47">
        <v>2908.3850000000002</v>
      </c>
      <c r="L15" s="47">
        <v>7.06</v>
      </c>
      <c r="M15" s="47">
        <v>1544.31</v>
      </c>
      <c r="N15" s="47">
        <v>983.01500000000033</v>
      </c>
      <c r="O15" s="47">
        <v>374</v>
      </c>
      <c r="P15" s="47">
        <v>0</v>
      </c>
      <c r="Q15" s="47">
        <v>1295.1499999999999</v>
      </c>
    </row>
    <row r="16" spans="1:17" x14ac:dyDescent="0.35">
      <c r="A16" s="55"/>
      <c r="B16" s="55" t="s">
        <v>969</v>
      </c>
      <c r="C16" s="47">
        <v>1100</v>
      </c>
      <c r="D16" s="47">
        <v>167.95</v>
      </c>
      <c r="E16" s="47">
        <v>0</v>
      </c>
      <c r="F16" s="47">
        <v>56.29</v>
      </c>
      <c r="G16" s="47">
        <v>111.66</v>
      </c>
      <c r="H16" s="47">
        <v>0</v>
      </c>
      <c r="I16" s="47">
        <v>0</v>
      </c>
      <c r="J16" s="47">
        <v>99.935000000000002</v>
      </c>
      <c r="K16" s="47">
        <v>267.88500000000005</v>
      </c>
      <c r="L16" s="47">
        <v>91.460000000000008</v>
      </c>
      <c r="M16" s="47">
        <v>56.29</v>
      </c>
      <c r="N16" s="47">
        <v>56</v>
      </c>
      <c r="O16" s="47">
        <v>64.134999999999991</v>
      </c>
      <c r="P16" s="47">
        <v>0</v>
      </c>
      <c r="Q16" s="47">
        <v>0</v>
      </c>
    </row>
    <row r="17" spans="1:17" x14ac:dyDescent="0.35">
      <c r="A17" s="55"/>
      <c r="B17" s="55" t="s">
        <v>1287</v>
      </c>
      <c r="C17" s="47">
        <v>2400</v>
      </c>
      <c r="D17" s="47">
        <v>2315.9899999999998</v>
      </c>
      <c r="E17" s="47">
        <v>0</v>
      </c>
      <c r="F17" s="47">
        <v>1195.99</v>
      </c>
      <c r="G17" s="47">
        <v>1120</v>
      </c>
      <c r="H17" s="47">
        <v>0</v>
      </c>
      <c r="I17" s="47">
        <v>0</v>
      </c>
      <c r="J17" s="47">
        <v>217.91</v>
      </c>
      <c r="K17" s="47">
        <v>2533.9</v>
      </c>
      <c r="L17" s="47">
        <v>13.9</v>
      </c>
      <c r="M17" s="47">
        <v>560</v>
      </c>
      <c r="N17" s="47">
        <v>1120</v>
      </c>
      <c r="O17" s="47">
        <v>840</v>
      </c>
      <c r="P17" s="47">
        <v>0</v>
      </c>
      <c r="Q17" s="47">
        <v>0</v>
      </c>
    </row>
    <row r="18" spans="1:17" x14ac:dyDescent="0.35">
      <c r="A18" s="55"/>
      <c r="B18" s="55" t="s">
        <v>57</v>
      </c>
      <c r="C18" s="47">
        <v>5000</v>
      </c>
      <c r="D18" s="47">
        <v>5601.8950000000004</v>
      </c>
      <c r="E18" s="47">
        <v>1403.2450000000001</v>
      </c>
      <c r="F18" s="47">
        <v>231</v>
      </c>
      <c r="G18" s="47">
        <v>1150.6500000000001</v>
      </c>
      <c r="H18" s="47">
        <v>1899</v>
      </c>
      <c r="I18" s="47">
        <v>918</v>
      </c>
      <c r="J18" s="47">
        <v>282.37</v>
      </c>
      <c r="K18" s="47">
        <v>5132.2649999999994</v>
      </c>
      <c r="L18" s="47">
        <v>896.01800000000014</v>
      </c>
      <c r="M18" s="47">
        <v>780.24699999999996</v>
      </c>
      <c r="N18" s="47">
        <v>231</v>
      </c>
      <c r="O18" s="47">
        <v>1740</v>
      </c>
      <c r="P18" s="47">
        <v>1485</v>
      </c>
      <c r="Q18" s="47">
        <v>752</v>
      </c>
    </row>
    <row r="19" spans="1:17" x14ac:dyDescent="0.35">
      <c r="A19" s="56" t="s">
        <v>1158</v>
      </c>
      <c r="B19" s="56"/>
      <c r="C19" s="48">
        <v>11000</v>
      </c>
      <c r="D19" s="49">
        <v>10692.795</v>
      </c>
      <c r="E19" s="50">
        <v>2250.3500000000004</v>
      </c>
      <c r="F19" s="50">
        <v>2547.44</v>
      </c>
      <c r="G19" s="50">
        <v>2490.41</v>
      </c>
      <c r="H19" s="50">
        <v>2189</v>
      </c>
      <c r="I19" s="50">
        <v>1215.595</v>
      </c>
      <c r="J19" s="51">
        <v>2196.79</v>
      </c>
      <c r="K19" s="49">
        <v>10842.434999999999</v>
      </c>
      <c r="L19" s="52">
        <v>1008.4380000000001</v>
      </c>
      <c r="M19" s="52">
        <v>2940.8469999999998</v>
      </c>
      <c r="N19" s="52">
        <v>2390.0150000000003</v>
      </c>
      <c r="O19" s="52">
        <v>3018.1350000000002</v>
      </c>
      <c r="P19" s="52">
        <v>1485</v>
      </c>
      <c r="Q19" s="51">
        <v>2047.1499999999999</v>
      </c>
    </row>
    <row r="20" spans="1:17" x14ac:dyDescent="0.35">
      <c r="A20" s="55" t="s">
        <v>63</v>
      </c>
      <c r="B20" s="55" t="s">
        <v>275</v>
      </c>
      <c r="C20" s="47">
        <v>400</v>
      </c>
      <c r="D20" s="47">
        <v>420</v>
      </c>
      <c r="E20" s="47">
        <v>0</v>
      </c>
      <c r="F20" s="47">
        <v>0</v>
      </c>
      <c r="G20" s="47">
        <v>420</v>
      </c>
      <c r="H20" s="47">
        <v>0</v>
      </c>
      <c r="I20" s="47">
        <v>0</v>
      </c>
      <c r="J20" s="47">
        <v>0</v>
      </c>
      <c r="K20" s="47">
        <v>420</v>
      </c>
      <c r="L20" s="47">
        <v>0</v>
      </c>
      <c r="M20" s="47">
        <v>0</v>
      </c>
      <c r="N20" s="47">
        <v>0</v>
      </c>
      <c r="O20" s="47">
        <v>420</v>
      </c>
      <c r="P20" s="47">
        <v>0</v>
      </c>
      <c r="Q20" s="47">
        <v>0</v>
      </c>
    </row>
    <row r="21" spans="1:17" x14ac:dyDescent="0.35">
      <c r="A21" s="55"/>
      <c r="B21" s="55" t="s">
        <v>1292</v>
      </c>
      <c r="C21" s="47">
        <v>500</v>
      </c>
      <c r="D21" s="47">
        <v>500.2</v>
      </c>
      <c r="E21" s="47">
        <v>70.685000000000002</v>
      </c>
      <c r="F21" s="47">
        <v>0</v>
      </c>
      <c r="G21" s="47">
        <v>92</v>
      </c>
      <c r="H21" s="47">
        <v>0</v>
      </c>
      <c r="I21" s="47">
        <v>337.51499999999999</v>
      </c>
      <c r="J21" s="47">
        <v>21.285</v>
      </c>
      <c r="K21" s="47">
        <v>521.48500000000001</v>
      </c>
      <c r="L21" s="47">
        <v>91.969999999999985</v>
      </c>
      <c r="M21" s="47">
        <v>0</v>
      </c>
      <c r="N21" s="47">
        <v>0</v>
      </c>
      <c r="O21" s="47">
        <v>92</v>
      </c>
      <c r="P21" s="47">
        <v>337.51499999999999</v>
      </c>
      <c r="Q21" s="47">
        <v>0</v>
      </c>
    </row>
    <row r="22" spans="1:17" x14ac:dyDescent="0.35">
      <c r="A22" s="55"/>
      <c r="B22" s="55" t="s">
        <v>1291</v>
      </c>
      <c r="C22" s="47">
        <v>1000</v>
      </c>
      <c r="D22" s="47">
        <v>709.66300000000001</v>
      </c>
      <c r="E22" s="47">
        <v>278.99900000000002</v>
      </c>
      <c r="F22" s="47">
        <v>0</v>
      </c>
      <c r="G22" s="47">
        <v>430.66399999999999</v>
      </c>
      <c r="H22" s="47">
        <v>0</v>
      </c>
      <c r="I22" s="47">
        <v>0</v>
      </c>
      <c r="J22" s="47">
        <v>73.37</v>
      </c>
      <c r="K22" s="47">
        <v>783.0329999999999</v>
      </c>
      <c r="L22" s="47">
        <v>73.37</v>
      </c>
      <c r="M22" s="47">
        <v>278.99900000000002</v>
      </c>
      <c r="N22" s="47">
        <v>27.664999999999999</v>
      </c>
      <c r="O22" s="47">
        <v>402.99900000000002</v>
      </c>
      <c r="P22" s="47">
        <v>0</v>
      </c>
      <c r="Q22" s="47">
        <v>0</v>
      </c>
    </row>
    <row r="23" spans="1:17" x14ac:dyDescent="0.35">
      <c r="A23" s="55"/>
      <c r="B23" s="55" t="s">
        <v>1368</v>
      </c>
      <c r="C23" s="47">
        <v>1000</v>
      </c>
      <c r="D23" s="47">
        <v>1086.06</v>
      </c>
      <c r="E23" s="47">
        <v>558.76</v>
      </c>
      <c r="F23" s="47">
        <v>527.29999999999995</v>
      </c>
      <c r="G23" s="47">
        <v>0</v>
      </c>
      <c r="H23" s="47">
        <v>0</v>
      </c>
      <c r="I23" s="47">
        <v>0</v>
      </c>
      <c r="J23" s="47">
        <v>152.69499999999999</v>
      </c>
      <c r="K23" s="47">
        <v>1238.7549999999994</v>
      </c>
      <c r="L23" s="47">
        <v>131.91499999999999</v>
      </c>
      <c r="M23" s="47">
        <v>687.755</v>
      </c>
      <c r="N23" s="47">
        <v>419.08500000000004</v>
      </c>
      <c r="O23" s="47">
        <v>0</v>
      </c>
      <c r="P23" s="47">
        <v>0</v>
      </c>
      <c r="Q23" s="47">
        <v>0</v>
      </c>
    </row>
    <row r="24" spans="1:17" x14ac:dyDescent="0.35">
      <c r="A24" s="55"/>
      <c r="B24" s="55" t="s">
        <v>1404</v>
      </c>
      <c r="C24" s="47">
        <v>7100</v>
      </c>
      <c r="D24" s="47">
        <v>7161.0249999999996</v>
      </c>
      <c r="E24" s="47">
        <v>496.39499999999998</v>
      </c>
      <c r="F24" s="47">
        <v>1922.7</v>
      </c>
      <c r="G24" s="47">
        <v>1240.97</v>
      </c>
      <c r="H24" s="47">
        <v>2220.145</v>
      </c>
      <c r="I24" s="47">
        <v>1280.8150000000001</v>
      </c>
      <c r="J24" s="47">
        <v>705.53499999999985</v>
      </c>
      <c r="K24" s="47">
        <v>7053.5600000000022</v>
      </c>
      <c r="L24" s="47">
        <v>633.58499999999992</v>
      </c>
      <c r="M24" s="47">
        <v>1013.68</v>
      </c>
      <c r="N24" s="47">
        <v>1922.7</v>
      </c>
      <c r="O24" s="47">
        <v>1827</v>
      </c>
      <c r="P24" s="47">
        <v>1656.5949999999998</v>
      </c>
      <c r="Q24" s="47">
        <v>813</v>
      </c>
    </row>
    <row r="25" spans="1:17" x14ac:dyDescent="0.35">
      <c r="A25" s="56" t="s">
        <v>1159</v>
      </c>
      <c r="B25" s="56"/>
      <c r="C25" s="48">
        <v>10000</v>
      </c>
      <c r="D25" s="49">
        <v>9876.9480000000003</v>
      </c>
      <c r="E25" s="50">
        <v>1404.8389999999999</v>
      </c>
      <c r="F25" s="50">
        <v>2450</v>
      </c>
      <c r="G25" s="50">
        <v>2183.634</v>
      </c>
      <c r="H25" s="50">
        <v>2220.145</v>
      </c>
      <c r="I25" s="50">
        <v>1618.33</v>
      </c>
      <c r="J25" s="51">
        <v>952.88499999999988</v>
      </c>
      <c r="K25" s="49">
        <v>10016.833000000002</v>
      </c>
      <c r="L25" s="52">
        <v>930.83999999999992</v>
      </c>
      <c r="M25" s="52">
        <v>1980.434</v>
      </c>
      <c r="N25" s="52">
        <v>2369.4500000000003</v>
      </c>
      <c r="O25" s="52">
        <v>2741.9989999999998</v>
      </c>
      <c r="P25" s="52">
        <v>1994.1099999999997</v>
      </c>
      <c r="Q25" s="51">
        <v>813</v>
      </c>
    </row>
    <row r="26" spans="1:17" x14ac:dyDescent="0.35">
      <c r="A26" s="55" t="s">
        <v>86</v>
      </c>
      <c r="B26" s="55" t="s">
        <v>968</v>
      </c>
      <c r="C26" s="47">
        <v>7500</v>
      </c>
      <c r="D26" s="47">
        <v>7797.9449999999997</v>
      </c>
      <c r="E26" s="47">
        <v>886.97799999999995</v>
      </c>
      <c r="F26" s="47">
        <v>2066.9669999999996</v>
      </c>
      <c r="G26" s="47">
        <v>1988</v>
      </c>
      <c r="H26" s="47">
        <v>2156</v>
      </c>
      <c r="I26" s="47">
        <v>700</v>
      </c>
      <c r="J26" s="47">
        <v>3505.3050000000026</v>
      </c>
      <c r="K26" s="47">
        <v>7943.2499999999982</v>
      </c>
      <c r="L26" s="47">
        <v>1149.44</v>
      </c>
      <c r="M26" s="47">
        <v>1610.9879999999996</v>
      </c>
      <c r="N26" s="47">
        <v>1692.2530000000002</v>
      </c>
      <c r="O26" s="47">
        <v>1922.569</v>
      </c>
      <c r="P26" s="47">
        <v>1568</v>
      </c>
      <c r="Q26" s="47">
        <v>3360</v>
      </c>
    </row>
    <row r="27" spans="1:17" x14ac:dyDescent="0.35">
      <c r="A27" s="56" t="s">
        <v>1160</v>
      </c>
      <c r="B27" s="56"/>
      <c r="C27" s="48">
        <v>7500</v>
      </c>
      <c r="D27" s="49">
        <v>7797.9449999999997</v>
      </c>
      <c r="E27" s="50">
        <v>886.97799999999995</v>
      </c>
      <c r="F27" s="50">
        <v>2066.9669999999996</v>
      </c>
      <c r="G27" s="50">
        <v>1988</v>
      </c>
      <c r="H27" s="50">
        <v>2156</v>
      </c>
      <c r="I27" s="50">
        <v>700</v>
      </c>
      <c r="J27" s="51">
        <v>3505.3050000000026</v>
      </c>
      <c r="K27" s="49">
        <v>7943.2499999999982</v>
      </c>
      <c r="L27" s="52">
        <v>1149.44</v>
      </c>
      <c r="M27" s="52">
        <v>1610.9879999999996</v>
      </c>
      <c r="N27" s="52">
        <v>1692.2530000000002</v>
      </c>
      <c r="O27" s="52">
        <v>1922.569</v>
      </c>
      <c r="P27" s="52">
        <v>1568</v>
      </c>
      <c r="Q27" s="51">
        <v>3360</v>
      </c>
    </row>
    <row r="28" spans="1:17" x14ac:dyDescent="0.35">
      <c r="A28" s="56" t="s">
        <v>1156</v>
      </c>
      <c r="B28" s="56"/>
      <c r="C28" s="48">
        <v>48500</v>
      </c>
      <c r="D28" s="49">
        <v>48530.905000000006</v>
      </c>
      <c r="E28" s="50">
        <v>6116.929000000001</v>
      </c>
      <c r="F28" s="50">
        <v>11143.454999999998</v>
      </c>
      <c r="G28" s="50">
        <v>11772.945000000002</v>
      </c>
      <c r="H28" s="50">
        <v>11947.145999999999</v>
      </c>
      <c r="I28" s="50">
        <v>7550.43</v>
      </c>
      <c r="J28" s="51">
        <v>8904.255000000001</v>
      </c>
      <c r="K28" s="49">
        <v>49067.913</v>
      </c>
      <c r="L28" s="52">
        <v>4557.9930000000004</v>
      </c>
      <c r="M28" s="52">
        <v>9918.0619999999999</v>
      </c>
      <c r="N28" s="52">
        <v>10782.445000000002</v>
      </c>
      <c r="O28" s="52">
        <v>13483.348999999998</v>
      </c>
      <c r="P28" s="52">
        <v>10326.064</v>
      </c>
      <c r="Q28" s="51">
        <v>8703.237000000001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99D1-AFF6-4881-BA6A-C724616501AE}">
  <dimension ref="A1:AQ803"/>
  <sheetViews>
    <sheetView zoomScale="90" zoomScaleNormal="90" workbookViewId="0">
      <pane ySplit="1" topLeftCell="A30" activePane="bottomLeft" state="frozen"/>
      <selection pane="bottomLeft" activeCell="AC1" sqref="AC1:AC1048576"/>
    </sheetView>
  </sheetViews>
  <sheetFormatPr defaultRowHeight="15.5" x14ac:dyDescent="0.35"/>
  <cols>
    <col min="1" max="1" width="5" style="1" bestFit="1" customWidth="1"/>
    <col min="2" max="2" width="7.83203125" style="2" customWidth="1"/>
    <col min="3" max="3" width="4.75" style="1" customWidth="1"/>
    <col min="4" max="4" width="10.75" style="1" bestFit="1" customWidth="1"/>
    <col min="5" max="5" width="6.08203125" style="1" customWidth="1"/>
    <col min="6" max="6" width="11.25" style="1" bestFit="1" customWidth="1"/>
    <col min="7" max="7" width="7.9140625" style="1" customWidth="1"/>
    <col min="8" max="8" width="7.1640625" style="1" bestFit="1" customWidth="1"/>
    <col min="9" max="9" width="6.58203125" style="1" customWidth="1"/>
    <col min="10" max="10" width="7.58203125" style="1" customWidth="1"/>
    <col min="11" max="12" width="7.08203125" style="1" customWidth="1"/>
    <col min="13" max="13" width="9" style="1" customWidth="1"/>
    <col min="14" max="14" width="10.25" style="1" customWidth="1"/>
    <col min="15" max="15" width="10.1640625" style="1" customWidth="1"/>
    <col min="16" max="16" width="8.75" style="1" customWidth="1"/>
    <col min="17" max="17" width="20.1640625" style="1" customWidth="1"/>
    <col min="18" max="18" width="7.83203125" style="1" bestFit="1" customWidth="1"/>
    <col min="19" max="19" width="28.9140625" style="1" customWidth="1"/>
    <col min="20" max="20" width="6.6640625" style="1" customWidth="1"/>
    <col min="21" max="21" width="8.75" style="1" customWidth="1"/>
    <col min="22" max="22" width="5.58203125" style="1" customWidth="1"/>
    <col min="23" max="23" width="4.9140625" style="1" customWidth="1"/>
    <col min="24" max="24" width="5.83203125" style="1" bestFit="1" customWidth="1"/>
    <col min="25" max="25" width="6.33203125" style="1" customWidth="1"/>
    <col min="26" max="26" width="7.4140625" style="3" customWidth="1"/>
    <col min="27" max="27" width="7.1640625" style="3" customWidth="1"/>
    <col min="28" max="28" width="7.58203125" style="3" customWidth="1"/>
    <col min="29" max="29" width="7.08203125" style="3" customWidth="1"/>
    <col min="30" max="30" width="8.6640625" style="22" customWidth="1"/>
    <col min="31" max="35" width="6" style="22" customWidth="1"/>
    <col min="36" max="36" width="8.6640625" style="22" customWidth="1"/>
    <col min="37" max="41" width="5.6640625" style="4" customWidth="1"/>
    <col min="42" max="42" width="8.6640625" style="4" customWidth="1"/>
    <col min="43" max="43" width="37.75" style="1" customWidth="1"/>
    <col min="44" max="16384" width="8.6640625" style="4"/>
  </cols>
  <sheetData>
    <row r="1" spans="1:43" s="19" customFormat="1" ht="45" customHeight="1" x14ac:dyDescent="0.35">
      <c r="A1" s="7" t="s">
        <v>0</v>
      </c>
      <c r="B1" s="8" t="s">
        <v>1091</v>
      </c>
      <c r="C1" s="7" t="s">
        <v>7</v>
      </c>
      <c r="D1" s="7" t="s">
        <v>12</v>
      </c>
      <c r="E1" s="7" t="s">
        <v>13</v>
      </c>
      <c r="F1" s="7" t="s">
        <v>489</v>
      </c>
      <c r="G1" s="9" t="s">
        <v>1092</v>
      </c>
      <c r="H1" s="7" t="s">
        <v>1</v>
      </c>
      <c r="I1" s="38" t="s">
        <v>949</v>
      </c>
      <c r="J1" s="10" t="s">
        <v>1090</v>
      </c>
      <c r="K1" s="9" t="s">
        <v>1419</v>
      </c>
      <c r="L1" s="9" t="s">
        <v>1420</v>
      </c>
      <c r="M1" s="37" t="s">
        <v>950</v>
      </c>
      <c r="N1" s="7" t="s">
        <v>10</v>
      </c>
      <c r="O1" s="7" t="s">
        <v>11</v>
      </c>
      <c r="P1" s="7" t="s">
        <v>8</v>
      </c>
      <c r="Q1" s="7" t="s">
        <v>9</v>
      </c>
      <c r="R1" s="7" t="s">
        <v>14</v>
      </c>
      <c r="S1" s="7" t="s">
        <v>15</v>
      </c>
      <c r="T1" s="7" t="s">
        <v>1154</v>
      </c>
      <c r="U1" s="7" t="s">
        <v>16</v>
      </c>
      <c r="V1" s="7" t="s">
        <v>1153</v>
      </c>
      <c r="W1" s="7" t="s">
        <v>1130</v>
      </c>
      <c r="X1" s="7" t="s">
        <v>17</v>
      </c>
      <c r="Y1" s="7" t="s">
        <v>18</v>
      </c>
      <c r="Z1" s="11" t="s">
        <v>19</v>
      </c>
      <c r="AA1" s="20" t="s">
        <v>1403</v>
      </c>
      <c r="AB1" s="21" t="s">
        <v>1310</v>
      </c>
      <c r="AC1" s="12" t="s">
        <v>1311</v>
      </c>
      <c r="AD1" s="13" t="s">
        <v>955</v>
      </c>
      <c r="AE1" s="14" t="s">
        <v>956</v>
      </c>
      <c r="AF1" s="14" t="s">
        <v>960</v>
      </c>
      <c r="AG1" s="14" t="s">
        <v>961</v>
      </c>
      <c r="AH1" s="14" t="s">
        <v>962</v>
      </c>
      <c r="AI1" s="14" t="s">
        <v>963</v>
      </c>
      <c r="AJ1" s="15" t="s">
        <v>957</v>
      </c>
      <c r="AK1" s="16" t="s">
        <v>958</v>
      </c>
      <c r="AL1" s="16" t="s">
        <v>964</v>
      </c>
      <c r="AM1" s="16" t="s">
        <v>965</v>
      </c>
      <c r="AN1" s="16" t="s">
        <v>966</v>
      </c>
      <c r="AO1" s="16" t="s">
        <v>967</v>
      </c>
      <c r="AP1" s="17" t="s">
        <v>959</v>
      </c>
      <c r="AQ1" s="18" t="s">
        <v>20</v>
      </c>
    </row>
    <row r="2" spans="1:43" x14ac:dyDescent="0.35">
      <c r="A2" s="1">
        <v>742</v>
      </c>
      <c r="B2" s="2">
        <v>45811</v>
      </c>
      <c r="C2" s="1" t="s">
        <v>64</v>
      </c>
      <c r="D2" s="1">
        <v>9518823199</v>
      </c>
      <c r="E2" s="1">
        <v>2</v>
      </c>
      <c r="F2" s="1" t="s">
        <v>504</v>
      </c>
      <c r="G2" s="1" t="s">
        <v>1155</v>
      </c>
      <c r="H2" s="1" t="s">
        <v>21</v>
      </c>
      <c r="I2" s="1" t="s">
        <v>970</v>
      </c>
      <c r="K2" s="1" t="s">
        <v>970</v>
      </c>
      <c r="L2" s="1" t="str">
        <f>K2</f>
        <v>BPRS</v>
      </c>
      <c r="M2" s="1" t="s">
        <v>1230</v>
      </c>
      <c r="N2" s="1" t="s">
        <v>187</v>
      </c>
      <c r="O2" s="1" t="s">
        <v>120</v>
      </c>
      <c r="P2" s="1">
        <v>165053</v>
      </c>
      <c r="Q2" s="1" t="s">
        <v>186</v>
      </c>
      <c r="R2" s="1">
        <v>3755738</v>
      </c>
      <c r="S2" s="1" t="s">
        <v>188</v>
      </c>
      <c r="T2" s="1" t="s">
        <v>28</v>
      </c>
      <c r="U2" s="1" t="s">
        <v>189</v>
      </c>
      <c r="V2" s="1" t="s">
        <v>190</v>
      </c>
      <c r="W2" s="1">
        <v>1.2</v>
      </c>
      <c r="X2" s="1">
        <v>1250</v>
      </c>
      <c r="Y2" s="1">
        <v>0</v>
      </c>
      <c r="Z2" s="3">
        <v>81.411000000000001</v>
      </c>
      <c r="AA2" s="3">
        <v>25.58</v>
      </c>
      <c r="AB2" s="3">
        <v>55.831000000000003</v>
      </c>
      <c r="AC2" s="3">
        <v>0</v>
      </c>
      <c r="AD2" s="3">
        <f t="shared" ref="AD2:AD24" si="0">SUM(AE2:AI2)</f>
        <v>55.831000000000003</v>
      </c>
      <c r="AE2" s="3">
        <v>0</v>
      </c>
      <c r="AF2" s="3">
        <v>0</v>
      </c>
      <c r="AG2" s="3">
        <v>0</v>
      </c>
      <c r="AH2" s="3">
        <v>0</v>
      </c>
      <c r="AI2" s="3">
        <v>55.831000000000003</v>
      </c>
      <c r="AJ2" s="3">
        <f t="shared" ref="AJ2:AJ24" si="1">SUM(AK2:AO2)</f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3">
        <f t="shared" ref="AP2:AP33" si="2">(AC2+AD2)-AJ2</f>
        <v>55.831000000000003</v>
      </c>
      <c r="AQ2" s="1" t="s">
        <v>186</v>
      </c>
    </row>
    <row r="3" spans="1:43" x14ac:dyDescent="0.35">
      <c r="A3" s="1">
        <v>744</v>
      </c>
      <c r="B3" s="2">
        <v>45806</v>
      </c>
      <c r="C3" s="1" t="s">
        <v>64</v>
      </c>
      <c r="D3" s="1">
        <v>9518809011</v>
      </c>
      <c r="E3" s="1">
        <v>1</v>
      </c>
      <c r="F3" s="1" t="s">
        <v>512</v>
      </c>
      <c r="G3" s="1" t="s">
        <v>1155</v>
      </c>
      <c r="H3" s="1" t="s">
        <v>86</v>
      </c>
      <c r="I3" s="1" t="s">
        <v>968</v>
      </c>
      <c r="K3" s="1" t="s">
        <v>969</v>
      </c>
      <c r="L3" s="1" t="str">
        <f t="shared" ref="L3:L10" si="3">K3</f>
        <v>IPP</v>
      </c>
      <c r="M3" s="1" t="s">
        <v>1232</v>
      </c>
      <c r="N3" s="1" t="s">
        <v>108</v>
      </c>
      <c r="O3" s="1" t="s">
        <v>54</v>
      </c>
      <c r="P3" s="1">
        <v>940016</v>
      </c>
      <c r="Q3" s="1" t="s">
        <v>107</v>
      </c>
      <c r="R3" s="1">
        <v>3890482</v>
      </c>
      <c r="S3" s="1" t="s">
        <v>231</v>
      </c>
      <c r="T3" s="1" t="s">
        <v>88</v>
      </c>
      <c r="U3" s="1" t="s">
        <v>89</v>
      </c>
      <c r="V3" s="1" t="s">
        <v>218</v>
      </c>
      <c r="W3" s="1">
        <v>0.3</v>
      </c>
      <c r="X3" s="1">
        <v>1220</v>
      </c>
      <c r="Y3" s="1">
        <v>0</v>
      </c>
      <c r="Z3" s="3">
        <v>251.99799999999999</v>
      </c>
      <c r="AA3" s="3">
        <v>212.66499999999999</v>
      </c>
      <c r="AB3" s="3">
        <v>39.332999999999998</v>
      </c>
      <c r="AC3" s="3">
        <v>0</v>
      </c>
      <c r="AD3" s="3">
        <f t="shared" si="0"/>
        <v>39.332999999999998</v>
      </c>
      <c r="AE3" s="3">
        <v>0</v>
      </c>
      <c r="AF3" s="3">
        <v>39.332999999999998</v>
      </c>
      <c r="AG3" s="3">
        <v>0</v>
      </c>
      <c r="AH3" s="3">
        <v>0</v>
      </c>
      <c r="AI3" s="3">
        <v>0</v>
      </c>
      <c r="AJ3" s="3">
        <f t="shared" si="1"/>
        <v>39.332999999999998</v>
      </c>
      <c r="AK3" s="1">
        <v>0</v>
      </c>
      <c r="AL3" s="3">
        <f>AF3</f>
        <v>39.332999999999998</v>
      </c>
      <c r="AM3" s="1">
        <v>0</v>
      </c>
      <c r="AN3" s="1">
        <v>0</v>
      </c>
      <c r="AO3" s="1">
        <v>0</v>
      </c>
      <c r="AP3" s="3">
        <f t="shared" si="2"/>
        <v>0</v>
      </c>
      <c r="AQ3" s="1" t="s">
        <v>107</v>
      </c>
    </row>
    <row r="4" spans="1:43" x14ac:dyDescent="0.35">
      <c r="A4" s="1">
        <v>742</v>
      </c>
      <c r="B4" s="2">
        <v>45846</v>
      </c>
      <c r="C4" s="1" t="s">
        <v>64</v>
      </c>
      <c r="D4" s="1">
        <v>9518914458</v>
      </c>
      <c r="E4" s="1">
        <v>1</v>
      </c>
      <c r="F4" s="1" t="s">
        <v>515</v>
      </c>
      <c r="G4" s="1" t="s">
        <v>1155</v>
      </c>
      <c r="H4" s="1" t="s">
        <v>21</v>
      </c>
      <c r="I4" s="1" t="s">
        <v>969</v>
      </c>
      <c r="K4" s="1" t="s">
        <v>969</v>
      </c>
      <c r="L4" s="1" t="str">
        <f t="shared" si="3"/>
        <v>IPP</v>
      </c>
      <c r="M4" s="1" t="s">
        <v>1229</v>
      </c>
      <c r="N4" s="1" t="s">
        <v>85</v>
      </c>
      <c r="O4" s="1" t="s">
        <v>74</v>
      </c>
      <c r="P4" s="1">
        <v>947865</v>
      </c>
      <c r="Q4" s="1" t="s">
        <v>124</v>
      </c>
      <c r="R4" s="1">
        <v>4005007</v>
      </c>
      <c r="S4" s="1" t="s">
        <v>244</v>
      </c>
      <c r="T4" s="1" t="s">
        <v>28</v>
      </c>
      <c r="U4" s="1" t="s">
        <v>29</v>
      </c>
      <c r="V4" s="1" t="s">
        <v>126</v>
      </c>
      <c r="W4" s="1">
        <v>0.45</v>
      </c>
      <c r="X4" s="1">
        <v>1020</v>
      </c>
      <c r="Y4" s="1">
        <v>0</v>
      </c>
      <c r="Z4" s="3">
        <v>67</v>
      </c>
      <c r="AA4" s="3">
        <v>40.18</v>
      </c>
      <c r="AB4" s="3">
        <v>26.82</v>
      </c>
      <c r="AC4" s="3">
        <v>0</v>
      </c>
      <c r="AD4" s="3">
        <f t="shared" si="0"/>
        <v>26.82</v>
      </c>
      <c r="AE4" s="3">
        <v>26.82</v>
      </c>
      <c r="AF4" s="3">
        <v>0</v>
      </c>
      <c r="AG4" s="3">
        <v>0</v>
      </c>
      <c r="AH4" s="3">
        <v>0</v>
      </c>
      <c r="AI4" s="3">
        <v>0</v>
      </c>
      <c r="AJ4" s="3">
        <f t="shared" si="1"/>
        <v>26.82</v>
      </c>
      <c r="AK4" s="1">
        <v>0</v>
      </c>
      <c r="AL4" s="3">
        <f>AE4</f>
        <v>26.82</v>
      </c>
      <c r="AM4" s="1">
        <v>0</v>
      </c>
      <c r="AN4" s="1">
        <v>0</v>
      </c>
      <c r="AO4" s="1">
        <v>0</v>
      </c>
      <c r="AP4" s="3">
        <f t="shared" si="2"/>
        <v>0</v>
      </c>
      <c r="AQ4" s="1" t="s">
        <v>124</v>
      </c>
    </row>
    <row r="5" spans="1:43" x14ac:dyDescent="0.35">
      <c r="A5" s="1">
        <v>742</v>
      </c>
      <c r="B5" s="2">
        <v>45864</v>
      </c>
      <c r="C5" s="1" t="s">
        <v>64</v>
      </c>
      <c r="D5" s="1">
        <v>9518961702</v>
      </c>
      <c r="E5" s="1">
        <v>1</v>
      </c>
      <c r="F5" s="1" t="s">
        <v>517</v>
      </c>
      <c r="G5" s="1" t="s">
        <v>1155</v>
      </c>
      <c r="H5" s="1" t="s">
        <v>21</v>
      </c>
      <c r="I5" s="1" t="s">
        <v>974</v>
      </c>
      <c r="K5" s="1" t="s">
        <v>969</v>
      </c>
      <c r="L5" s="1" t="str">
        <f t="shared" si="3"/>
        <v>IPP</v>
      </c>
      <c r="M5" s="1" t="s">
        <v>1228</v>
      </c>
      <c r="N5" s="1" t="s">
        <v>227</v>
      </c>
      <c r="O5" s="1" t="s">
        <v>66</v>
      </c>
      <c r="P5" s="1">
        <v>188891</v>
      </c>
      <c r="Q5" s="1" t="s">
        <v>226</v>
      </c>
      <c r="R5" s="1">
        <v>2439203</v>
      </c>
      <c r="S5" s="1" t="s">
        <v>146</v>
      </c>
      <c r="T5" s="1" t="s">
        <v>28</v>
      </c>
      <c r="U5" s="1" t="s">
        <v>117</v>
      </c>
      <c r="V5" s="1" t="s">
        <v>118</v>
      </c>
      <c r="W5" s="1">
        <v>0.5</v>
      </c>
      <c r="X5" s="1">
        <v>1160</v>
      </c>
      <c r="Y5" s="1">
        <v>0</v>
      </c>
      <c r="Z5" s="3">
        <v>80</v>
      </c>
      <c r="AA5" s="3">
        <v>42.4</v>
      </c>
      <c r="AB5" s="3">
        <v>37.6</v>
      </c>
      <c r="AC5" s="3">
        <v>0</v>
      </c>
      <c r="AD5" s="3">
        <f t="shared" si="0"/>
        <v>37.6</v>
      </c>
      <c r="AE5" s="3">
        <v>37.6</v>
      </c>
      <c r="AF5" s="3">
        <v>0</v>
      </c>
      <c r="AG5" s="3">
        <v>0</v>
      </c>
      <c r="AH5" s="3">
        <v>0</v>
      </c>
      <c r="AI5" s="3">
        <v>0</v>
      </c>
      <c r="AJ5" s="3">
        <f t="shared" si="1"/>
        <v>37.6</v>
      </c>
      <c r="AK5" s="1">
        <v>0</v>
      </c>
      <c r="AL5" s="3">
        <f t="shared" ref="AL5:AO6" si="4">AE5</f>
        <v>37.6</v>
      </c>
      <c r="AM5" s="3">
        <f t="shared" si="4"/>
        <v>0</v>
      </c>
      <c r="AN5" s="3">
        <f t="shared" si="4"/>
        <v>0</v>
      </c>
      <c r="AO5" s="3">
        <f t="shared" si="4"/>
        <v>0</v>
      </c>
      <c r="AP5" s="3">
        <f t="shared" si="2"/>
        <v>0</v>
      </c>
      <c r="AQ5" s="1" t="s">
        <v>226</v>
      </c>
    </row>
    <row r="6" spans="1:43" x14ac:dyDescent="0.35">
      <c r="A6" s="1">
        <v>742</v>
      </c>
      <c r="B6" s="2">
        <v>45862</v>
      </c>
      <c r="C6" s="1" t="s">
        <v>64</v>
      </c>
      <c r="D6" s="1">
        <v>9518956389</v>
      </c>
      <c r="E6" s="1">
        <v>3</v>
      </c>
      <c r="F6" s="1" t="s">
        <v>518</v>
      </c>
      <c r="G6" s="1" t="s">
        <v>1155</v>
      </c>
      <c r="H6" s="1" t="s">
        <v>21</v>
      </c>
      <c r="I6" s="1" t="s">
        <v>22</v>
      </c>
      <c r="K6" s="1" t="s">
        <v>970</v>
      </c>
      <c r="L6" s="1" t="str">
        <f t="shared" si="3"/>
        <v>BPRS</v>
      </c>
      <c r="M6" s="1" t="s">
        <v>1229</v>
      </c>
      <c r="N6" s="1" t="s">
        <v>35</v>
      </c>
      <c r="O6" s="1" t="s">
        <v>32</v>
      </c>
      <c r="P6" s="1">
        <v>932244</v>
      </c>
      <c r="Q6" s="1" t="s">
        <v>270</v>
      </c>
      <c r="R6" s="1">
        <v>1801022</v>
      </c>
      <c r="S6" s="1" t="s">
        <v>196</v>
      </c>
      <c r="T6" s="1" t="s">
        <v>28</v>
      </c>
      <c r="U6" s="1" t="s">
        <v>29</v>
      </c>
      <c r="V6" s="1" t="s">
        <v>30</v>
      </c>
      <c r="W6" s="1">
        <v>0.45</v>
      </c>
      <c r="X6" s="1">
        <v>1250</v>
      </c>
      <c r="Y6" s="1">
        <v>0</v>
      </c>
      <c r="Z6" s="3">
        <v>29</v>
      </c>
      <c r="AA6" s="3">
        <v>0</v>
      </c>
      <c r="AB6" s="3">
        <v>29</v>
      </c>
      <c r="AC6" s="3">
        <v>0</v>
      </c>
      <c r="AD6" s="3">
        <f t="shared" si="0"/>
        <v>29</v>
      </c>
      <c r="AE6" s="3">
        <v>29</v>
      </c>
      <c r="AF6" s="3">
        <v>0</v>
      </c>
      <c r="AG6" s="3">
        <v>0</v>
      </c>
      <c r="AH6" s="3">
        <v>0</v>
      </c>
      <c r="AI6" s="3">
        <v>0</v>
      </c>
      <c r="AJ6" s="3">
        <f t="shared" si="1"/>
        <v>29</v>
      </c>
      <c r="AK6" s="1">
        <v>0</v>
      </c>
      <c r="AL6" s="3">
        <f t="shared" si="4"/>
        <v>29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2"/>
        <v>0</v>
      </c>
      <c r="AQ6" s="1" t="s">
        <v>270</v>
      </c>
    </row>
    <row r="7" spans="1:43" x14ac:dyDescent="0.35">
      <c r="A7" s="1">
        <v>742</v>
      </c>
      <c r="B7" s="2">
        <v>45862</v>
      </c>
      <c r="C7" s="1" t="s">
        <v>64</v>
      </c>
      <c r="D7" s="1">
        <v>9518956389</v>
      </c>
      <c r="E7" s="1">
        <v>5</v>
      </c>
      <c r="F7" s="1" t="s">
        <v>519</v>
      </c>
      <c r="G7" s="1" t="s">
        <v>1155</v>
      </c>
      <c r="H7" s="1" t="s">
        <v>21</v>
      </c>
      <c r="I7" s="1" t="s">
        <v>22</v>
      </c>
      <c r="K7" s="1" t="s">
        <v>970</v>
      </c>
      <c r="L7" s="1" t="str">
        <f t="shared" si="3"/>
        <v>BPRS</v>
      </c>
      <c r="M7" s="1" t="s">
        <v>1229</v>
      </c>
      <c r="N7" s="1" t="s">
        <v>35</v>
      </c>
      <c r="O7" s="1" t="s">
        <v>32</v>
      </c>
      <c r="P7" s="1">
        <v>932244</v>
      </c>
      <c r="Q7" s="1" t="s">
        <v>270</v>
      </c>
      <c r="R7" s="1">
        <v>1801290</v>
      </c>
      <c r="S7" s="1" t="s">
        <v>273</v>
      </c>
      <c r="T7" s="1" t="s">
        <v>28</v>
      </c>
      <c r="U7" s="1" t="s">
        <v>29</v>
      </c>
      <c r="V7" s="1" t="s">
        <v>30</v>
      </c>
      <c r="W7" s="1">
        <v>0.6</v>
      </c>
      <c r="X7" s="1">
        <v>1250</v>
      </c>
      <c r="Y7" s="1">
        <v>0</v>
      </c>
      <c r="Z7" s="3">
        <v>45.151000000000003</v>
      </c>
      <c r="AA7" s="3">
        <v>12.85</v>
      </c>
      <c r="AB7" s="3">
        <v>32.301000000000002</v>
      </c>
      <c r="AC7" s="3">
        <v>0</v>
      </c>
      <c r="AD7" s="3">
        <f t="shared" si="0"/>
        <v>32.301000000000002</v>
      </c>
      <c r="AE7" s="3">
        <v>0</v>
      </c>
      <c r="AF7" s="3">
        <v>32.301000000000002</v>
      </c>
      <c r="AG7" s="3">
        <v>0</v>
      </c>
      <c r="AH7" s="3">
        <v>0</v>
      </c>
      <c r="AI7" s="3">
        <v>0</v>
      </c>
      <c r="AJ7" s="3">
        <f t="shared" si="1"/>
        <v>32.301000000000002</v>
      </c>
      <c r="AK7" s="1">
        <v>0</v>
      </c>
      <c r="AL7" s="3">
        <f>AF7</f>
        <v>32.301000000000002</v>
      </c>
      <c r="AM7" s="3">
        <v>0</v>
      </c>
      <c r="AN7" s="3">
        <f>AG7</f>
        <v>0</v>
      </c>
      <c r="AO7" s="3">
        <f>AH7</f>
        <v>0</v>
      </c>
      <c r="AP7" s="3">
        <f t="shared" si="2"/>
        <v>0</v>
      </c>
      <c r="AQ7" s="1" t="s">
        <v>270</v>
      </c>
    </row>
    <row r="8" spans="1:43" x14ac:dyDescent="0.35">
      <c r="A8" s="1">
        <v>743</v>
      </c>
      <c r="B8" s="2">
        <v>45888</v>
      </c>
      <c r="C8" s="1" t="s">
        <v>64</v>
      </c>
      <c r="D8" s="1">
        <v>9519028704</v>
      </c>
      <c r="E8" s="1">
        <v>1</v>
      </c>
      <c r="F8" s="1" t="s">
        <v>520</v>
      </c>
      <c r="G8" s="1" t="s">
        <v>1367</v>
      </c>
      <c r="H8" s="1" t="s">
        <v>63</v>
      </c>
      <c r="I8" s="1" t="s">
        <v>1404</v>
      </c>
      <c r="K8" s="1" t="s">
        <v>970</v>
      </c>
      <c r="L8" s="1" t="str">
        <f t="shared" si="3"/>
        <v>BPRS</v>
      </c>
      <c r="M8" s="1" t="s">
        <v>1231</v>
      </c>
      <c r="N8" s="1" t="s">
        <v>214</v>
      </c>
      <c r="O8" s="1" t="s">
        <v>97</v>
      </c>
      <c r="P8" s="1">
        <v>931525</v>
      </c>
      <c r="Q8" s="1" t="s">
        <v>213</v>
      </c>
      <c r="R8" s="1">
        <v>1191955</v>
      </c>
      <c r="S8" s="1" t="s">
        <v>225</v>
      </c>
      <c r="T8" s="1" t="s">
        <v>139</v>
      </c>
      <c r="U8" s="1" t="s">
        <v>140</v>
      </c>
      <c r="V8" s="1" t="s">
        <v>150</v>
      </c>
      <c r="W8" s="1">
        <v>0.3</v>
      </c>
      <c r="X8" s="1">
        <v>900</v>
      </c>
      <c r="Y8" s="1">
        <v>0</v>
      </c>
      <c r="Z8" s="3">
        <v>84</v>
      </c>
      <c r="AA8" s="3">
        <v>80.06</v>
      </c>
      <c r="AB8" s="3">
        <v>3.94</v>
      </c>
      <c r="AC8" s="3">
        <v>59.975000000000001</v>
      </c>
      <c r="AD8" s="3">
        <f t="shared" si="0"/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f t="shared" si="1"/>
        <v>59.975000000000001</v>
      </c>
      <c r="AK8" s="3">
        <f>AC8</f>
        <v>59.975000000000001</v>
      </c>
      <c r="AL8" s="1">
        <v>0</v>
      </c>
      <c r="AM8" s="1">
        <v>0</v>
      </c>
      <c r="AN8" s="1">
        <v>0</v>
      </c>
      <c r="AO8" s="1">
        <v>0</v>
      </c>
      <c r="AP8" s="3">
        <f t="shared" si="2"/>
        <v>0</v>
      </c>
      <c r="AQ8" s="1" t="s">
        <v>213</v>
      </c>
    </row>
    <row r="9" spans="1:43" x14ac:dyDescent="0.35">
      <c r="A9" s="1">
        <v>742</v>
      </c>
      <c r="B9" s="2">
        <v>45841</v>
      </c>
      <c r="C9" s="1" t="s">
        <v>64</v>
      </c>
      <c r="D9" s="1">
        <v>9518903517</v>
      </c>
      <c r="E9" s="1">
        <v>1</v>
      </c>
      <c r="F9" s="1" t="s">
        <v>522</v>
      </c>
      <c r="G9" s="1" t="s">
        <v>1367</v>
      </c>
      <c r="H9" s="1" t="s">
        <v>21</v>
      </c>
      <c r="I9" s="1" t="s">
        <v>22</v>
      </c>
      <c r="K9" s="1" t="s">
        <v>970</v>
      </c>
      <c r="L9" s="1" t="str">
        <f t="shared" si="3"/>
        <v>BPRS</v>
      </c>
      <c r="M9" s="1" t="s">
        <v>1229</v>
      </c>
      <c r="N9" s="1" t="s">
        <v>35</v>
      </c>
      <c r="O9" s="1" t="s">
        <v>32</v>
      </c>
      <c r="P9" s="1">
        <v>939268</v>
      </c>
      <c r="Q9" s="1" t="s">
        <v>24</v>
      </c>
      <c r="R9" s="1">
        <v>1800890</v>
      </c>
      <c r="S9" s="1" t="s">
        <v>277</v>
      </c>
      <c r="T9" s="1" t="s">
        <v>28</v>
      </c>
      <c r="U9" s="1" t="s">
        <v>29</v>
      </c>
      <c r="V9" s="1" t="s">
        <v>30</v>
      </c>
      <c r="W9" s="1">
        <v>0.35</v>
      </c>
      <c r="X9" s="1">
        <v>1250</v>
      </c>
      <c r="Y9" s="1">
        <v>0</v>
      </c>
      <c r="Z9" s="3">
        <v>58</v>
      </c>
      <c r="AA9" s="3">
        <v>35.945</v>
      </c>
      <c r="AB9" s="3">
        <v>22.055</v>
      </c>
      <c r="AC9" s="3">
        <v>11.555</v>
      </c>
      <c r="AD9" s="3">
        <f t="shared" si="0"/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f t="shared" si="1"/>
        <v>11.555</v>
      </c>
      <c r="AK9" s="3">
        <f>AC9</f>
        <v>11.555</v>
      </c>
      <c r="AL9" s="1">
        <v>0</v>
      </c>
      <c r="AM9" s="1">
        <v>0</v>
      </c>
      <c r="AN9" s="1">
        <v>0</v>
      </c>
      <c r="AO9" s="1">
        <v>0</v>
      </c>
      <c r="AP9" s="3">
        <f t="shared" si="2"/>
        <v>0</v>
      </c>
      <c r="AQ9" s="1" t="s">
        <v>24</v>
      </c>
    </row>
    <row r="10" spans="1:43" x14ac:dyDescent="0.35">
      <c r="A10" s="1">
        <v>742</v>
      </c>
      <c r="B10" s="2">
        <v>45841</v>
      </c>
      <c r="C10" s="1" t="s">
        <v>64</v>
      </c>
      <c r="D10" s="1">
        <v>9518903517</v>
      </c>
      <c r="E10" s="1">
        <v>2</v>
      </c>
      <c r="F10" s="1" t="s">
        <v>523</v>
      </c>
      <c r="G10" s="1" t="s">
        <v>1155</v>
      </c>
      <c r="H10" s="1" t="s">
        <v>21</v>
      </c>
      <c r="I10" s="1" t="s">
        <v>22</v>
      </c>
      <c r="K10" s="1" t="s">
        <v>970</v>
      </c>
      <c r="L10" s="1" t="str">
        <f t="shared" si="3"/>
        <v>BPRS</v>
      </c>
      <c r="M10" s="1" t="s">
        <v>1229</v>
      </c>
      <c r="N10" s="1" t="s">
        <v>35</v>
      </c>
      <c r="O10" s="1" t="s">
        <v>32</v>
      </c>
      <c r="P10" s="1">
        <v>939268</v>
      </c>
      <c r="Q10" s="1" t="s">
        <v>24</v>
      </c>
      <c r="R10" s="1">
        <v>1804772</v>
      </c>
      <c r="S10" s="1" t="s">
        <v>271</v>
      </c>
      <c r="T10" s="1" t="s">
        <v>28</v>
      </c>
      <c r="U10" s="1" t="s">
        <v>29</v>
      </c>
      <c r="V10" s="1" t="s">
        <v>30</v>
      </c>
      <c r="W10" s="1">
        <v>0.4</v>
      </c>
      <c r="X10" s="1">
        <v>1250</v>
      </c>
      <c r="Y10" s="1">
        <v>0</v>
      </c>
      <c r="Z10" s="3">
        <v>116</v>
      </c>
      <c r="AA10" s="3">
        <v>69.63</v>
      </c>
      <c r="AB10" s="3">
        <v>46.37</v>
      </c>
      <c r="AC10" s="3">
        <v>0</v>
      </c>
      <c r="AD10" s="3">
        <f t="shared" si="0"/>
        <v>46.37</v>
      </c>
      <c r="AE10" s="3">
        <v>0</v>
      </c>
      <c r="AF10" s="3">
        <v>46.37</v>
      </c>
      <c r="AG10" s="3">
        <v>0</v>
      </c>
      <c r="AH10" s="3">
        <v>0</v>
      </c>
      <c r="AI10" s="3">
        <v>0</v>
      </c>
      <c r="AJ10" s="3">
        <f t="shared" si="1"/>
        <v>46.37</v>
      </c>
      <c r="AK10" s="1">
        <v>0</v>
      </c>
      <c r="AL10" s="3">
        <f>AF10</f>
        <v>46.37</v>
      </c>
      <c r="AM10" s="3">
        <v>0</v>
      </c>
      <c r="AN10" s="3">
        <f>AG10</f>
        <v>0</v>
      </c>
      <c r="AO10" s="3">
        <f>AH10</f>
        <v>0</v>
      </c>
      <c r="AP10" s="3">
        <f t="shared" si="2"/>
        <v>0</v>
      </c>
      <c r="AQ10" s="1" t="s">
        <v>24</v>
      </c>
    </row>
    <row r="11" spans="1:43" x14ac:dyDescent="0.35">
      <c r="A11" s="1">
        <v>743</v>
      </c>
      <c r="B11" s="2">
        <v>45824</v>
      </c>
      <c r="C11" s="1" t="s">
        <v>46</v>
      </c>
      <c r="D11" s="1">
        <v>9518851597</v>
      </c>
      <c r="E11" s="1">
        <v>1</v>
      </c>
      <c r="F11" s="1" t="s">
        <v>527</v>
      </c>
      <c r="G11" s="1" t="s">
        <v>255</v>
      </c>
      <c r="H11" s="1" t="s">
        <v>63</v>
      </c>
      <c r="I11" s="1" t="s">
        <v>1291</v>
      </c>
      <c r="K11" s="1" t="s">
        <v>970</v>
      </c>
      <c r="L11" s="1" t="s">
        <v>1422</v>
      </c>
      <c r="M11" s="1" t="s">
        <v>1230</v>
      </c>
      <c r="N11" s="1" t="s">
        <v>108</v>
      </c>
      <c r="O11" s="1" t="s">
        <v>163</v>
      </c>
      <c r="P11" s="1">
        <v>651192</v>
      </c>
      <c r="Q11" s="1" t="s">
        <v>161</v>
      </c>
      <c r="R11" s="1">
        <v>3708868</v>
      </c>
      <c r="S11" s="1" t="s">
        <v>67</v>
      </c>
      <c r="T11" s="1" t="s">
        <v>68</v>
      </c>
      <c r="U11" s="1" t="s">
        <v>69</v>
      </c>
      <c r="V11" s="1" t="s">
        <v>70</v>
      </c>
      <c r="W11" s="1">
        <v>0.5</v>
      </c>
      <c r="X11" s="1">
        <v>1350</v>
      </c>
      <c r="Y11" s="1">
        <v>0</v>
      </c>
      <c r="Z11" s="3">
        <v>449.97</v>
      </c>
      <c r="AA11" s="3">
        <v>422.30500000000001</v>
      </c>
      <c r="AB11" s="3">
        <v>27.664999999999999</v>
      </c>
      <c r="AC11" s="3">
        <v>0</v>
      </c>
      <c r="AD11" s="3">
        <f t="shared" si="0"/>
        <v>27.664999999999999</v>
      </c>
      <c r="AE11" s="3">
        <v>0</v>
      </c>
      <c r="AF11" s="3">
        <v>0</v>
      </c>
      <c r="AG11" s="3">
        <v>27.664999999999999</v>
      </c>
      <c r="AH11" s="3">
        <v>0</v>
      </c>
      <c r="AI11" s="3">
        <v>0</v>
      </c>
      <c r="AJ11" s="3">
        <f t="shared" si="1"/>
        <v>27.664999999999999</v>
      </c>
      <c r="AK11" s="1">
        <v>0</v>
      </c>
      <c r="AL11" s="1">
        <v>0</v>
      </c>
      <c r="AM11" s="3">
        <f>AG11</f>
        <v>27.664999999999999</v>
      </c>
      <c r="AN11" s="1">
        <v>0</v>
      </c>
      <c r="AO11" s="1">
        <v>0</v>
      </c>
      <c r="AP11" s="3">
        <f t="shared" si="2"/>
        <v>0</v>
      </c>
      <c r="AQ11" s="1" t="s">
        <v>161</v>
      </c>
    </row>
    <row r="12" spans="1:43" x14ac:dyDescent="0.35">
      <c r="A12" s="1">
        <v>743</v>
      </c>
      <c r="B12" s="2">
        <v>45861</v>
      </c>
      <c r="C12" s="1" t="s">
        <v>64</v>
      </c>
      <c r="D12" s="1">
        <v>9518951602</v>
      </c>
      <c r="E12" s="1">
        <v>1</v>
      </c>
      <c r="F12" s="1" t="s">
        <v>528</v>
      </c>
      <c r="G12" s="1" t="s">
        <v>393</v>
      </c>
      <c r="H12" s="1" t="s">
        <v>63</v>
      </c>
      <c r="I12" s="1" t="s">
        <v>1404</v>
      </c>
      <c r="K12" s="1" t="s">
        <v>970</v>
      </c>
      <c r="L12" s="1" t="str">
        <f t="shared" ref="L12:L15" si="5">K12</f>
        <v>BPRS</v>
      </c>
      <c r="M12" s="1" t="s">
        <v>1231</v>
      </c>
      <c r="N12" s="1" t="s">
        <v>96</v>
      </c>
      <c r="O12" s="1" t="s">
        <v>97</v>
      </c>
      <c r="P12" s="1">
        <v>933952</v>
      </c>
      <c r="Q12" s="1" t="s">
        <v>95</v>
      </c>
      <c r="R12" s="1">
        <v>1851054</v>
      </c>
      <c r="S12" s="1" t="s">
        <v>298</v>
      </c>
      <c r="T12" s="1" t="s">
        <v>139</v>
      </c>
      <c r="U12" s="1" t="s">
        <v>140</v>
      </c>
      <c r="V12" s="1" t="s">
        <v>150</v>
      </c>
      <c r="W12" s="1">
        <v>0.2</v>
      </c>
      <c r="X12" s="1">
        <v>900</v>
      </c>
      <c r="Y12" s="1">
        <v>0</v>
      </c>
      <c r="Z12" s="3">
        <v>21</v>
      </c>
      <c r="AA12" s="3">
        <v>0</v>
      </c>
      <c r="AB12" s="3">
        <v>21</v>
      </c>
      <c r="AC12" s="3">
        <v>0</v>
      </c>
      <c r="AD12" s="3">
        <f t="shared" si="0"/>
        <v>21</v>
      </c>
      <c r="AE12" s="3">
        <v>0</v>
      </c>
      <c r="AF12" s="3">
        <v>0</v>
      </c>
      <c r="AG12" s="3">
        <v>0</v>
      </c>
      <c r="AH12" s="3">
        <v>0</v>
      </c>
      <c r="AI12" s="3">
        <v>21</v>
      </c>
      <c r="AJ12" s="3">
        <f t="shared" si="1"/>
        <v>21</v>
      </c>
      <c r="AK12" s="1">
        <v>0</v>
      </c>
      <c r="AL12" s="1">
        <v>0</v>
      </c>
      <c r="AM12" s="1">
        <v>0</v>
      </c>
      <c r="AN12" s="1">
        <v>0</v>
      </c>
      <c r="AO12" s="3">
        <f>AI12</f>
        <v>21</v>
      </c>
      <c r="AP12" s="3">
        <f t="shared" si="2"/>
        <v>0</v>
      </c>
      <c r="AQ12" s="1" t="s">
        <v>95</v>
      </c>
    </row>
    <row r="13" spans="1:43" x14ac:dyDescent="0.35">
      <c r="A13" s="1">
        <v>742</v>
      </c>
      <c r="B13" s="2">
        <v>45857</v>
      </c>
      <c r="C13" s="1" t="s">
        <v>64</v>
      </c>
      <c r="D13" s="1">
        <v>9518942225</v>
      </c>
      <c r="E13" s="1">
        <v>13</v>
      </c>
      <c r="F13" s="1" t="s">
        <v>531</v>
      </c>
      <c r="G13" s="1" t="s">
        <v>1367</v>
      </c>
      <c r="H13" s="1" t="s">
        <v>21</v>
      </c>
      <c r="I13" s="1" t="s">
        <v>71</v>
      </c>
      <c r="K13" s="1" t="s">
        <v>970</v>
      </c>
      <c r="L13" s="1" t="str">
        <f t="shared" si="5"/>
        <v>BPRS</v>
      </c>
      <c r="M13" s="1" t="s">
        <v>1230</v>
      </c>
      <c r="N13" s="1" t="s">
        <v>170</v>
      </c>
      <c r="O13" s="1" t="s">
        <v>80</v>
      </c>
      <c r="P13" s="1">
        <v>948783</v>
      </c>
      <c r="Q13" s="1" t="s">
        <v>78</v>
      </c>
      <c r="R13" s="1">
        <v>3240778</v>
      </c>
      <c r="S13" s="1" t="s">
        <v>303</v>
      </c>
      <c r="T13" s="1" t="s">
        <v>75</v>
      </c>
      <c r="U13" s="1" t="s">
        <v>76</v>
      </c>
      <c r="V13" s="1" t="s">
        <v>77</v>
      </c>
      <c r="W13" s="1">
        <v>0.6</v>
      </c>
      <c r="X13" s="1">
        <v>1000</v>
      </c>
      <c r="Y13" s="1">
        <v>2500</v>
      </c>
      <c r="Z13" s="3">
        <v>24</v>
      </c>
      <c r="AA13" s="3">
        <v>13.41</v>
      </c>
      <c r="AB13" s="3">
        <v>10.585000000000001</v>
      </c>
      <c r="AC13" s="3">
        <v>4.835</v>
      </c>
      <c r="AD13" s="3">
        <f t="shared" si="0"/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f t="shared" si="1"/>
        <v>4.835</v>
      </c>
      <c r="AK13" s="3">
        <f>AC13</f>
        <v>4.835</v>
      </c>
      <c r="AL13" s="1">
        <v>0</v>
      </c>
      <c r="AM13" s="1">
        <v>0</v>
      </c>
      <c r="AN13" s="1">
        <v>0</v>
      </c>
      <c r="AO13" s="1">
        <v>0</v>
      </c>
      <c r="AP13" s="3">
        <f t="shared" si="2"/>
        <v>0</v>
      </c>
      <c r="AQ13" s="1" t="s">
        <v>78</v>
      </c>
    </row>
    <row r="14" spans="1:43" x14ac:dyDescent="0.35">
      <c r="A14" s="1">
        <v>742</v>
      </c>
      <c r="B14" s="2">
        <v>45856</v>
      </c>
      <c r="C14" s="1" t="s">
        <v>64</v>
      </c>
      <c r="D14" s="1">
        <v>9518939680</v>
      </c>
      <c r="E14" s="1">
        <v>9</v>
      </c>
      <c r="F14" s="1" t="s">
        <v>532</v>
      </c>
      <c r="G14" s="1" t="s">
        <v>1155</v>
      </c>
      <c r="H14" s="1" t="s">
        <v>21</v>
      </c>
      <c r="I14" s="1" t="s">
        <v>71</v>
      </c>
      <c r="K14" s="1" t="s">
        <v>970</v>
      </c>
      <c r="L14" s="1" t="str">
        <f t="shared" si="5"/>
        <v>BPRS</v>
      </c>
      <c r="M14" s="1" t="s">
        <v>1229</v>
      </c>
      <c r="N14" s="1" t="s">
        <v>137</v>
      </c>
      <c r="O14" s="1" t="s">
        <v>58</v>
      </c>
      <c r="P14" s="1">
        <v>938550</v>
      </c>
      <c r="Q14" s="1" t="s">
        <v>221</v>
      </c>
      <c r="R14" s="1">
        <v>3533339</v>
      </c>
      <c r="S14" s="1" t="s">
        <v>304</v>
      </c>
      <c r="T14" s="1" t="s">
        <v>75</v>
      </c>
      <c r="U14" s="1" t="s">
        <v>122</v>
      </c>
      <c r="V14" s="1" t="s">
        <v>123</v>
      </c>
      <c r="W14" s="1">
        <v>0.45</v>
      </c>
      <c r="X14" s="1">
        <v>1000</v>
      </c>
      <c r="Y14" s="1">
        <v>2000</v>
      </c>
      <c r="Z14" s="3">
        <v>24</v>
      </c>
      <c r="AA14" s="3">
        <v>0</v>
      </c>
      <c r="AB14" s="3">
        <v>24</v>
      </c>
      <c r="AC14" s="3">
        <v>0</v>
      </c>
      <c r="AD14" s="3">
        <f t="shared" si="0"/>
        <v>24</v>
      </c>
      <c r="AE14" s="3">
        <v>0</v>
      </c>
      <c r="AF14" s="3">
        <v>0</v>
      </c>
      <c r="AG14" s="3">
        <v>0</v>
      </c>
      <c r="AH14" s="3">
        <v>24</v>
      </c>
      <c r="AI14" s="3">
        <v>0</v>
      </c>
      <c r="AJ14" s="3">
        <f t="shared" si="1"/>
        <v>24</v>
      </c>
      <c r="AK14" s="1">
        <v>0</v>
      </c>
      <c r="AL14" s="3">
        <f>AE14</f>
        <v>0</v>
      </c>
      <c r="AM14" s="3">
        <f>AF14</f>
        <v>0</v>
      </c>
      <c r="AN14" s="3">
        <f>AD14</f>
        <v>24</v>
      </c>
      <c r="AO14" s="3">
        <v>0</v>
      </c>
      <c r="AP14" s="3">
        <f t="shared" si="2"/>
        <v>0</v>
      </c>
      <c r="AQ14" s="1" t="s">
        <v>221</v>
      </c>
    </row>
    <row r="15" spans="1:43" x14ac:dyDescent="0.35">
      <c r="A15" s="1">
        <v>742</v>
      </c>
      <c r="B15" s="2">
        <v>45869</v>
      </c>
      <c r="C15" s="1" t="s">
        <v>64</v>
      </c>
      <c r="D15" s="1">
        <v>9518980071</v>
      </c>
      <c r="E15" s="1">
        <v>3</v>
      </c>
      <c r="F15" s="1" t="s">
        <v>533</v>
      </c>
      <c r="G15" s="1" t="s">
        <v>393</v>
      </c>
      <c r="H15" s="1" t="s">
        <v>21</v>
      </c>
      <c r="I15" s="1" t="s">
        <v>71</v>
      </c>
      <c r="K15" s="1" t="s">
        <v>970</v>
      </c>
      <c r="L15" s="1" t="str">
        <f t="shared" si="5"/>
        <v>BPRS</v>
      </c>
      <c r="M15" s="1" t="s">
        <v>1230</v>
      </c>
      <c r="N15" s="1" t="s">
        <v>308</v>
      </c>
      <c r="O15" s="1" t="s">
        <v>151</v>
      </c>
      <c r="P15" s="1">
        <v>101278</v>
      </c>
      <c r="Q15" s="1" t="s">
        <v>311</v>
      </c>
      <c r="R15" s="1">
        <v>3239536</v>
      </c>
      <c r="S15" s="1" t="s">
        <v>177</v>
      </c>
      <c r="T15" s="1" t="s">
        <v>75</v>
      </c>
      <c r="U15" s="1" t="s">
        <v>122</v>
      </c>
      <c r="V15" s="1" t="s">
        <v>123</v>
      </c>
      <c r="W15" s="1">
        <v>0.35</v>
      </c>
      <c r="X15" s="1">
        <v>900</v>
      </c>
      <c r="Y15" s="1">
        <v>2500</v>
      </c>
      <c r="Z15" s="3">
        <v>21</v>
      </c>
      <c r="AA15" s="3">
        <v>0</v>
      </c>
      <c r="AB15" s="3">
        <v>21</v>
      </c>
      <c r="AC15" s="3">
        <v>0</v>
      </c>
      <c r="AD15" s="3">
        <f t="shared" si="0"/>
        <v>21</v>
      </c>
      <c r="AE15" s="3">
        <v>21</v>
      </c>
      <c r="AF15" s="3">
        <v>0</v>
      </c>
      <c r="AG15" s="3">
        <v>0</v>
      </c>
      <c r="AH15" s="3">
        <v>0</v>
      </c>
      <c r="AI15" s="3">
        <v>0</v>
      </c>
      <c r="AJ15" s="3">
        <f t="shared" si="1"/>
        <v>21</v>
      </c>
      <c r="AK15" s="1">
        <v>0</v>
      </c>
      <c r="AL15" s="3">
        <f>AE15</f>
        <v>21</v>
      </c>
      <c r="AM15" s="3">
        <f>AF15</f>
        <v>0</v>
      </c>
      <c r="AN15" s="3">
        <f>AG15</f>
        <v>0</v>
      </c>
      <c r="AO15" s="3">
        <f>AH15</f>
        <v>0</v>
      </c>
      <c r="AP15" s="3">
        <f t="shared" si="2"/>
        <v>0</v>
      </c>
      <c r="AQ15" s="1" t="s">
        <v>311</v>
      </c>
    </row>
    <row r="16" spans="1:43" x14ac:dyDescent="0.35">
      <c r="A16" s="1">
        <v>742</v>
      </c>
      <c r="B16" s="2">
        <v>45875</v>
      </c>
      <c r="C16" s="1" t="s">
        <v>46</v>
      </c>
      <c r="D16" s="1">
        <v>9518998049</v>
      </c>
      <c r="E16" s="1">
        <v>5</v>
      </c>
      <c r="F16" s="1" t="s">
        <v>534</v>
      </c>
      <c r="G16" s="1" t="s">
        <v>1367</v>
      </c>
      <c r="H16" s="1" t="s">
        <v>21</v>
      </c>
      <c r="I16" s="1" t="s">
        <v>974</v>
      </c>
      <c r="K16" s="1" t="s">
        <v>969</v>
      </c>
      <c r="L16" s="1" t="s">
        <v>1421</v>
      </c>
      <c r="M16" s="1" t="s">
        <v>1230</v>
      </c>
      <c r="N16" s="1" t="s">
        <v>100</v>
      </c>
      <c r="O16" s="1" t="s">
        <v>145</v>
      </c>
      <c r="P16" s="1">
        <v>600250</v>
      </c>
      <c r="Q16" s="1" t="s">
        <v>43</v>
      </c>
      <c r="R16" s="1">
        <v>2439203</v>
      </c>
      <c r="S16" s="1" t="s">
        <v>146</v>
      </c>
      <c r="T16" s="1" t="s">
        <v>28</v>
      </c>
      <c r="U16" s="1" t="s">
        <v>117</v>
      </c>
      <c r="V16" s="1" t="s">
        <v>118</v>
      </c>
      <c r="W16" s="1">
        <v>0.5</v>
      </c>
      <c r="X16" s="1">
        <v>1160</v>
      </c>
      <c r="Y16" s="1">
        <v>0</v>
      </c>
      <c r="Z16" s="3">
        <v>135</v>
      </c>
      <c r="AA16" s="3">
        <v>123.05500000000001</v>
      </c>
      <c r="AB16" s="3">
        <v>11.945</v>
      </c>
      <c r="AC16" s="3">
        <v>24.615000000000002</v>
      </c>
      <c r="AD16" s="3">
        <f t="shared" si="0"/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f t="shared" si="1"/>
        <v>24.615000000000002</v>
      </c>
      <c r="AK16" s="3">
        <f>AC16</f>
        <v>24.615000000000002</v>
      </c>
      <c r="AL16" s="1">
        <v>0</v>
      </c>
      <c r="AM16" s="1">
        <v>0</v>
      </c>
      <c r="AN16" s="1">
        <v>0</v>
      </c>
      <c r="AO16" s="1">
        <v>0</v>
      </c>
      <c r="AP16" s="3">
        <f t="shared" si="2"/>
        <v>0</v>
      </c>
      <c r="AQ16" s="1" t="s">
        <v>43</v>
      </c>
    </row>
    <row r="17" spans="1:43" x14ac:dyDescent="0.35">
      <c r="A17" s="1">
        <v>743</v>
      </c>
      <c r="B17" s="2">
        <v>45890</v>
      </c>
      <c r="C17" s="1" t="s">
        <v>64</v>
      </c>
      <c r="D17" s="1">
        <v>9519035728</v>
      </c>
      <c r="E17" s="1">
        <v>2</v>
      </c>
      <c r="F17" s="1" t="s">
        <v>535</v>
      </c>
      <c r="G17" s="1" t="s">
        <v>1155</v>
      </c>
      <c r="H17" s="1" t="s">
        <v>56</v>
      </c>
      <c r="I17" s="1" t="s">
        <v>968</v>
      </c>
      <c r="K17" s="1" t="s">
        <v>969</v>
      </c>
      <c r="L17" s="1" t="str">
        <f t="shared" ref="L17:L20" si="6">K17</f>
        <v>IPP</v>
      </c>
      <c r="M17" s="1" t="s">
        <v>1232</v>
      </c>
      <c r="N17" s="1" t="s">
        <v>187</v>
      </c>
      <c r="O17" s="1" t="s">
        <v>54</v>
      </c>
      <c r="P17" s="1">
        <v>942284</v>
      </c>
      <c r="Q17" s="1" t="s">
        <v>87</v>
      </c>
      <c r="R17" s="1">
        <v>3931932</v>
      </c>
      <c r="S17" s="1" t="s">
        <v>312</v>
      </c>
      <c r="T17" s="1" t="s">
        <v>60</v>
      </c>
      <c r="U17" s="1" t="s">
        <v>61</v>
      </c>
      <c r="V17" s="1" t="s">
        <v>313</v>
      </c>
      <c r="W17" s="1">
        <v>0.35</v>
      </c>
      <c r="X17" s="1">
        <v>900</v>
      </c>
      <c r="Y17" s="1">
        <v>0</v>
      </c>
      <c r="Z17" s="3">
        <v>84</v>
      </c>
      <c r="AA17" s="3">
        <v>13.725</v>
      </c>
      <c r="AB17" s="3">
        <v>70.275000000000006</v>
      </c>
      <c r="AC17" s="3">
        <v>13.725000000000001</v>
      </c>
      <c r="AD17" s="3">
        <f t="shared" si="0"/>
        <v>70.275000000000006</v>
      </c>
      <c r="AE17" s="3">
        <v>0</v>
      </c>
      <c r="AF17" s="3">
        <v>0</v>
      </c>
      <c r="AG17" s="3">
        <v>0</v>
      </c>
      <c r="AH17" s="3">
        <v>0</v>
      </c>
      <c r="AI17" s="3">
        <v>70.275000000000006</v>
      </c>
      <c r="AJ17" s="3">
        <f t="shared" si="1"/>
        <v>0</v>
      </c>
      <c r="AK17" s="1">
        <v>0</v>
      </c>
      <c r="AL17" s="1">
        <v>0</v>
      </c>
      <c r="AM17" s="1">
        <v>0</v>
      </c>
      <c r="AN17" s="1">
        <v>0</v>
      </c>
      <c r="AO17" s="3">
        <v>0</v>
      </c>
      <c r="AP17" s="3">
        <f t="shared" si="2"/>
        <v>84</v>
      </c>
      <c r="AQ17" s="1" t="s">
        <v>87</v>
      </c>
    </row>
    <row r="18" spans="1:43" x14ac:dyDescent="0.35">
      <c r="A18" s="1">
        <v>742</v>
      </c>
      <c r="B18" s="2">
        <v>45857</v>
      </c>
      <c r="C18" s="1" t="s">
        <v>64</v>
      </c>
      <c r="D18" s="1">
        <v>9518941704</v>
      </c>
      <c r="E18" s="1">
        <v>1</v>
      </c>
      <c r="F18" s="1" t="s">
        <v>536</v>
      </c>
      <c r="G18" s="1" t="s">
        <v>393</v>
      </c>
      <c r="H18" s="1" t="s">
        <v>21</v>
      </c>
      <c r="I18" s="1" t="s">
        <v>71</v>
      </c>
      <c r="K18" s="1" t="s">
        <v>970</v>
      </c>
      <c r="L18" s="1" t="str">
        <f t="shared" si="6"/>
        <v>BPRS</v>
      </c>
      <c r="M18" s="1" t="s">
        <v>1230</v>
      </c>
      <c r="N18" s="1" t="s">
        <v>220</v>
      </c>
      <c r="O18" s="1" t="s">
        <v>120</v>
      </c>
      <c r="P18" s="1">
        <v>185794</v>
      </c>
      <c r="Q18" s="1" t="s">
        <v>219</v>
      </c>
      <c r="R18" s="1">
        <v>2427612</v>
      </c>
      <c r="S18" s="1" t="s">
        <v>121</v>
      </c>
      <c r="T18" s="1" t="s">
        <v>75</v>
      </c>
      <c r="U18" s="1" t="s">
        <v>122</v>
      </c>
      <c r="V18" s="1" t="s">
        <v>123</v>
      </c>
      <c r="W18" s="1">
        <v>0.3</v>
      </c>
      <c r="X18" s="1">
        <v>900</v>
      </c>
      <c r="Y18" s="1">
        <v>2500</v>
      </c>
      <c r="Z18" s="3">
        <v>84</v>
      </c>
      <c r="AA18" s="3">
        <v>0</v>
      </c>
      <c r="AB18" s="3">
        <v>84</v>
      </c>
      <c r="AC18" s="3">
        <v>0</v>
      </c>
      <c r="AD18" s="3">
        <f t="shared" si="0"/>
        <v>84</v>
      </c>
      <c r="AE18" s="3">
        <v>0</v>
      </c>
      <c r="AF18" s="3">
        <v>84</v>
      </c>
      <c r="AG18" s="3">
        <v>0</v>
      </c>
      <c r="AH18" s="3">
        <v>0</v>
      </c>
      <c r="AI18" s="3">
        <v>0</v>
      </c>
      <c r="AJ18" s="3">
        <f t="shared" si="1"/>
        <v>84</v>
      </c>
      <c r="AK18" s="1">
        <v>0</v>
      </c>
      <c r="AL18" s="3">
        <f>AF18</f>
        <v>84</v>
      </c>
      <c r="AM18" s="3">
        <v>0</v>
      </c>
      <c r="AN18" s="3">
        <f>AG18</f>
        <v>0</v>
      </c>
      <c r="AO18" s="3">
        <f>AH18</f>
        <v>0</v>
      </c>
      <c r="AP18" s="3">
        <f t="shared" si="2"/>
        <v>0</v>
      </c>
      <c r="AQ18" s="1" t="s">
        <v>219</v>
      </c>
    </row>
    <row r="19" spans="1:43" x14ac:dyDescent="0.35">
      <c r="A19" s="1">
        <v>742</v>
      </c>
      <c r="B19" s="2">
        <v>45857</v>
      </c>
      <c r="C19" s="1" t="s">
        <v>64</v>
      </c>
      <c r="D19" s="1">
        <v>9518941704</v>
      </c>
      <c r="E19" s="1">
        <v>2</v>
      </c>
      <c r="F19" s="1" t="s">
        <v>537</v>
      </c>
      <c r="G19" s="1" t="s">
        <v>393</v>
      </c>
      <c r="H19" s="1" t="s">
        <v>21</v>
      </c>
      <c r="I19" s="1" t="s">
        <v>71</v>
      </c>
      <c r="K19" s="1" t="s">
        <v>970</v>
      </c>
      <c r="L19" s="1" t="str">
        <f t="shared" si="6"/>
        <v>BPRS</v>
      </c>
      <c r="M19" s="1" t="s">
        <v>1230</v>
      </c>
      <c r="N19" s="1" t="s">
        <v>220</v>
      </c>
      <c r="O19" s="1" t="s">
        <v>120</v>
      </c>
      <c r="P19" s="1">
        <v>185794</v>
      </c>
      <c r="Q19" s="1" t="s">
        <v>219</v>
      </c>
      <c r="R19" s="1">
        <v>3239536</v>
      </c>
      <c r="S19" s="1" t="s">
        <v>177</v>
      </c>
      <c r="T19" s="1" t="s">
        <v>75</v>
      </c>
      <c r="U19" s="1" t="s">
        <v>122</v>
      </c>
      <c r="V19" s="1" t="s">
        <v>123</v>
      </c>
      <c r="W19" s="1">
        <v>0.35</v>
      </c>
      <c r="X19" s="1">
        <v>900</v>
      </c>
      <c r="Y19" s="1">
        <v>2500</v>
      </c>
      <c r="Z19" s="3">
        <v>84</v>
      </c>
      <c r="AA19" s="3">
        <v>29.69</v>
      </c>
      <c r="AB19" s="3">
        <v>54.31</v>
      </c>
      <c r="AC19" s="3">
        <v>16.52</v>
      </c>
      <c r="AD19" s="3">
        <f t="shared" si="0"/>
        <v>54.31</v>
      </c>
      <c r="AE19" s="3">
        <v>54.31</v>
      </c>
      <c r="AF19" s="3">
        <v>0</v>
      </c>
      <c r="AG19" s="3">
        <v>0</v>
      </c>
      <c r="AH19" s="3">
        <v>0</v>
      </c>
      <c r="AI19" s="3">
        <v>0</v>
      </c>
      <c r="AJ19" s="3">
        <f t="shared" si="1"/>
        <v>70.83</v>
      </c>
      <c r="AK19" s="1">
        <v>0</v>
      </c>
      <c r="AL19" s="3">
        <f>AE19+AC19</f>
        <v>70.83</v>
      </c>
      <c r="AM19" s="1">
        <v>0</v>
      </c>
      <c r="AN19" s="1">
        <v>0</v>
      </c>
      <c r="AO19" s="1">
        <v>0</v>
      </c>
      <c r="AP19" s="3">
        <f t="shared" si="2"/>
        <v>0</v>
      </c>
      <c r="AQ19" s="1" t="s">
        <v>219</v>
      </c>
    </row>
    <row r="20" spans="1:43" x14ac:dyDescent="0.35">
      <c r="A20" s="1">
        <v>743</v>
      </c>
      <c r="B20" s="2">
        <v>45853</v>
      </c>
      <c r="C20" s="1" t="s">
        <v>64</v>
      </c>
      <c r="D20" s="1">
        <v>9518930025</v>
      </c>
      <c r="E20" s="1">
        <v>1</v>
      </c>
      <c r="F20" s="1" t="s">
        <v>538</v>
      </c>
      <c r="G20" s="1" t="s">
        <v>393</v>
      </c>
      <c r="H20" s="1" t="s">
        <v>63</v>
      </c>
      <c r="I20" s="1" t="s">
        <v>1404</v>
      </c>
      <c r="K20" s="1" t="s">
        <v>970</v>
      </c>
      <c r="L20" s="1" t="str">
        <f t="shared" si="6"/>
        <v>BPRS</v>
      </c>
      <c r="M20" s="1" t="s">
        <v>1230</v>
      </c>
      <c r="N20" s="1" t="s">
        <v>156</v>
      </c>
      <c r="O20" s="1" t="s">
        <v>157</v>
      </c>
      <c r="P20" s="1">
        <v>103227</v>
      </c>
      <c r="Q20" s="1" t="s">
        <v>155</v>
      </c>
      <c r="R20" s="1">
        <v>1851054</v>
      </c>
      <c r="S20" s="1" t="s">
        <v>298</v>
      </c>
      <c r="T20" s="1" t="s">
        <v>139</v>
      </c>
      <c r="U20" s="1" t="s">
        <v>140</v>
      </c>
      <c r="V20" s="1" t="s">
        <v>150</v>
      </c>
      <c r="W20" s="1">
        <v>0.2</v>
      </c>
      <c r="X20" s="1">
        <v>900</v>
      </c>
      <c r="Y20" s="1">
        <v>0</v>
      </c>
      <c r="Z20" s="3">
        <v>21</v>
      </c>
      <c r="AA20" s="3">
        <v>0</v>
      </c>
      <c r="AB20" s="3">
        <v>21</v>
      </c>
      <c r="AC20" s="3">
        <v>0</v>
      </c>
      <c r="AD20" s="3">
        <f t="shared" si="0"/>
        <v>21</v>
      </c>
      <c r="AE20" s="3">
        <v>0</v>
      </c>
      <c r="AF20" s="3">
        <v>21</v>
      </c>
      <c r="AG20" s="3">
        <v>0</v>
      </c>
      <c r="AH20" s="3">
        <v>0</v>
      </c>
      <c r="AI20" s="3">
        <v>0</v>
      </c>
      <c r="AJ20" s="3">
        <f t="shared" si="1"/>
        <v>21</v>
      </c>
      <c r="AK20" s="1">
        <v>0</v>
      </c>
      <c r="AL20" s="3">
        <f>AF20</f>
        <v>21</v>
      </c>
      <c r="AM20" s="1">
        <v>0</v>
      </c>
      <c r="AN20" s="1">
        <v>0</v>
      </c>
      <c r="AO20" s="1">
        <v>0</v>
      </c>
      <c r="AP20" s="3">
        <f t="shared" si="2"/>
        <v>0</v>
      </c>
      <c r="AQ20" s="1" t="s">
        <v>155</v>
      </c>
    </row>
    <row r="21" spans="1:43" x14ac:dyDescent="0.35">
      <c r="A21" s="1">
        <v>743</v>
      </c>
      <c r="B21" s="2">
        <v>45870</v>
      </c>
      <c r="C21" s="1" t="s">
        <v>46</v>
      </c>
      <c r="D21" s="1">
        <v>9518985721</v>
      </c>
      <c r="E21" s="1">
        <v>1</v>
      </c>
      <c r="F21" s="1" t="s">
        <v>539</v>
      </c>
      <c r="G21" s="1" t="s">
        <v>1367</v>
      </c>
      <c r="H21" s="1" t="s">
        <v>63</v>
      </c>
      <c r="I21" s="1" t="s">
        <v>1292</v>
      </c>
      <c r="K21" s="1" t="s">
        <v>970</v>
      </c>
      <c r="L21" s="1" t="s">
        <v>1422</v>
      </c>
      <c r="M21" s="1" t="s">
        <v>1230</v>
      </c>
      <c r="N21" s="1" t="s">
        <v>108</v>
      </c>
      <c r="O21" s="1" t="s">
        <v>163</v>
      </c>
      <c r="P21" s="1">
        <v>650743</v>
      </c>
      <c r="Q21" s="1" t="s">
        <v>315</v>
      </c>
      <c r="R21" s="1">
        <v>3708867</v>
      </c>
      <c r="S21" s="1" t="s">
        <v>316</v>
      </c>
      <c r="T21" s="1" t="s">
        <v>68</v>
      </c>
      <c r="U21" s="1" t="s">
        <v>69</v>
      </c>
      <c r="V21" s="1" t="s">
        <v>70</v>
      </c>
      <c r="W21" s="1">
        <v>0.3</v>
      </c>
      <c r="X21" s="1">
        <v>900</v>
      </c>
      <c r="Y21" s="1">
        <v>0</v>
      </c>
      <c r="Z21" s="3">
        <v>104.999</v>
      </c>
      <c r="AA21" s="3">
        <v>66.174999999999997</v>
      </c>
      <c r="AB21" s="3">
        <v>38.823999999999998</v>
      </c>
      <c r="AC21" s="3">
        <v>9.9499999999999993</v>
      </c>
      <c r="AD21" s="3">
        <f t="shared" si="0"/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f t="shared" si="1"/>
        <v>9.9499999999999993</v>
      </c>
      <c r="AK21" s="3">
        <f>AC21</f>
        <v>9.9499999999999993</v>
      </c>
      <c r="AL21" s="1">
        <v>0</v>
      </c>
      <c r="AM21" s="1">
        <v>0</v>
      </c>
      <c r="AN21" s="1">
        <v>0</v>
      </c>
      <c r="AO21" s="1">
        <v>0</v>
      </c>
      <c r="AP21" s="3">
        <f t="shared" si="2"/>
        <v>0</v>
      </c>
      <c r="AQ21" s="1" t="s">
        <v>315</v>
      </c>
    </row>
    <row r="22" spans="1:43" x14ac:dyDescent="0.35">
      <c r="A22" s="1">
        <v>743</v>
      </c>
      <c r="B22" s="2">
        <v>45870</v>
      </c>
      <c r="C22" s="1" t="s">
        <v>46</v>
      </c>
      <c r="D22" s="1">
        <v>9518985721</v>
      </c>
      <c r="E22" s="1">
        <v>4</v>
      </c>
      <c r="F22" s="1" t="s">
        <v>540</v>
      </c>
      <c r="G22" s="1" t="s">
        <v>255</v>
      </c>
      <c r="H22" s="1" t="s">
        <v>63</v>
      </c>
      <c r="I22" s="1" t="s">
        <v>1292</v>
      </c>
      <c r="K22" s="1" t="s">
        <v>970</v>
      </c>
      <c r="L22" s="1" t="s">
        <v>1422</v>
      </c>
      <c r="M22" s="1" t="s">
        <v>1230</v>
      </c>
      <c r="N22" s="1" t="s">
        <v>108</v>
      </c>
      <c r="O22" s="1" t="s">
        <v>163</v>
      </c>
      <c r="P22" s="1">
        <v>650743</v>
      </c>
      <c r="Q22" s="1" t="s">
        <v>315</v>
      </c>
      <c r="R22" s="1">
        <v>3776939</v>
      </c>
      <c r="S22" s="1" t="s">
        <v>164</v>
      </c>
      <c r="T22" s="1" t="s">
        <v>68</v>
      </c>
      <c r="U22" s="1" t="s">
        <v>69</v>
      </c>
      <c r="V22" s="1" t="s">
        <v>70</v>
      </c>
      <c r="W22" s="1">
        <v>0.4</v>
      </c>
      <c r="X22" s="1">
        <v>1015</v>
      </c>
      <c r="Y22" s="1">
        <v>0</v>
      </c>
      <c r="Z22" s="3">
        <v>149.995</v>
      </c>
      <c r="AA22" s="3">
        <v>121.31</v>
      </c>
      <c r="AB22" s="3">
        <v>28.684999999999999</v>
      </c>
      <c r="AC22" s="3">
        <v>0</v>
      </c>
      <c r="AD22" s="3">
        <f t="shared" si="0"/>
        <v>28.684999999999999</v>
      </c>
      <c r="AE22" s="3">
        <v>28.684999999999999</v>
      </c>
      <c r="AF22" s="3">
        <v>0</v>
      </c>
      <c r="AG22" s="3">
        <v>0</v>
      </c>
      <c r="AH22" s="3">
        <v>0</v>
      </c>
      <c r="AI22" s="3">
        <v>0</v>
      </c>
      <c r="AJ22" s="3">
        <f t="shared" si="1"/>
        <v>28.684999999999999</v>
      </c>
      <c r="AK22" s="3">
        <f>AE22</f>
        <v>28.684999999999999</v>
      </c>
      <c r="AL22" s="1">
        <v>0</v>
      </c>
      <c r="AM22" s="1">
        <v>0</v>
      </c>
      <c r="AN22" s="1">
        <v>0</v>
      </c>
      <c r="AO22" s="1">
        <v>0</v>
      </c>
      <c r="AP22" s="3">
        <f t="shared" si="2"/>
        <v>0</v>
      </c>
      <c r="AQ22" s="1" t="s">
        <v>315</v>
      </c>
    </row>
    <row r="23" spans="1:43" x14ac:dyDescent="0.35">
      <c r="A23" s="1">
        <v>742</v>
      </c>
      <c r="B23" s="2">
        <v>45857</v>
      </c>
      <c r="C23" s="1" t="s">
        <v>64</v>
      </c>
      <c r="D23" s="1">
        <v>9518942225</v>
      </c>
      <c r="E23" s="1">
        <v>16</v>
      </c>
      <c r="F23" s="1" t="s">
        <v>542</v>
      </c>
      <c r="G23" s="1" t="s">
        <v>1155</v>
      </c>
      <c r="H23" s="1" t="s">
        <v>21</v>
      </c>
      <c r="I23" s="1" t="s">
        <v>71</v>
      </c>
      <c r="K23" s="1" t="s">
        <v>970</v>
      </c>
      <c r="L23" s="1" t="str">
        <f t="shared" ref="L23:L29" si="7">K23</f>
        <v>BPRS</v>
      </c>
      <c r="M23" s="1" t="s">
        <v>1230</v>
      </c>
      <c r="N23" s="1" t="s">
        <v>170</v>
      </c>
      <c r="O23" s="1" t="s">
        <v>80</v>
      </c>
      <c r="P23" s="1">
        <v>948783</v>
      </c>
      <c r="Q23" s="1" t="s">
        <v>78</v>
      </c>
      <c r="R23" s="1">
        <v>3402254</v>
      </c>
      <c r="S23" s="1" t="s">
        <v>321</v>
      </c>
      <c r="T23" s="1" t="s">
        <v>75</v>
      </c>
      <c r="U23" s="1" t="s">
        <v>76</v>
      </c>
      <c r="V23" s="1" t="s">
        <v>77</v>
      </c>
      <c r="W23" s="1">
        <v>0.6</v>
      </c>
      <c r="X23" s="1">
        <v>1000</v>
      </c>
      <c r="Y23" s="1">
        <v>2000</v>
      </c>
      <c r="Z23" s="3">
        <v>24</v>
      </c>
      <c r="AA23" s="3">
        <v>0</v>
      </c>
      <c r="AB23" s="3">
        <v>23.995000000000001</v>
      </c>
      <c r="AC23" s="3">
        <v>0</v>
      </c>
      <c r="AD23" s="3">
        <f t="shared" si="0"/>
        <v>23.995000000000001</v>
      </c>
      <c r="AE23" s="3">
        <v>0</v>
      </c>
      <c r="AF23" s="3">
        <v>23.995000000000001</v>
      </c>
      <c r="AG23" s="3">
        <v>0</v>
      </c>
      <c r="AH23" s="3">
        <v>0</v>
      </c>
      <c r="AI23" s="3">
        <v>0</v>
      </c>
      <c r="AJ23" s="3">
        <f t="shared" si="1"/>
        <v>23.995000000000001</v>
      </c>
      <c r="AK23" s="1">
        <v>0</v>
      </c>
      <c r="AL23" s="3">
        <f>AF23</f>
        <v>23.995000000000001</v>
      </c>
      <c r="AM23" s="3">
        <v>0</v>
      </c>
      <c r="AN23" s="3">
        <f>AG23</f>
        <v>0</v>
      </c>
      <c r="AO23" s="3">
        <f>AH23</f>
        <v>0</v>
      </c>
      <c r="AP23" s="3">
        <f t="shared" si="2"/>
        <v>0</v>
      </c>
      <c r="AQ23" s="1" t="s">
        <v>78</v>
      </c>
    </row>
    <row r="24" spans="1:43" x14ac:dyDescent="0.35">
      <c r="A24" s="1">
        <v>742</v>
      </c>
      <c r="B24" s="2">
        <v>45891</v>
      </c>
      <c r="C24" s="1" t="s">
        <v>64</v>
      </c>
      <c r="D24" s="1">
        <v>9519040245</v>
      </c>
      <c r="E24" s="1">
        <v>1</v>
      </c>
      <c r="F24" s="1" t="s">
        <v>543</v>
      </c>
      <c r="G24" s="1" t="s">
        <v>393</v>
      </c>
      <c r="H24" s="1" t="s">
        <v>21</v>
      </c>
      <c r="I24" s="1" t="s">
        <v>969</v>
      </c>
      <c r="K24" s="1" t="s">
        <v>969</v>
      </c>
      <c r="L24" s="1" t="str">
        <f t="shared" si="7"/>
        <v>IPP</v>
      </c>
      <c r="M24" s="1" t="s">
        <v>1229</v>
      </c>
      <c r="N24" s="1" t="s">
        <v>137</v>
      </c>
      <c r="O24" s="1" t="s">
        <v>173</v>
      </c>
      <c r="P24" s="1">
        <v>187214</v>
      </c>
      <c r="Q24" s="1" t="s">
        <v>324</v>
      </c>
      <c r="R24" s="1">
        <v>2164800</v>
      </c>
      <c r="S24" s="1" t="s">
        <v>325</v>
      </c>
      <c r="T24" s="1" t="s">
        <v>28</v>
      </c>
      <c r="U24" s="1" t="s">
        <v>29</v>
      </c>
      <c r="V24" s="1" t="s">
        <v>101</v>
      </c>
      <c r="W24" s="1">
        <v>0.97</v>
      </c>
      <c r="X24" s="1">
        <v>913</v>
      </c>
      <c r="Y24" s="1">
        <v>0</v>
      </c>
      <c r="Z24" s="3">
        <v>126</v>
      </c>
      <c r="AA24" s="3">
        <v>32.575000000000003</v>
      </c>
      <c r="AB24" s="3">
        <v>93.424999999999997</v>
      </c>
      <c r="AC24" s="3">
        <v>7.49</v>
      </c>
      <c r="AD24" s="3">
        <f t="shared" si="0"/>
        <v>93.424999999999997</v>
      </c>
      <c r="AE24" s="3">
        <v>0</v>
      </c>
      <c r="AF24" s="3">
        <v>0</v>
      </c>
      <c r="AG24" s="3">
        <v>93.424999999999997</v>
      </c>
      <c r="AH24" s="3">
        <v>0</v>
      </c>
      <c r="AI24" s="3">
        <v>0</v>
      </c>
      <c r="AJ24" s="3">
        <f t="shared" si="1"/>
        <v>100.91499999999999</v>
      </c>
      <c r="AK24" s="1">
        <v>0</v>
      </c>
      <c r="AL24" s="1">
        <v>0</v>
      </c>
      <c r="AM24" s="1">
        <v>0</v>
      </c>
      <c r="AN24" s="3">
        <f>AG24+AC24</f>
        <v>100.91499999999999</v>
      </c>
      <c r="AO24" s="1">
        <v>0</v>
      </c>
      <c r="AP24" s="3">
        <f t="shared" si="2"/>
        <v>0</v>
      </c>
      <c r="AQ24" s="1" t="s">
        <v>324</v>
      </c>
    </row>
    <row r="25" spans="1:43" x14ac:dyDescent="0.35">
      <c r="A25" s="1">
        <v>742</v>
      </c>
      <c r="B25" s="2">
        <v>45891</v>
      </c>
      <c r="C25" s="1" t="s">
        <v>64</v>
      </c>
      <c r="D25" s="1">
        <v>9519040469</v>
      </c>
      <c r="E25" s="1">
        <v>3</v>
      </c>
      <c r="F25" s="1" t="s">
        <v>544</v>
      </c>
      <c r="G25" s="1" t="s">
        <v>1155</v>
      </c>
      <c r="H25" s="1" t="s">
        <v>21</v>
      </c>
      <c r="I25" s="1" t="s">
        <v>969</v>
      </c>
      <c r="K25" s="1" t="s">
        <v>969</v>
      </c>
      <c r="L25" s="1" t="str">
        <f t="shared" si="7"/>
        <v>IPP</v>
      </c>
      <c r="M25" s="1" t="s">
        <v>1228</v>
      </c>
      <c r="N25" s="1" t="s">
        <v>328</v>
      </c>
      <c r="O25" s="1" t="s">
        <v>173</v>
      </c>
      <c r="P25" s="1">
        <v>189405</v>
      </c>
      <c r="Q25" s="1" t="s">
        <v>327</v>
      </c>
      <c r="R25" s="1">
        <v>2164800</v>
      </c>
      <c r="S25" s="1" t="s">
        <v>325</v>
      </c>
      <c r="T25" s="1" t="s">
        <v>28</v>
      </c>
      <c r="U25" s="1" t="s">
        <v>29</v>
      </c>
      <c r="V25" s="1" t="s">
        <v>101</v>
      </c>
      <c r="W25" s="1">
        <v>0.97</v>
      </c>
      <c r="X25" s="1">
        <v>913</v>
      </c>
      <c r="Y25" s="1">
        <v>0</v>
      </c>
      <c r="Z25" s="3">
        <v>294</v>
      </c>
      <c r="AA25" s="3">
        <v>0</v>
      </c>
      <c r="AB25" s="3">
        <v>294</v>
      </c>
      <c r="AC25" s="3">
        <v>0</v>
      </c>
      <c r="AD25" s="3">
        <f t="shared" ref="AD25:AD61" si="8">SUM(AE25:AI25)</f>
        <v>294</v>
      </c>
      <c r="AE25" s="3">
        <v>0</v>
      </c>
      <c r="AF25" s="3">
        <v>0</v>
      </c>
      <c r="AG25" s="3">
        <v>0</v>
      </c>
      <c r="AH25" s="3">
        <v>0</v>
      </c>
      <c r="AI25" s="3">
        <v>294</v>
      </c>
      <c r="AJ25" s="3">
        <f t="shared" ref="AJ25:AJ61" si="9">SUM(AK25:AO25)</f>
        <v>294</v>
      </c>
      <c r="AK25" s="1">
        <v>0</v>
      </c>
      <c r="AL25" s="1">
        <v>0</v>
      </c>
      <c r="AM25" s="1">
        <v>0</v>
      </c>
      <c r="AN25" s="1">
        <v>0</v>
      </c>
      <c r="AO25" s="3">
        <f>AI25</f>
        <v>294</v>
      </c>
      <c r="AP25" s="3">
        <f t="shared" si="2"/>
        <v>0</v>
      </c>
      <c r="AQ25" s="1" t="s">
        <v>327</v>
      </c>
    </row>
    <row r="26" spans="1:43" x14ac:dyDescent="0.35">
      <c r="A26" s="1">
        <v>742</v>
      </c>
      <c r="B26" s="2">
        <v>45891</v>
      </c>
      <c r="C26" s="1" t="s">
        <v>64</v>
      </c>
      <c r="D26" s="1">
        <v>9519040469</v>
      </c>
      <c r="E26" s="1">
        <v>7</v>
      </c>
      <c r="F26" s="1" t="s">
        <v>545</v>
      </c>
      <c r="G26" s="1" t="s">
        <v>1155</v>
      </c>
      <c r="H26" s="1" t="s">
        <v>21</v>
      </c>
      <c r="I26" s="1" t="s">
        <v>969</v>
      </c>
      <c r="K26" s="1" t="s">
        <v>969</v>
      </c>
      <c r="L26" s="1" t="str">
        <f t="shared" si="7"/>
        <v>IPP</v>
      </c>
      <c r="M26" s="1" t="s">
        <v>1228</v>
      </c>
      <c r="N26" s="1" t="s">
        <v>328</v>
      </c>
      <c r="O26" s="1" t="s">
        <v>173</v>
      </c>
      <c r="P26" s="1">
        <v>189405</v>
      </c>
      <c r="Q26" s="1" t="s">
        <v>327</v>
      </c>
      <c r="R26" s="1">
        <v>2164792</v>
      </c>
      <c r="S26" s="1" t="s">
        <v>329</v>
      </c>
      <c r="T26" s="1" t="s">
        <v>28</v>
      </c>
      <c r="U26" s="1" t="s">
        <v>29</v>
      </c>
      <c r="V26" s="1" t="s">
        <v>101</v>
      </c>
      <c r="W26" s="1">
        <v>0.9</v>
      </c>
      <c r="X26" s="1">
        <v>913</v>
      </c>
      <c r="Y26" s="1">
        <v>0</v>
      </c>
      <c r="Z26" s="3">
        <v>63</v>
      </c>
      <c r="AA26" s="3">
        <v>0</v>
      </c>
      <c r="AB26" s="3">
        <v>63</v>
      </c>
      <c r="AC26" s="3">
        <v>0</v>
      </c>
      <c r="AD26" s="3">
        <f t="shared" si="8"/>
        <v>63</v>
      </c>
      <c r="AE26" s="3">
        <v>0</v>
      </c>
      <c r="AF26" s="3">
        <v>0</v>
      </c>
      <c r="AG26" s="3">
        <v>63</v>
      </c>
      <c r="AH26" s="3">
        <v>0</v>
      </c>
      <c r="AI26" s="3">
        <v>0</v>
      </c>
      <c r="AJ26" s="3">
        <f t="shared" si="9"/>
        <v>63</v>
      </c>
      <c r="AK26" s="1">
        <v>0</v>
      </c>
      <c r="AL26" s="1">
        <v>0</v>
      </c>
      <c r="AM26" s="1">
        <v>0</v>
      </c>
      <c r="AN26" s="3">
        <f>AG26</f>
        <v>63</v>
      </c>
      <c r="AO26" s="1">
        <v>0</v>
      </c>
      <c r="AP26" s="3">
        <f t="shared" si="2"/>
        <v>0</v>
      </c>
      <c r="AQ26" s="1" t="s">
        <v>327</v>
      </c>
    </row>
    <row r="27" spans="1:43" x14ac:dyDescent="0.35">
      <c r="A27" s="1">
        <v>743</v>
      </c>
      <c r="B27" s="2">
        <v>45864</v>
      </c>
      <c r="C27" s="1" t="s">
        <v>64</v>
      </c>
      <c r="D27" s="1">
        <v>9518962848</v>
      </c>
      <c r="E27" s="1">
        <v>1</v>
      </c>
      <c r="F27" s="1" t="s">
        <v>546</v>
      </c>
      <c r="G27" s="1" t="s">
        <v>1367</v>
      </c>
      <c r="H27" s="1" t="s">
        <v>56</v>
      </c>
      <c r="I27" s="1" t="s">
        <v>968</v>
      </c>
      <c r="K27" s="1" t="s">
        <v>969</v>
      </c>
      <c r="L27" s="1" t="str">
        <f t="shared" si="7"/>
        <v>IPP</v>
      </c>
      <c r="M27" s="1" t="s">
        <v>1232</v>
      </c>
      <c r="O27" s="1" t="s">
        <v>54</v>
      </c>
      <c r="P27" s="1">
        <v>942283</v>
      </c>
      <c r="Q27" s="1" t="s">
        <v>87</v>
      </c>
      <c r="R27" s="1">
        <v>2148241</v>
      </c>
      <c r="S27" s="1" t="s">
        <v>337</v>
      </c>
      <c r="T27" s="1" t="s">
        <v>154</v>
      </c>
      <c r="U27" s="1" t="s">
        <v>131</v>
      </c>
      <c r="V27" s="1" t="s">
        <v>338</v>
      </c>
      <c r="W27" s="1">
        <v>0.55000000000000004</v>
      </c>
      <c r="X27" s="1">
        <v>1220</v>
      </c>
      <c r="Y27" s="1">
        <v>0</v>
      </c>
      <c r="Z27" s="3">
        <v>112</v>
      </c>
      <c r="AA27" s="3">
        <v>102.155</v>
      </c>
      <c r="AB27" s="3">
        <v>9.8450000000000006</v>
      </c>
      <c r="AC27" s="3">
        <v>21.064999999999998</v>
      </c>
      <c r="AD27" s="3">
        <f t="shared" si="8"/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f t="shared" si="9"/>
        <v>21.064999999999998</v>
      </c>
      <c r="AK27" s="3">
        <v>0</v>
      </c>
      <c r="AL27" s="3">
        <f>AC27</f>
        <v>21.064999999999998</v>
      </c>
      <c r="AM27" s="1">
        <v>0</v>
      </c>
      <c r="AN27" s="1">
        <v>0</v>
      </c>
      <c r="AO27" s="1">
        <v>0</v>
      </c>
      <c r="AP27" s="3">
        <f t="shared" si="2"/>
        <v>0</v>
      </c>
      <c r="AQ27" s="1" t="s">
        <v>87</v>
      </c>
    </row>
    <row r="28" spans="1:43" x14ac:dyDescent="0.35">
      <c r="A28" s="1">
        <v>742</v>
      </c>
      <c r="B28" s="2">
        <v>45849</v>
      </c>
      <c r="C28" s="1" t="s">
        <v>64</v>
      </c>
      <c r="D28" s="1">
        <v>9518922956</v>
      </c>
      <c r="E28" s="1">
        <v>2</v>
      </c>
      <c r="F28" s="1" t="s">
        <v>549</v>
      </c>
      <c r="G28" s="1" t="s">
        <v>393</v>
      </c>
      <c r="H28" s="1" t="s">
        <v>21</v>
      </c>
      <c r="I28" s="1" t="s">
        <v>71</v>
      </c>
      <c r="K28" s="1" t="s">
        <v>970</v>
      </c>
      <c r="L28" s="1" t="str">
        <f t="shared" si="7"/>
        <v>BPRS</v>
      </c>
      <c r="M28" s="1" t="s">
        <v>1230</v>
      </c>
      <c r="N28" s="1" t="s">
        <v>308</v>
      </c>
      <c r="O28" s="1" t="s">
        <v>151</v>
      </c>
      <c r="P28" s="1">
        <v>101278</v>
      </c>
      <c r="Q28" s="1" t="s">
        <v>311</v>
      </c>
      <c r="R28" s="1">
        <v>3239536</v>
      </c>
      <c r="S28" s="1" t="s">
        <v>177</v>
      </c>
      <c r="T28" s="1" t="s">
        <v>75</v>
      </c>
      <c r="U28" s="1" t="s">
        <v>122</v>
      </c>
      <c r="V28" s="1" t="s">
        <v>123</v>
      </c>
      <c r="W28" s="1">
        <v>0.35</v>
      </c>
      <c r="X28" s="1">
        <v>900</v>
      </c>
      <c r="Y28" s="1">
        <v>2500</v>
      </c>
      <c r="Z28" s="3">
        <v>20.998999999999999</v>
      </c>
      <c r="AA28" s="3">
        <v>19.184999999999999</v>
      </c>
      <c r="AB28" s="3">
        <v>1.8140000000000001</v>
      </c>
      <c r="AC28" s="3">
        <v>19.184999999999999</v>
      </c>
      <c r="AD28" s="3">
        <f t="shared" si="8"/>
        <v>1.8140000000000001</v>
      </c>
      <c r="AE28" s="3">
        <v>0</v>
      </c>
      <c r="AF28" s="3">
        <v>1.8140000000000001</v>
      </c>
      <c r="AG28" s="3">
        <v>0</v>
      </c>
      <c r="AH28" s="3">
        <v>0</v>
      </c>
      <c r="AI28" s="3">
        <v>0</v>
      </c>
      <c r="AJ28" s="3">
        <f t="shared" si="9"/>
        <v>20.998999999999999</v>
      </c>
      <c r="AK28" s="1">
        <v>0</v>
      </c>
      <c r="AL28" s="1">
        <v>0</v>
      </c>
      <c r="AM28" s="3">
        <f>AF28+AC28</f>
        <v>20.998999999999999</v>
      </c>
      <c r="AN28" s="1">
        <v>0</v>
      </c>
      <c r="AO28" s="1">
        <v>0</v>
      </c>
      <c r="AP28" s="3">
        <f t="shared" si="2"/>
        <v>0</v>
      </c>
      <c r="AQ28" s="1" t="s">
        <v>311</v>
      </c>
    </row>
    <row r="29" spans="1:43" x14ac:dyDescent="0.35">
      <c r="A29" s="1">
        <v>742</v>
      </c>
      <c r="B29" s="2">
        <v>45811</v>
      </c>
      <c r="C29" s="1" t="s">
        <v>64</v>
      </c>
      <c r="D29" s="1">
        <v>9518822216</v>
      </c>
      <c r="E29" s="1">
        <v>7</v>
      </c>
      <c r="F29" s="1" t="s">
        <v>550</v>
      </c>
      <c r="G29" s="1" t="s">
        <v>1367</v>
      </c>
      <c r="H29" s="1" t="s">
        <v>21</v>
      </c>
      <c r="I29" s="1" t="s">
        <v>22</v>
      </c>
      <c r="K29" s="1" t="s">
        <v>970</v>
      </c>
      <c r="L29" s="1" t="str">
        <f t="shared" si="7"/>
        <v>BPRS</v>
      </c>
      <c r="M29" s="1" t="s">
        <v>1228</v>
      </c>
      <c r="N29" s="1" t="s">
        <v>37</v>
      </c>
      <c r="O29" s="1" t="s">
        <v>26</v>
      </c>
      <c r="P29" s="1">
        <v>123052</v>
      </c>
      <c r="Q29" s="1" t="s">
        <v>51</v>
      </c>
      <c r="R29" s="1">
        <v>2193598</v>
      </c>
      <c r="S29" s="1" t="s">
        <v>340</v>
      </c>
      <c r="T29" s="1" t="s">
        <v>28</v>
      </c>
      <c r="U29" s="1" t="s">
        <v>29</v>
      </c>
      <c r="V29" s="1" t="s">
        <v>30</v>
      </c>
      <c r="W29" s="1">
        <v>1.9</v>
      </c>
      <c r="X29" s="1">
        <v>1250</v>
      </c>
      <c r="Y29" s="1">
        <v>0</v>
      </c>
      <c r="Z29" s="3">
        <v>116</v>
      </c>
      <c r="AA29" s="3">
        <v>110.18</v>
      </c>
      <c r="AB29" s="3">
        <v>5.82</v>
      </c>
      <c r="AC29" s="3">
        <v>17.414999999999999</v>
      </c>
      <c r="AD29" s="3">
        <f t="shared" si="8"/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f t="shared" si="9"/>
        <v>17.414999999999999</v>
      </c>
      <c r="AK29" s="3">
        <f>AC29</f>
        <v>17.414999999999999</v>
      </c>
      <c r="AL29" s="1">
        <v>0</v>
      </c>
      <c r="AM29" s="1">
        <v>0</v>
      </c>
      <c r="AN29" s="1">
        <v>0</v>
      </c>
      <c r="AO29" s="1">
        <v>0</v>
      </c>
      <c r="AP29" s="3">
        <f t="shared" si="2"/>
        <v>0</v>
      </c>
      <c r="AQ29" s="1" t="s">
        <v>51</v>
      </c>
    </row>
    <row r="30" spans="1:43" x14ac:dyDescent="0.35">
      <c r="A30" s="1">
        <v>742</v>
      </c>
      <c r="B30" s="2">
        <v>45861</v>
      </c>
      <c r="C30" s="1" t="s">
        <v>46</v>
      </c>
      <c r="D30" s="1">
        <v>9518952949</v>
      </c>
      <c r="E30" s="1">
        <v>1</v>
      </c>
      <c r="F30" s="1" t="s">
        <v>551</v>
      </c>
      <c r="G30" s="1" t="s">
        <v>1367</v>
      </c>
      <c r="H30" s="1" t="s">
        <v>21</v>
      </c>
      <c r="I30" s="1" t="s">
        <v>971</v>
      </c>
      <c r="K30" s="1" t="s">
        <v>971</v>
      </c>
      <c r="L30" s="1" t="s">
        <v>971</v>
      </c>
      <c r="M30" s="1" t="s">
        <v>1229</v>
      </c>
      <c r="N30" s="1" t="s">
        <v>35</v>
      </c>
      <c r="O30" s="1" t="s">
        <v>342</v>
      </c>
      <c r="P30" s="1">
        <v>650742</v>
      </c>
      <c r="Q30" s="1" t="s">
        <v>232</v>
      </c>
      <c r="R30" s="1">
        <v>2150940</v>
      </c>
      <c r="S30" s="1" t="s">
        <v>343</v>
      </c>
      <c r="T30" s="1" t="s">
        <v>28</v>
      </c>
      <c r="U30" s="1" t="s">
        <v>344</v>
      </c>
      <c r="V30" s="1" t="s">
        <v>345</v>
      </c>
      <c r="W30" s="1">
        <v>1.2</v>
      </c>
      <c r="X30" s="1">
        <v>1250</v>
      </c>
      <c r="Y30" s="1">
        <v>0</v>
      </c>
      <c r="Z30" s="3">
        <v>261</v>
      </c>
      <c r="AA30" s="3">
        <v>247.42</v>
      </c>
      <c r="AB30" s="3">
        <v>13.58</v>
      </c>
      <c r="AC30" s="3">
        <v>13.355</v>
      </c>
      <c r="AD30" s="3">
        <f t="shared" si="8"/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f t="shared" si="9"/>
        <v>13.355</v>
      </c>
      <c r="AK30" s="3">
        <f>AC30</f>
        <v>13.355</v>
      </c>
      <c r="AL30" s="1">
        <v>0</v>
      </c>
      <c r="AM30" s="1">
        <v>0</v>
      </c>
      <c r="AN30" s="1">
        <v>0</v>
      </c>
      <c r="AO30" s="1">
        <v>0</v>
      </c>
      <c r="AP30" s="3">
        <f t="shared" si="2"/>
        <v>0</v>
      </c>
      <c r="AQ30" s="1" t="s">
        <v>232</v>
      </c>
    </row>
    <row r="31" spans="1:43" x14ac:dyDescent="0.35">
      <c r="A31" s="1">
        <v>742</v>
      </c>
      <c r="B31" s="2">
        <v>45856</v>
      </c>
      <c r="C31" s="1" t="s">
        <v>64</v>
      </c>
      <c r="D31" s="1">
        <v>9518938766</v>
      </c>
      <c r="E31" s="1">
        <v>1</v>
      </c>
      <c r="F31" s="1" t="s">
        <v>552</v>
      </c>
      <c r="G31" s="1" t="s">
        <v>1155</v>
      </c>
      <c r="H31" s="1" t="s">
        <v>21</v>
      </c>
      <c r="I31" s="1" t="s">
        <v>71</v>
      </c>
      <c r="K31" s="1" t="s">
        <v>970</v>
      </c>
      <c r="L31" s="1" t="str">
        <f t="shared" ref="L31:L60" si="10">K31</f>
        <v>BPRS</v>
      </c>
      <c r="M31" s="1" t="s">
        <v>1230</v>
      </c>
      <c r="N31" s="1" t="s">
        <v>318</v>
      </c>
      <c r="O31" s="1" t="s">
        <v>157</v>
      </c>
      <c r="P31" s="1">
        <v>103227</v>
      </c>
      <c r="Q31" s="1" t="s">
        <v>155</v>
      </c>
      <c r="R31" s="1">
        <v>3239408</v>
      </c>
      <c r="S31" s="1" t="s">
        <v>121</v>
      </c>
      <c r="T31" s="1" t="s">
        <v>75</v>
      </c>
      <c r="U31" s="1" t="s">
        <v>122</v>
      </c>
      <c r="V31" s="1" t="s">
        <v>123</v>
      </c>
      <c r="W31" s="1">
        <v>0.3</v>
      </c>
      <c r="X31" s="1">
        <v>900</v>
      </c>
      <c r="Y31" s="1">
        <v>2500</v>
      </c>
      <c r="Z31" s="3">
        <v>21</v>
      </c>
      <c r="AA31" s="3">
        <v>0</v>
      </c>
      <c r="AB31" s="3">
        <v>21</v>
      </c>
      <c r="AC31" s="3">
        <v>0</v>
      </c>
      <c r="AD31" s="3">
        <f t="shared" si="8"/>
        <v>21</v>
      </c>
      <c r="AE31" s="3">
        <v>0</v>
      </c>
      <c r="AF31" s="3">
        <v>0</v>
      </c>
      <c r="AG31" s="3">
        <v>21</v>
      </c>
      <c r="AH31" s="3">
        <v>0</v>
      </c>
      <c r="AI31" s="3">
        <v>0</v>
      </c>
      <c r="AJ31" s="3">
        <f t="shared" si="9"/>
        <v>21</v>
      </c>
      <c r="AK31" s="1">
        <v>0</v>
      </c>
      <c r="AL31" s="3">
        <f>AE31</f>
        <v>0</v>
      </c>
      <c r="AM31" s="3">
        <f>AG31</f>
        <v>21</v>
      </c>
      <c r="AN31" s="3">
        <v>0</v>
      </c>
      <c r="AO31" s="3">
        <f>AH31</f>
        <v>0</v>
      </c>
      <c r="AP31" s="3">
        <f t="shared" si="2"/>
        <v>0</v>
      </c>
      <c r="AQ31" s="1" t="s">
        <v>155</v>
      </c>
    </row>
    <row r="32" spans="1:43" x14ac:dyDescent="0.35">
      <c r="A32" s="1">
        <v>742</v>
      </c>
      <c r="B32" s="2">
        <v>45856</v>
      </c>
      <c r="C32" s="1" t="s">
        <v>64</v>
      </c>
      <c r="D32" s="1">
        <v>9518938044</v>
      </c>
      <c r="E32" s="1">
        <v>1</v>
      </c>
      <c r="F32" s="1" t="s">
        <v>553</v>
      </c>
      <c r="G32" s="1" t="s">
        <v>393</v>
      </c>
      <c r="H32" s="1" t="s">
        <v>21</v>
      </c>
      <c r="I32" s="1" t="s">
        <v>71</v>
      </c>
      <c r="K32" s="1" t="s">
        <v>970</v>
      </c>
      <c r="L32" s="1" t="str">
        <f t="shared" si="10"/>
        <v>BPRS</v>
      </c>
      <c r="M32" s="1" t="s">
        <v>1230</v>
      </c>
      <c r="N32" s="1" t="s">
        <v>179</v>
      </c>
      <c r="O32" s="1" t="s">
        <v>180</v>
      </c>
      <c r="P32" s="1">
        <v>931662</v>
      </c>
      <c r="Q32" s="1" t="s">
        <v>319</v>
      </c>
      <c r="R32" s="1">
        <v>3239536</v>
      </c>
      <c r="S32" s="1" t="s">
        <v>177</v>
      </c>
      <c r="T32" s="1" t="s">
        <v>75</v>
      </c>
      <c r="U32" s="1" t="s">
        <v>122</v>
      </c>
      <c r="V32" s="1" t="s">
        <v>123</v>
      </c>
      <c r="W32" s="1">
        <v>0.35</v>
      </c>
      <c r="X32" s="1">
        <v>900</v>
      </c>
      <c r="Y32" s="1">
        <v>2500</v>
      </c>
      <c r="Z32" s="3">
        <v>21</v>
      </c>
      <c r="AA32" s="3">
        <v>0</v>
      </c>
      <c r="AB32" s="3">
        <v>21</v>
      </c>
      <c r="AC32" s="3">
        <v>0</v>
      </c>
      <c r="AD32" s="3">
        <f t="shared" si="8"/>
        <v>21</v>
      </c>
      <c r="AE32" s="3">
        <v>21</v>
      </c>
      <c r="AF32" s="3">
        <v>0</v>
      </c>
      <c r="AG32" s="3">
        <v>0</v>
      </c>
      <c r="AH32" s="3">
        <v>0</v>
      </c>
      <c r="AI32" s="3">
        <v>0</v>
      </c>
      <c r="AJ32" s="3">
        <f t="shared" si="9"/>
        <v>21</v>
      </c>
      <c r="AK32" s="1">
        <v>0</v>
      </c>
      <c r="AL32" s="3">
        <f>AE32</f>
        <v>21</v>
      </c>
      <c r="AM32" s="3">
        <f>AF32</f>
        <v>0</v>
      </c>
      <c r="AN32" s="3">
        <f>AG32</f>
        <v>0</v>
      </c>
      <c r="AO32" s="3">
        <f>AH32</f>
        <v>0</v>
      </c>
      <c r="AP32" s="3">
        <f t="shared" si="2"/>
        <v>0</v>
      </c>
      <c r="AQ32" s="1" t="s">
        <v>319</v>
      </c>
    </row>
    <row r="33" spans="1:43" x14ac:dyDescent="0.35">
      <c r="A33" s="1">
        <v>742</v>
      </c>
      <c r="B33" s="2">
        <v>45856</v>
      </c>
      <c r="C33" s="1" t="s">
        <v>64</v>
      </c>
      <c r="D33" s="1">
        <v>9518938766</v>
      </c>
      <c r="E33" s="1">
        <v>3</v>
      </c>
      <c r="F33" s="1" t="s">
        <v>555</v>
      </c>
      <c r="G33" s="1" t="s">
        <v>1155</v>
      </c>
      <c r="H33" s="1" t="s">
        <v>21</v>
      </c>
      <c r="I33" s="1" t="s">
        <v>71</v>
      </c>
      <c r="K33" s="1" t="s">
        <v>970</v>
      </c>
      <c r="L33" s="1" t="str">
        <f t="shared" si="10"/>
        <v>BPRS</v>
      </c>
      <c r="M33" s="1" t="s">
        <v>1230</v>
      </c>
      <c r="N33" s="1" t="s">
        <v>318</v>
      </c>
      <c r="O33" s="1" t="s">
        <v>157</v>
      </c>
      <c r="P33" s="1">
        <v>103227</v>
      </c>
      <c r="Q33" s="1" t="s">
        <v>155</v>
      </c>
      <c r="R33" s="1">
        <v>3239536</v>
      </c>
      <c r="S33" s="1" t="s">
        <v>177</v>
      </c>
      <c r="T33" s="1" t="s">
        <v>75</v>
      </c>
      <c r="U33" s="1" t="s">
        <v>122</v>
      </c>
      <c r="V33" s="1" t="s">
        <v>123</v>
      </c>
      <c r="W33" s="1">
        <v>0.35</v>
      </c>
      <c r="X33" s="1">
        <v>900</v>
      </c>
      <c r="Y33" s="1">
        <v>2500</v>
      </c>
      <c r="Z33" s="3">
        <v>21</v>
      </c>
      <c r="AA33" s="3">
        <v>0</v>
      </c>
      <c r="AB33" s="3">
        <v>21</v>
      </c>
      <c r="AC33" s="3">
        <v>0</v>
      </c>
      <c r="AD33" s="3">
        <f t="shared" si="8"/>
        <v>21</v>
      </c>
      <c r="AE33" s="3">
        <v>0</v>
      </c>
      <c r="AF33" s="3">
        <v>0</v>
      </c>
      <c r="AG33" s="3">
        <v>0</v>
      </c>
      <c r="AH33" s="3">
        <v>0</v>
      </c>
      <c r="AI33" s="3">
        <v>21</v>
      </c>
      <c r="AJ33" s="3">
        <f t="shared" si="9"/>
        <v>21</v>
      </c>
      <c r="AK33" s="1">
        <v>0</v>
      </c>
      <c r="AL33" s="1">
        <v>0</v>
      </c>
      <c r="AM33" s="1">
        <v>0</v>
      </c>
      <c r="AN33" s="3">
        <f>AD33</f>
        <v>21</v>
      </c>
      <c r="AO33" s="3">
        <v>0</v>
      </c>
      <c r="AP33" s="3">
        <f t="shared" si="2"/>
        <v>0</v>
      </c>
      <c r="AQ33" s="1" t="s">
        <v>155</v>
      </c>
    </row>
    <row r="34" spans="1:43" x14ac:dyDescent="0.35">
      <c r="A34" s="1">
        <v>742</v>
      </c>
      <c r="B34" s="2">
        <v>45856</v>
      </c>
      <c r="C34" s="1" t="s">
        <v>64</v>
      </c>
      <c r="D34" s="1">
        <v>9518938766</v>
      </c>
      <c r="E34" s="1">
        <v>4</v>
      </c>
      <c r="F34" s="1" t="s">
        <v>556</v>
      </c>
      <c r="G34" s="1" t="s">
        <v>393</v>
      </c>
      <c r="H34" s="1" t="s">
        <v>21</v>
      </c>
      <c r="I34" s="1" t="s">
        <v>71</v>
      </c>
      <c r="K34" s="1" t="s">
        <v>970</v>
      </c>
      <c r="L34" s="1" t="str">
        <f t="shared" si="10"/>
        <v>BPRS</v>
      </c>
      <c r="M34" s="1" t="s">
        <v>1230</v>
      </c>
      <c r="N34" s="1" t="s">
        <v>318</v>
      </c>
      <c r="O34" s="1" t="s">
        <v>157</v>
      </c>
      <c r="P34" s="1">
        <v>103227</v>
      </c>
      <c r="Q34" s="1" t="s">
        <v>155</v>
      </c>
      <c r="R34" s="1">
        <v>3539044</v>
      </c>
      <c r="S34" s="1" t="s">
        <v>351</v>
      </c>
      <c r="T34" s="1" t="s">
        <v>75</v>
      </c>
      <c r="U34" s="1" t="s">
        <v>122</v>
      </c>
      <c r="V34" s="1" t="s">
        <v>123</v>
      </c>
      <c r="W34" s="1">
        <v>0.38</v>
      </c>
      <c r="X34" s="1">
        <v>900</v>
      </c>
      <c r="Y34" s="1">
        <v>2500</v>
      </c>
      <c r="Z34" s="3">
        <v>20.998999999999999</v>
      </c>
      <c r="AA34" s="3">
        <v>0</v>
      </c>
      <c r="AB34" s="3">
        <v>20.998999999999999</v>
      </c>
      <c r="AC34" s="3">
        <v>0</v>
      </c>
      <c r="AD34" s="3">
        <f t="shared" si="8"/>
        <v>20.998999999999999</v>
      </c>
      <c r="AE34" s="3">
        <v>20.998999999999999</v>
      </c>
      <c r="AF34" s="3">
        <v>0</v>
      </c>
      <c r="AG34" s="3">
        <v>0</v>
      </c>
      <c r="AH34" s="3">
        <v>0</v>
      </c>
      <c r="AI34" s="3">
        <v>0</v>
      </c>
      <c r="AJ34" s="3">
        <f t="shared" si="9"/>
        <v>20.998999999999999</v>
      </c>
      <c r="AK34" s="1">
        <v>0</v>
      </c>
      <c r="AL34" s="3">
        <f>AE34</f>
        <v>20.998999999999999</v>
      </c>
      <c r="AM34" s="3">
        <f>AF34</f>
        <v>0</v>
      </c>
      <c r="AN34" s="3">
        <f>AG34</f>
        <v>0</v>
      </c>
      <c r="AO34" s="3">
        <f>AH34</f>
        <v>0</v>
      </c>
      <c r="AP34" s="3">
        <f t="shared" ref="AP34:AP53" si="11">(AC34+AD34)-AJ34</f>
        <v>0</v>
      </c>
      <c r="AQ34" s="1" t="s">
        <v>155</v>
      </c>
    </row>
    <row r="35" spans="1:43" x14ac:dyDescent="0.35">
      <c r="A35" s="1">
        <v>742</v>
      </c>
      <c r="B35" s="2">
        <v>45863</v>
      </c>
      <c r="C35" s="1" t="s">
        <v>64</v>
      </c>
      <c r="D35" s="1">
        <v>9518957825</v>
      </c>
      <c r="E35" s="1">
        <v>1</v>
      </c>
      <c r="F35" s="1" t="s">
        <v>558</v>
      </c>
      <c r="G35" s="1" t="s">
        <v>1155</v>
      </c>
      <c r="H35" s="1" t="s">
        <v>21</v>
      </c>
      <c r="I35" s="1" t="s">
        <v>71</v>
      </c>
      <c r="K35" s="1" t="s">
        <v>970</v>
      </c>
      <c r="L35" s="1" t="str">
        <f t="shared" si="10"/>
        <v>BPRS</v>
      </c>
      <c r="M35" s="1" t="s">
        <v>1230</v>
      </c>
      <c r="N35" s="1" t="s">
        <v>308</v>
      </c>
      <c r="O35" s="1" t="s">
        <v>151</v>
      </c>
      <c r="P35" s="1">
        <v>925093</v>
      </c>
      <c r="Q35" s="1" t="s">
        <v>307</v>
      </c>
      <c r="R35" s="1">
        <v>3239536</v>
      </c>
      <c r="S35" s="1" t="s">
        <v>177</v>
      </c>
      <c r="T35" s="1" t="s">
        <v>75</v>
      </c>
      <c r="U35" s="1" t="s">
        <v>122</v>
      </c>
      <c r="V35" s="1" t="s">
        <v>123</v>
      </c>
      <c r="W35" s="1">
        <v>0.35</v>
      </c>
      <c r="X35" s="1">
        <v>900</v>
      </c>
      <c r="Y35" s="1">
        <v>2500</v>
      </c>
      <c r="Z35" s="3">
        <v>42</v>
      </c>
      <c r="AA35" s="3">
        <v>16.164999999999999</v>
      </c>
      <c r="AB35" s="3">
        <v>25.835000000000001</v>
      </c>
      <c r="AC35" s="3">
        <v>0</v>
      </c>
      <c r="AD35" s="3">
        <f t="shared" si="8"/>
        <v>25.835000000000001</v>
      </c>
      <c r="AE35" s="3">
        <v>0</v>
      </c>
      <c r="AF35" s="3">
        <v>0</v>
      </c>
      <c r="AG35" s="3">
        <v>0</v>
      </c>
      <c r="AH35" s="3">
        <v>0</v>
      </c>
      <c r="AI35" s="3">
        <v>25.835000000000001</v>
      </c>
      <c r="AJ35" s="3">
        <f t="shared" si="9"/>
        <v>25.835000000000001</v>
      </c>
      <c r="AK35" s="1">
        <v>0</v>
      </c>
      <c r="AL35" s="1">
        <v>0</v>
      </c>
      <c r="AM35" s="1">
        <v>0</v>
      </c>
      <c r="AN35" s="3">
        <f>AD35</f>
        <v>25.835000000000001</v>
      </c>
      <c r="AO35" s="3">
        <v>0</v>
      </c>
      <c r="AP35" s="3">
        <f t="shared" si="11"/>
        <v>0</v>
      </c>
      <c r="AQ35" s="1" t="s">
        <v>307</v>
      </c>
    </row>
    <row r="36" spans="1:43" x14ac:dyDescent="0.35">
      <c r="A36" s="1">
        <v>742</v>
      </c>
      <c r="B36" s="2">
        <v>45856</v>
      </c>
      <c r="C36" s="1" t="s">
        <v>64</v>
      </c>
      <c r="D36" s="1">
        <v>9518938765</v>
      </c>
      <c r="E36" s="1">
        <v>3</v>
      </c>
      <c r="F36" s="1" t="s">
        <v>562</v>
      </c>
      <c r="G36" s="1" t="s">
        <v>1155</v>
      </c>
      <c r="H36" s="1" t="s">
        <v>21</v>
      </c>
      <c r="I36" s="1" t="s">
        <v>71</v>
      </c>
      <c r="K36" s="1" t="s">
        <v>970</v>
      </c>
      <c r="L36" s="1" t="str">
        <f t="shared" si="10"/>
        <v>BPRS</v>
      </c>
      <c r="M36" s="1" t="s">
        <v>1230</v>
      </c>
      <c r="N36" s="1" t="s">
        <v>156</v>
      </c>
      <c r="O36" s="1" t="s">
        <v>157</v>
      </c>
      <c r="P36" s="1">
        <v>103227</v>
      </c>
      <c r="Q36" s="1" t="s">
        <v>155</v>
      </c>
      <c r="R36" s="1">
        <v>3239536</v>
      </c>
      <c r="S36" s="1" t="s">
        <v>177</v>
      </c>
      <c r="T36" s="1" t="s">
        <v>75</v>
      </c>
      <c r="U36" s="1" t="s">
        <v>122</v>
      </c>
      <c r="V36" s="1" t="s">
        <v>123</v>
      </c>
      <c r="W36" s="1">
        <v>0.35</v>
      </c>
      <c r="X36" s="1">
        <v>900</v>
      </c>
      <c r="Y36" s="1">
        <v>2500</v>
      </c>
      <c r="Z36" s="3">
        <v>21</v>
      </c>
      <c r="AA36" s="3">
        <v>0</v>
      </c>
      <c r="AB36" s="3">
        <v>21</v>
      </c>
      <c r="AC36" s="3">
        <v>0</v>
      </c>
      <c r="AD36" s="3">
        <f t="shared" si="8"/>
        <v>21</v>
      </c>
      <c r="AE36" s="3">
        <v>0</v>
      </c>
      <c r="AF36" s="3">
        <v>0</v>
      </c>
      <c r="AG36" s="3">
        <v>0</v>
      </c>
      <c r="AH36" s="3">
        <v>0</v>
      </c>
      <c r="AI36" s="3">
        <v>21</v>
      </c>
      <c r="AJ36" s="3">
        <f t="shared" si="9"/>
        <v>21</v>
      </c>
      <c r="AK36" s="1">
        <v>0</v>
      </c>
      <c r="AL36" s="1">
        <v>0</v>
      </c>
      <c r="AM36" s="1">
        <v>0</v>
      </c>
      <c r="AN36" s="3">
        <f>AD36</f>
        <v>21</v>
      </c>
      <c r="AO36" s="3">
        <v>0</v>
      </c>
      <c r="AP36" s="3">
        <f t="shared" si="11"/>
        <v>0</v>
      </c>
      <c r="AQ36" s="1" t="s">
        <v>155</v>
      </c>
    </row>
    <row r="37" spans="1:43" x14ac:dyDescent="0.35">
      <c r="A37" s="1">
        <v>742</v>
      </c>
      <c r="B37" s="2">
        <v>45856</v>
      </c>
      <c r="C37" s="1" t="s">
        <v>64</v>
      </c>
      <c r="D37" s="1">
        <v>9518938765</v>
      </c>
      <c r="E37" s="1">
        <v>4</v>
      </c>
      <c r="F37" s="1" t="s">
        <v>563</v>
      </c>
      <c r="G37" s="1" t="s">
        <v>393</v>
      </c>
      <c r="H37" s="1" t="s">
        <v>21</v>
      </c>
      <c r="I37" s="1" t="s">
        <v>71</v>
      </c>
      <c r="K37" s="1" t="s">
        <v>970</v>
      </c>
      <c r="L37" s="1" t="str">
        <f t="shared" si="10"/>
        <v>BPRS</v>
      </c>
      <c r="M37" s="1" t="s">
        <v>1230</v>
      </c>
      <c r="N37" s="1" t="s">
        <v>156</v>
      </c>
      <c r="O37" s="1" t="s">
        <v>157</v>
      </c>
      <c r="P37" s="1">
        <v>103227</v>
      </c>
      <c r="Q37" s="1" t="s">
        <v>155</v>
      </c>
      <c r="R37" s="1">
        <v>3539044</v>
      </c>
      <c r="S37" s="1" t="s">
        <v>351</v>
      </c>
      <c r="T37" s="1" t="s">
        <v>75</v>
      </c>
      <c r="U37" s="1" t="s">
        <v>122</v>
      </c>
      <c r="V37" s="1" t="s">
        <v>123</v>
      </c>
      <c r="W37" s="1">
        <v>0.38</v>
      </c>
      <c r="X37" s="1">
        <v>900</v>
      </c>
      <c r="Y37" s="1">
        <v>2500</v>
      </c>
      <c r="Z37" s="3">
        <v>20.998999999999999</v>
      </c>
      <c r="AA37" s="3">
        <v>16.399999999999999</v>
      </c>
      <c r="AB37" s="3">
        <v>4.5990000000000002</v>
      </c>
      <c r="AC37" s="3">
        <v>0</v>
      </c>
      <c r="AD37" s="3">
        <f t="shared" si="8"/>
        <v>4.5990000000000002</v>
      </c>
      <c r="AE37" s="3">
        <v>4.5990000000000002</v>
      </c>
      <c r="AF37" s="3">
        <v>0</v>
      </c>
      <c r="AG37" s="3">
        <v>0</v>
      </c>
      <c r="AH37" s="3">
        <v>0</v>
      </c>
      <c r="AI37" s="3">
        <v>0</v>
      </c>
      <c r="AJ37" s="3">
        <f t="shared" si="9"/>
        <v>4.5990000000000002</v>
      </c>
      <c r="AK37" s="1">
        <v>0</v>
      </c>
      <c r="AL37" s="3">
        <f>AE37</f>
        <v>4.5990000000000002</v>
      </c>
      <c r="AM37" s="3">
        <f>AF37</f>
        <v>0</v>
      </c>
      <c r="AN37" s="3">
        <f>AG37</f>
        <v>0</v>
      </c>
      <c r="AO37" s="3">
        <f>AH37</f>
        <v>0</v>
      </c>
      <c r="AP37" s="3">
        <f t="shared" si="11"/>
        <v>0</v>
      </c>
      <c r="AQ37" s="1" t="s">
        <v>155</v>
      </c>
    </row>
    <row r="38" spans="1:43" x14ac:dyDescent="0.35">
      <c r="A38" s="1">
        <v>744</v>
      </c>
      <c r="B38" s="2">
        <v>45870</v>
      </c>
      <c r="C38" s="1" t="s">
        <v>64</v>
      </c>
      <c r="D38" s="1">
        <v>9518985918</v>
      </c>
      <c r="E38" s="1">
        <v>2</v>
      </c>
      <c r="F38" s="1" t="s">
        <v>565</v>
      </c>
      <c r="G38" s="1" t="s">
        <v>1367</v>
      </c>
      <c r="H38" s="1" t="s">
        <v>86</v>
      </c>
      <c r="I38" s="1" t="s">
        <v>968</v>
      </c>
      <c r="K38" s="1" t="s">
        <v>969</v>
      </c>
      <c r="L38" s="1" t="str">
        <f t="shared" si="10"/>
        <v>IPP</v>
      </c>
      <c r="M38" s="1" t="s">
        <v>1232</v>
      </c>
      <c r="N38" s="1" t="s">
        <v>1135</v>
      </c>
      <c r="O38" s="1" t="s">
        <v>54</v>
      </c>
      <c r="P38" s="1">
        <v>941597</v>
      </c>
      <c r="Q38" s="1" t="s">
        <v>87</v>
      </c>
      <c r="R38" s="1">
        <v>3940122</v>
      </c>
      <c r="S38" s="1" t="s">
        <v>281</v>
      </c>
      <c r="T38" s="1" t="s">
        <v>88</v>
      </c>
      <c r="U38" s="1" t="s">
        <v>89</v>
      </c>
      <c r="V38" s="1" t="s">
        <v>143</v>
      </c>
      <c r="W38" s="1">
        <v>0.47</v>
      </c>
      <c r="X38" s="1">
        <v>1220</v>
      </c>
      <c r="Y38" s="1">
        <v>0</v>
      </c>
      <c r="Z38" s="3">
        <v>55.997999999999998</v>
      </c>
      <c r="AA38" s="3">
        <v>55.78</v>
      </c>
      <c r="AB38" s="3">
        <v>0.218</v>
      </c>
      <c r="AC38" s="3">
        <v>38.555</v>
      </c>
      <c r="AD38" s="3">
        <f t="shared" si="8"/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f t="shared" si="9"/>
        <v>38.555</v>
      </c>
      <c r="AK38" s="3">
        <f>AC38</f>
        <v>38.555</v>
      </c>
      <c r="AL38" s="1">
        <v>0</v>
      </c>
      <c r="AM38" s="1">
        <v>0</v>
      </c>
      <c r="AN38" s="1">
        <v>0</v>
      </c>
      <c r="AO38" s="1">
        <v>0</v>
      </c>
      <c r="AP38" s="3">
        <f t="shared" si="11"/>
        <v>0</v>
      </c>
      <c r="AQ38" s="1" t="s">
        <v>87</v>
      </c>
    </row>
    <row r="39" spans="1:43" x14ac:dyDescent="0.35">
      <c r="A39" s="1">
        <v>742</v>
      </c>
      <c r="B39" s="2">
        <v>45895</v>
      </c>
      <c r="C39" s="1" t="s">
        <v>64</v>
      </c>
      <c r="D39" s="1">
        <v>9519050497</v>
      </c>
      <c r="E39" s="1">
        <v>1</v>
      </c>
      <c r="F39" s="1" t="s">
        <v>570</v>
      </c>
      <c r="G39" s="1" t="s">
        <v>1155</v>
      </c>
      <c r="H39" s="1" t="s">
        <v>21</v>
      </c>
      <c r="I39" s="1" t="s">
        <v>71</v>
      </c>
      <c r="K39" s="1" t="s">
        <v>970</v>
      </c>
      <c r="L39" s="1" t="str">
        <f t="shared" si="10"/>
        <v>BPRS</v>
      </c>
      <c r="M39" s="1" t="s">
        <v>1228</v>
      </c>
      <c r="N39" s="1" t="s">
        <v>242</v>
      </c>
      <c r="O39" s="1" t="s">
        <v>243</v>
      </c>
      <c r="P39" s="1">
        <v>116137</v>
      </c>
      <c r="Q39" s="1" t="s">
        <v>241</v>
      </c>
      <c r="R39" s="1">
        <v>3239557</v>
      </c>
      <c r="S39" s="1" t="s">
        <v>158</v>
      </c>
      <c r="T39" s="1" t="s">
        <v>75</v>
      </c>
      <c r="U39" s="1" t="s">
        <v>122</v>
      </c>
      <c r="V39" s="1" t="s">
        <v>123</v>
      </c>
      <c r="W39" s="1">
        <v>0.4</v>
      </c>
      <c r="X39" s="1">
        <v>1250</v>
      </c>
      <c r="Y39" s="1">
        <v>2500</v>
      </c>
      <c r="Z39" s="3">
        <v>58</v>
      </c>
      <c r="AA39" s="3">
        <v>0</v>
      </c>
      <c r="AB39" s="3">
        <v>58</v>
      </c>
      <c r="AC39" s="3">
        <v>0</v>
      </c>
      <c r="AD39" s="3">
        <f t="shared" si="8"/>
        <v>58</v>
      </c>
      <c r="AE39" s="3">
        <v>0</v>
      </c>
      <c r="AF39" s="3">
        <v>0</v>
      </c>
      <c r="AG39" s="3">
        <v>58</v>
      </c>
      <c r="AH39" s="3">
        <v>0</v>
      </c>
      <c r="AI39" s="3">
        <v>0</v>
      </c>
      <c r="AJ39" s="3">
        <f t="shared" si="9"/>
        <v>58</v>
      </c>
      <c r="AK39" s="1">
        <v>0</v>
      </c>
      <c r="AL39" s="3">
        <f>AE39</f>
        <v>0</v>
      </c>
      <c r="AM39" s="3">
        <f>AG39</f>
        <v>58</v>
      </c>
      <c r="AN39" s="3">
        <v>0</v>
      </c>
      <c r="AO39" s="3">
        <f>AH39</f>
        <v>0</v>
      </c>
      <c r="AP39" s="3">
        <f t="shared" si="11"/>
        <v>0</v>
      </c>
      <c r="AQ39" s="1" t="s">
        <v>241</v>
      </c>
    </row>
    <row r="40" spans="1:43" x14ac:dyDescent="0.35">
      <c r="A40" s="1">
        <v>742</v>
      </c>
      <c r="B40" s="2">
        <v>45889</v>
      </c>
      <c r="C40" s="1" t="s">
        <v>64</v>
      </c>
      <c r="D40" s="1">
        <v>9519031476</v>
      </c>
      <c r="E40" s="1">
        <v>11</v>
      </c>
      <c r="F40" s="1" t="s">
        <v>571</v>
      </c>
      <c r="G40" s="1" t="s">
        <v>1367</v>
      </c>
      <c r="H40" s="1" t="s">
        <v>21</v>
      </c>
      <c r="I40" s="1" t="s">
        <v>71</v>
      </c>
      <c r="K40" s="1" t="s">
        <v>970</v>
      </c>
      <c r="L40" s="1" t="str">
        <f t="shared" si="10"/>
        <v>BPRS</v>
      </c>
      <c r="M40" s="1" t="s">
        <v>1230</v>
      </c>
      <c r="N40" s="1" t="s">
        <v>92</v>
      </c>
      <c r="O40" s="1" t="s">
        <v>93</v>
      </c>
      <c r="P40" s="1">
        <v>117061</v>
      </c>
      <c r="Q40" s="1" t="s">
        <v>91</v>
      </c>
      <c r="R40" s="1">
        <v>3240857</v>
      </c>
      <c r="S40" s="1" t="s">
        <v>346</v>
      </c>
      <c r="T40" s="1" t="s">
        <v>75</v>
      </c>
      <c r="U40" s="1" t="s">
        <v>76</v>
      </c>
      <c r="V40" s="1" t="s">
        <v>77</v>
      </c>
      <c r="W40" s="1">
        <v>2</v>
      </c>
      <c r="X40" s="1">
        <v>1250</v>
      </c>
      <c r="Y40" s="1">
        <v>2500</v>
      </c>
      <c r="Z40" s="3">
        <v>29</v>
      </c>
      <c r="AA40" s="3">
        <v>23.24</v>
      </c>
      <c r="AB40" s="3">
        <v>5.76</v>
      </c>
      <c r="AC40" s="3">
        <v>23.240000000000002</v>
      </c>
      <c r="AD40" s="3">
        <f t="shared" si="8"/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f t="shared" si="9"/>
        <v>23.240000000000002</v>
      </c>
      <c r="AK40" s="3">
        <f>AC40</f>
        <v>23.240000000000002</v>
      </c>
      <c r="AL40" s="1">
        <v>0</v>
      </c>
      <c r="AM40" s="1">
        <v>0</v>
      </c>
      <c r="AN40" s="1">
        <v>0</v>
      </c>
      <c r="AO40" s="1">
        <v>0</v>
      </c>
      <c r="AP40" s="3">
        <f t="shared" si="11"/>
        <v>0</v>
      </c>
      <c r="AQ40" s="1" t="s">
        <v>91</v>
      </c>
    </row>
    <row r="41" spans="1:43" x14ac:dyDescent="0.35">
      <c r="A41" s="1">
        <v>742</v>
      </c>
      <c r="B41" s="2">
        <v>45889</v>
      </c>
      <c r="C41" s="1" t="s">
        <v>64</v>
      </c>
      <c r="D41" s="1">
        <v>9519031476</v>
      </c>
      <c r="E41" s="1">
        <v>9</v>
      </c>
      <c r="F41" s="1" t="s">
        <v>572</v>
      </c>
      <c r="G41" s="1" t="s">
        <v>1155</v>
      </c>
      <c r="H41" s="1" t="s">
        <v>21</v>
      </c>
      <c r="I41" s="1" t="s">
        <v>71</v>
      </c>
      <c r="K41" s="1" t="s">
        <v>970</v>
      </c>
      <c r="L41" s="1" t="str">
        <f t="shared" si="10"/>
        <v>BPRS</v>
      </c>
      <c r="M41" s="1" t="s">
        <v>1230</v>
      </c>
      <c r="N41" s="1" t="s">
        <v>92</v>
      </c>
      <c r="O41" s="1" t="s">
        <v>93</v>
      </c>
      <c r="P41" s="1">
        <v>117061</v>
      </c>
      <c r="Q41" s="1" t="s">
        <v>91</v>
      </c>
      <c r="R41" s="1">
        <v>3240842</v>
      </c>
      <c r="S41" s="1" t="s">
        <v>297</v>
      </c>
      <c r="T41" s="1" t="s">
        <v>75</v>
      </c>
      <c r="U41" s="1" t="s">
        <v>76</v>
      </c>
      <c r="V41" s="1" t="s">
        <v>77</v>
      </c>
      <c r="W41" s="1">
        <v>1</v>
      </c>
      <c r="X41" s="1">
        <v>1250</v>
      </c>
      <c r="Y41" s="1">
        <v>2500</v>
      </c>
      <c r="Z41" s="3">
        <v>58</v>
      </c>
      <c r="AA41" s="3">
        <v>26.52</v>
      </c>
      <c r="AB41" s="3">
        <v>31.48</v>
      </c>
      <c r="AC41" s="3">
        <v>0</v>
      </c>
      <c r="AD41" s="3">
        <f t="shared" si="8"/>
        <v>31.48</v>
      </c>
      <c r="AE41" s="3">
        <v>0</v>
      </c>
      <c r="AF41" s="3">
        <v>31.48</v>
      </c>
      <c r="AG41" s="3">
        <v>0</v>
      </c>
      <c r="AH41" s="3">
        <v>0</v>
      </c>
      <c r="AI41" s="3">
        <v>0</v>
      </c>
      <c r="AJ41" s="3">
        <f t="shared" si="9"/>
        <v>31.48</v>
      </c>
      <c r="AK41" s="1">
        <v>0</v>
      </c>
      <c r="AL41" s="3">
        <f>AF41</f>
        <v>31.48</v>
      </c>
      <c r="AM41" s="3">
        <v>0</v>
      </c>
      <c r="AN41" s="3">
        <f>AG41</f>
        <v>0</v>
      </c>
      <c r="AO41" s="3">
        <f>AH41</f>
        <v>0</v>
      </c>
      <c r="AP41" s="3">
        <f t="shared" si="11"/>
        <v>0</v>
      </c>
      <c r="AQ41" s="1" t="s">
        <v>91</v>
      </c>
    </row>
    <row r="42" spans="1:43" x14ac:dyDescent="0.35">
      <c r="A42" s="1">
        <v>742</v>
      </c>
      <c r="B42" s="2">
        <v>45859</v>
      </c>
      <c r="C42" s="1" t="s">
        <v>64</v>
      </c>
      <c r="D42" s="1">
        <v>9518946015</v>
      </c>
      <c r="E42" s="1">
        <v>7</v>
      </c>
      <c r="F42" s="1" t="s">
        <v>573</v>
      </c>
      <c r="G42" s="1" t="s">
        <v>393</v>
      </c>
      <c r="H42" s="1" t="s">
        <v>21</v>
      </c>
      <c r="I42" s="1" t="s">
        <v>71</v>
      </c>
      <c r="K42" s="1" t="s">
        <v>970</v>
      </c>
      <c r="L42" s="1" t="str">
        <f t="shared" si="10"/>
        <v>BPRS</v>
      </c>
      <c r="M42" s="1" t="s">
        <v>1230</v>
      </c>
      <c r="N42" s="1" t="s">
        <v>92</v>
      </c>
      <c r="O42" s="1" t="s">
        <v>93</v>
      </c>
      <c r="P42" s="1">
        <v>117061</v>
      </c>
      <c r="Q42" s="1" t="s">
        <v>91</v>
      </c>
      <c r="R42" s="1">
        <v>3240790</v>
      </c>
      <c r="S42" s="1" t="s">
        <v>355</v>
      </c>
      <c r="T42" s="1" t="s">
        <v>75</v>
      </c>
      <c r="U42" s="1" t="s">
        <v>76</v>
      </c>
      <c r="V42" s="1" t="s">
        <v>77</v>
      </c>
      <c r="W42" s="1">
        <v>0.7</v>
      </c>
      <c r="X42" s="1">
        <v>1000</v>
      </c>
      <c r="Y42" s="1">
        <v>2500</v>
      </c>
      <c r="Z42" s="3">
        <v>23</v>
      </c>
      <c r="AA42" s="3">
        <v>0</v>
      </c>
      <c r="AB42" s="3">
        <v>23</v>
      </c>
      <c r="AC42" s="3">
        <v>0</v>
      </c>
      <c r="AD42" s="3">
        <f t="shared" si="8"/>
        <v>23</v>
      </c>
      <c r="AE42" s="3">
        <v>0</v>
      </c>
      <c r="AF42" s="3">
        <v>0</v>
      </c>
      <c r="AG42" s="3">
        <v>23</v>
      </c>
      <c r="AH42" s="3">
        <v>0</v>
      </c>
      <c r="AI42" s="3">
        <v>0</v>
      </c>
      <c r="AJ42" s="3">
        <f t="shared" si="9"/>
        <v>23</v>
      </c>
      <c r="AK42" s="1">
        <v>0</v>
      </c>
      <c r="AL42" s="3">
        <f>AE42</f>
        <v>0</v>
      </c>
      <c r="AM42" s="3">
        <f>AG42</f>
        <v>23</v>
      </c>
      <c r="AN42" s="3">
        <v>0</v>
      </c>
      <c r="AO42" s="3">
        <f>AH42</f>
        <v>0</v>
      </c>
      <c r="AP42" s="3">
        <f t="shared" si="11"/>
        <v>0</v>
      </c>
      <c r="AQ42" s="1" t="s">
        <v>91</v>
      </c>
    </row>
    <row r="43" spans="1:43" x14ac:dyDescent="0.35">
      <c r="A43" s="1">
        <v>742</v>
      </c>
      <c r="B43" s="2">
        <v>45856</v>
      </c>
      <c r="C43" s="1" t="s">
        <v>64</v>
      </c>
      <c r="D43" s="1">
        <v>9518938044</v>
      </c>
      <c r="E43" s="1">
        <v>3</v>
      </c>
      <c r="F43" s="1" t="s">
        <v>574</v>
      </c>
      <c r="G43" s="1" t="s">
        <v>1367</v>
      </c>
      <c r="H43" s="1" t="s">
        <v>21</v>
      </c>
      <c r="I43" s="1" t="s">
        <v>71</v>
      </c>
      <c r="K43" s="1" t="s">
        <v>970</v>
      </c>
      <c r="L43" s="1" t="str">
        <f t="shared" si="10"/>
        <v>BPRS</v>
      </c>
      <c r="M43" s="1" t="s">
        <v>1230</v>
      </c>
      <c r="N43" s="1" t="s">
        <v>179</v>
      </c>
      <c r="O43" s="1" t="s">
        <v>180</v>
      </c>
      <c r="P43" s="1">
        <v>931662</v>
      </c>
      <c r="Q43" s="1" t="s">
        <v>319</v>
      </c>
      <c r="R43" s="1">
        <v>3240778</v>
      </c>
      <c r="S43" s="1" t="s">
        <v>303</v>
      </c>
      <c r="T43" s="1" t="s">
        <v>75</v>
      </c>
      <c r="U43" s="1" t="s">
        <v>76</v>
      </c>
      <c r="V43" s="1" t="s">
        <v>77</v>
      </c>
      <c r="W43" s="1">
        <v>0.6</v>
      </c>
      <c r="X43" s="1">
        <v>1000</v>
      </c>
      <c r="Y43" s="1">
        <v>2500</v>
      </c>
      <c r="Z43" s="3">
        <v>23</v>
      </c>
      <c r="AA43" s="3">
        <v>19.995000000000001</v>
      </c>
      <c r="AB43" s="3">
        <v>3.0049999999999999</v>
      </c>
      <c r="AC43" s="3">
        <v>19.995000000000001</v>
      </c>
      <c r="AD43" s="3">
        <f t="shared" si="8"/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f t="shared" si="9"/>
        <v>19.995000000000001</v>
      </c>
      <c r="AK43" s="3">
        <f>AC43</f>
        <v>19.995000000000001</v>
      </c>
      <c r="AL43" s="1">
        <v>0</v>
      </c>
      <c r="AM43" s="1">
        <v>0</v>
      </c>
      <c r="AN43" s="1">
        <v>0</v>
      </c>
      <c r="AO43" s="1">
        <v>0</v>
      </c>
      <c r="AP43" s="3">
        <f t="shared" si="11"/>
        <v>0</v>
      </c>
      <c r="AQ43" s="1" t="s">
        <v>319</v>
      </c>
    </row>
    <row r="44" spans="1:43" x14ac:dyDescent="0.35">
      <c r="A44" s="1">
        <v>743</v>
      </c>
      <c r="B44" s="2">
        <v>45876</v>
      </c>
      <c r="C44" s="1" t="s">
        <v>64</v>
      </c>
      <c r="D44" s="1">
        <v>9519001255</v>
      </c>
      <c r="E44" s="1">
        <v>1</v>
      </c>
      <c r="F44" s="1" t="s">
        <v>575</v>
      </c>
      <c r="G44" s="1" t="s">
        <v>393</v>
      </c>
      <c r="H44" s="1" t="s">
        <v>56</v>
      </c>
      <c r="I44" s="1" t="s">
        <v>57</v>
      </c>
      <c r="K44" s="1" t="s">
        <v>969</v>
      </c>
      <c r="L44" s="1" t="str">
        <f t="shared" si="10"/>
        <v>IPP</v>
      </c>
      <c r="M44" s="1" t="s">
        <v>1229</v>
      </c>
      <c r="N44" s="1" t="s">
        <v>82</v>
      </c>
      <c r="O44" s="1" t="s">
        <v>74</v>
      </c>
      <c r="P44" s="1">
        <v>947959</v>
      </c>
      <c r="Q44" s="1" t="s">
        <v>81</v>
      </c>
      <c r="R44" s="1">
        <v>3924555</v>
      </c>
      <c r="S44" s="1" t="s">
        <v>83</v>
      </c>
      <c r="T44" s="1" t="s">
        <v>60</v>
      </c>
      <c r="U44" s="1" t="s">
        <v>61</v>
      </c>
      <c r="V44" s="1" t="s">
        <v>62</v>
      </c>
      <c r="W44" s="1">
        <v>0.9</v>
      </c>
      <c r="X44" s="1">
        <v>1045</v>
      </c>
      <c r="Y44" s="1">
        <v>0</v>
      </c>
      <c r="Z44" s="3">
        <v>120</v>
      </c>
      <c r="AA44" s="3">
        <v>0</v>
      </c>
      <c r="AB44" s="3">
        <v>120</v>
      </c>
      <c r="AC44" s="3">
        <v>0</v>
      </c>
      <c r="AD44" s="3">
        <f t="shared" si="8"/>
        <v>120</v>
      </c>
      <c r="AE44" s="3">
        <v>120</v>
      </c>
      <c r="AF44" s="3">
        <v>0</v>
      </c>
      <c r="AG44" s="3">
        <v>0</v>
      </c>
      <c r="AH44" s="3">
        <v>0</v>
      </c>
      <c r="AI44" s="3">
        <v>0</v>
      </c>
      <c r="AJ44" s="3">
        <f t="shared" si="9"/>
        <v>120</v>
      </c>
      <c r="AK44" s="3">
        <f>AE44</f>
        <v>120</v>
      </c>
      <c r="AL44" s="1">
        <v>0</v>
      </c>
      <c r="AM44" s="1">
        <v>0</v>
      </c>
      <c r="AN44" s="1">
        <v>0</v>
      </c>
      <c r="AO44" s="1">
        <v>0</v>
      </c>
      <c r="AP44" s="3">
        <f t="shared" si="11"/>
        <v>0</v>
      </c>
      <c r="AQ44" s="1" t="s">
        <v>81</v>
      </c>
    </row>
    <row r="45" spans="1:43" x14ac:dyDescent="0.35">
      <c r="A45" s="1">
        <v>743</v>
      </c>
      <c r="B45" s="2">
        <v>45853</v>
      </c>
      <c r="C45" s="1" t="s">
        <v>64</v>
      </c>
      <c r="D45" s="1">
        <v>9518930025</v>
      </c>
      <c r="E45" s="1">
        <v>7</v>
      </c>
      <c r="F45" s="1" t="s">
        <v>576</v>
      </c>
      <c r="G45" s="1" t="s">
        <v>1367</v>
      </c>
      <c r="H45" s="1" t="s">
        <v>63</v>
      </c>
      <c r="I45" s="1" t="s">
        <v>1404</v>
      </c>
      <c r="K45" s="1" t="s">
        <v>970</v>
      </c>
      <c r="L45" s="1" t="str">
        <f t="shared" si="10"/>
        <v>BPRS</v>
      </c>
      <c r="M45" s="1" t="s">
        <v>1230</v>
      </c>
      <c r="N45" s="1" t="s">
        <v>156</v>
      </c>
      <c r="O45" s="1" t="s">
        <v>157</v>
      </c>
      <c r="P45" s="1">
        <v>103227</v>
      </c>
      <c r="Q45" s="1" t="s">
        <v>155</v>
      </c>
      <c r="R45" s="1">
        <v>1854418</v>
      </c>
      <c r="S45" s="1" t="s">
        <v>176</v>
      </c>
      <c r="T45" s="1" t="s">
        <v>139</v>
      </c>
      <c r="U45" s="1" t="s">
        <v>140</v>
      </c>
      <c r="V45" s="1" t="s">
        <v>150</v>
      </c>
      <c r="W45" s="1">
        <v>0.5</v>
      </c>
      <c r="X45" s="1">
        <v>900</v>
      </c>
      <c r="Y45" s="1">
        <v>0</v>
      </c>
      <c r="Z45" s="3">
        <v>252</v>
      </c>
      <c r="AA45" s="3">
        <v>231.03</v>
      </c>
      <c r="AB45" s="3">
        <v>20.97</v>
      </c>
      <c r="AC45" s="3">
        <v>5.75</v>
      </c>
      <c r="AD45" s="3">
        <f t="shared" si="8"/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f t="shared" si="9"/>
        <v>5.75</v>
      </c>
      <c r="AK45" s="3">
        <f>AC45</f>
        <v>5.75</v>
      </c>
      <c r="AL45" s="1">
        <v>0</v>
      </c>
      <c r="AM45" s="1">
        <v>0</v>
      </c>
      <c r="AN45" s="1">
        <v>0</v>
      </c>
      <c r="AO45" s="1">
        <v>0</v>
      </c>
      <c r="AP45" s="3">
        <f t="shared" si="11"/>
        <v>0</v>
      </c>
      <c r="AQ45" s="1" t="s">
        <v>155</v>
      </c>
    </row>
    <row r="46" spans="1:43" x14ac:dyDescent="0.35">
      <c r="A46" s="1">
        <v>743</v>
      </c>
      <c r="B46" s="2">
        <v>45853</v>
      </c>
      <c r="C46" s="1" t="s">
        <v>64</v>
      </c>
      <c r="D46" s="1">
        <v>9518930025</v>
      </c>
      <c r="E46" s="1">
        <v>8</v>
      </c>
      <c r="F46" s="1" t="s">
        <v>577</v>
      </c>
      <c r="G46" s="1" t="s">
        <v>393</v>
      </c>
      <c r="H46" s="1" t="s">
        <v>63</v>
      </c>
      <c r="I46" s="1" t="s">
        <v>1404</v>
      </c>
      <c r="K46" s="1" t="s">
        <v>970</v>
      </c>
      <c r="L46" s="1" t="str">
        <f t="shared" si="10"/>
        <v>BPRS</v>
      </c>
      <c r="M46" s="1" t="s">
        <v>1230</v>
      </c>
      <c r="N46" s="1" t="s">
        <v>156</v>
      </c>
      <c r="O46" s="1" t="s">
        <v>157</v>
      </c>
      <c r="P46" s="1">
        <v>103227</v>
      </c>
      <c r="Q46" s="1" t="s">
        <v>155</v>
      </c>
      <c r="R46" s="1">
        <v>1854424</v>
      </c>
      <c r="S46" s="1" t="s">
        <v>249</v>
      </c>
      <c r="T46" s="1" t="s">
        <v>139</v>
      </c>
      <c r="U46" s="1" t="s">
        <v>140</v>
      </c>
      <c r="V46" s="1" t="s">
        <v>150</v>
      </c>
      <c r="W46" s="1">
        <v>0.6</v>
      </c>
      <c r="X46" s="1">
        <v>900</v>
      </c>
      <c r="Y46" s="1">
        <v>0</v>
      </c>
      <c r="Z46" s="3">
        <v>210</v>
      </c>
      <c r="AA46" s="3">
        <v>111.14</v>
      </c>
      <c r="AB46" s="3">
        <v>98.86</v>
      </c>
      <c r="AC46" s="3">
        <v>0</v>
      </c>
      <c r="AD46" s="3">
        <f t="shared" si="8"/>
        <v>98.86</v>
      </c>
      <c r="AE46" s="3">
        <v>98.86</v>
      </c>
      <c r="AF46" s="3">
        <v>0</v>
      </c>
      <c r="AG46" s="3">
        <v>0</v>
      </c>
      <c r="AH46" s="3">
        <v>0</v>
      </c>
      <c r="AI46" s="3">
        <v>0</v>
      </c>
      <c r="AJ46" s="3">
        <f t="shared" si="9"/>
        <v>98.86</v>
      </c>
      <c r="AK46" s="3">
        <f>AE46</f>
        <v>98.86</v>
      </c>
      <c r="AL46" s="1">
        <v>0</v>
      </c>
      <c r="AM46" s="1">
        <v>0</v>
      </c>
      <c r="AN46" s="1">
        <v>0</v>
      </c>
      <c r="AO46" s="1">
        <v>0</v>
      </c>
      <c r="AP46" s="3">
        <f t="shared" si="11"/>
        <v>0</v>
      </c>
      <c r="AQ46" s="1" t="s">
        <v>155</v>
      </c>
    </row>
    <row r="47" spans="1:43" x14ac:dyDescent="0.35">
      <c r="A47" s="1">
        <v>742</v>
      </c>
      <c r="B47" s="2">
        <v>45862</v>
      </c>
      <c r="C47" s="1" t="s">
        <v>64</v>
      </c>
      <c r="D47" s="1">
        <v>9518956389</v>
      </c>
      <c r="E47" s="1">
        <v>17</v>
      </c>
      <c r="F47" s="1" t="s">
        <v>587</v>
      </c>
      <c r="G47" s="1" t="s">
        <v>1155</v>
      </c>
      <c r="H47" s="1" t="s">
        <v>21</v>
      </c>
      <c r="I47" s="1" t="s">
        <v>22</v>
      </c>
      <c r="K47" s="1" t="s">
        <v>970</v>
      </c>
      <c r="L47" s="1" t="str">
        <f t="shared" si="10"/>
        <v>BPRS</v>
      </c>
      <c r="M47" s="1" t="s">
        <v>1229</v>
      </c>
      <c r="N47" s="1" t="s">
        <v>35</v>
      </c>
      <c r="O47" s="1" t="s">
        <v>32</v>
      </c>
      <c r="P47" s="1">
        <v>932244</v>
      </c>
      <c r="Q47" s="1" t="s">
        <v>270</v>
      </c>
      <c r="R47" s="1">
        <v>2229968</v>
      </c>
      <c r="S47" s="1" t="s">
        <v>369</v>
      </c>
      <c r="T47" s="1" t="s">
        <v>28</v>
      </c>
      <c r="U47" s="1" t="s">
        <v>29</v>
      </c>
      <c r="V47" s="1" t="s">
        <v>30</v>
      </c>
      <c r="W47" s="1">
        <v>0.75</v>
      </c>
      <c r="X47" s="1">
        <v>1250</v>
      </c>
      <c r="Y47" s="1">
        <v>0</v>
      </c>
      <c r="Z47" s="3">
        <v>58</v>
      </c>
      <c r="AA47" s="3">
        <v>0</v>
      </c>
      <c r="AB47" s="3">
        <v>58</v>
      </c>
      <c r="AC47" s="3">
        <v>0</v>
      </c>
      <c r="AD47" s="3">
        <f t="shared" si="8"/>
        <v>58</v>
      </c>
      <c r="AE47" s="3">
        <v>58</v>
      </c>
      <c r="AF47" s="3">
        <v>0</v>
      </c>
      <c r="AG47" s="3">
        <v>0</v>
      </c>
      <c r="AH47" s="3">
        <v>0</v>
      </c>
      <c r="AI47" s="3">
        <v>0</v>
      </c>
      <c r="AJ47" s="3">
        <f t="shared" si="9"/>
        <v>58</v>
      </c>
      <c r="AK47" s="1">
        <v>0</v>
      </c>
      <c r="AL47" s="3">
        <f>AE47</f>
        <v>58</v>
      </c>
      <c r="AM47" s="3">
        <f>AF47</f>
        <v>0</v>
      </c>
      <c r="AN47" s="3">
        <f>AG47</f>
        <v>0</v>
      </c>
      <c r="AO47" s="3">
        <f>AH47</f>
        <v>0</v>
      </c>
      <c r="AP47" s="3">
        <f t="shared" si="11"/>
        <v>0</v>
      </c>
      <c r="AQ47" s="1" t="s">
        <v>270</v>
      </c>
    </row>
    <row r="48" spans="1:43" x14ac:dyDescent="0.35">
      <c r="A48" s="1">
        <v>742</v>
      </c>
      <c r="B48" s="2">
        <v>45888</v>
      </c>
      <c r="C48" s="1" t="s">
        <v>64</v>
      </c>
      <c r="D48" s="1">
        <v>9519028293</v>
      </c>
      <c r="E48" s="1">
        <v>2</v>
      </c>
      <c r="F48" s="1" t="s">
        <v>588</v>
      </c>
      <c r="G48" s="1" t="s">
        <v>1155</v>
      </c>
      <c r="H48" s="1" t="s">
        <v>21</v>
      </c>
      <c r="I48" s="1" t="s">
        <v>71</v>
      </c>
      <c r="K48" s="1" t="s">
        <v>970</v>
      </c>
      <c r="L48" s="1" t="str">
        <f t="shared" si="10"/>
        <v>BPRS</v>
      </c>
      <c r="M48" s="1" t="s">
        <v>1229</v>
      </c>
      <c r="N48" s="1" t="s">
        <v>137</v>
      </c>
      <c r="O48" s="1" t="s">
        <v>58</v>
      </c>
      <c r="P48" s="1">
        <v>938550</v>
      </c>
      <c r="Q48" s="1" t="s">
        <v>221</v>
      </c>
      <c r="R48" s="1">
        <v>3239552</v>
      </c>
      <c r="S48" s="1" t="s">
        <v>314</v>
      </c>
      <c r="T48" s="1" t="s">
        <v>75</v>
      </c>
      <c r="U48" s="1" t="s">
        <v>122</v>
      </c>
      <c r="V48" s="1" t="s">
        <v>123</v>
      </c>
      <c r="W48" s="1">
        <v>0.4</v>
      </c>
      <c r="X48" s="1">
        <v>1000</v>
      </c>
      <c r="Y48" s="1">
        <v>1980</v>
      </c>
      <c r="Z48" s="3">
        <v>46</v>
      </c>
      <c r="AA48" s="3">
        <v>0</v>
      </c>
      <c r="AB48" s="3">
        <v>46</v>
      </c>
      <c r="AC48" s="3">
        <v>0</v>
      </c>
      <c r="AD48" s="3">
        <f t="shared" si="8"/>
        <v>46</v>
      </c>
      <c r="AE48" s="3">
        <v>0</v>
      </c>
      <c r="AF48" s="3">
        <v>0</v>
      </c>
      <c r="AG48" s="3">
        <v>0</v>
      </c>
      <c r="AH48" s="3">
        <v>46</v>
      </c>
      <c r="AI48" s="3">
        <v>0</v>
      </c>
      <c r="AJ48" s="3">
        <f t="shared" si="9"/>
        <v>46</v>
      </c>
      <c r="AK48" s="1">
        <v>0</v>
      </c>
      <c r="AL48" s="3">
        <f t="shared" ref="AL48:AL50" si="12">AE48</f>
        <v>0</v>
      </c>
      <c r="AM48" s="3">
        <f t="shared" ref="AM48" si="13">AF48</f>
        <v>0</v>
      </c>
      <c r="AN48" s="3">
        <f>AD48</f>
        <v>46</v>
      </c>
      <c r="AO48" s="3">
        <v>0</v>
      </c>
      <c r="AP48" s="3">
        <f t="shared" si="11"/>
        <v>0</v>
      </c>
      <c r="AQ48" s="1" t="s">
        <v>221</v>
      </c>
    </row>
    <row r="49" spans="1:43" x14ac:dyDescent="0.35">
      <c r="A49" s="1">
        <v>742</v>
      </c>
      <c r="B49" s="2">
        <v>45888</v>
      </c>
      <c r="C49" s="1" t="s">
        <v>64</v>
      </c>
      <c r="D49" s="1">
        <v>9519028293</v>
      </c>
      <c r="E49" s="1">
        <v>4</v>
      </c>
      <c r="F49" s="1" t="s">
        <v>589</v>
      </c>
      <c r="G49" s="1" t="s">
        <v>1155</v>
      </c>
      <c r="H49" s="1" t="s">
        <v>21</v>
      </c>
      <c r="I49" s="1" t="s">
        <v>71</v>
      </c>
      <c r="K49" s="1" t="s">
        <v>970</v>
      </c>
      <c r="L49" s="1" t="str">
        <f t="shared" si="10"/>
        <v>BPRS</v>
      </c>
      <c r="M49" s="1" t="s">
        <v>1229</v>
      </c>
      <c r="N49" s="1" t="s">
        <v>137</v>
      </c>
      <c r="O49" s="1" t="s">
        <v>58</v>
      </c>
      <c r="P49" s="1">
        <v>938550</v>
      </c>
      <c r="Q49" s="1" t="s">
        <v>221</v>
      </c>
      <c r="R49" s="1">
        <v>3239557</v>
      </c>
      <c r="S49" s="1" t="s">
        <v>158</v>
      </c>
      <c r="T49" s="1" t="s">
        <v>75</v>
      </c>
      <c r="U49" s="1" t="s">
        <v>122</v>
      </c>
      <c r="V49" s="1" t="s">
        <v>123</v>
      </c>
      <c r="W49" s="1">
        <v>0.4</v>
      </c>
      <c r="X49" s="1">
        <v>1250</v>
      </c>
      <c r="Y49" s="1">
        <v>2500</v>
      </c>
      <c r="Z49" s="3">
        <v>58</v>
      </c>
      <c r="AA49" s="3">
        <v>0</v>
      </c>
      <c r="AB49" s="3">
        <v>58</v>
      </c>
      <c r="AC49" s="3">
        <v>0</v>
      </c>
      <c r="AD49" s="3">
        <f t="shared" si="8"/>
        <v>58</v>
      </c>
      <c r="AE49" s="3">
        <v>0</v>
      </c>
      <c r="AF49" s="3">
        <v>58</v>
      </c>
      <c r="AG49" s="3">
        <v>0</v>
      </c>
      <c r="AH49" s="3">
        <v>0</v>
      </c>
      <c r="AI49" s="3">
        <v>0</v>
      </c>
      <c r="AJ49" s="3">
        <f t="shared" si="9"/>
        <v>58</v>
      </c>
      <c r="AK49" s="1">
        <v>0</v>
      </c>
      <c r="AL49" s="3">
        <f>AF49</f>
        <v>58</v>
      </c>
      <c r="AM49" s="3">
        <v>0</v>
      </c>
      <c r="AN49" s="3">
        <f t="shared" ref="AN49" si="14">AG49</f>
        <v>0</v>
      </c>
      <c r="AO49" s="3">
        <f t="shared" ref="AO49:AO50" si="15">AH49</f>
        <v>0</v>
      </c>
      <c r="AP49" s="3">
        <f t="shared" si="11"/>
        <v>0</v>
      </c>
      <c r="AQ49" s="1" t="s">
        <v>221</v>
      </c>
    </row>
    <row r="50" spans="1:43" x14ac:dyDescent="0.35">
      <c r="A50" s="1">
        <v>742</v>
      </c>
      <c r="B50" s="2">
        <v>45887</v>
      </c>
      <c r="C50" s="1" t="s">
        <v>64</v>
      </c>
      <c r="D50" s="1">
        <v>9519025273</v>
      </c>
      <c r="E50" s="1">
        <v>4</v>
      </c>
      <c r="F50" s="1" t="s">
        <v>590</v>
      </c>
      <c r="G50" s="1" t="s">
        <v>1155</v>
      </c>
      <c r="H50" s="1" t="s">
        <v>21</v>
      </c>
      <c r="I50" s="1" t="s">
        <v>71</v>
      </c>
      <c r="K50" s="1" t="s">
        <v>970</v>
      </c>
      <c r="L50" s="1" t="str">
        <f t="shared" si="10"/>
        <v>BPRS</v>
      </c>
      <c r="M50" s="1" t="s">
        <v>1230</v>
      </c>
      <c r="N50" s="1" t="s">
        <v>308</v>
      </c>
      <c r="O50" s="1" t="s">
        <v>151</v>
      </c>
      <c r="P50" s="1">
        <v>925093</v>
      </c>
      <c r="Q50" s="1" t="s">
        <v>307</v>
      </c>
      <c r="R50" s="1">
        <v>3239560</v>
      </c>
      <c r="S50" s="1" t="s">
        <v>371</v>
      </c>
      <c r="T50" s="1" t="s">
        <v>75</v>
      </c>
      <c r="U50" s="1" t="s">
        <v>122</v>
      </c>
      <c r="V50" s="1" t="s">
        <v>123</v>
      </c>
      <c r="W50" s="1">
        <v>0.45</v>
      </c>
      <c r="X50" s="1">
        <v>900</v>
      </c>
      <c r="Y50" s="1">
        <v>2500</v>
      </c>
      <c r="Z50" s="3">
        <v>84</v>
      </c>
      <c r="AA50" s="3">
        <v>0</v>
      </c>
      <c r="AB50" s="3">
        <v>84</v>
      </c>
      <c r="AC50" s="3">
        <v>0</v>
      </c>
      <c r="AD50" s="3">
        <f t="shared" si="8"/>
        <v>84</v>
      </c>
      <c r="AE50" s="3">
        <v>0</v>
      </c>
      <c r="AF50" s="3">
        <v>0</v>
      </c>
      <c r="AG50" s="3">
        <v>84</v>
      </c>
      <c r="AH50" s="3">
        <v>0</v>
      </c>
      <c r="AI50" s="3">
        <v>0</v>
      </c>
      <c r="AJ50" s="3">
        <f t="shared" si="9"/>
        <v>84</v>
      </c>
      <c r="AK50" s="1">
        <v>0</v>
      </c>
      <c r="AL50" s="3">
        <f t="shared" si="12"/>
        <v>0</v>
      </c>
      <c r="AM50" s="3">
        <f>AG50</f>
        <v>84</v>
      </c>
      <c r="AN50" s="3">
        <v>0</v>
      </c>
      <c r="AO50" s="3">
        <f t="shared" si="15"/>
        <v>0</v>
      </c>
      <c r="AP50" s="3">
        <f t="shared" si="11"/>
        <v>0</v>
      </c>
      <c r="AQ50" s="1" t="s">
        <v>307</v>
      </c>
    </row>
    <row r="51" spans="1:43" x14ac:dyDescent="0.35">
      <c r="A51" s="1">
        <v>742</v>
      </c>
      <c r="B51" s="2">
        <v>45876</v>
      </c>
      <c r="C51" s="1" t="s">
        <v>64</v>
      </c>
      <c r="D51" s="1">
        <v>9518999629</v>
      </c>
      <c r="E51" s="1">
        <v>1</v>
      </c>
      <c r="F51" s="1" t="s">
        <v>591</v>
      </c>
      <c r="G51" s="1" t="s">
        <v>393</v>
      </c>
      <c r="H51" s="1" t="s">
        <v>21</v>
      </c>
      <c r="I51" s="1" t="s">
        <v>969</v>
      </c>
      <c r="K51" s="1" t="s">
        <v>969</v>
      </c>
      <c r="L51" s="1" t="str">
        <f t="shared" si="10"/>
        <v>IPP</v>
      </c>
      <c r="M51" s="1" t="s">
        <v>1229</v>
      </c>
      <c r="N51" s="1" t="s">
        <v>85</v>
      </c>
      <c r="O51" s="1" t="s">
        <v>74</v>
      </c>
      <c r="P51" s="1">
        <v>947865</v>
      </c>
      <c r="Q51" s="1" t="s">
        <v>124</v>
      </c>
      <c r="R51" s="1">
        <v>4006905</v>
      </c>
      <c r="S51" s="1" t="s">
        <v>247</v>
      </c>
      <c r="T51" s="1" t="s">
        <v>28</v>
      </c>
      <c r="U51" s="1" t="s">
        <v>29</v>
      </c>
      <c r="V51" s="1" t="s">
        <v>126</v>
      </c>
      <c r="W51" s="1">
        <v>0.45</v>
      </c>
      <c r="X51" s="1">
        <v>848</v>
      </c>
      <c r="Y51" s="1">
        <v>0</v>
      </c>
      <c r="Z51" s="3">
        <v>99.99</v>
      </c>
      <c r="AA51" s="3">
        <v>0</v>
      </c>
      <c r="AB51" s="3">
        <v>99.99</v>
      </c>
      <c r="AC51" s="3">
        <v>0</v>
      </c>
      <c r="AD51" s="3">
        <f t="shared" si="8"/>
        <v>99.99</v>
      </c>
      <c r="AE51" s="3">
        <v>0</v>
      </c>
      <c r="AF51" s="3">
        <v>0</v>
      </c>
      <c r="AG51" s="3">
        <v>0</v>
      </c>
      <c r="AH51" s="3">
        <v>99.99</v>
      </c>
      <c r="AI51" s="3">
        <v>0</v>
      </c>
      <c r="AJ51" s="3">
        <f t="shared" si="9"/>
        <v>99.99</v>
      </c>
      <c r="AK51" s="1">
        <v>0</v>
      </c>
      <c r="AL51" s="1">
        <v>0</v>
      </c>
      <c r="AM51" s="1">
        <v>0</v>
      </c>
      <c r="AN51" s="3">
        <f>AH51</f>
        <v>99.99</v>
      </c>
      <c r="AO51" s="3">
        <v>0</v>
      </c>
      <c r="AP51" s="3">
        <f t="shared" si="11"/>
        <v>0</v>
      </c>
      <c r="AQ51" s="1" t="s">
        <v>124</v>
      </c>
    </row>
    <row r="52" spans="1:43" x14ac:dyDescent="0.35">
      <c r="A52" s="1">
        <v>742</v>
      </c>
      <c r="B52" s="2">
        <v>45876</v>
      </c>
      <c r="C52" s="1" t="s">
        <v>64</v>
      </c>
      <c r="D52" s="1">
        <v>9518999629</v>
      </c>
      <c r="E52" s="1">
        <v>2</v>
      </c>
      <c r="F52" s="1" t="s">
        <v>592</v>
      </c>
      <c r="G52" s="1" t="s">
        <v>393</v>
      </c>
      <c r="H52" s="1" t="s">
        <v>21</v>
      </c>
      <c r="I52" s="1" t="s">
        <v>969</v>
      </c>
      <c r="K52" s="1" t="s">
        <v>969</v>
      </c>
      <c r="L52" s="1" t="str">
        <f t="shared" si="10"/>
        <v>IPP</v>
      </c>
      <c r="M52" s="1" t="s">
        <v>1229</v>
      </c>
      <c r="N52" s="1" t="s">
        <v>85</v>
      </c>
      <c r="O52" s="1" t="s">
        <v>74</v>
      </c>
      <c r="P52" s="1">
        <v>947865</v>
      </c>
      <c r="Q52" s="1" t="s">
        <v>124</v>
      </c>
      <c r="R52" s="1">
        <v>4005822</v>
      </c>
      <c r="S52" s="1" t="s">
        <v>125</v>
      </c>
      <c r="T52" s="1" t="s">
        <v>28</v>
      </c>
      <c r="U52" s="1" t="s">
        <v>29</v>
      </c>
      <c r="V52" s="1" t="s">
        <v>126</v>
      </c>
      <c r="W52" s="1">
        <v>0.5</v>
      </c>
      <c r="X52" s="1">
        <v>1020</v>
      </c>
      <c r="Y52" s="1">
        <v>0</v>
      </c>
      <c r="Z52" s="3">
        <v>22.99</v>
      </c>
      <c r="AA52" s="3">
        <v>0</v>
      </c>
      <c r="AB52" s="3">
        <v>22.99</v>
      </c>
      <c r="AC52" s="3">
        <v>0</v>
      </c>
      <c r="AD52" s="3">
        <f t="shared" si="8"/>
        <v>22.99</v>
      </c>
      <c r="AE52" s="3">
        <v>22.99</v>
      </c>
      <c r="AF52" s="3">
        <v>0</v>
      </c>
      <c r="AG52" s="3">
        <v>0</v>
      </c>
      <c r="AH52" s="3">
        <v>0</v>
      </c>
      <c r="AI52" s="3">
        <v>0</v>
      </c>
      <c r="AJ52" s="3">
        <f t="shared" si="9"/>
        <v>22.99</v>
      </c>
      <c r="AK52" s="1">
        <v>0</v>
      </c>
      <c r="AL52" s="3">
        <f>AE52</f>
        <v>22.99</v>
      </c>
      <c r="AM52" s="1">
        <v>0</v>
      </c>
      <c r="AN52" s="1">
        <v>0</v>
      </c>
      <c r="AO52" s="1">
        <v>0</v>
      </c>
      <c r="AP52" s="3">
        <f t="shared" si="11"/>
        <v>0</v>
      </c>
      <c r="AQ52" s="1" t="s">
        <v>124</v>
      </c>
    </row>
    <row r="53" spans="1:43" x14ac:dyDescent="0.35">
      <c r="A53" s="1">
        <v>742</v>
      </c>
      <c r="B53" s="2">
        <v>45876</v>
      </c>
      <c r="C53" s="1" t="s">
        <v>64</v>
      </c>
      <c r="D53" s="1">
        <v>9518999629</v>
      </c>
      <c r="E53" s="1">
        <v>3</v>
      </c>
      <c r="F53" s="1" t="s">
        <v>593</v>
      </c>
      <c r="G53" s="1" t="s">
        <v>393</v>
      </c>
      <c r="H53" s="1" t="s">
        <v>21</v>
      </c>
      <c r="I53" s="1" t="s">
        <v>969</v>
      </c>
      <c r="K53" s="1" t="s">
        <v>969</v>
      </c>
      <c r="L53" s="1" t="str">
        <f t="shared" si="10"/>
        <v>IPP</v>
      </c>
      <c r="M53" s="1" t="s">
        <v>1229</v>
      </c>
      <c r="N53" s="1" t="s">
        <v>85</v>
      </c>
      <c r="O53" s="1" t="s">
        <v>74</v>
      </c>
      <c r="P53" s="1">
        <v>947865</v>
      </c>
      <c r="Q53" s="1" t="s">
        <v>124</v>
      </c>
      <c r="R53" s="1">
        <v>3878062</v>
      </c>
      <c r="S53" s="1" t="s">
        <v>245</v>
      </c>
      <c r="T53" s="1" t="s">
        <v>28</v>
      </c>
      <c r="U53" s="1" t="s">
        <v>29</v>
      </c>
      <c r="V53" s="1" t="s">
        <v>126</v>
      </c>
      <c r="W53" s="1">
        <v>0.5</v>
      </c>
      <c r="X53" s="1">
        <v>1000</v>
      </c>
      <c r="Y53" s="1">
        <v>0</v>
      </c>
      <c r="Z53" s="3">
        <v>45.99</v>
      </c>
      <c r="AA53" s="3">
        <v>0</v>
      </c>
      <c r="AB53" s="3">
        <v>45.99</v>
      </c>
      <c r="AC53" s="3">
        <v>0</v>
      </c>
      <c r="AD53" s="3">
        <f t="shared" si="8"/>
        <v>45.99</v>
      </c>
      <c r="AE53" s="3">
        <v>0</v>
      </c>
      <c r="AF53" s="3">
        <v>0</v>
      </c>
      <c r="AG53" s="3">
        <v>0</v>
      </c>
      <c r="AH53" s="3">
        <v>45.99</v>
      </c>
      <c r="AI53" s="3">
        <v>0</v>
      </c>
      <c r="AJ53" s="3">
        <f t="shared" si="9"/>
        <v>45.99</v>
      </c>
      <c r="AK53" s="1">
        <v>0</v>
      </c>
      <c r="AL53" s="1">
        <v>0</v>
      </c>
      <c r="AM53" s="1">
        <v>0</v>
      </c>
      <c r="AN53" s="3">
        <f>AH53</f>
        <v>45.99</v>
      </c>
      <c r="AO53" s="3">
        <v>0</v>
      </c>
      <c r="AP53" s="3">
        <f t="shared" si="11"/>
        <v>0</v>
      </c>
      <c r="AQ53" s="1" t="s">
        <v>124</v>
      </c>
    </row>
    <row r="54" spans="1:43" x14ac:dyDescent="0.35">
      <c r="A54" s="1">
        <v>742</v>
      </c>
      <c r="B54" s="2">
        <v>45876</v>
      </c>
      <c r="C54" s="1" t="s">
        <v>64</v>
      </c>
      <c r="D54" s="1">
        <v>9518999629</v>
      </c>
      <c r="E54" s="1">
        <v>5</v>
      </c>
      <c r="F54" s="1" t="s">
        <v>594</v>
      </c>
      <c r="G54" s="1" t="s">
        <v>393</v>
      </c>
      <c r="H54" s="1" t="s">
        <v>21</v>
      </c>
      <c r="I54" s="1" t="s">
        <v>969</v>
      </c>
      <c r="K54" s="1" t="s">
        <v>969</v>
      </c>
      <c r="L54" s="1" t="str">
        <f t="shared" si="10"/>
        <v>IPP</v>
      </c>
      <c r="M54" s="1" t="s">
        <v>1229</v>
      </c>
      <c r="N54" s="1" t="s">
        <v>85</v>
      </c>
      <c r="O54" s="1" t="s">
        <v>74</v>
      </c>
      <c r="P54" s="1">
        <v>947865</v>
      </c>
      <c r="Q54" s="1" t="s">
        <v>124</v>
      </c>
      <c r="R54" s="1">
        <v>4005007</v>
      </c>
      <c r="S54" s="1" t="s">
        <v>244</v>
      </c>
      <c r="T54" s="1" t="s">
        <v>28</v>
      </c>
      <c r="U54" s="1" t="s">
        <v>29</v>
      </c>
      <c r="V54" s="1" t="s">
        <v>126</v>
      </c>
      <c r="W54" s="1">
        <v>0.45</v>
      </c>
      <c r="X54" s="1">
        <v>1020</v>
      </c>
      <c r="Y54" s="1">
        <v>0</v>
      </c>
      <c r="Z54" s="3">
        <v>45.99</v>
      </c>
      <c r="AA54" s="3">
        <v>0</v>
      </c>
      <c r="AB54" s="3">
        <v>45.99</v>
      </c>
      <c r="AC54" s="3">
        <v>0</v>
      </c>
      <c r="AD54" s="3">
        <f t="shared" si="8"/>
        <v>45.99</v>
      </c>
      <c r="AE54" s="3">
        <v>0</v>
      </c>
      <c r="AF54" s="3">
        <v>45.99</v>
      </c>
      <c r="AG54" s="3">
        <v>0</v>
      </c>
      <c r="AH54" s="3">
        <v>0</v>
      </c>
      <c r="AI54" s="3">
        <v>0</v>
      </c>
      <c r="AJ54" s="3">
        <f t="shared" si="9"/>
        <v>91.98</v>
      </c>
      <c r="AK54" s="1">
        <v>0</v>
      </c>
      <c r="AL54" s="3">
        <f>AF54</f>
        <v>45.99</v>
      </c>
      <c r="AM54" s="3">
        <f>AF54</f>
        <v>45.99</v>
      </c>
      <c r="AN54" s="1">
        <v>0</v>
      </c>
      <c r="AO54" s="1">
        <v>0</v>
      </c>
      <c r="AP54" s="3">
        <v>0</v>
      </c>
      <c r="AQ54" s="1" t="s">
        <v>124</v>
      </c>
    </row>
    <row r="55" spans="1:43" x14ac:dyDescent="0.35">
      <c r="A55" s="1">
        <v>742</v>
      </c>
      <c r="B55" s="2">
        <v>45876</v>
      </c>
      <c r="C55" s="1" t="s">
        <v>64</v>
      </c>
      <c r="D55" s="1">
        <v>9518999629</v>
      </c>
      <c r="E55" s="1">
        <v>6</v>
      </c>
      <c r="F55" s="1" t="s">
        <v>595</v>
      </c>
      <c r="G55" s="1" t="s">
        <v>393</v>
      </c>
      <c r="H55" s="1" t="s">
        <v>21</v>
      </c>
      <c r="I55" s="1" t="s">
        <v>969</v>
      </c>
      <c r="K55" s="1" t="s">
        <v>969</v>
      </c>
      <c r="L55" s="1" t="str">
        <f t="shared" si="10"/>
        <v>IPP</v>
      </c>
      <c r="M55" s="1" t="s">
        <v>1229</v>
      </c>
      <c r="N55" s="1" t="s">
        <v>85</v>
      </c>
      <c r="O55" s="1" t="s">
        <v>74</v>
      </c>
      <c r="P55" s="1">
        <v>947865</v>
      </c>
      <c r="Q55" s="1" t="s">
        <v>124</v>
      </c>
      <c r="R55" s="1">
        <v>4042197</v>
      </c>
      <c r="S55" s="1" t="s">
        <v>209</v>
      </c>
      <c r="T55" s="1" t="s">
        <v>28</v>
      </c>
      <c r="U55" s="1" t="s">
        <v>29</v>
      </c>
      <c r="V55" s="1" t="s">
        <v>126</v>
      </c>
      <c r="W55" s="1">
        <v>0.4</v>
      </c>
      <c r="X55" s="1">
        <v>1020</v>
      </c>
      <c r="Y55" s="1">
        <v>0</v>
      </c>
      <c r="Z55" s="3">
        <v>22.99</v>
      </c>
      <c r="AA55" s="3">
        <v>0</v>
      </c>
      <c r="AB55" s="3">
        <v>22.99</v>
      </c>
      <c r="AC55" s="3">
        <v>0</v>
      </c>
      <c r="AD55" s="3">
        <f t="shared" si="8"/>
        <v>22.99</v>
      </c>
      <c r="AE55" s="3">
        <v>22.99</v>
      </c>
      <c r="AF55" s="3">
        <v>0</v>
      </c>
      <c r="AG55" s="3">
        <v>0</v>
      </c>
      <c r="AH55" s="3">
        <v>0</v>
      </c>
      <c r="AI55" s="3">
        <v>0</v>
      </c>
      <c r="AJ55" s="3">
        <f t="shared" si="9"/>
        <v>22.99</v>
      </c>
      <c r="AK55" s="1">
        <v>0</v>
      </c>
      <c r="AL55" s="3">
        <f>AE55</f>
        <v>22.99</v>
      </c>
      <c r="AM55" s="1">
        <v>0</v>
      </c>
      <c r="AN55" s="1">
        <v>0</v>
      </c>
      <c r="AO55" s="1">
        <v>0</v>
      </c>
      <c r="AP55" s="3">
        <f t="shared" ref="AP55:AP86" si="16">(AC55+AD55)-AJ55</f>
        <v>0</v>
      </c>
      <c r="AQ55" s="1" t="s">
        <v>124</v>
      </c>
    </row>
    <row r="56" spans="1:43" x14ac:dyDescent="0.35">
      <c r="A56" s="1">
        <v>742</v>
      </c>
      <c r="B56" s="2">
        <v>45876</v>
      </c>
      <c r="C56" s="1" t="s">
        <v>64</v>
      </c>
      <c r="D56" s="1">
        <v>9518999629</v>
      </c>
      <c r="E56" s="1">
        <v>7</v>
      </c>
      <c r="F56" s="1" t="s">
        <v>596</v>
      </c>
      <c r="G56" s="1" t="s">
        <v>1367</v>
      </c>
      <c r="H56" s="1" t="s">
        <v>21</v>
      </c>
      <c r="I56" s="1" t="s">
        <v>969</v>
      </c>
      <c r="K56" s="1" t="s">
        <v>969</v>
      </c>
      <c r="L56" s="1" t="str">
        <f t="shared" si="10"/>
        <v>IPP</v>
      </c>
      <c r="M56" s="1" t="s">
        <v>1229</v>
      </c>
      <c r="N56" s="1" t="s">
        <v>85</v>
      </c>
      <c r="O56" s="1" t="s">
        <v>74</v>
      </c>
      <c r="P56" s="1">
        <v>947865</v>
      </c>
      <c r="Q56" s="1" t="s">
        <v>124</v>
      </c>
      <c r="R56" s="1">
        <v>3884110</v>
      </c>
      <c r="S56" s="1" t="s">
        <v>372</v>
      </c>
      <c r="T56" s="1" t="s">
        <v>28</v>
      </c>
      <c r="U56" s="1" t="s">
        <v>29</v>
      </c>
      <c r="V56" s="1" t="s">
        <v>126</v>
      </c>
      <c r="W56" s="1">
        <v>0.45</v>
      </c>
      <c r="X56" s="1">
        <v>900</v>
      </c>
      <c r="Y56" s="1">
        <v>0</v>
      </c>
      <c r="Z56" s="3">
        <v>20.99</v>
      </c>
      <c r="AA56" s="3">
        <v>18.504999999999999</v>
      </c>
      <c r="AB56" s="3">
        <v>2.4849999999999999</v>
      </c>
      <c r="AC56" s="3">
        <v>18.505000000000003</v>
      </c>
      <c r="AD56" s="3">
        <f t="shared" si="8"/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f t="shared" si="9"/>
        <v>18.505000000000003</v>
      </c>
      <c r="AK56" s="3">
        <f>AC56</f>
        <v>18.505000000000003</v>
      </c>
      <c r="AL56" s="1">
        <v>0</v>
      </c>
      <c r="AM56" s="1">
        <v>0</v>
      </c>
      <c r="AN56" s="1">
        <v>0</v>
      </c>
      <c r="AO56" s="1">
        <v>0</v>
      </c>
      <c r="AP56" s="3">
        <f t="shared" si="16"/>
        <v>0</v>
      </c>
      <c r="AQ56" s="1" t="s">
        <v>124</v>
      </c>
    </row>
    <row r="57" spans="1:43" x14ac:dyDescent="0.35">
      <c r="A57" s="1">
        <v>742</v>
      </c>
      <c r="B57" s="2">
        <v>45876</v>
      </c>
      <c r="C57" s="1" t="s">
        <v>64</v>
      </c>
      <c r="D57" s="1">
        <v>9518999629</v>
      </c>
      <c r="E57" s="1">
        <v>8</v>
      </c>
      <c r="F57" s="1" t="s">
        <v>597</v>
      </c>
      <c r="G57" s="1" t="s">
        <v>393</v>
      </c>
      <c r="H57" s="1" t="s">
        <v>21</v>
      </c>
      <c r="I57" s="1" t="s">
        <v>969</v>
      </c>
      <c r="K57" s="1" t="s">
        <v>969</v>
      </c>
      <c r="L57" s="1" t="str">
        <f t="shared" si="10"/>
        <v>IPP</v>
      </c>
      <c r="M57" s="1" t="s">
        <v>1229</v>
      </c>
      <c r="N57" s="1" t="s">
        <v>85</v>
      </c>
      <c r="O57" s="1" t="s">
        <v>74</v>
      </c>
      <c r="P57" s="1">
        <v>947865</v>
      </c>
      <c r="Q57" s="1" t="s">
        <v>124</v>
      </c>
      <c r="R57" s="1">
        <v>4099869</v>
      </c>
      <c r="S57" s="1" t="s">
        <v>373</v>
      </c>
      <c r="T57" s="1" t="s">
        <v>28</v>
      </c>
      <c r="U57" s="1" t="s">
        <v>29</v>
      </c>
      <c r="V57" s="1" t="s">
        <v>126</v>
      </c>
      <c r="W57" s="1">
        <v>0.4</v>
      </c>
      <c r="X57" s="1">
        <v>1000</v>
      </c>
      <c r="Y57" s="1">
        <v>0</v>
      </c>
      <c r="Z57" s="3">
        <v>22.99</v>
      </c>
      <c r="AA57" s="3">
        <v>0</v>
      </c>
      <c r="AB57" s="3">
        <v>22.99</v>
      </c>
      <c r="AC57" s="3">
        <v>0</v>
      </c>
      <c r="AD57" s="3">
        <f t="shared" si="8"/>
        <v>22.99</v>
      </c>
      <c r="AE57" s="3">
        <v>22.99</v>
      </c>
      <c r="AF57" s="3">
        <v>0</v>
      </c>
      <c r="AG57" s="3">
        <v>0</v>
      </c>
      <c r="AH57" s="3">
        <v>0</v>
      </c>
      <c r="AI57" s="3">
        <v>0</v>
      </c>
      <c r="AJ57" s="3">
        <f t="shared" si="9"/>
        <v>22.99</v>
      </c>
      <c r="AK57" s="1">
        <v>0</v>
      </c>
      <c r="AL57" s="3">
        <f>AE57</f>
        <v>22.99</v>
      </c>
      <c r="AM57" s="1">
        <v>0</v>
      </c>
      <c r="AN57" s="1">
        <v>0</v>
      </c>
      <c r="AO57" s="1">
        <v>0</v>
      </c>
      <c r="AP57" s="3">
        <f t="shared" si="16"/>
        <v>0</v>
      </c>
      <c r="AQ57" s="1" t="s">
        <v>124</v>
      </c>
    </row>
    <row r="58" spans="1:43" x14ac:dyDescent="0.35">
      <c r="A58" s="1">
        <v>742</v>
      </c>
      <c r="B58" s="2">
        <v>45882</v>
      </c>
      <c r="C58" s="1" t="s">
        <v>64</v>
      </c>
      <c r="D58" s="1">
        <v>9519013975</v>
      </c>
      <c r="E58" s="1">
        <v>1</v>
      </c>
      <c r="F58" s="1" t="s">
        <v>598</v>
      </c>
      <c r="G58" s="1" t="s">
        <v>393</v>
      </c>
      <c r="H58" s="1" t="s">
        <v>21</v>
      </c>
      <c r="I58" s="1" t="s">
        <v>969</v>
      </c>
      <c r="K58" s="1" t="s">
        <v>969</v>
      </c>
      <c r="L58" s="1" t="str">
        <f t="shared" si="10"/>
        <v>IPP</v>
      </c>
      <c r="M58" s="1" t="s">
        <v>1229</v>
      </c>
      <c r="N58" s="1" t="s">
        <v>85</v>
      </c>
      <c r="O58" s="1" t="s">
        <v>74</v>
      </c>
      <c r="P58" s="1">
        <v>947865</v>
      </c>
      <c r="Q58" s="1" t="s">
        <v>124</v>
      </c>
      <c r="R58" s="1">
        <v>4101931</v>
      </c>
      <c r="S58" s="1" t="s">
        <v>374</v>
      </c>
      <c r="T58" s="1" t="s">
        <v>28</v>
      </c>
      <c r="U58" s="1" t="s">
        <v>29</v>
      </c>
      <c r="V58" s="1" t="s">
        <v>126</v>
      </c>
      <c r="W58" s="1">
        <v>0.4</v>
      </c>
      <c r="X58" s="1">
        <v>848</v>
      </c>
      <c r="Y58" s="1">
        <v>0</v>
      </c>
      <c r="Z58" s="3">
        <v>40</v>
      </c>
      <c r="AA58" s="3">
        <v>35.435000000000002</v>
      </c>
      <c r="AB58" s="3">
        <v>4.5650000000000004</v>
      </c>
      <c r="AC58" s="3">
        <v>35.434999999999995</v>
      </c>
      <c r="AD58" s="3">
        <f t="shared" si="8"/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f t="shared" si="9"/>
        <v>35.434999999999995</v>
      </c>
      <c r="AK58" s="3">
        <f>AC58</f>
        <v>35.434999999999995</v>
      </c>
      <c r="AL58" s="1">
        <v>0</v>
      </c>
      <c r="AM58" s="1">
        <v>0</v>
      </c>
      <c r="AN58" s="1">
        <v>0</v>
      </c>
      <c r="AO58" s="1">
        <v>0</v>
      </c>
      <c r="AP58" s="3">
        <f t="shared" si="16"/>
        <v>0</v>
      </c>
      <c r="AQ58" s="1" t="s">
        <v>124</v>
      </c>
    </row>
    <row r="59" spans="1:43" x14ac:dyDescent="0.35">
      <c r="A59" s="1">
        <v>742</v>
      </c>
      <c r="B59" s="2">
        <v>45867</v>
      </c>
      <c r="C59" s="1" t="s">
        <v>64</v>
      </c>
      <c r="D59" s="1">
        <v>9518972719</v>
      </c>
      <c r="E59" s="1">
        <v>13</v>
      </c>
      <c r="F59" s="1" t="s">
        <v>599</v>
      </c>
      <c r="G59" s="1" t="s">
        <v>1367</v>
      </c>
      <c r="H59" s="1" t="s">
        <v>21</v>
      </c>
      <c r="I59" s="1" t="s">
        <v>22</v>
      </c>
      <c r="K59" s="1" t="s">
        <v>970</v>
      </c>
      <c r="L59" s="1" t="str">
        <f t="shared" si="10"/>
        <v>BPRS</v>
      </c>
      <c r="M59" s="1" t="s">
        <v>1229</v>
      </c>
      <c r="N59" s="1" t="s">
        <v>365</v>
      </c>
      <c r="O59" s="1" t="s">
        <v>58</v>
      </c>
      <c r="P59" s="1">
        <v>116465</v>
      </c>
      <c r="Q59" s="1" t="s">
        <v>364</v>
      </c>
      <c r="R59" s="1">
        <v>325986</v>
      </c>
      <c r="S59" s="1" t="s">
        <v>375</v>
      </c>
      <c r="T59" s="1" t="s">
        <v>75</v>
      </c>
      <c r="U59" s="1" t="s">
        <v>29</v>
      </c>
      <c r="V59" s="1" t="s">
        <v>30</v>
      </c>
      <c r="W59" s="1">
        <v>2.5</v>
      </c>
      <c r="X59" s="1">
        <v>1250</v>
      </c>
      <c r="Y59" s="1">
        <v>2500</v>
      </c>
      <c r="Z59" s="3">
        <v>28.998999999999999</v>
      </c>
      <c r="AA59" s="3">
        <v>21.295000000000002</v>
      </c>
      <c r="AB59" s="3">
        <v>7.7039999999999997</v>
      </c>
      <c r="AC59" s="3">
        <v>8.5649999999999995</v>
      </c>
      <c r="AD59" s="3">
        <f t="shared" si="8"/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f t="shared" si="9"/>
        <v>8.5649999999999995</v>
      </c>
      <c r="AK59" s="3">
        <f>AC59</f>
        <v>8.5649999999999995</v>
      </c>
      <c r="AL59" s="1">
        <v>0</v>
      </c>
      <c r="AM59" s="1">
        <v>0</v>
      </c>
      <c r="AN59" s="1">
        <v>0</v>
      </c>
      <c r="AO59" s="1">
        <v>0</v>
      </c>
      <c r="AP59" s="3">
        <f t="shared" si="16"/>
        <v>0</v>
      </c>
      <c r="AQ59" s="1" t="s">
        <v>364</v>
      </c>
    </row>
    <row r="60" spans="1:43" x14ac:dyDescent="0.35">
      <c r="A60" s="1">
        <v>744</v>
      </c>
      <c r="B60" s="2">
        <v>45890</v>
      </c>
      <c r="C60" s="1" t="s">
        <v>64</v>
      </c>
      <c r="D60" s="1">
        <v>9519034052</v>
      </c>
      <c r="E60" s="1">
        <v>1</v>
      </c>
      <c r="F60" s="1" t="s">
        <v>600</v>
      </c>
      <c r="G60" s="1" t="s">
        <v>1367</v>
      </c>
      <c r="H60" s="1" t="s">
        <v>86</v>
      </c>
      <c r="I60" s="1" t="s">
        <v>968</v>
      </c>
      <c r="K60" s="1" t="s">
        <v>969</v>
      </c>
      <c r="L60" s="1" t="str">
        <f t="shared" si="10"/>
        <v>IPP</v>
      </c>
      <c r="M60" s="1" t="s">
        <v>1232</v>
      </c>
      <c r="N60" s="1" t="s">
        <v>230</v>
      </c>
      <c r="O60" s="1" t="s">
        <v>54</v>
      </c>
      <c r="P60" s="1">
        <v>940008</v>
      </c>
      <c r="Q60" s="1" t="s">
        <v>107</v>
      </c>
      <c r="R60" s="1">
        <v>3522241</v>
      </c>
      <c r="S60" s="1" t="s">
        <v>216</v>
      </c>
      <c r="T60" s="1" t="s">
        <v>88</v>
      </c>
      <c r="U60" s="1" t="s">
        <v>89</v>
      </c>
      <c r="V60" s="1" t="s">
        <v>217</v>
      </c>
      <c r="W60" s="1">
        <v>0.43</v>
      </c>
      <c r="X60" s="1">
        <v>1220</v>
      </c>
      <c r="Y60" s="1">
        <v>0</v>
      </c>
      <c r="Z60" s="3">
        <v>84</v>
      </c>
      <c r="AA60" s="3">
        <v>83.49</v>
      </c>
      <c r="AB60" s="3">
        <v>0.51</v>
      </c>
      <c r="AC60" s="3">
        <v>4.2549999999999999</v>
      </c>
      <c r="AD60" s="3">
        <f t="shared" si="8"/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f t="shared" si="9"/>
        <v>4.2549999999999999</v>
      </c>
      <c r="AK60" s="3">
        <f>AC60</f>
        <v>4.2549999999999999</v>
      </c>
      <c r="AL60" s="1">
        <v>0</v>
      </c>
      <c r="AM60" s="1">
        <v>0</v>
      </c>
      <c r="AN60" s="1">
        <v>0</v>
      </c>
      <c r="AO60" s="1">
        <v>0</v>
      </c>
      <c r="AP60" s="3">
        <f t="shared" si="16"/>
        <v>0</v>
      </c>
      <c r="AQ60" s="1" t="s">
        <v>107</v>
      </c>
    </row>
    <row r="61" spans="1:43" x14ac:dyDescent="0.35">
      <c r="A61" s="1">
        <v>742</v>
      </c>
      <c r="B61" s="2">
        <v>45890</v>
      </c>
      <c r="C61" s="1" t="s">
        <v>46</v>
      </c>
      <c r="D61" s="1">
        <v>9519034241</v>
      </c>
      <c r="E61" s="1">
        <v>1</v>
      </c>
      <c r="F61" s="1" t="s">
        <v>601</v>
      </c>
      <c r="G61" s="1" t="s">
        <v>1155</v>
      </c>
      <c r="H61" s="1" t="s">
        <v>21</v>
      </c>
      <c r="I61" s="1" t="s">
        <v>22</v>
      </c>
      <c r="K61" s="1" t="s">
        <v>970</v>
      </c>
      <c r="L61" s="1" t="s">
        <v>1421</v>
      </c>
      <c r="M61" s="1" t="s">
        <v>1229</v>
      </c>
      <c r="N61" s="1" t="s">
        <v>47</v>
      </c>
      <c r="O61" s="1" t="s">
        <v>45</v>
      </c>
      <c r="P61" s="1">
        <v>600250</v>
      </c>
      <c r="Q61" s="1" t="s">
        <v>43</v>
      </c>
      <c r="R61" s="1">
        <v>27569</v>
      </c>
      <c r="S61" s="1" t="s">
        <v>48</v>
      </c>
      <c r="T61" s="1" t="s">
        <v>28</v>
      </c>
      <c r="U61" s="1" t="s">
        <v>29</v>
      </c>
      <c r="V61" s="1" t="s">
        <v>30</v>
      </c>
      <c r="W61" s="1">
        <v>0.6</v>
      </c>
      <c r="X61" s="1">
        <v>1250</v>
      </c>
      <c r="Y61" s="1">
        <v>0</v>
      </c>
      <c r="Z61" s="3">
        <v>167.995</v>
      </c>
      <c r="AA61" s="3">
        <v>114.235</v>
      </c>
      <c r="AB61" s="3">
        <v>53.76</v>
      </c>
      <c r="AC61" s="3">
        <v>0</v>
      </c>
      <c r="AD61" s="3">
        <f t="shared" si="8"/>
        <v>53.76</v>
      </c>
      <c r="AE61" s="3">
        <v>0</v>
      </c>
      <c r="AF61" s="3">
        <v>53.76</v>
      </c>
      <c r="AG61" s="3">
        <v>0</v>
      </c>
      <c r="AH61" s="3">
        <v>0</v>
      </c>
      <c r="AI61" s="3">
        <v>0</v>
      </c>
      <c r="AJ61" s="3">
        <f t="shared" si="9"/>
        <v>53.76</v>
      </c>
      <c r="AK61" s="1">
        <v>0</v>
      </c>
      <c r="AL61" s="3">
        <f t="shared" ref="AL61:AL62" si="17">AF61</f>
        <v>53.76</v>
      </c>
      <c r="AM61" s="3">
        <v>0</v>
      </c>
      <c r="AN61" s="3">
        <f t="shared" ref="AN61:AN63" si="18">AG61</f>
        <v>0</v>
      </c>
      <c r="AO61" s="3">
        <f t="shared" ref="AO61:AO63" si="19">AH61</f>
        <v>0</v>
      </c>
      <c r="AP61" s="3">
        <f t="shared" si="16"/>
        <v>0</v>
      </c>
      <c r="AQ61" s="1" t="s">
        <v>43</v>
      </c>
    </row>
    <row r="62" spans="1:43" x14ac:dyDescent="0.35">
      <c r="A62" s="1">
        <v>742</v>
      </c>
      <c r="B62" s="2">
        <v>45890</v>
      </c>
      <c r="C62" s="1" t="s">
        <v>46</v>
      </c>
      <c r="D62" s="1">
        <v>9519034241</v>
      </c>
      <c r="E62" s="1">
        <v>3</v>
      </c>
      <c r="F62" s="1" t="s">
        <v>602</v>
      </c>
      <c r="G62" s="1" t="s">
        <v>1155</v>
      </c>
      <c r="H62" s="1" t="s">
        <v>21</v>
      </c>
      <c r="I62" s="1" t="s">
        <v>22</v>
      </c>
      <c r="K62" s="1" t="s">
        <v>970</v>
      </c>
      <c r="L62" s="1" t="s">
        <v>1421</v>
      </c>
      <c r="M62" s="1" t="s">
        <v>1229</v>
      </c>
      <c r="N62" s="1" t="s">
        <v>47</v>
      </c>
      <c r="O62" s="1" t="s">
        <v>45</v>
      </c>
      <c r="P62" s="1">
        <v>600250</v>
      </c>
      <c r="Q62" s="1" t="s">
        <v>43</v>
      </c>
      <c r="R62" s="1">
        <v>187529</v>
      </c>
      <c r="S62" s="1" t="s">
        <v>27</v>
      </c>
      <c r="T62" s="1" t="s">
        <v>28</v>
      </c>
      <c r="U62" s="1" t="s">
        <v>29</v>
      </c>
      <c r="V62" s="1" t="s">
        <v>30</v>
      </c>
      <c r="W62" s="1">
        <v>1.2</v>
      </c>
      <c r="X62" s="1">
        <v>1250</v>
      </c>
      <c r="Y62" s="1">
        <v>0</v>
      </c>
      <c r="Z62" s="3">
        <v>215.995</v>
      </c>
      <c r="AA62" s="3">
        <v>208.89500000000001</v>
      </c>
      <c r="AB62" s="3">
        <v>7.1</v>
      </c>
      <c r="AC62" s="3">
        <v>0</v>
      </c>
      <c r="AD62" s="3">
        <f t="shared" ref="AD62:AD81" si="20">SUM(AE62:AI62)</f>
        <v>7.1</v>
      </c>
      <c r="AE62" s="3">
        <v>0</v>
      </c>
      <c r="AF62" s="3">
        <v>7.1</v>
      </c>
      <c r="AG62" s="3">
        <v>0</v>
      </c>
      <c r="AH62" s="3">
        <v>0</v>
      </c>
      <c r="AI62" s="3">
        <v>0</v>
      </c>
      <c r="AJ62" s="3">
        <f t="shared" ref="AJ62:AJ81" si="21">SUM(AK62:AO62)</f>
        <v>7.1</v>
      </c>
      <c r="AK62" s="1">
        <v>0</v>
      </c>
      <c r="AL62" s="3">
        <f t="shared" si="17"/>
        <v>7.1</v>
      </c>
      <c r="AM62" s="3">
        <v>0</v>
      </c>
      <c r="AN62" s="3">
        <f t="shared" si="18"/>
        <v>0</v>
      </c>
      <c r="AO62" s="3">
        <f t="shared" si="19"/>
        <v>0</v>
      </c>
      <c r="AP62" s="3">
        <f t="shared" si="16"/>
        <v>0</v>
      </c>
      <c r="AQ62" s="1" t="s">
        <v>43</v>
      </c>
    </row>
    <row r="63" spans="1:43" x14ac:dyDescent="0.35">
      <c r="A63" s="1">
        <v>742</v>
      </c>
      <c r="B63" s="2">
        <v>45890</v>
      </c>
      <c r="C63" s="1" t="s">
        <v>46</v>
      </c>
      <c r="D63" s="1">
        <v>9519034241</v>
      </c>
      <c r="E63" s="1">
        <v>4</v>
      </c>
      <c r="F63" s="1" t="s">
        <v>603</v>
      </c>
      <c r="G63" s="1" t="s">
        <v>1155</v>
      </c>
      <c r="H63" s="1" t="s">
        <v>21</v>
      </c>
      <c r="I63" s="1" t="s">
        <v>22</v>
      </c>
      <c r="K63" s="1" t="s">
        <v>970</v>
      </c>
      <c r="L63" s="1" t="s">
        <v>1421</v>
      </c>
      <c r="M63" s="1" t="s">
        <v>1229</v>
      </c>
      <c r="N63" s="1" t="s">
        <v>47</v>
      </c>
      <c r="O63" s="1" t="s">
        <v>45</v>
      </c>
      <c r="P63" s="1">
        <v>600250</v>
      </c>
      <c r="Q63" s="1" t="s">
        <v>43</v>
      </c>
      <c r="R63" s="1">
        <v>185675</v>
      </c>
      <c r="S63" s="1" t="s">
        <v>272</v>
      </c>
      <c r="T63" s="1" t="s">
        <v>28</v>
      </c>
      <c r="U63" s="1" t="s">
        <v>29</v>
      </c>
      <c r="V63" s="1" t="s">
        <v>30</v>
      </c>
      <c r="W63" s="1">
        <v>0.5</v>
      </c>
      <c r="X63" s="1">
        <v>1250</v>
      </c>
      <c r="Y63" s="1">
        <v>0</v>
      </c>
      <c r="Z63" s="3">
        <v>287.995</v>
      </c>
      <c r="AA63" s="3">
        <v>20.63</v>
      </c>
      <c r="AB63" s="3">
        <v>267.36500000000001</v>
      </c>
      <c r="AC63" s="3">
        <v>0</v>
      </c>
      <c r="AD63" s="3">
        <f t="shared" si="20"/>
        <v>267.36500000000001</v>
      </c>
      <c r="AE63" s="3">
        <v>0</v>
      </c>
      <c r="AF63" s="3">
        <v>0</v>
      </c>
      <c r="AG63" s="3">
        <v>0</v>
      </c>
      <c r="AH63" s="3">
        <v>267.36500000000001</v>
      </c>
      <c r="AI63" s="3">
        <v>0</v>
      </c>
      <c r="AJ63" s="3">
        <f t="shared" si="21"/>
        <v>267.36500000000001</v>
      </c>
      <c r="AK63" s="1">
        <v>0</v>
      </c>
      <c r="AL63" s="3">
        <f t="shared" ref="AL63" si="22">AE63</f>
        <v>0</v>
      </c>
      <c r="AM63" s="3">
        <f t="shared" ref="AM63" si="23">AF63</f>
        <v>0</v>
      </c>
      <c r="AN63" s="3">
        <f t="shared" si="18"/>
        <v>0</v>
      </c>
      <c r="AO63" s="3">
        <f t="shared" si="19"/>
        <v>267.36500000000001</v>
      </c>
      <c r="AP63" s="3">
        <f t="shared" si="16"/>
        <v>0</v>
      </c>
      <c r="AQ63" s="1" t="s">
        <v>43</v>
      </c>
    </row>
    <row r="64" spans="1:43" x14ac:dyDescent="0.35">
      <c r="A64" s="1">
        <v>743</v>
      </c>
      <c r="B64" s="2">
        <v>45883</v>
      </c>
      <c r="C64" s="1" t="s">
        <v>64</v>
      </c>
      <c r="D64" s="1">
        <v>9519017657</v>
      </c>
      <c r="E64" s="1">
        <v>1</v>
      </c>
      <c r="F64" s="1" t="s">
        <v>604</v>
      </c>
      <c r="G64" s="1" t="s">
        <v>393</v>
      </c>
      <c r="H64" s="1" t="s">
        <v>56</v>
      </c>
      <c r="I64" s="1" t="s">
        <v>969</v>
      </c>
      <c r="K64" s="1" t="s">
        <v>969</v>
      </c>
      <c r="L64" s="1" t="str">
        <f t="shared" ref="L64:L127" si="24">K64</f>
        <v>IPP</v>
      </c>
      <c r="M64" s="1" t="s">
        <v>1229</v>
      </c>
      <c r="N64" s="1" t="s">
        <v>128</v>
      </c>
      <c r="O64" s="1" t="s">
        <v>74</v>
      </c>
      <c r="P64" s="1">
        <v>188152</v>
      </c>
      <c r="Q64" s="1" t="s">
        <v>127</v>
      </c>
      <c r="R64" s="1">
        <v>4031999</v>
      </c>
      <c r="S64" s="1" t="s">
        <v>380</v>
      </c>
      <c r="T64" s="1" t="s">
        <v>154</v>
      </c>
      <c r="U64" s="1" t="s">
        <v>131</v>
      </c>
      <c r="V64" s="1" t="s">
        <v>338</v>
      </c>
      <c r="W64" s="1">
        <v>0.5</v>
      </c>
      <c r="X64" s="1">
        <v>1221</v>
      </c>
      <c r="Y64" s="1">
        <v>0</v>
      </c>
      <c r="Z64" s="3">
        <v>224</v>
      </c>
      <c r="AA64" s="3">
        <v>167.71</v>
      </c>
      <c r="AB64" s="3">
        <v>56.29</v>
      </c>
      <c r="AC64" s="3">
        <v>0</v>
      </c>
      <c r="AD64" s="3">
        <f t="shared" si="20"/>
        <v>56.29</v>
      </c>
      <c r="AE64" s="3">
        <v>0</v>
      </c>
      <c r="AF64" s="3">
        <v>56.29</v>
      </c>
      <c r="AG64" s="3">
        <v>0</v>
      </c>
      <c r="AH64" s="3">
        <v>0</v>
      </c>
      <c r="AI64" s="3">
        <v>0</v>
      </c>
      <c r="AJ64" s="3">
        <f t="shared" si="21"/>
        <v>56.29</v>
      </c>
      <c r="AK64" s="1">
        <v>0</v>
      </c>
      <c r="AL64" s="3">
        <f>AF64</f>
        <v>56.29</v>
      </c>
      <c r="AM64" s="1">
        <v>0</v>
      </c>
      <c r="AN64" s="1">
        <v>0</v>
      </c>
      <c r="AO64" s="1">
        <v>0</v>
      </c>
      <c r="AP64" s="3">
        <f t="shared" si="16"/>
        <v>0</v>
      </c>
      <c r="AQ64" s="1" t="s">
        <v>127</v>
      </c>
    </row>
    <row r="65" spans="1:43" x14ac:dyDescent="0.35">
      <c r="A65" s="1">
        <v>742</v>
      </c>
      <c r="B65" s="2">
        <v>45901</v>
      </c>
      <c r="C65" s="1" t="s">
        <v>64</v>
      </c>
      <c r="D65" s="1">
        <v>9519071445</v>
      </c>
      <c r="E65" s="1">
        <v>1</v>
      </c>
      <c r="F65" s="1" t="s">
        <v>605</v>
      </c>
      <c r="G65" s="1" t="s">
        <v>1155</v>
      </c>
      <c r="H65" s="1" t="s">
        <v>21</v>
      </c>
      <c r="I65" s="1" t="s">
        <v>71</v>
      </c>
      <c r="K65" s="1" t="s">
        <v>970</v>
      </c>
      <c r="L65" s="1" t="str">
        <f t="shared" si="24"/>
        <v>BPRS</v>
      </c>
      <c r="M65" s="1" t="s">
        <v>1228</v>
      </c>
      <c r="N65" s="1" t="s">
        <v>242</v>
      </c>
      <c r="O65" s="1" t="s">
        <v>243</v>
      </c>
      <c r="P65" s="1">
        <v>116137</v>
      </c>
      <c r="Q65" s="1" t="s">
        <v>241</v>
      </c>
      <c r="R65" s="1">
        <v>3240765</v>
      </c>
      <c r="S65" s="1" t="s">
        <v>381</v>
      </c>
      <c r="T65" s="1" t="s">
        <v>75</v>
      </c>
      <c r="U65" s="1" t="s">
        <v>76</v>
      </c>
      <c r="V65" s="1" t="s">
        <v>77</v>
      </c>
      <c r="W65" s="1">
        <v>0.5</v>
      </c>
      <c r="X65" s="1">
        <v>1250</v>
      </c>
      <c r="Y65" s="1">
        <v>2500</v>
      </c>
      <c r="Z65" s="3">
        <v>87</v>
      </c>
      <c r="AA65" s="3">
        <v>0</v>
      </c>
      <c r="AB65" s="3">
        <v>87</v>
      </c>
      <c r="AC65" s="3">
        <v>0</v>
      </c>
      <c r="AD65" s="3">
        <f t="shared" si="20"/>
        <v>87</v>
      </c>
      <c r="AE65" s="3">
        <v>0</v>
      </c>
      <c r="AF65" s="3">
        <v>0</v>
      </c>
      <c r="AG65" s="3">
        <v>87</v>
      </c>
      <c r="AH65" s="3">
        <v>0</v>
      </c>
      <c r="AI65" s="3">
        <v>0</v>
      </c>
      <c r="AJ65" s="3">
        <f t="shared" si="21"/>
        <v>87</v>
      </c>
      <c r="AK65" s="1">
        <v>0</v>
      </c>
      <c r="AL65" s="3">
        <f>AE65</f>
        <v>0</v>
      </c>
      <c r="AM65" s="3">
        <f>AG65</f>
        <v>87</v>
      </c>
      <c r="AN65" s="3">
        <v>0</v>
      </c>
      <c r="AO65" s="3">
        <f>AH65</f>
        <v>0</v>
      </c>
      <c r="AP65" s="3">
        <f t="shared" si="16"/>
        <v>0</v>
      </c>
      <c r="AQ65" s="1" t="s">
        <v>241</v>
      </c>
    </row>
    <row r="66" spans="1:43" x14ac:dyDescent="0.35">
      <c r="A66" s="1">
        <v>743</v>
      </c>
      <c r="B66" s="2">
        <v>45867</v>
      </c>
      <c r="C66" s="1" t="s">
        <v>64</v>
      </c>
      <c r="D66" s="1">
        <v>9518971601</v>
      </c>
      <c r="E66" s="1">
        <v>1</v>
      </c>
      <c r="F66" s="1" t="s">
        <v>608</v>
      </c>
      <c r="G66" s="1" t="s">
        <v>393</v>
      </c>
      <c r="H66" s="1" t="s">
        <v>63</v>
      </c>
      <c r="I66" s="1" t="s">
        <v>1368</v>
      </c>
      <c r="K66" s="1" t="s">
        <v>970</v>
      </c>
      <c r="L66" s="1" t="str">
        <f t="shared" si="24"/>
        <v>BPRS</v>
      </c>
      <c r="M66" s="1" t="s">
        <v>1228</v>
      </c>
      <c r="N66" s="1" t="s">
        <v>37</v>
      </c>
      <c r="O66" s="1" t="s">
        <v>38</v>
      </c>
      <c r="P66" s="1">
        <v>931234</v>
      </c>
      <c r="Q66" s="1" t="s">
        <v>251</v>
      </c>
      <c r="R66" s="1">
        <v>1327809</v>
      </c>
      <c r="S66" s="1" t="s">
        <v>383</v>
      </c>
      <c r="T66" s="1" t="s">
        <v>139</v>
      </c>
      <c r="U66" s="1" t="s">
        <v>140</v>
      </c>
      <c r="V66" s="1" t="s">
        <v>141</v>
      </c>
      <c r="W66" s="1">
        <v>0.3</v>
      </c>
      <c r="X66" s="1">
        <v>1250</v>
      </c>
      <c r="Y66" s="1">
        <v>0</v>
      </c>
      <c r="Z66" s="3">
        <v>29</v>
      </c>
      <c r="AA66" s="3">
        <v>0</v>
      </c>
      <c r="AB66" s="3">
        <v>29</v>
      </c>
      <c r="AC66" s="3">
        <v>0</v>
      </c>
      <c r="AD66" s="3">
        <f t="shared" si="20"/>
        <v>29</v>
      </c>
      <c r="AE66" s="3">
        <v>0</v>
      </c>
      <c r="AF66" s="3">
        <v>29</v>
      </c>
      <c r="AG66" s="3">
        <v>0</v>
      </c>
      <c r="AH66" s="3">
        <v>0</v>
      </c>
      <c r="AI66" s="3">
        <v>0</v>
      </c>
      <c r="AJ66" s="3">
        <f t="shared" si="21"/>
        <v>29</v>
      </c>
      <c r="AK66" s="1">
        <v>0</v>
      </c>
      <c r="AL66" s="3">
        <f>AF66</f>
        <v>29</v>
      </c>
      <c r="AM66" s="1">
        <v>0</v>
      </c>
      <c r="AN66" s="1">
        <v>0</v>
      </c>
      <c r="AO66" s="1">
        <v>0</v>
      </c>
      <c r="AP66" s="3">
        <f t="shared" si="16"/>
        <v>0</v>
      </c>
      <c r="AQ66" s="1" t="s">
        <v>251</v>
      </c>
    </row>
    <row r="67" spans="1:43" x14ac:dyDescent="0.35">
      <c r="A67" s="1">
        <v>742</v>
      </c>
      <c r="B67" s="2">
        <v>45895</v>
      </c>
      <c r="C67" s="1" t="s">
        <v>64</v>
      </c>
      <c r="D67" s="1">
        <v>9519050823</v>
      </c>
      <c r="E67" s="1">
        <v>1</v>
      </c>
      <c r="F67" s="1" t="s">
        <v>609</v>
      </c>
      <c r="G67" s="1" t="s">
        <v>1155</v>
      </c>
      <c r="H67" s="1" t="s">
        <v>21</v>
      </c>
      <c r="I67" s="1" t="s">
        <v>22</v>
      </c>
      <c r="K67" s="1" t="s">
        <v>970</v>
      </c>
      <c r="L67" s="1" t="str">
        <f t="shared" si="24"/>
        <v>BPRS</v>
      </c>
      <c r="M67" s="1" t="s">
        <v>1228</v>
      </c>
      <c r="N67" s="1" t="s">
        <v>242</v>
      </c>
      <c r="O67" s="1" t="s">
        <v>243</v>
      </c>
      <c r="P67" s="1">
        <v>116137</v>
      </c>
      <c r="Q67" s="1" t="s">
        <v>241</v>
      </c>
      <c r="R67" s="1">
        <v>1800890</v>
      </c>
      <c r="S67" s="1" t="s">
        <v>277</v>
      </c>
      <c r="T67" s="1" t="s">
        <v>28</v>
      </c>
      <c r="U67" s="1" t="s">
        <v>29</v>
      </c>
      <c r="V67" s="1" t="s">
        <v>30</v>
      </c>
      <c r="W67" s="1">
        <v>0.35</v>
      </c>
      <c r="X67" s="1">
        <v>1250</v>
      </c>
      <c r="Y67" s="1">
        <v>0</v>
      </c>
      <c r="Z67" s="3">
        <v>29</v>
      </c>
      <c r="AA67" s="3">
        <v>0</v>
      </c>
      <c r="AB67" s="3">
        <v>29</v>
      </c>
      <c r="AC67" s="3">
        <v>0</v>
      </c>
      <c r="AD67" s="3">
        <f t="shared" si="20"/>
        <v>29</v>
      </c>
      <c r="AE67" s="3">
        <v>0</v>
      </c>
      <c r="AF67" s="3">
        <v>29</v>
      </c>
      <c r="AG67" s="3">
        <v>0</v>
      </c>
      <c r="AH67" s="3">
        <v>0</v>
      </c>
      <c r="AI67" s="3">
        <v>0</v>
      </c>
      <c r="AJ67" s="3">
        <f t="shared" si="21"/>
        <v>29</v>
      </c>
      <c r="AK67" s="1">
        <v>0</v>
      </c>
      <c r="AL67" s="3">
        <f>AF67</f>
        <v>29</v>
      </c>
      <c r="AM67" s="3">
        <v>0</v>
      </c>
      <c r="AN67" s="3">
        <f>AG67</f>
        <v>0</v>
      </c>
      <c r="AO67" s="3">
        <f>AH67</f>
        <v>0</v>
      </c>
      <c r="AP67" s="3">
        <f t="shared" si="16"/>
        <v>0</v>
      </c>
      <c r="AQ67" s="1" t="s">
        <v>241</v>
      </c>
    </row>
    <row r="68" spans="1:43" x14ac:dyDescent="0.35">
      <c r="A68" s="1">
        <v>743</v>
      </c>
      <c r="B68" s="2">
        <v>45890</v>
      </c>
      <c r="C68" s="1" t="s">
        <v>64</v>
      </c>
      <c r="D68" s="1">
        <v>9519035790</v>
      </c>
      <c r="E68" s="1">
        <v>1</v>
      </c>
      <c r="F68" s="1" t="s">
        <v>610</v>
      </c>
      <c r="G68" s="1" t="s">
        <v>393</v>
      </c>
      <c r="H68" s="1" t="s">
        <v>63</v>
      </c>
      <c r="I68" s="1" t="s">
        <v>1404</v>
      </c>
      <c r="K68" s="1" t="s">
        <v>970</v>
      </c>
      <c r="L68" s="1" t="str">
        <f t="shared" si="24"/>
        <v>BPRS</v>
      </c>
      <c r="M68" s="1" t="s">
        <v>1230</v>
      </c>
      <c r="N68" s="1" t="s">
        <v>1135</v>
      </c>
      <c r="O68" s="1" t="s">
        <v>120</v>
      </c>
      <c r="P68" s="1">
        <v>121328</v>
      </c>
      <c r="Q68" s="1" t="s">
        <v>119</v>
      </c>
      <c r="R68" s="1">
        <v>1851065</v>
      </c>
      <c r="S68" s="1" t="s">
        <v>322</v>
      </c>
      <c r="T68" s="1" t="s">
        <v>139</v>
      </c>
      <c r="U68" s="1" t="s">
        <v>140</v>
      </c>
      <c r="V68" s="1" t="s">
        <v>150</v>
      </c>
      <c r="W68" s="1">
        <v>0.25</v>
      </c>
      <c r="X68" s="1">
        <v>900</v>
      </c>
      <c r="Y68" s="1">
        <v>0</v>
      </c>
      <c r="Z68" s="3">
        <v>21</v>
      </c>
      <c r="AA68" s="3">
        <v>0</v>
      </c>
      <c r="AB68" s="3">
        <v>21</v>
      </c>
      <c r="AC68" s="3">
        <v>0</v>
      </c>
      <c r="AD68" s="3">
        <f t="shared" si="20"/>
        <v>21</v>
      </c>
      <c r="AE68" s="3">
        <v>0</v>
      </c>
      <c r="AF68" s="3">
        <v>0</v>
      </c>
      <c r="AG68" s="3">
        <v>21</v>
      </c>
      <c r="AH68" s="3">
        <v>0</v>
      </c>
      <c r="AI68" s="3">
        <v>0</v>
      </c>
      <c r="AJ68" s="3">
        <f t="shared" si="21"/>
        <v>21</v>
      </c>
      <c r="AK68" s="1">
        <v>0</v>
      </c>
      <c r="AL68" s="1">
        <v>0</v>
      </c>
      <c r="AM68" s="3">
        <f>AG68</f>
        <v>21</v>
      </c>
      <c r="AN68" s="1">
        <v>0</v>
      </c>
      <c r="AO68" s="1">
        <v>0</v>
      </c>
      <c r="AP68" s="3">
        <f t="shared" si="16"/>
        <v>0</v>
      </c>
      <c r="AQ68" s="1" t="s">
        <v>119</v>
      </c>
    </row>
    <row r="69" spans="1:43" x14ac:dyDescent="0.35">
      <c r="A69" s="1">
        <v>744</v>
      </c>
      <c r="B69" s="2">
        <v>45883</v>
      </c>
      <c r="C69" s="1" t="s">
        <v>64</v>
      </c>
      <c r="D69" s="1">
        <v>9519016553</v>
      </c>
      <c r="E69" s="1">
        <v>1</v>
      </c>
      <c r="F69" s="1" t="s">
        <v>611</v>
      </c>
      <c r="G69" s="1" t="s">
        <v>1367</v>
      </c>
      <c r="H69" s="1" t="s">
        <v>86</v>
      </c>
      <c r="I69" s="1" t="s">
        <v>968</v>
      </c>
      <c r="K69" s="1" t="s">
        <v>969</v>
      </c>
      <c r="L69" s="1" t="str">
        <f t="shared" si="24"/>
        <v>IPP</v>
      </c>
      <c r="M69" s="1" t="s">
        <v>1232</v>
      </c>
      <c r="N69" s="1" t="s">
        <v>1135</v>
      </c>
      <c r="O69" s="1" t="s">
        <v>54</v>
      </c>
      <c r="P69" s="1">
        <v>941597</v>
      </c>
      <c r="Q69" s="1" t="s">
        <v>87</v>
      </c>
      <c r="R69" s="1">
        <v>3941967</v>
      </c>
      <c r="S69" s="1" t="s">
        <v>159</v>
      </c>
      <c r="T69" s="1" t="s">
        <v>88</v>
      </c>
      <c r="U69" s="1" t="s">
        <v>89</v>
      </c>
      <c r="V69" s="1" t="s">
        <v>143</v>
      </c>
      <c r="W69" s="1">
        <v>0.6</v>
      </c>
      <c r="X69" s="1">
        <v>1220</v>
      </c>
      <c r="Y69" s="1">
        <v>0</v>
      </c>
      <c r="Z69" s="3">
        <v>27.998999999999999</v>
      </c>
      <c r="AA69" s="3">
        <v>20.93</v>
      </c>
      <c r="AB69" s="3">
        <v>7.069</v>
      </c>
      <c r="AC69" s="3">
        <v>3.59</v>
      </c>
      <c r="AD69" s="3">
        <f t="shared" si="20"/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f t="shared" si="21"/>
        <v>3.59</v>
      </c>
      <c r="AK69" s="3">
        <f>AC69</f>
        <v>3.59</v>
      </c>
      <c r="AL69" s="1">
        <v>0</v>
      </c>
      <c r="AM69" s="1">
        <v>0</v>
      </c>
      <c r="AN69" s="1">
        <v>0</v>
      </c>
      <c r="AO69" s="1">
        <v>0</v>
      </c>
      <c r="AP69" s="3">
        <f t="shared" si="16"/>
        <v>0</v>
      </c>
      <c r="AQ69" s="1" t="s">
        <v>87</v>
      </c>
    </row>
    <row r="70" spans="1:43" x14ac:dyDescent="0.35">
      <c r="A70" s="1">
        <v>743</v>
      </c>
      <c r="B70" s="2">
        <v>45890</v>
      </c>
      <c r="C70" s="1" t="s">
        <v>64</v>
      </c>
      <c r="D70" s="1">
        <v>9519036674</v>
      </c>
      <c r="E70" s="1">
        <v>1</v>
      </c>
      <c r="F70" s="1" t="s">
        <v>612</v>
      </c>
      <c r="G70" s="1" t="s">
        <v>1367</v>
      </c>
      <c r="H70" s="1" t="s">
        <v>56</v>
      </c>
      <c r="I70" s="1" t="s">
        <v>969</v>
      </c>
      <c r="K70" s="1" t="s">
        <v>969</v>
      </c>
      <c r="L70" s="1" t="str">
        <f t="shared" si="24"/>
        <v>IPP</v>
      </c>
      <c r="M70" s="1" t="s">
        <v>1230</v>
      </c>
      <c r="N70" s="1" t="s">
        <v>198</v>
      </c>
      <c r="O70" s="1" t="s">
        <v>151</v>
      </c>
      <c r="P70" s="1">
        <v>101122</v>
      </c>
      <c r="Q70" s="1" t="s">
        <v>197</v>
      </c>
      <c r="R70" s="1">
        <v>3988091</v>
      </c>
      <c r="S70" s="1" t="s">
        <v>199</v>
      </c>
      <c r="T70" s="1" t="s">
        <v>60</v>
      </c>
      <c r="U70" s="1" t="s">
        <v>61</v>
      </c>
      <c r="V70" s="1" t="s">
        <v>195</v>
      </c>
      <c r="W70" s="1">
        <v>0.44</v>
      </c>
      <c r="X70" s="1">
        <v>1240</v>
      </c>
      <c r="Y70" s="1">
        <v>0</v>
      </c>
      <c r="Z70" s="3">
        <v>330</v>
      </c>
      <c r="AA70" s="3">
        <v>313.04000000000002</v>
      </c>
      <c r="AB70" s="3">
        <v>16.96</v>
      </c>
      <c r="AC70" s="3">
        <v>8.6300000000000008</v>
      </c>
      <c r="AD70" s="3">
        <f t="shared" si="20"/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f t="shared" si="21"/>
        <v>8.6300000000000008</v>
      </c>
      <c r="AK70" s="3">
        <f>AC70</f>
        <v>8.6300000000000008</v>
      </c>
      <c r="AL70" s="1">
        <v>0</v>
      </c>
      <c r="AM70" s="1">
        <v>0</v>
      </c>
      <c r="AN70" s="1">
        <v>0</v>
      </c>
      <c r="AO70" s="1">
        <v>0</v>
      </c>
      <c r="AP70" s="3">
        <f t="shared" si="16"/>
        <v>0</v>
      </c>
      <c r="AQ70" s="1" t="s">
        <v>197</v>
      </c>
    </row>
    <row r="71" spans="1:43" x14ac:dyDescent="0.35">
      <c r="A71" s="1">
        <v>743</v>
      </c>
      <c r="B71" s="2">
        <v>45890</v>
      </c>
      <c r="C71" s="1" t="s">
        <v>64</v>
      </c>
      <c r="D71" s="1">
        <v>9519036674</v>
      </c>
      <c r="E71" s="1">
        <v>3</v>
      </c>
      <c r="F71" s="1" t="s">
        <v>613</v>
      </c>
      <c r="G71" s="1" t="s">
        <v>393</v>
      </c>
      <c r="H71" s="1" t="s">
        <v>56</v>
      </c>
      <c r="I71" s="1" t="s">
        <v>969</v>
      </c>
      <c r="J71" s="1">
        <v>1100</v>
      </c>
      <c r="K71" s="1" t="s">
        <v>969</v>
      </c>
      <c r="L71" s="1" t="str">
        <f t="shared" si="24"/>
        <v>IPP</v>
      </c>
      <c r="M71" s="1" t="s">
        <v>1230</v>
      </c>
      <c r="N71" s="1" t="s">
        <v>198</v>
      </c>
      <c r="O71" s="1" t="s">
        <v>151</v>
      </c>
      <c r="P71" s="1">
        <v>101122</v>
      </c>
      <c r="Q71" s="1" t="s">
        <v>197</v>
      </c>
      <c r="R71" s="1">
        <v>3988091</v>
      </c>
      <c r="S71" s="1" t="s">
        <v>199</v>
      </c>
      <c r="T71" s="1" t="s">
        <v>60</v>
      </c>
      <c r="U71" s="1" t="s">
        <v>61</v>
      </c>
      <c r="V71" s="1" t="s">
        <v>195</v>
      </c>
      <c r="W71" s="1">
        <v>0.44</v>
      </c>
      <c r="X71" s="1">
        <v>1240</v>
      </c>
      <c r="Y71" s="1">
        <v>0</v>
      </c>
      <c r="Z71" s="3">
        <v>279.99900000000002</v>
      </c>
      <c r="AA71" s="3">
        <v>249.34</v>
      </c>
      <c r="AB71" s="3">
        <v>55.66</v>
      </c>
      <c r="AC71" s="3">
        <v>8.4749999999999996</v>
      </c>
      <c r="AD71" s="3">
        <f t="shared" si="20"/>
        <v>55.66</v>
      </c>
      <c r="AE71" s="3">
        <v>0</v>
      </c>
      <c r="AF71" s="3">
        <v>0</v>
      </c>
      <c r="AG71" s="3">
        <v>55.66</v>
      </c>
      <c r="AH71" s="3">
        <v>0</v>
      </c>
      <c r="AI71" s="3">
        <v>0</v>
      </c>
      <c r="AJ71" s="3">
        <f t="shared" si="21"/>
        <v>64.134999999999991</v>
      </c>
      <c r="AK71" s="1">
        <v>0</v>
      </c>
      <c r="AL71" s="1">
        <v>0</v>
      </c>
      <c r="AM71" s="1">
        <v>0</v>
      </c>
      <c r="AN71" s="3">
        <f>AG71+AC71</f>
        <v>64.134999999999991</v>
      </c>
      <c r="AO71" s="1">
        <v>0</v>
      </c>
      <c r="AP71" s="3">
        <f t="shared" si="16"/>
        <v>0</v>
      </c>
      <c r="AQ71" s="1" t="s">
        <v>197</v>
      </c>
    </row>
    <row r="72" spans="1:43" x14ac:dyDescent="0.35">
      <c r="A72" s="1">
        <v>743</v>
      </c>
      <c r="B72" s="2">
        <v>45890</v>
      </c>
      <c r="C72" s="1" t="s">
        <v>64</v>
      </c>
      <c r="D72" s="1">
        <v>9519036674</v>
      </c>
      <c r="E72" s="1">
        <v>4</v>
      </c>
      <c r="F72" s="1" t="s">
        <v>614</v>
      </c>
      <c r="G72" s="1" t="s">
        <v>1367</v>
      </c>
      <c r="H72" s="1" t="s">
        <v>56</v>
      </c>
      <c r="I72" s="1" t="s">
        <v>969</v>
      </c>
      <c r="K72" s="1" t="s">
        <v>969</v>
      </c>
      <c r="L72" s="1" t="str">
        <f t="shared" si="24"/>
        <v>IPP</v>
      </c>
      <c r="M72" s="1" t="s">
        <v>1230</v>
      </c>
      <c r="N72" s="1" t="s">
        <v>198</v>
      </c>
      <c r="O72" s="1" t="s">
        <v>151</v>
      </c>
      <c r="P72" s="1">
        <v>101122</v>
      </c>
      <c r="Q72" s="1" t="s">
        <v>197</v>
      </c>
      <c r="R72" s="1">
        <v>3988091</v>
      </c>
      <c r="S72" s="1" t="s">
        <v>199</v>
      </c>
      <c r="T72" s="1" t="s">
        <v>60</v>
      </c>
      <c r="U72" s="1" t="s">
        <v>61</v>
      </c>
      <c r="V72" s="1" t="s">
        <v>195</v>
      </c>
      <c r="W72" s="1">
        <v>0.44</v>
      </c>
      <c r="X72" s="1">
        <v>1240</v>
      </c>
      <c r="Y72" s="1">
        <v>0</v>
      </c>
      <c r="Z72" s="3">
        <v>279.99900000000002</v>
      </c>
      <c r="AA72" s="3">
        <v>276.83999999999997</v>
      </c>
      <c r="AB72" s="3">
        <v>3.1589999999999998</v>
      </c>
      <c r="AC72" s="3">
        <v>45.314999999999998</v>
      </c>
      <c r="AD72" s="3">
        <f t="shared" si="20"/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f t="shared" si="21"/>
        <v>45.314999999999998</v>
      </c>
      <c r="AK72" s="3">
        <f>AC72</f>
        <v>45.314999999999998</v>
      </c>
      <c r="AL72" s="1">
        <v>0</v>
      </c>
      <c r="AM72" s="1">
        <v>0</v>
      </c>
      <c r="AN72" s="1">
        <v>0</v>
      </c>
      <c r="AO72" s="1">
        <v>0</v>
      </c>
      <c r="AP72" s="3">
        <f t="shared" si="16"/>
        <v>0</v>
      </c>
      <c r="AQ72" s="1" t="s">
        <v>197</v>
      </c>
    </row>
    <row r="73" spans="1:43" x14ac:dyDescent="0.35">
      <c r="A73" s="1">
        <v>743</v>
      </c>
      <c r="B73" s="2">
        <v>45890</v>
      </c>
      <c r="C73" s="1" t="s">
        <v>64</v>
      </c>
      <c r="D73" s="1">
        <v>9519036674</v>
      </c>
      <c r="E73" s="1">
        <v>8</v>
      </c>
      <c r="F73" s="1" t="s">
        <v>615</v>
      </c>
      <c r="G73" s="1" t="s">
        <v>1367</v>
      </c>
      <c r="H73" s="1" t="s">
        <v>56</v>
      </c>
      <c r="I73" s="1" t="s">
        <v>969</v>
      </c>
      <c r="K73" s="1" t="s">
        <v>969</v>
      </c>
      <c r="L73" s="1" t="str">
        <f t="shared" si="24"/>
        <v>IPP</v>
      </c>
      <c r="M73" s="1" t="s">
        <v>1230</v>
      </c>
      <c r="N73" s="1" t="s">
        <v>198</v>
      </c>
      <c r="O73" s="1" t="s">
        <v>151</v>
      </c>
      <c r="P73" s="1">
        <v>101122</v>
      </c>
      <c r="Q73" s="1" t="s">
        <v>197</v>
      </c>
      <c r="R73" s="1">
        <v>3988091</v>
      </c>
      <c r="S73" s="1" t="s">
        <v>199</v>
      </c>
      <c r="T73" s="1" t="s">
        <v>60</v>
      </c>
      <c r="U73" s="1" t="s">
        <v>61</v>
      </c>
      <c r="V73" s="1" t="s">
        <v>195</v>
      </c>
      <c r="W73" s="1">
        <v>0.44</v>
      </c>
      <c r="X73" s="1">
        <v>1240</v>
      </c>
      <c r="Y73" s="1">
        <v>0</v>
      </c>
      <c r="Z73" s="3">
        <v>279.99900000000002</v>
      </c>
      <c r="AA73" s="3">
        <v>275.76</v>
      </c>
      <c r="AB73" s="3">
        <v>4.2389999999999999</v>
      </c>
      <c r="AC73" s="3">
        <v>13.8</v>
      </c>
      <c r="AD73" s="3">
        <f t="shared" si="20"/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f t="shared" si="21"/>
        <v>13.8</v>
      </c>
      <c r="AK73" s="3">
        <f>AC73</f>
        <v>13.8</v>
      </c>
      <c r="AL73" s="1">
        <v>0</v>
      </c>
      <c r="AM73" s="1">
        <v>0</v>
      </c>
      <c r="AN73" s="1">
        <v>0</v>
      </c>
      <c r="AO73" s="1">
        <v>0</v>
      </c>
      <c r="AP73" s="3">
        <f t="shared" si="16"/>
        <v>0</v>
      </c>
      <c r="AQ73" s="1" t="s">
        <v>197</v>
      </c>
    </row>
    <row r="74" spans="1:43" x14ac:dyDescent="0.35">
      <c r="A74" s="1">
        <v>742</v>
      </c>
      <c r="B74" s="2">
        <v>45860</v>
      </c>
      <c r="C74" s="1" t="s">
        <v>64</v>
      </c>
      <c r="D74" s="1">
        <v>9518949530</v>
      </c>
      <c r="E74" s="1">
        <v>2</v>
      </c>
      <c r="F74" s="1" t="s">
        <v>617</v>
      </c>
      <c r="G74" s="1" t="s">
        <v>1367</v>
      </c>
      <c r="H74" s="1" t="s">
        <v>21</v>
      </c>
      <c r="I74" s="1" t="s">
        <v>71</v>
      </c>
      <c r="K74" s="1" t="s">
        <v>970</v>
      </c>
      <c r="L74" s="1" t="str">
        <f t="shared" si="24"/>
        <v>BPRS</v>
      </c>
      <c r="M74" s="1" t="s">
        <v>1230</v>
      </c>
      <c r="N74" s="1" t="s">
        <v>179</v>
      </c>
      <c r="O74" s="1" t="s">
        <v>180</v>
      </c>
      <c r="P74" s="1">
        <v>139336</v>
      </c>
      <c r="Q74" s="1" t="s">
        <v>178</v>
      </c>
      <c r="R74" s="1">
        <v>3240869</v>
      </c>
      <c r="S74" s="1" t="s">
        <v>346</v>
      </c>
      <c r="T74" s="1" t="s">
        <v>75</v>
      </c>
      <c r="U74" s="1" t="s">
        <v>76</v>
      </c>
      <c r="V74" s="1" t="s">
        <v>77</v>
      </c>
      <c r="W74" s="1">
        <v>2</v>
      </c>
      <c r="X74" s="1">
        <v>1250</v>
      </c>
      <c r="Y74" s="1">
        <v>2500</v>
      </c>
      <c r="Z74" s="3">
        <v>29</v>
      </c>
      <c r="AA74" s="3">
        <v>23.41</v>
      </c>
      <c r="AB74" s="3">
        <v>5.59</v>
      </c>
      <c r="AC74" s="3">
        <v>23.410000000000004</v>
      </c>
      <c r="AD74" s="3">
        <f t="shared" si="20"/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f t="shared" si="21"/>
        <v>23.410000000000004</v>
      </c>
      <c r="AK74" s="3">
        <f>AC74</f>
        <v>23.410000000000004</v>
      </c>
      <c r="AL74" s="1">
        <v>0</v>
      </c>
      <c r="AM74" s="1">
        <v>0</v>
      </c>
      <c r="AN74" s="1">
        <v>0</v>
      </c>
      <c r="AO74" s="1">
        <v>0</v>
      </c>
      <c r="AP74" s="3">
        <f t="shared" si="16"/>
        <v>0</v>
      </c>
      <c r="AQ74" s="1" t="s">
        <v>178</v>
      </c>
    </row>
    <row r="75" spans="1:43" x14ac:dyDescent="0.35">
      <c r="A75" s="1">
        <v>742</v>
      </c>
      <c r="B75" s="2">
        <v>45871</v>
      </c>
      <c r="C75" s="1" t="s">
        <v>64</v>
      </c>
      <c r="D75" s="1">
        <v>9518988369</v>
      </c>
      <c r="E75" s="1">
        <v>1</v>
      </c>
      <c r="F75" s="1" t="s">
        <v>618</v>
      </c>
      <c r="G75" s="1" t="s">
        <v>1155</v>
      </c>
      <c r="H75" s="1" t="s">
        <v>21</v>
      </c>
      <c r="I75" s="1" t="s">
        <v>22</v>
      </c>
      <c r="K75" s="1" t="s">
        <v>970</v>
      </c>
      <c r="L75" s="1" t="str">
        <f t="shared" si="24"/>
        <v>BPRS</v>
      </c>
      <c r="M75" s="1" t="s">
        <v>1231</v>
      </c>
      <c r="N75" s="1" t="s">
        <v>25</v>
      </c>
      <c r="O75" s="1" t="s">
        <v>38</v>
      </c>
      <c r="P75" s="1">
        <v>184986</v>
      </c>
      <c r="Q75" s="1" t="s">
        <v>49</v>
      </c>
      <c r="R75" s="1">
        <v>1804772</v>
      </c>
      <c r="S75" s="1" t="s">
        <v>271</v>
      </c>
      <c r="T75" s="1" t="s">
        <v>28</v>
      </c>
      <c r="U75" s="1" t="s">
        <v>29</v>
      </c>
      <c r="V75" s="1" t="s">
        <v>30</v>
      </c>
      <c r="W75" s="1">
        <v>0.4</v>
      </c>
      <c r="X75" s="1">
        <v>1250</v>
      </c>
      <c r="Y75" s="1">
        <v>0</v>
      </c>
      <c r="Z75" s="3">
        <v>116</v>
      </c>
      <c r="AA75" s="3">
        <v>0</v>
      </c>
      <c r="AB75" s="3">
        <v>116</v>
      </c>
      <c r="AC75" s="3">
        <v>0</v>
      </c>
      <c r="AD75" s="3">
        <f t="shared" si="20"/>
        <v>116</v>
      </c>
      <c r="AE75" s="3">
        <v>0</v>
      </c>
      <c r="AF75" s="3">
        <v>116</v>
      </c>
      <c r="AG75" s="3">
        <v>0</v>
      </c>
      <c r="AH75" s="3">
        <v>0</v>
      </c>
      <c r="AI75" s="3">
        <v>0</v>
      </c>
      <c r="AJ75" s="3">
        <f t="shared" si="21"/>
        <v>116</v>
      </c>
      <c r="AK75" s="1">
        <v>0</v>
      </c>
      <c r="AL75" s="3">
        <f t="shared" ref="AL75:AL76" si="25">AF75</f>
        <v>116</v>
      </c>
      <c r="AM75" s="3">
        <v>0</v>
      </c>
      <c r="AN75" s="3">
        <f t="shared" ref="AN75:AN76" si="26">AG75</f>
        <v>0</v>
      </c>
      <c r="AO75" s="3">
        <f t="shared" ref="AO75:AO76" si="27">AH75</f>
        <v>0</v>
      </c>
      <c r="AP75" s="3">
        <f t="shared" si="16"/>
        <v>0</v>
      </c>
      <c r="AQ75" s="1" t="s">
        <v>49</v>
      </c>
    </row>
    <row r="76" spans="1:43" x14ac:dyDescent="0.35">
      <c r="A76" s="1">
        <v>742</v>
      </c>
      <c r="B76" s="2">
        <v>45862</v>
      </c>
      <c r="C76" s="1" t="s">
        <v>64</v>
      </c>
      <c r="D76" s="1">
        <v>9518956389</v>
      </c>
      <c r="E76" s="1">
        <v>14</v>
      </c>
      <c r="F76" s="1" t="s">
        <v>619</v>
      </c>
      <c r="G76" s="1" t="s">
        <v>1155</v>
      </c>
      <c r="H76" s="1" t="s">
        <v>21</v>
      </c>
      <c r="I76" s="1" t="s">
        <v>22</v>
      </c>
      <c r="K76" s="1" t="s">
        <v>970</v>
      </c>
      <c r="L76" s="1" t="str">
        <f t="shared" si="24"/>
        <v>BPRS</v>
      </c>
      <c r="M76" s="1" t="s">
        <v>1229</v>
      </c>
      <c r="N76" s="1" t="s">
        <v>35</v>
      </c>
      <c r="O76" s="1" t="s">
        <v>32</v>
      </c>
      <c r="P76" s="1">
        <v>932244</v>
      </c>
      <c r="Q76" s="1" t="s">
        <v>270</v>
      </c>
      <c r="R76" s="1">
        <v>2193598</v>
      </c>
      <c r="S76" s="1" t="s">
        <v>340</v>
      </c>
      <c r="T76" s="1" t="s">
        <v>28</v>
      </c>
      <c r="U76" s="1" t="s">
        <v>29</v>
      </c>
      <c r="V76" s="1" t="s">
        <v>30</v>
      </c>
      <c r="W76" s="1">
        <v>1.9</v>
      </c>
      <c r="X76" s="1">
        <v>1250</v>
      </c>
      <c r="Y76" s="1">
        <v>0</v>
      </c>
      <c r="Z76" s="3">
        <v>116</v>
      </c>
      <c r="AA76" s="3">
        <v>51.765000000000001</v>
      </c>
      <c r="AB76" s="3">
        <v>64.234999999999999</v>
      </c>
      <c r="AC76" s="3">
        <v>0</v>
      </c>
      <c r="AD76" s="3">
        <f t="shared" si="20"/>
        <v>64.234999999999999</v>
      </c>
      <c r="AE76" s="3">
        <v>0</v>
      </c>
      <c r="AF76" s="3">
        <v>64.234999999999999</v>
      </c>
      <c r="AG76" s="3">
        <v>0</v>
      </c>
      <c r="AH76" s="3">
        <v>0</v>
      </c>
      <c r="AI76" s="3">
        <v>0</v>
      </c>
      <c r="AJ76" s="3">
        <f t="shared" si="21"/>
        <v>64.234999999999999</v>
      </c>
      <c r="AK76" s="1">
        <v>0</v>
      </c>
      <c r="AL76" s="3">
        <f t="shared" si="25"/>
        <v>64.234999999999999</v>
      </c>
      <c r="AM76" s="3">
        <v>0</v>
      </c>
      <c r="AN76" s="3">
        <f t="shared" si="26"/>
        <v>0</v>
      </c>
      <c r="AO76" s="3">
        <f t="shared" si="27"/>
        <v>0</v>
      </c>
      <c r="AP76" s="3">
        <f t="shared" si="16"/>
        <v>0</v>
      </c>
      <c r="AQ76" s="1" t="s">
        <v>270</v>
      </c>
    </row>
    <row r="77" spans="1:43" x14ac:dyDescent="0.35">
      <c r="A77" s="1">
        <v>743</v>
      </c>
      <c r="B77" s="2">
        <v>45902</v>
      </c>
      <c r="C77" s="1" t="s">
        <v>64</v>
      </c>
      <c r="D77" s="1">
        <v>9519072501</v>
      </c>
      <c r="E77" s="1">
        <v>2</v>
      </c>
      <c r="F77" s="1" t="s">
        <v>620</v>
      </c>
      <c r="G77" s="1" t="s">
        <v>1155</v>
      </c>
      <c r="H77" s="1" t="s">
        <v>56</v>
      </c>
      <c r="I77" s="1" t="s">
        <v>969</v>
      </c>
      <c r="K77" s="1" t="s">
        <v>969</v>
      </c>
      <c r="L77" s="1" t="str">
        <f t="shared" si="24"/>
        <v>IPP</v>
      </c>
      <c r="M77" s="1" t="s">
        <v>1228</v>
      </c>
      <c r="N77" s="1" t="s">
        <v>194</v>
      </c>
      <c r="O77" s="1" t="s">
        <v>54</v>
      </c>
      <c r="P77" s="1">
        <v>942186</v>
      </c>
      <c r="Q77" s="1" t="s">
        <v>193</v>
      </c>
      <c r="R77" s="1">
        <v>1882436</v>
      </c>
      <c r="S77" s="1" t="s">
        <v>388</v>
      </c>
      <c r="T77" s="1" t="s">
        <v>60</v>
      </c>
      <c r="U77" s="1" t="s">
        <v>61</v>
      </c>
      <c r="V77" s="1" t="s">
        <v>195</v>
      </c>
      <c r="W77" s="1">
        <v>0.37</v>
      </c>
      <c r="X77" s="1">
        <v>1220</v>
      </c>
      <c r="Y77" s="1">
        <v>0</v>
      </c>
      <c r="Z77" s="3">
        <v>56</v>
      </c>
      <c r="AA77" s="3">
        <v>0</v>
      </c>
      <c r="AB77" s="3">
        <v>56</v>
      </c>
      <c r="AC77" s="3">
        <v>0</v>
      </c>
      <c r="AD77" s="3">
        <f t="shared" si="20"/>
        <v>56</v>
      </c>
      <c r="AE77" s="3">
        <v>0</v>
      </c>
      <c r="AF77" s="3">
        <v>0</v>
      </c>
      <c r="AG77" s="3">
        <v>56</v>
      </c>
      <c r="AH77" s="3">
        <v>0</v>
      </c>
      <c r="AI77" s="3">
        <v>0</v>
      </c>
      <c r="AJ77" s="3">
        <f t="shared" si="21"/>
        <v>56</v>
      </c>
      <c r="AK77" s="1">
        <v>0</v>
      </c>
      <c r="AL77" s="1">
        <v>0</v>
      </c>
      <c r="AM77" s="3">
        <f>AG77</f>
        <v>56</v>
      </c>
      <c r="AN77" s="1">
        <v>0</v>
      </c>
      <c r="AO77" s="1">
        <v>0</v>
      </c>
      <c r="AP77" s="3">
        <f t="shared" si="16"/>
        <v>0</v>
      </c>
      <c r="AQ77" s="1" t="s">
        <v>193</v>
      </c>
    </row>
    <row r="78" spans="1:43" x14ac:dyDescent="0.35">
      <c r="A78" s="1">
        <v>742</v>
      </c>
      <c r="B78" s="2">
        <v>45871</v>
      </c>
      <c r="C78" s="1" t="s">
        <v>64</v>
      </c>
      <c r="D78" s="1">
        <v>9518988288</v>
      </c>
      <c r="E78" s="1">
        <v>3</v>
      </c>
      <c r="F78" s="1" t="s">
        <v>622</v>
      </c>
      <c r="G78" s="1" t="s">
        <v>1367</v>
      </c>
      <c r="H78" s="1" t="s">
        <v>21</v>
      </c>
      <c r="I78" s="1" t="s">
        <v>71</v>
      </c>
      <c r="K78" s="1" t="s">
        <v>970</v>
      </c>
      <c r="L78" s="1" t="str">
        <f t="shared" si="24"/>
        <v>BPRS</v>
      </c>
      <c r="M78" s="1" t="s">
        <v>1230</v>
      </c>
      <c r="N78" s="1" t="s">
        <v>170</v>
      </c>
      <c r="O78" s="1" t="s">
        <v>80</v>
      </c>
      <c r="P78" s="1">
        <v>948783</v>
      </c>
      <c r="Q78" s="1" t="s">
        <v>78</v>
      </c>
      <c r="R78" s="1">
        <v>2427624</v>
      </c>
      <c r="S78" s="1" t="s">
        <v>348</v>
      </c>
      <c r="T78" s="1" t="s">
        <v>75</v>
      </c>
      <c r="U78" s="1" t="s">
        <v>76</v>
      </c>
      <c r="V78" s="1" t="s">
        <v>77</v>
      </c>
      <c r="W78" s="1">
        <v>0.5</v>
      </c>
      <c r="X78" s="1">
        <v>1000</v>
      </c>
      <c r="Y78" s="1">
        <v>2000</v>
      </c>
      <c r="Z78" s="3">
        <v>22.998999999999999</v>
      </c>
      <c r="AA78" s="3">
        <v>22.82</v>
      </c>
      <c r="AB78" s="3">
        <v>0.17899999999999999</v>
      </c>
      <c r="AC78" s="3">
        <v>22.82</v>
      </c>
      <c r="AD78" s="3">
        <f t="shared" si="20"/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f t="shared" si="21"/>
        <v>22.82</v>
      </c>
      <c r="AK78" s="3">
        <f>AC78</f>
        <v>22.82</v>
      </c>
      <c r="AL78" s="1">
        <v>0</v>
      </c>
      <c r="AM78" s="1">
        <v>0</v>
      </c>
      <c r="AN78" s="1">
        <v>0</v>
      </c>
      <c r="AO78" s="1">
        <v>0</v>
      </c>
      <c r="AP78" s="3">
        <f t="shared" si="16"/>
        <v>0</v>
      </c>
      <c r="AQ78" s="1" t="s">
        <v>78</v>
      </c>
    </row>
    <row r="79" spans="1:43" x14ac:dyDescent="0.35">
      <c r="A79" s="1">
        <v>742</v>
      </c>
      <c r="B79" s="2">
        <v>45891</v>
      </c>
      <c r="C79" s="1" t="s">
        <v>64</v>
      </c>
      <c r="D79" s="1">
        <v>9519040469</v>
      </c>
      <c r="E79" s="1">
        <v>5</v>
      </c>
      <c r="F79" s="1" t="s">
        <v>623</v>
      </c>
      <c r="G79" s="1" t="s">
        <v>393</v>
      </c>
      <c r="H79" s="1" t="s">
        <v>21</v>
      </c>
      <c r="I79" s="1" t="s">
        <v>969</v>
      </c>
      <c r="K79" s="1" t="s">
        <v>969</v>
      </c>
      <c r="L79" s="1" t="str">
        <f t="shared" si="24"/>
        <v>IPP</v>
      </c>
      <c r="M79" s="1" t="s">
        <v>1228</v>
      </c>
      <c r="N79" s="1" t="s">
        <v>328</v>
      </c>
      <c r="O79" s="1" t="s">
        <v>173</v>
      </c>
      <c r="P79" s="1">
        <v>189405</v>
      </c>
      <c r="Q79" s="1" t="s">
        <v>327</v>
      </c>
      <c r="R79" s="1">
        <v>2170009</v>
      </c>
      <c r="S79" s="1" t="s">
        <v>377</v>
      </c>
      <c r="T79" s="1" t="s">
        <v>28</v>
      </c>
      <c r="U79" s="1" t="s">
        <v>29</v>
      </c>
      <c r="V79" s="1" t="s">
        <v>101</v>
      </c>
      <c r="W79" s="1">
        <v>1.2</v>
      </c>
      <c r="X79" s="1">
        <v>914</v>
      </c>
      <c r="Y79" s="1">
        <v>0</v>
      </c>
      <c r="Z79" s="3">
        <v>42</v>
      </c>
      <c r="AA79" s="3">
        <v>0</v>
      </c>
      <c r="AB79" s="3">
        <v>42</v>
      </c>
      <c r="AC79" s="3">
        <v>0</v>
      </c>
      <c r="AD79" s="3">
        <f t="shared" si="20"/>
        <v>42</v>
      </c>
      <c r="AE79" s="3">
        <v>42</v>
      </c>
      <c r="AF79" s="3">
        <v>0</v>
      </c>
      <c r="AG79" s="3">
        <v>0</v>
      </c>
      <c r="AH79" s="3">
        <v>0</v>
      </c>
      <c r="AI79" s="3">
        <v>0</v>
      </c>
      <c r="AJ79" s="3">
        <f t="shared" si="21"/>
        <v>42</v>
      </c>
      <c r="AK79" s="1">
        <v>0</v>
      </c>
      <c r="AL79" s="3">
        <f>AE79</f>
        <v>42</v>
      </c>
      <c r="AM79" s="1">
        <v>0</v>
      </c>
      <c r="AN79" s="1">
        <v>0</v>
      </c>
      <c r="AO79" s="1">
        <v>0</v>
      </c>
      <c r="AP79" s="3">
        <f t="shared" si="16"/>
        <v>0</v>
      </c>
      <c r="AQ79" s="1" t="s">
        <v>327</v>
      </c>
    </row>
    <row r="80" spans="1:43" x14ac:dyDescent="0.35">
      <c r="A80" s="1">
        <v>743</v>
      </c>
      <c r="B80" s="2">
        <v>45891</v>
      </c>
      <c r="C80" s="1" t="s">
        <v>64</v>
      </c>
      <c r="D80" s="1">
        <v>9519037676</v>
      </c>
      <c r="E80" s="1">
        <v>1</v>
      </c>
      <c r="F80" s="1" t="s">
        <v>626</v>
      </c>
      <c r="G80" s="1" t="s">
        <v>1155</v>
      </c>
      <c r="H80" s="1" t="s">
        <v>63</v>
      </c>
      <c r="I80" s="1" t="s">
        <v>1368</v>
      </c>
      <c r="K80" s="1" t="s">
        <v>970</v>
      </c>
      <c r="L80" s="1" t="str">
        <f t="shared" si="24"/>
        <v>BPRS</v>
      </c>
      <c r="M80" s="1" t="s">
        <v>1229</v>
      </c>
      <c r="N80" s="1" t="s">
        <v>137</v>
      </c>
      <c r="O80" s="1" t="s">
        <v>58</v>
      </c>
      <c r="P80" s="1">
        <v>822271</v>
      </c>
      <c r="Q80" s="1" t="s">
        <v>24</v>
      </c>
      <c r="R80" s="1">
        <v>1851847</v>
      </c>
      <c r="S80" s="1" t="s">
        <v>236</v>
      </c>
      <c r="T80" s="1" t="s">
        <v>139</v>
      </c>
      <c r="U80" s="1" t="s">
        <v>212</v>
      </c>
      <c r="V80" s="1" t="s">
        <v>237</v>
      </c>
      <c r="W80" s="1">
        <v>0.3</v>
      </c>
      <c r="X80" s="1">
        <v>1220</v>
      </c>
      <c r="Y80" s="1">
        <v>0</v>
      </c>
      <c r="Z80" s="3">
        <v>280</v>
      </c>
      <c r="AA80" s="3">
        <v>196.245</v>
      </c>
      <c r="AB80" s="3">
        <v>83.754999999999995</v>
      </c>
      <c r="AC80" s="3">
        <v>0</v>
      </c>
      <c r="AD80" s="3">
        <f t="shared" si="20"/>
        <v>83.754999999999995</v>
      </c>
      <c r="AE80" s="3">
        <v>0</v>
      </c>
      <c r="AF80" s="3">
        <v>83.754999999999995</v>
      </c>
      <c r="AG80" s="3">
        <v>0</v>
      </c>
      <c r="AH80" s="3">
        <v>0</v>
      </c>
      <c r="AI80" s="3">
        <v>0</v>
      </c>
      <c r="AJ80" s="3">
        <f t="shared" si="21"/>
        <v>83.754999999999995</v>
      </c>
      <c r="AK80" s="1">
        <v>0</v>
      </c>
      <c r="AL80" s="3">
        <f>AF80</f>
        <v>83.754999999999995</v>
      </c>
      <c r="AM80" s="1">
        <v>0</v>
      </c>
      <c r="AN80" s="1">
        <v>0</v>
      </c>
      <c r="AO80" s="1">
        <v>0</v>
      </c>
      <c r="AP80" s="3">
        <f t="shared" si="16"/>
        <v>0</v>
      </c>
      <c r="AQ80" s="1" t="s">
        <v>24</v>
      </c>
    </row>
    <row r="81" spans="1:43" x14ac:dyDescent="0.35">
      <c r="A81" s="1">
        <v>743</v>
      </c>
      <c r="B81" s="2">
        <v>45867</v>
      </c>
      <c r="C81" s="1" t="s">
        <v>64</v>
      </c>
      <c r="D81" s="1">
        <v>9518973099</v>
      </c>
      <c r="E81" s="1">
        <v>1</v>
      </c>
      <c r="F81" s="1" t="s">
        <v>627</v>
      </c>
      <c r="G81" s="1" t="s">
        <v>255</v>
      </c>
      <c r="H81" s="1" t="s">
        <v>63</v>
      </c>
      <c r="I81" s="1" t="s">
        <v>1292</v>
      </c>
      <c r="K81" s="1" t="s">
        <v>970</v>
      </c>
      <c r="L81" s="1" t="str">
        <f t="shared" si="24"/>
        <v>BPRS</v>
      </c>
      <c r="M81" s="1" t="s">
        <v>1230</v>
      </c>
      <c r="N81" s="1" t="s">
        <v>395</v>
      </c>
      <c r="O81" s="1" t="s">
        <v>80</v>
      </c>
      <c r="P81" s="1">
        <v>103671</v>
      </c>
      <c r="Q81" s="1" t="s">
        <v>394</v>
      </c>
      <c r="R81" s="1">
        <v>3708867</v>
      </c>
      <c r="S81" s="1" t="s">
        <v>316</v>
      </c>
      <c r="T81" s="1" t="s">
        <v>68</v>
      </c>
      <c r="U81" s="1" t="s">
        <v>69</v>
      </c>
      <c r="V81" s="1" t="s">
        <v>70</v>
      </c>
      <c r="W81" s="1">
        <v>0.3</v>
      </c>
      <c r="X81" s="1">
        <v>900</v>
      </c>
      <c r="Y81" s="1">
        <v>0</v>
      </c>
      <c r="Z81" s="3">
        <v>42</v>
      </c>
      <c r="AA81" s="3">
        <v>0</v>
      </c>
      <c r="AB81" s="3">
        <v>42</v>
      </c>
      <c r="AC81" s="3">
        <v>0</v>
      </c>
      <c r="AD81" s="3">
        <f t="shared" si="20"/>
        <v>42</v>
      </c>
      <c r="AE81" s="3">
        <v>42</v>
      </c>
      <c r="AF81" s="3">
        <v>0</v>
      </c>
      <c r="AG81" s="3">
        <v>0</v>
      </c>
      <c r="AH81" s="3">
        <v>0</v>
      </c>
      <c r="AI81" s="3">
        <v>0</v>
      </c>
      <c r="AJ81" s="3">
        <f t="shared" si="21"/>
        <v>42</v>
      </c>
      <c r="AK81" s="3">
        <f>AE81</f>
        <v>42</v>
      </c>
      <c r="AL81" s="1">
        <v>0</v>
      </c>
      <c r="AM81" s="1">
        <v>0</v>
      </c>
      <c r="AN81" s="1">
        <v>0</v>
      </c>
      <c r="AO81" s="1">
        <v>0</v>
      </c>
      <c r="AP81" s="3">
        <f t="shared" si="16"/>
        <v>0</v>
      </c>
      <c r="AQ81" s="1" t="s">
        <v>394</v>
      </c>
    </row>
    <row r="82" spans="1:43" x14ac:dyDescent="0.35">
      <c r="A82" s="1">
        <v>742</v>
      </c>
      <c r="B82" s="2">
        <v>45856</v>
      </c>
      <c r="C82" s="1" t="s">
        <v>64</v>
      </c>
      <c r="D82" s="1">
        <v>9518940039</v>
      </c>
      <c r="E82" s="1">
        <v>3</v>
      </c>
      <c r="F82" s="1" t="s">
        <v>629</v>
      </c>
      <c r="G82" s="1" t="s">
        <v>1155</v>
      </c>
      <c r="H82" s="1" t="s">
        <v>21</v>
      </c>
      <c r="I82" s="1" t="s">
        <v>22</v>
      </c>
      <c r="K82" s="1" t="s">
        <v>970</v>
      </c>
      <c r="L82" s="1" t="str">
        <f t="shared" si="24"/>
        <v>BPRS</v>
      </c>
      <c r="M82" s="1" t="s">
        <v>1229</v>
      </c>
      <c r="N82" s="1" t="s">
        <v>35</v>
      </c>
      <c r="O82" s="1" t="s">
        <v>32</v>
      </c>
      <c r="P82" s="1">
        <v>939268</v>
      </c>
      <c r="Q82" s="1" t="s">
        <v>24</v>
      </c>
      <c r="R82" s="1">
        <v>1804772</v>
      </c>
      <c r="S82" s="1" t="s">
        <v>271</v>
      </c>
      <c r="T82" s="1" t="s">
        <v>28</v>
      </c>
      <c r="U82" s="1" t="s">
        <v>29</v>
      </c>
      <c r="V82" s="1" t="s">
        <v>30</v>
      </c>
      <c r="W82" s="1">
        <v>0.4</v>
      </c>
      <c r="X82" s="1">
        <v>1250</v>
      </c>
      <c r="Y82" s="1">
        <v>0</v>
      </c>
      <c r="Z82" s="3">
        <v>145</v>
      </c>
      <c r="AA82" s="3">
        <v>0</v>
      </c>
      <c r="AB82" s="3">
        <v>145</v>
      </c>
      <c r="AC82" s="3">
        <v>0</v>
      </c>
      <c r="AD82" s="3">
        <f t="shared" ref="AD82:AD108" si="28">SUM(AE82:AI82)</f>
        <v>145</v>
      </c>
      <c r="AE82" s="3">
        <v>0</v>
      </c>
      <c r="AF82" s="3">
        <v>145</v>
      </c>
      <c r="AG82" s="3">
        <v>0</v>
      </c>
      <c r="AH82" s="3">
        <v>0</v>
      </c>
      <c r="AI82" s="3">
        <v>0</v>
      </c>
      <c r="AJ82" s="3">
        <f t="shared" ref="AJ82:AJ108" si="29">SUM(AK82:AO82)</f>
        <v>145</v>
      </c>
      <c r="AK82" s="1">
        <v>0</v>
      </c>
      <c r="AL82" s="3">
        <f>AF82</f>
        <v>145</v>
      </c>
      <c r="AM82" s="3">
        <v>0</v>
      </c>
      <c r="AN82" s="3">
        <f t="shared" ref="AN82:AN84" si="30">AG82</f>
        <v>0</v>
      </c>
      <c r="AO82" s="3">
        <f t="shared" ref="AO82:AO84" si="31">AH82</f>
        <v>0</v>
      </c>
      <c r="AP82" s="3">
        <f t="shared" si="16"/>
        <v>0</v>
      </c>
      <c r="AQ82" s="1" t="s">
        <v>24</v>
      </c>
    </row>
    <row r="83" spans="1:43" x14ac:dyDescent="0.35">
      <c r="A83" s="1">
        <v>742</v>
      </c>
      <c r="B83" s="2">
        <v>45856</v>
      </c>
      <c r="C83" s="1" t="s">
        <v>64</v>
      </c>
      <c r="D83" s="1">
        <v>9518940039</v>
      </c>
      <c r="E83" s="1">
        <v>4</v>
      </c>
      <c r="F83" s="1" t="s">
        <v>630</v>
      </c>
      <c r="G83" s="1" t="s">
        <v>1155</v>
      </c>
      <c r="H83" s="1" t="s">
        <v>21</v>
      </c>
      <c r="I83" s="1" t="s">
        <v>22</v>
      </c>
      <c r="K83" s="1" t="s">
        <v>970</v>
      </c>
      <c r="L83" s="1" t="str">
        <f t="shared" si="24"/>
        <v>BPRS</v>
      </c>
      <c r="M83" s="1" t="s">
        <v>1229</v>
      </c>
      <c r="N83" s="1" t="s">
        <v>35</v>
      </c>
      <c r="O83" s="1" t="s">
        <v>32</v>
      </c>
      <c r="P83" s="1">
        <v>939268</v>
      </c>
      <c r="Q83" s="1" t="s">
        <v>24</v>
      </c>
      <c r="R83" s="1">
        <v>1801022</v>
      </c>
      <c r="S83" s="1" t="s">
        <v>196</v>
      </c>
      <c r="T83" s="1" t="s">
        <v>28</v>
      </c>
      <c r="U83" s="1" t="s">
        <v>29</v>
      </c>
      <c r="V83" s="1" t="s">
        <v>30</v>
      </c>
      <c r="W83" s="1">
        <v>0.45</v>
      </c>
      <c r="X83" s="1">
        <v>1250</v>
      </c>
      <c r="Y83" s="1">
        <v>0</v>
      </c>
      <c r="Z83" s="3">
        <v>87</v>
      </c>
      <c r="AA83" s="3">
        <v>0</v>
      </c>
      <c r="AB83" s="3">
        <v>87</v>
      </c>
      <c r="AC83" s="3">
        <v>0</v>
      </c>
      <c r="AD83" s="3">
        <f t="shared" si="28"/>
        <v>87</v>
      </c>
      <c r="AE83" s="3">
        <v>0</v>
      </c>
      <c r="AF83" s="3">
        <v>0</v>
      </c>
      <c r="AG83" s="3">
        <v>87</v>
      </c>
      <c r="AH83" s="3">
        <v>0</v>
      </c>
      <c r="AI83" s="3">
        <v>0</v>
      </c>
      <c r="AJ83" s="3">
        <f t="shared" si="29"/>
        <v>87</v>
      </c>
      <c r="AK83" s="1">
        <v>0</v>
      </c>
      <c r="AL83" s="3">
        <f t="shared" ref="AL83:AL84" si="32">AE83</f>
        <v>0</v>
      </c>
      <c r="AM83" s="3">
        <f t="shared" ref="AM83:AM84" si="33">AF83</f>
        <v>0</v>
      </c>
      <c r="AN83" s="3">
        <f t="shared" si="30"/>
        <v>87</v>
      </c>
      <c r="AO83" s="3">
        <f t="shared" si="31"/>
        <v>0</v>
      </c>
      <c r="AP83" s="3">
        <f t="shared" si="16"/>
        <v>0</v>
      </c>
      <c r="AQ83" s="1" t="s">
        <v>24</v>
      </c>
    </row>
    <row r="84" spans="1:43" x14ac:dyDescent="0.35">
      <c r="A84" s="1">
        <v>742</v>
      </c>
      <c r="B84" s="2">
        <v>45856</v>
      </c>
      <c r="C84" s="1" t="s">
        <v>64</v>
      </c>
      <c r="D84" s="1">
        <v>9518940039</v>
      </c>
      <c r="E84" s="1">
        <v>5</v>
      </c>
      <c r="F84" s="1" t="s">
        <v>631</v>
      </c>
      <c r="G84" s="1" t="s">
        <v>1155</v>
      </c>
      <c r="H84" s="1" t="s">
        <v>21</v>
      </c>
      <c r="I84" s="1" t="s">
        <v>22</v>
      </c>
      <c r="K84" s="1" t="s">
        <v>970</v>
      </c>
      <c r="L84" s="1" t="str">
        <f t="shared" si="24"/>
        <v>BPRS</v>
      </c>
      <c r="M84" s="1" t="s">
        <v>1229</v>
      </c>
      <c r="N84" s="1" t="s">
        <v>35</v>
      </c>
      <c r="O84" s="1" t="s">
        <v>32</v>
      </c>
      <c r="P84" s="1">
        <v>939268</v>
      </c>
      <c r="Q84" s="1" t="s">
        <v>24</v>
      </c>
      <c r="R84" s="1">
        <v>185675</v>
      </c>
      <c r="S84" s="1" t="s">
        <v>272</v>
      </c>
      <c r="T84" s="1" t="s">
        <v>28</v>
      </c>
      <c r="U84" s="1" t="s">
        <v>29</v>
      </c>
      <c r="V84" s="1" t="s">
        <v>30</v>
      </c>
      <c r="W84" s="1">
        <v>0.5</v>
      </c>
      <c r="X84" s="1">
        <v>1250</v>
      </c>
      <c r="Y84" s="1">
        <v>0</v>
      </c>
      <c r="Z84" s="3">
        <v>203</v>
      </c>
      <c r="AA84" s="3">
        <v>24.08</v>
      </c>
      <c r="AB84" s="3">
        <v>178.92</v>
      </c>
      <c r="AC84" s="3">
        <v>0</v>
      </c>
      <c r="AD84" s="3">
        <f t="shared" si="28"/>
        <v>178.92</v>
      </c>
      <c r="AE84" s="3">
        <v>0</v>
      </c>
      <c r="AF84" s="3">
        <v>0</v>
      </c>
      <c r="AG84" s="3">
        <v>178.92</v>
      </c>
      <c r="AH84" s="3">
        <v>0</v>
      </c>
      <c r="AI84" s="3">
        <v>0</v>
      </c>
      <c r="AJ84" s="3">
        <f t="shared" si="29"/>
        <v>178.92</v>
      </c>
      <c r="AK84" s="1">
        <v>0</v>
      </c>
      <c r="AL84" s="3">
        <f t="shared" si="32"/>
        <v>0</v>
      </c>
      <c r="AM84" s="3">
        <f t="shared" si="33"/>
        <v>0</v>
      </c>
      <c r="AN84" s="3">
        <f t="shared" si="30"/>
        <v>178.92</v>
      </c>
      <c r="AO84" s="3">
        <f t="shared" si="31"/>
        <v>0</v>
      </c>
      <c r="AP84" s="3">
        <f t="shared" si="16"/>
        <v>0</v>
      </c>
      <c r="AQ84" s="1" t="s">
        <v>24</v>
      </c>
    </row>
    <row r="85" spans="1:43" x14ac:dyDescent="0.35">
      <c r="A85" s="1">
        <v>743</v>
      </c>
      <c r="B85" s="2">
        <v>45902</v>
      </c>
      <c r="C85" s="1" t="s">
        <v>64</v>
      </c>
      <c r="D85" s="1">
        <v>9519073218</v>
      </c>
      <c r="E85" s="1">
        <v>3</v>
      </c>
      <c r="F85" s="1" t="s">
        <v>632</v>
      </c>
      <c r="G85" s="1" t="s">
        <v>1367</v>
      </c>
      <c r="H85" s="1" t="s">
        <v>63</v>
      </c>
      <c r="I85" s="1" t="s">
        <v>1368</v>
      </c>
      <c r="K85" s="1" t="s">
        <v>970</v>
      </c>
      <c r="L85" s="1" t="str">
        <f t="shared" si="24"/>
        <v>BPRS</v>
      </c>
      <c r="M85" s="1" t="s">
        <v>1231</v>
      </c>
      <c r="N85" s="1" t="s">
        <v>96</v>
      </c>
      <c r="O85" s="1" t="s">
        <v>97</v>
      </c>
      <c r="P85" s="1">
        <v>933952</v>
      </c>
      <c r="Q85" s="1" t="s">
        <v>95</v>
      </c>
      <c r="R85" s="1">
        <v>2428450</v>
      </c>
      <c r="S85" s="1" t="s">
        <v>396</v>
      </c>
      <c r="T85" s="1" t="s">
        <v>139</v>
      </c>
      <c r="U85" s="1" t="s">
        <v>140</v>
      </c>
      <c r="V85" s="1" t="s">
        <v>150</v>
      </c>
      <c r="W85" s="1">
        <v>0.35</v>
      </c>
      <c r="X85" s="1">
        <v>1250</v>
      </c>
      <c r="Y85" s="1">
        <v>0</v>
      </c>
      <c r="Z85" s="3">
        <v>29</v>
      </c>
      <c r="AA85" s="3">
        <v>22.47</v>
      </c>
      <c r="AB85" s="3">
        <v>6.43</v>
      </c>
      <c r="AC85" s="3">
        <v>11.295</v>
      </c>
      <c r="AD85" s="3">
        <f t="shared" si="28"/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f t="shared" si="29"/>
        <v>11.295</v>
      </c>
      <c r="AK85" s="3">
        <f>AC85</f>
        <v>11.295</v>
      </c>
      <c r="AL85" s="1">
        <v>0</v>
      </c>
      <c r="AM85" s="1">
        <v>0</v>
      </c>
      <c r="AN85" s="1">
        <v>0</v>
      </c>
      <c r="AO85" s="1">
        <v>0</v>
      </c>
      <c r="AP85" s="3">
        <f t="shared" si="16"/>
        <v>0</v>
      </c>
      <c r="AQ85" s="1" t="s">
        <v>95</v>
      </c>
    </row>
    <row r="86" spans="1:43" x14ac:dyDescent="0.35">
      <c r="A86" s="1">
        <v>742</v>
      </c>
      <c r="B86" s="2">
        <v>45917</v>
      </c>
      <c r="C86" s="1" t="s">
        <v>64</v>
      </c>
      <c r="D86" s="1">
        <v>9519113382</v>
      </c>
      <c r="E86" s="1">
        <v>1</v>
      </c>
      <c r="F86" s="1" t="s">
        <v>633</v>
      </c>
      <c r="G86" s="1" t="s">
        <v>1155</v>
      </c>
      <c r="H86" s="1" t="s">
        <v>21</v>
      </c>
      <c r="I86" s="1" t="s">
        <v>71</v>
      </c>
      <c r="K86" s="1" t="s">
        <v>970</v>
      </c>
      <c r="L86" s="1" t="str">
        <f t="shared" si="24"/>
        <v>BPRS</v>
      </c>
      <c r="M86" s="1" t="s">
        <v>1228</v>
      </c>
      <c r="N86" s="1" t="s">
        <v>242</v>
      </c>
      <c r="O86" s="1" t="s">
        <v>243</v>
      </c>
      <c r="P86" s="1">
        <v>116137</v>
      </c>
      <c r="Q86" s="1" t="s">
        <v>241</v>
      </c>
      <c r="R86" s="1">
        <v>3240765</v>
      </c>
      <c r="S86" s="1" t="s">
        <v>381</v>
      </c>
      <c r="T86" s="1" t="s">
        <v>75</v>
      </c>
      <c r="U86" s="1" t="s">
        <v>76</v>
      </c>
      <c r="V86" s="1" t="s">
        <v>77</v>
      </c>
      <c r="W86" s="1">
        <v>0.5</v>
      </c>
      <c r="X86" s="1">
        <v>1250</v>
      </c>
      <c r="Y86" s="1">
        <v>2500</v>
      </c>
      <c r="Z86" s="3">
        <v>29</v>
      </c>
      <c r="AA86" s="3">
        <v>0</v>
      </c>
      <c r="AB86" s="3">
        <v>29</v>
      </c>
      <c r="AC86" s="3">
        <v>0</v>
      </c>
      <c r="AD86" s="3">
        <f t="shared" si="28"/>
        <v>29</v>
      </c>
      <c r="AE86" s="3">
        <v>0</v>
      </c>
      <c r="AF86" s="3">
        <v>0</v>
      </c>
      <c r="AG86" s="3">
        <v>29</v>
      </c>
      <c r="AH86" s="3">
        <v>0</v>
      </c>
      <c r="AI86" s="3">
        <v>0</v>
      </c>
      <c r="AJ86" s="3">
        <f t="shared" si="29"/>
        <v>29</v>
      </c>
      <c r="AK86" s="1">
        <v>0</v>
      </c>
      <c r="AL86" s="3">
        <f t="shared" ref="AL86:AL87" si="34">AE86</f>
        <v>0</v>
      </c>
      <c r="AM86" s="3">
        <f t="shared" ref="AM86:AM87" si="35">AG86</f>
        <v>29</v>
      </c>
      <c r="AN86" s="3">
        <v>0</v>
      </c>
      <c r="AO86" s="3">
        <f t="shared" ref="AO86:AO87" si="36">AH86</f>
        <v>0</v>
      </c>
      <c r="AP86" s="3">
        <f t="shared" si="16"/>
        <v>0</v>
      </c>
      <c r="AQ86" s="1" t="s">
        <v>241</v>
      </c>
    </row>
    <row r="87" spans="1:43" x14ac:dyDescent="0.35">
      <c r="A87" s="1">
        <v>742</v>
      </c>
      <c r="B87" s="2">
        <v>45917</v>
      </c>
      <c r="C87" s="1" t="s">
        <v>64</v>
      </c>
      <c r="D87" s="1">
        <v>9519113382</v>
      </c>
      <c r="E87" s="1">
        <v>2</v>
      </c>
      <c r="F87" s="1" t="s">
        <v>634</v>
      </c>
      <c r="G87" s="1" t="s">
        <v>1155</v>
      </c>
      <c r="H87" s="1" t="s">
        <v>21</v>
      </c>
      <c r="I87" s="1" t="s">
        <v>71</v>
      </c>
      <c r="K87" s="1" t="s">
        <v>970</v>
      </c>
      <c r="L87" s="1" t="str">
        <f t="shared" si="24"/>
        <v>BPRS</v>
      </c>
      <c r="M87" s="1" t="s">
        <v>1228</v>
      </c>
      <c r="N87" s="1" t="s">
        <v>242</v>
      </c>
      <c r="O87" s="1" t="s">
        <v>243</v>
      </c>
      <c r="P87" s="1">
        <v>116137</v>
      </c>
      <c r="Q87" s="1" t="s">
        <v>241</v>
      </c>
      <c r="R87" s="1">
        <v>3240793</v>
      </c>
      <c r="S87" s="1" t="s">
        <v>181</v>
      </c>
      <c r="T87" s="1" t="s">
        <v>75</v>
      </c>
      <c r="U87" s="1" t="s">
        <v>76</v>
      </c>
      <c r="V87" s="1" t="s">
        <v>77</v>
      </c>
      <c r="W87" s="1">
        <v>0.7</v>
      </c>
      <c r="X87" s="1">
        <v>1250</v>
      </c>
      <c r="Y87" s="1">
        <v>2500</v>
      </c>
      <c r="Z87" s="3">
        <v>87</v>
      </c>
      <c r="AA87" s="3">
        <v>0</v>
      </c>
      <c r="AB87" s="3">
        <v>87</v>
      </c>
      <c r="AC87" s="3">
        <v>0</v>
      </c>
      <c r="AD87" s="3">
        <f t="shared" si="28"/>
        <v>87</v>
      </c>
      <c r="AE87" s="3">
        <v>0</v>
      </c>
      <c r="AF87" s="3">
        <v>0</v>
      </c>
      <c r="AG87" s="3">
        <v>87</v>
      </c>
      <c r="AH87" s="3">
        <v>0</v>
      </c>
      <c r="AI87" s="3">
        <v>0</v>
      </c>
      <c r="AJ87" s="3">
        <f t="shared" si="29"/>
        <v>87</v>
      </c>
      <c r="AK87" s="1">
        <v>0</v>
      </c>
      <c r="AL87" s="3">
        <f t="shared" si="34"/>
        <v>0</v>
      </c>
      <c r="AM87" s="3">
        <f t="shared" si="35"/>
        <v>87</v>
      </c>
      <c r="AN87" s="3">
        <v>0</v>
      </c>
      <c r="AO87" s="3">
        <f t="shared" si="36"/>
        <v>0</v>
      </c>
      <c r="AP87" s="3">
        <f t="shared" ref="AP87:AP118" si="37">(AC87+AD87)-AJ87</f>
        <v>0</v>
      </c>
      <c r="AQ87" s="1" t="s">
        <v>241</v>
      </c>
    </row>
    <row r="88" spans="1:43" x14ac:dyDescent="0.35">
      <c r="A88" s="1">
        <v>742</v>
      </c>
      <c r="B88" s="2">
        <v>45856</v>
      </c>
      <c r="C88" s="1" t="s">
        <v>64</v>
      </c>
      <c r="D88" s="1">
        <v>9518939680</v>
      </c>
      <c r="E88" s="1">
        <v>19</v>
      </c>
      <c r="F88" s="1" t="s">
        <v>636</v>
      </c>
      <c r="G88" s="1" t="s">
        <v>393</v>
      </c>
      <c r="H88" s="1" t="s">
        <v>21</v>
      </c>
      <c r="I88" s="1" t="s">
        <v>22</v>
      </c>
      <c r="K88" s="1" t="s">
        <v>970</v>
      </c>
      <c r="L88" s="1" t="str">
        <f t="shared" si="24"/>
        <v>BPRS</v>
      </c>
      <c r="M88" s="1" t="s">
        <v>1229</v>
      </c>
      <c r="N88" s="1" t="s">
        <v>137</v>
      </c>
      <c r="O88" s="1" t="s">
        <v>58</v>
      </c>
      <c r="P88" s="1">
        <v>938550</v>
      </c>
      <c r="Q88" s="1" t="s">
        <v>221</v>
      </c>
      <c r="R88" s="1">
        <v>1804770</v>
      </c>
      <c r="S88" s="1" t="s">
        <v>404</v>
      </c>
      <c r="T88" s="1" t="s">
        <v>28</v>
      </c>
      <c r="U88" s="1" t="s">
        <v>29</v>
      </c>
      <c r="V88" s="1" t="s">
        <v>30</v>
      </c>
      <c r="W88" s="1">
        <v>0.4</v>
      </c>
      <c r="X88" s="1">
        <v>900</v>
      </c>
      <c r="Y88" s="1">
        <v>0</v>
      </c>
      <c r="Z88" s="3">
        <v>42</v>
      </c>
      <c r="AA88" s="3">
        <v>0</v>
      </c>
      <c r="AB88" s="3">
        <v>42</v>
      </c>
      <c r="AC88" s="3">
        <v>0</v>
      </c>
      <c r="AD88" s="3">
        <f t="shared" si="28"/>
        <v>42</v>
      </c>
      <c r="AE88" s="3">
        <v>0</v>
      </c>
      <c r="AF88" s="3">
        <v>42</v>
      </c>
      <c r="AG88" s="3">
        <v>0</v>
      </c>
      <c r="AH88" s="3">
        <v>0</v>
      </c>
      <c r="AI88" s="3">
        <v>0</v>
      </c>
      <c r="AJ88" s="3">
        <f t="shared" si="29"/>
        <v>42</v>
      </c>
      <c r="AK88" s="1">
        <v>0</v>
      </c>
      <c r="AL88" s="3">
        <f>AF88</f>
        <v>42</v>
      </c>
      <c r="AM88" s="3">
        <v>0</v>
      </c>
      <c r="AN88" s="3">
        <f>AG88</f>
        <v>0</v>
      </c>
      <c r="AO88" s="3">
        <f>AH88</f>
        <v>0</v>
      </c>
      <c r="AP88" s="3">
        <f t="shared" si="37"/>
        <v>0</v>
      </c>
      <c r="AQ88" s="1" t="s">
        <v>221</v>
      </c>
    </row>
    <row r="89" spans="1:43" x14ac:dyDescent="0.35">
      <c r="A89" s="1">
        <v>743</v>
      </c>
      <c r="B89" s="2">
        <v>45843</v>
      </c>
      <c r="C89" s="1" t="s">
        <v>64</v>
      </c>
      <c r="D89" s="1">
        <v>9518908638</v>
      </c>
      <c r="E89" s="1">
        <v>1</v>
      </c>
      <c r="F89" s="1" t="s">
        <v>637</v>
      </c>
      <c r="G89" s="1" t="s">
        <v>393</v>
      </c>
      <c r="H89" s="1" t="s">
        <v>63</v>
      </c>
      <c r="I89" s="1" t="s">
        <v>1292</v>
      </c>
      <c r="K89" s="1" t="s">
        <v>970</v>
      </c>
      <c r="L89" s="1" t="str">
        <f t="shared" si="24"/>
        <v>BPRS</v>
      </c>
      <c r="M89" s="1" t="s">
        <v>1231</v>
      </c>
      <c r="N89" s="1" t="s">
        <v>331</v>
      </c>
      <c r="O89" s="1" t="s">
        <v>258</v>
      </c>
      <c r="P89" s="1">
        <v>115190</v>
      </c>
      <c r="Q89" s="1" t="s">
        <v>330</v>
      </c>
      <c r="R89" s="1">
        <v>3897501</v>
      </c>
      <c r="S89" s="1" t="s">
        <v>405</v>
      </c>
      <c r="T89" s="1" t="s">
        <v>68</v>
      </c>
      <c r="U89" s="1" t="s">
        <v>406</v>
      </c>
      <c r="V89" s="1" t="s">
        <v>407</v>
      </c>
      <c r="W89" s="1">
        <v>0.5</v>
      </c>
      <c r="X89" s="1">
        <v>900</v>
      </c>
      <c r="Y89" s="1">
        <v>0</v>
      </c>
      <c r="Z89" s="3">
        <v>42</v>
      </c>
      <c r="AA89" s="3">
        <v>19.484999999999999</v>
      </c>
      <c r="AB89" s="3">
        <v>22.515000000000001</v>
      </c>
      <c r="AC89" s="3">
        <v>0</v>
      </c>
      <c r="AD89" s="3">
        <f t="shared" si="28"/>
        <v>22.515000000000001</v>
      </c>
      <c r="AE89" s="3">
        <v>0</v>
      </c>
      <c r="AF89" s="3">
        <v>0</v>
      </c>
      <c r="AG89" s="3">
        <v>0</v>
      </c>
      <c r="AH89" s="3">
        <v>0</v>
      </c>
      <c r="AI89" s="3">
        <v>22.515000000000001</v>
      </c>
      <c r="AJ89" s="3">
        <f t="shared" si="29"/>
        <v>22.515000000000001</v>
      </c>
      <c r="AK89" s="1">
        <v>0</v>
      </c>
      <c r="AL89" s="1">
        <v>0</v>
      </c>
      <c r="AM89" s="1">
        <v>0</v>
      </c>
      <c r="AN89" s="1">
        <v>0</v>
      </c>
      <c r="AO89" s="3">
        <f>AI89</f>
        <v>22.515000000000001</v>
      </c>
      <c r="AP89" s="3">
        <f t="shared" si="37"/>
        <v>0</v>
      </c>
      <c r="AQ89" s="1" t="s">
        <v>330</v>
      </c>
    </row>
    <row r="90" spans="1:43" x14ac:dyDescent="0.35">
      <c r="A90" s="1">
        <v>743</v>
      </c>
      <c r="B90" s="2">
        <v>45889</v>
      </c>
      <c r="C90" s="1" t="s">
        <v>64</v>
      </c>
      <c r="D90" s="1">
        <v>9519031945</v>
      </c>
      <c r="E90" s="1">
        <v>1</v>
      </c>
      <c r="F90" s="1" t="s">
        <v>638</v>
      </c>
      <c r="G90" s="1" t="s">
        <v>1367</v>
      </c>
      <c r="H90" s="1" t="s">
        <v>63</v>
      </c>
      <c r="I90" s="1" t="s">
        <v>1404</v>
      </c>
      <c r="K90" s="1" t="s">
        <v>970</v>
      </c>
      <c r="L90" s="1" t="str">
        <f t="shared" si="24"/>
        <v>BPRS</v>
      </c>
      <c r="M90" s="1" t="s">
        <v>1230</v>
      </c>
      <c r="N90" s="1" t="s">
        <v>92</v>
      </c>
      <c r="O90" s="1" t="s">
        <v>93</v>
      </c>
      <c r="P90" s="1">
        <v>117061</v>
      </c>
      <c r="Q90" s="1" t="s">
        <v>91</v>
      </c>
      <c r="R90" s="1">
        <v>3484324</v>
      </c>
      <c r="S90" s="1" t="s">
        <v>379</v>
      </c>
      <c r="T90" s="1" t="s">
        <v>169</v>
      </c>
      <c r="U90" s="1" t="s">
        <v>140</v>
      </c>
      <c r="V90" s="1" t="s">
        <v>150</v>
      </c>
      <c r="W90" s="1">
        <v>0.3</v>
      </c>
      <c r="X90" s="1">
        <v>900</v>
      </c>
      <c r="Y90" s="1">
        <v>2500</v>
      </c>
      <c r="Z90" s="3">
        <v>90</v>
      </c>
      <c r="AA90" s="3">
        <v>88.944999999999993</v>
      </c>
      <c r="AB90" s="3">
        <v>1.0549999999999999</v>
      </c>
      <c r="AC90" s="3">
        <v>22.995000000000001</v>
      </c>
      <c r="AD90" s="3">
        <f t="shared" si="28"/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f t="shared" si="29"/>
        <v>22.995000000000001</v>
      </c>
      <c r="AK90" s="3">
        <f>AC90</f>
        <v>22.995000000000001</v>
      </c>
      <c r="AL90" s="1">
        <v>0</v>
      </c>
      <c r="AM90" s="1">
        <v>0</v>
      </c>
      <c r="AN90" s="1">
        <v>0</v>
      </c>
      <c r="AO90" s="1">
        <v>0</v>
      </c>
      <c r="AP90" s="3">
        <f t="shared" si="37"/>
        <v>0</v>
      </c>
      <c r="AQ90" s="1" t="s">
        <v>91</v>
      </c>
    </row>
    <row r="91" spans="1:43" x14ac:dyDescent="0.35">
      <c r="A91" s="1">
        <v>742</v>
      </c>
      <c r="B91" s="2">
        <v>45861</v>
      </c>
      <c r="C91" s="1" t="s">
        <v>64</v>
      </c>
      <c r="D91" s="1">
        <v>9518951771</v>
      </c>
      <c r="E91" s="1">
        <v>2</v>
      </c>
      <c r="F91" s="1" t="s">
        <v>640</v>
      </c>
      <c r="G91" s="1" t="s">
        <v>393</v>
      </c>
      <c r="H91" s="1" t="s">
        <v>21</v>
      </c>
      <c r="I91" s="1" t="s">
        <v>22</v>
      </c>
      <c r="K91" s="1" t="s">
        <v>970</v>
      </c>
      <c r="L91" s="1" t="str">
        <f t="shared" si="24"/>
        <v>BPRS</v>
      </c>
      <c r="M91" s="1" t="s">
        <v>1229</v>
      </c>
      <c r="N91" s="1" t="s">
        <v>114</v>
      </c>
      <c r="O91" s="1" t="s">
        <v>58</v>
      </c>
      <c r="P91" s="1">
        <v>161312</v>
      </c>
      <c r="Q91" s="1" t="s">
        <v>113</v>
      </c>
      <c r="R91" s="1">
        <v>2390540</v>
      </c>
      <c r="S91" s="1" t="s">
        <v>408</v>
      </c>
      <c r="T91" s="1" t="s">
        <v>28</v>
      </c>
      <c r="U91" s="1" t="s">
        <v>29</v>
      </c>
      <c r="V91" s="1" t="s">
        <v>30</v>
      </c>
      <c r="W91" s="1">
        <v>1.8</v>
      </c>
      <c r="X91" s="1">
        <v>1250</v>
      </c>
      <c r="Y91" s="1">
        <v>0</v>
      </c>
      <c r="Z91" s="3">
        <v>87</v>
      </c>
      <c r="AA91" s="3">
        <v>0</v>
      </c>
      <c r="AB91" s="3">
        <v>87</v>
      </c>
      <c r="AC91" s="3">
        <v>0</v>
      </c>
      <c r="AD91" s="3">
        <f t="shared" si="28"/>
        <v>87</v>
      </c>
      <c r="AE91" s="3">
        <v>0</v>
      </c>
      <c r="AF91" s="3">
        <v>87</v>
      </c>
      <c r="AG91" s="3">
        <v>0</v>
      </c>
      <c r="AH91" s="3">
        <v>0</v>
      </c>
      <c r="AI91" s="3">
        <v>0</v>
      </c>
      <c r="AJ91" s="3">
        <f t="shared" si="29"/>
        <v>87</v>
      </c>
      <c r="AK91" s="1">
        <v>0</v>
      </c>
      <c r="AL91" s="3">
        <f>AF91</f>
        <v>87</v>
      </c>
      <c r="AM91" s="3">
        <v>0</v>
      </c>
      <c r="AN91" s="3">
        <f>AG91</f>
        <v>0</v>
      </c>
      <c r="AO91" s="3">
        <f>AH91</f>
        <v>0</v>
      </c>
      <c r="AP91" s="3">
        <f t="shared" si="37"/>
        <v>0</v>
      </c>
      <c r="AQ91" s="1" t="s">
        <v>113</v>
      </c>
    </row>
    <row r="92" spans="1:43" x14ac:dyDescent="0.35">
      <c r="A92" s="1">
        <v>742</v>
      </c>
      <c r="B92" s="2">
        <v>45845</v>
      </c>
      <c r="C92" s="1" t="s">
        <v>64</v>
      </c>
      <c r="D92" s="1">
        <v>9518911415</v>
      </c>
      <c r="E92" s="1">
        <v>8</v>
      </c>
      <c r="F92" s="1" t="s">
        <v>641</v>
      </c>
      <c r="G92" s="1" t="s">
        <v>393</v>
      </c>
      <c r="H92" s="1" t="s">
        <v>21</v>
      </c>
      <c r="I92" s="1" t="s">
        <v>71</v>
      </c>
      <c r="K92" s="1" t="s">
        <v>970</v>
      </c>
      <c r="L92" s="1" t="str">
        <f t="shared" si="24"/>
        <v>BPRS</v>
      </c>
      <c r="M92" s="1" t="s">
        <v>1231</v>
      </c>
      <c r="N92" s="1" t="s">
        <v>214</v>
      </c>
      <c r="O92" s="1" t="s">
        <v>97</v>
      </c>
      <c r="P92" s="1">
        <v>931525</v>
      </c>
      <c r="Q92" s="1" t="s">
        <v>213</v>
      </c>
      <c r="R92" s="1">
        <v>3912457</v>
      </c>
      <c r="S92" s="1" t="s">
        <v>409</v>
      </c>
      <c r="T92" s="1" t="s">
        <v>75</v>
      </c>
      <c r="U92" s="1" t="s">
        <v>122</v>
      </c>
      <c r="V92" s="1" t="s">
        <v>123</v>
      </c>
      <c r="W92" s="1">
        <v>0.4</v>
      </c>
      <c r="X92" s="1">
        <v>1250</v>
      </c>
      <c r="Y92" s="1">
        <v>2020</v>
      </c>
      <c r="Z92" s="3">
        <v>29</v>
      </c>
      <c r="AA92" s="3">
        <v>0</v>
      </c>
      <c r="AB92" s="3">
        <v>29</v>
      </c>
      <c r="AC92" s="3">
        <v>0</v>
      </c>
      <c r="AD92" s="3">
        <f t="shared" si="28"/>
        <v>29</v>
      </c>
      <c r="AE92" s="3">
        <v>0</v>
      </c>
      <c r="AF92" s="3">
        <v>0</v>
      </c>
      <c r="AG92" s="3">
        <v>0</v>
      </c>
      <c r="AH92" s="3">
        <v>0</v>
      </c>
      <c r="AI92" s="3">
        <v>29</v>
      </c>
      <c r="AJ92" s="3">
        <f t="shared" si="29"/>
        <v>29</v>
      </c>
      <c r="AK92" s="1">
        <v>0</v>
      </c>
      <c r="AL92" s="1">
        <v>0</v>
      </c>
      <c r="AM92" s="1">
        <v>0</v>
      </c>
      <c r="AN92" s="3">
        <f>AD92</f>
        <v>29</v>
      </c>
      <c r="AO92" s="3">
        <v>0</v>
      </c>
      <c r="AP92" s="3">
        <f t="shared" si="37"/>
        <v>0</v>
      </c>
      <c r="AQ92" s="1" t="s">
        <v>213</v>
      </c>
    </row>
    <row r="93" spans="1:43" x14ac:dyDescent="0.35">
      <c r="A93" s="1">
        <v>742</v>
      </c>
      <c r="B93" s="2">
        <v>45891</v>
      </c>
      <c r="C93" s="1" t="s">
        <v>64</v>
      </c>
      <c r="D93" s="1">
        <v>9519038135</v>
      </c>
      <c r="E93" s="1">
        <v>3</v>
      </c>
      <c r="F93" s="1" t="s">
        <v>642</v>
      </c>
      <c r="G93" s="1" t="s">
        <v>1155</v>
      </c>
      <c r="H93" s="1" t="s">
        <v>21</v>
      </c>
      <c r="I93" s="1" t="s">
        <v>22</v>
      </c>
      <c r="K93" s="1" t="s">
        <v>970</v>
      </c>
      <c r="L93" s="1" t="str">
        <f t="shared" si="24"/>
        <v>BPRS</v>
      </c>
      <c r="M93" s="1" t="s">
        <v>1229</v>
      </c>
      <c r="N93" s="1" t="s">
        <v>365</v>
      </c>
      <c r="O93" s="1" t="s">
        <v>58</v>
      </c>
      <c r="P93" s="1">
        <v>116465</v>
      </c>
      <c r="Q93" s="1" t="s">
        <v>364</v>
      </c>
      <c r="R93" s="1">
        <v>1804854</v>
      </c>
      <c r="S93" s="1" t="s">
        <v>211</v>
      </c>
      <c r="T93" s="1" t="s">
        <v>28</v>
      </c>
      <c r="U93" s="1" t="s">
        <v>29</v>
      </c>
      <c r="V93" s="1" t="s">
        <v>30</v>
      </c>
      <c r="W93" s="1">
        <v>1.2</v>
      </c>
      <c r="X93" s="1">
        <v>1250</v>
      </c>
      <c r="Y93" s="1">
        <v>0</v>
      </c>
      <c r="Z93" s="3">
        <v>29</v>
      </c>
      <c r="AA93" s="3">
        <v>23.37</v>
      </c>
      <c r="AB93" s="3">
        <v>5.63</v>
      </c>
      <c r="AC93" s="3">
        <v>0</v>
      </c>
      <c r="AD93" s="3">
        <f t="shared" si="28"/>
        <v>5.63</v>
      </c>
      <c r="AE93" s="3">
        <v>0</v>
      </c>
      <c r="AF93" s="3">
        <v>5.63</v>
      </c>
      <c r="AG93" s="3">
        <v>0</v>
      </c>
      <c r="AH93" s="3">
        <v>0</v>
      </c>
      <c r="AI93" s="3">
        <v>0</v>
      </c>
      <c r="AJ93" s="3">
        <f t="shared" si="29"/>
        <v>5.63</v>
      </c>
      <c r="AK93" s="1">
        <v>0</v>
      </c>
      <c r="AL93" s="3">
        <f>AF93</f>
        <v>5.63</v>
      </c>
      <c r="AM93" s="3">
        <v>0</v>
      </c>
      <c r="AN93" s="3">
        <f>AG93</f>
        <v>0</v>
      </c>
      <c r="AO93" s="3">
        <f>AH93</f>
        <v>0</v>
      </c>
      <c r="AP93" s="3">
        <f t="shared" si="37"/>
        <v>0</v>
      </c>
      <c r="AQ93" s="1" t="s">
        <v>364</v>
      </c>
    </row>
    <row r="94" spans="1:43" x14ac:dyDescent="0.35">
      <c r="A94" s="1">
        <v>743</v>
      </c>
      <c r="B94" s="2">
        <v>45899</v>
      </c>
      <c r="C94" s="1" t="s">
        <v>64</v>
      </c>
      <c r="D94" s="1">
        <v>9519065058</v>
      </c>
      <c r="E94" s="1">
        <v>1</v>
      </c>
      <c r="F94" s="1" t="s">
        <v>643</v>
      </c>
      <c r="G94" s="1" t="s">
        <v>1155</v>
      </c>
      <c r="H94" s="1" t="s">
        <v>56</v>
      </c>
      <c r="I94" s="1" t="s">
        <v>968</v>
      </c>
      <c r="K94" s="1" t="s">
        <v>969</v>
      </c>
      <c r="L94" s="1" t="str">
        <f t="shared" si="24"/>
        <v>IPP</v>
      </c>
      <c r="M94" s="1" t="s">
        <v>1232</v>
      </c>
      <c r="N94" s="1" t="s">
        <v>205</v>
      </c>
      <c r="O94" s="1" t="s">
        <v>54</v>
      </c>
      <c r="P94" s="1">
        <v>942294</v>
      </c>
      <c r="Q94" s="1" t="s">
        <v>87</v>
      </c>
      <c r="R94" s="1">
        <v>4108810</v>
      </c>
      <c r="S94" s="1" t="s">
        <v>411</v>
      </c>
      <c r="T94" s="1" t="s">
        <v>60</v>
      </c>
      <c r="U94" s="1" t="s">
        <v>61</v>
      </c>
      <c r="V94" s="1" t="s">
        <v>412</v>
      </c>
      <c r="W94" s="1">
        <v>0.35</v>
      </c>
      <c r="X94" s="1">
        <v>1220</v>
      </c>
      <c r="Y94" s="1">
        <v>0</v>
      </c>
      <c r="Z94" s="3">
        <v>56</v>
      </c>
      <c r="AA94" s="3">
        <v>48.94</v>
      </c>
      <c r="AB94" s="3">
        <v>7.06</v>
      </c>
      <c r="AC94" s="3">
        <v>0</v>
      </c>
      <c r="AD94" s="3">
        <f t="shared" si="28"/>
        <v>7.06</v>
      </c>
      <c r="AE94" s="3">
        <v>7.06</v>
      </c>
      <c r="AF94" s="3">
        <v>0</v>
      </c>
      <c r="AG94" s="3">
        <v>0</v>
      </c>
      <c r="AH94" s="3">
        <v>0</v>
      </c>
      <c r="AI94" s="3">
        <v>0</v>
      </c>
      <c r="AJ94" s="3">
        <f t="shared" si="29"/>
        <v>7.06</v>
      </c>
      <c r="AK94" s="3">
        <f>AE94</f>
        <v>7.06</v>
      </c>
      <c r="AL94" s="1">
        <v>0</v>
      </c>
      <c r="AM94" s="1">
        <v>0</v>
      </c>
      <c r="AN94" s="1">
        <v>0</v>
      </c>
      <c r="AO94" s="1">
        <v>0</v>
      </c>
      <c r="AP94" s="3">
        <f t="shared" si="37"/>
        <v>0</v>
      </c>
      <c r="AQ94" s="1" t="s">
        <v>87</v>
      </c>
    </row>
    <row r="95" spans="1:43" x14ac:dyDescent="0.35">
      <c r="A95" s="1">
        <v>743</v>
      </c>
      <c r="B95" s="2">
        <v>45895</v>
      </c>
      <c r="C95" s="1" t="s">
        <v>64</v>
      </c>
      <c r="D95" s="1">
        <v>9519051518</v>
      </c>
      <c r="E95" s="1">
        <v>1</v>
      </c>
      <c r="F95" s="1" t="s">
        <v>644</v>
      </c>
      <c r="G95" s="1" t="s">
        <v>1367</v>
      </c>
      <c r="H95" s="1" t="s">
        <v>56</v>
      </c>
      <c r="I95" s="1" t="s">
        <v>968</v>
      </c>
      <c r="K95" s="1" t="s">
        <v>969</v>
      </c>
      <c r="L95" s="1" t="str">
        <f t="shared" si="24"/>
        <v>IPP</v>
      </c>
      <c r="M95" s="1" t="s">
        <v>1232</v>
      </c>
      <c r="N95" s="1" t="s">
        <v>187</v>
      </c>
      <c r="O95" s="1" t="s">
        <v>54</v>
      </c>
      <c r="P95" s="1">
        <v>942284</v>
      </c>
      <c r="Q95" s="1" t="s">
        <v>87</v>
      </c>
      <c r="R95" s="1">
        <v>4108810</v>
      </c>
      <c r="S95" s="1" t="s">
        <v>411</v>
      </c>
      <c r="T95" s="1" t="s">
        <v>60</v>
      </c>
      <c r="U95" s="1" t="s">
        <v>61</v>
      </c>
      <c r="V95" s="1" t="s">
        <v>412</v>
      </c>
      <c r="W95" s="1">
        <v>0.35</v>
      </c>
      <c r="X95" s="1">
        <v>1220</v>
      </c>
      <c r="Y95" s="1">
        <v>0</v>
      </c>
      <c r="Z95" s="3">
        <v>28</v>
      </c>
      <c r="AA95" s="3">
        <v>24.11</v>
      </c>
      <c r="AB95" s="3">
        <v>3.89</v>
      </c>
      <c r="AC95" s="3">
        <v>24.11</v>
      </c>
      <c r="AD95" s="3">
        <f t="shared" si="28"/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f t="shared" si="29"/>
        <v>24.11</v>
      </c>
      <c r="AK95" s="3">
        <v>0</v>
      </c>
      <c r="AL95" s="3">
        <f>AC95</f>
        <v>24.11</v>
      </c>
      <c r="AM95" s="1">
        <v>0</v>
      </c>
      <c r="AN95" s="1">
        <v>0</v>
      </c>
      <c r="AO95" s="1">
        <v>0</v>
      </c>
      <c r="AP95" s="3">
        <f t="shared" si="37"/>
        <v>0</v>
      </c>
      <c r="AQ95" s="1" t="s">
        <v>87</v>
      </c>
    </row>
    <row r="96" spans="1:43" x14ac:dyDescent="0.35">
      <c r="A96" s="1">
        <v>743</v>
      </c>
      <c r="B96" s="2">
        <v>45916</v>
      </c>
      <c r="C96" s="1" t="s">
        <v>64</v>
      </c>
      <c r="D96" s="1">
        <v>9519107089</v>
      </c>
      <c r="E96" s="1">
        <v>5</v>
      </c>
      <c r="F96" s="1" t="s">
        <v>646</v>
      </c>
      <c r="G96" s="1" t="s">
        <v>1155</v>
      </c>
      <c r="H96" s="1" t="s">
        <v>63</v>
      </c>
      <c r="I96" s="1" t="s">
        <v>1404</v>
      </c>
      <c r="K96" s="1" t="s">
        <v>970</v>
      </c>
      <c r="L96" s="1" t="str">
        <f t="shared" si="24"/>
        <v>BPRS</v>
      </c>
      <c r="M96" s="1" t="s">
        <v>1230</v>
      </c>
      <c r="N96" s="1" t="s">
        <v>179</v>
      </c>
      <c r="O96" s="1" t="s">
        <v>180</v>
      </c>
      <c r="P96" s="1">
        <v>139336</v>
      </c>
      <c r="Q96" s="1" t="s">
        <v>178</v>
      </c>
      <c r="R96" s="1">
        <v>1854424</v>
      </c>
      <c r="S96" s="1" t="s">
        <v>249</v>
      </c>
      <c r="T96" s="1" t="s">
        <v>139</v>
      </c>
      <c r="U96" s="1" t="s">
        <v>140</v>
      </c>
      <c r="V96" s="1" t="s">
        <v>150</v>
      </c>
      <c r="W96" s="1">
        <v>0.6</v>
      </c>
      <c r="X96" s="1">
        <v>900</v>
      </c>
      <c r="Y96" s="1">
        <v>0</v>
      </c>
      <c r="Z96" s="3">
        <v>21</v>
      </c>
      <c r="AA96" s="3">
        <v>0</v>
      </c>
      <c r="AB96" s="3">
        <v>21</v>
      </c>
      <c r="AC96" s="3">
        <v>0</v>
      </c>
      <c r="AD96" s="3">
        <f t="shared" si="28"/>
        <v>21</v>
      </c>
      <c r="AE96" s="3">
        <v>0</v>
      </c>
      <c r="AF96" s="3">
        <v>0</v>
      </c>
      <c r="AG96" s="3">
        <v>0</v>
      </c>
      <c r="AH96" s="3">
        <v>0</v>
      </c>
      <c r="AI96" s="3">
        <v>21</v>
      </c>
      <c r="AJ96" s="3">
        <f t="shared" si="29"/>
        <v>21</v>
      </c>
      <c r="AK96" s="1">
        <v>0</v>
      </c>
      <c r="AL96" s="1">
        <v>0</v>
      </c>
      <c r="AM96" s="1">
        <v>0</v>
      </c>
      <c r="AN96" s="1">
        <v>0</v>
      </c>
      <c r="AO96" s="3">
        <f>AI96</f>
        <v>21</v>
      </c>
      <c r="AP96" s="3">
        <f t="shared" si="37"/>
        <v>0</v>
      </c>
      <c r="AQ96" s="1" t="s">
        <v>178</v>
      </c>
    </row>
    <row r="97" spans="1:43" x14ac:dyDescent="0.35">
      <c r="A97" s="1">
        <v>742</v>
      </c>
      <c r="B97" s="2">
        <v>45889</v>
      </c>
      <c r="C97" s="1" t="s">
        <v>64</v>
      </c>
      <c r="D97" s="1">
        <v>9519031476</v>
      </c>
      <c r="E97" s="1">
        <v>4</v>
      </c>
      <c r="F97" s="1" t="s">
        <v>647</v>
      </c>
      <c r="G97" s="1" t="s">
        <v>1155</v>
      </c>
      <c r="H97" s="1" t="s">
        <v>21</v>
      </c>
      <c r="I97" s="1" t="s">
        <v>71</v>
      </c>
      <c r="K97" s="1" t="s">
        <v>970</v>
      </c>
      <c r="L97" s="1" t="str">
        <f t="shared" si="24"/>
        <v>BPRS</v>
      </c>
      <c r="M97" s="1" t="s">
        <v>1230</v>
      </c>
      <c r="N97" s="1" t="s">
        <v>92</v>
      </c>
      <c r="O97" s="1" t="s">
        <v>93</v>
      </c>
      <c r="P97" s="1">
        <v>117061</v>
      </c>
      <c r="Q97" s="1" t="s">
        <v>91</v>
      </c>
      <c r="R97" s="1">
        <v>3240778</v>
      </c>
      <c r="S97" s="1" t="s">
        <v>303</v>
      </c>
      <c r="T97" s="1" t="s">
        <v>75</v>
      </c>
      <c r="U97" s="1" t="s">
        <v>76</v>
      </c>
      <c r="V97" s="1" t="s">
        <v>77</v>
      </c>
      <c r="W97" s="1">
        <v>0.6</v>
      </c>
      <c r="X97" s="1">
        <v>1000</v>
      </c>
      <c r="Y97" s="1">
        <v>2500</v>
      </c>
      <c r="Z97" s="3">
        <v>23</v>
      </c>
      <c r="AA97" s="3">
        <v>0</v>
      </c>
      <c r="AB97" s="3">
        <v>23</v>
      </c>
      <c r="AC97" s="3">
        <v>0</v>
      </c>
      <c r="AD97" s="3">
        <f t="shared" si="28"/>
        <v>23</v>
      </c>
      <c r="AE97" s="3">
        <v>0</v>
      </c>
      <c r="AF97" s="3">
        <v>0</v>
      </c>
      <c r="AG97" s="3">
        <v>0</v>
      </c>
      <c r="AH97" s="3">
        <v>23</v>
      </c>
      <c r="AI97" s="3">
        <v>0</v>
      </c>
      <c r="AJ97" s="3">
        <f t="shared" si="29"/>
        <v>23</v>
      </c>
      <c r="AK97" s="1">
        <v>0</v>
      </c>
      <c r="AL97" s="3">
        <f>AE97</f>
        <v>0</v>
      </c>
      <c r="AM97" s="3">
        <f>AF97</f>
        <v>0</v>
      </c>
      <c r="AN97" s="3">
        <f>AD97</f>
        <v>23</v>
      </c>
      <c r="AO97" s="3">
        <v>0</v>
      </c>
      <c r="AP97" s="3">
        <f t="shared" si="37"/>
        <v>0</v>
      </c>
      <c r="AQ97" s="1" t="s">
        <v>91</v>
      </c>
    </row>
    <row r="98" spans="1:43" x14ac:dyDescent="0.35">
      <c r="A98" s="1">
        <v>742</v>
      </c>
      <c r="B98" s="2">
        <v>45848</v>
      </c>
      <c r="C98" s="1" t="s">
        <v>64</v>
      </c>
      <c r="D98" s="1">
        <v>9518919381</v>
      </c>
      <c r="E98" s="1">
        <v>1</v>
      </c>
      <c r="F98" s="1" t="s">
        <v>648</v>
      </c>
      <c r="G98" s="1" t="s">
        <v>1155</v>
      </c>
      <c r="H98" s="1" t="s">
        <v>21</v>
      </c>
      <c r="I98" s="1" t="s">
        <v>975</v>
      </c>
      <c r="K98" s="1" t="s">
        <v>970</v>
      </c>
      <c r="L98" s="1" t="str">
        <f t="shared" si="24"/>
        <v>BPRS</v>
      </c>
      <c r="M98" s="1" t="s">
        <v>1230</v>
      </c>
      <c r="N98" s="1" t="s">
        <v>308</v>
      </c>
      <c r="O98" s="1" t="s">
        <v>151</v>
      </c>
      <c r="P98" s="1">
        <v>154464</v>
      </c>
      <c r="Q98" s="1" t="s">
        <v>24</v>
      </c>
      <c r="R98" s="1">
        <v>2438381</v>
      </c>
      <c r="S98" s="1" t="s">
        <v>414</v>
      </c>
      <c r="T98" s="1" t="s">
        <v>28</v>
      </c>
      <c r="U98" s="1" t="s">
        <v>29</v>
      </c>
      <c r="V98" s="1" t="s">
        <v>287</v>
      </c>
      <c r="W98" s="1">
        <v>0.9</v>
      </c>
      <c r="X98" s="1">
        <v>1320</v>
      </c>
      <c r="Y98" s="1">
        <v>0</v>
      </c>
      <c r="Z98" s="3">
        <v>120</v>
      </c>
      <c r="AA98" s="3">
        <v>0</v>
      </c>
      <c r="AB98" s="3">
        <v>120</v>
      </c>
      <c r="AC98" s="3">
        <v>0</v>
      </c>
      <c r="AD98" s="3">
        <f t="shared" si="28"/>
        <v>120</v>
      </c>
      <c r="AE98" s="3">
        <v>0</v>
      </c>
      <c r="AF98" s="3">
        <v>0</v>
      </c>
      <c r="AG98" s="3">
        <v>120</v>
      </c>
      <c r="AH98" s="3">
        <v>0</v>
      </c>
      <c r="AI98" s="3">
        <v>0</v>
      </c>
      <c r="AJ98" s="3">
        <f t="shared" si="29"/>
        <v>120</v>
      </c>
      <c r="AK98" s="1">
        <v>0</v>
      </c>
      <c r="AL98" s="3">
        <f t="shared" ref="AL98:AL99" si="38">AE98</f>
        <v>0</v>
      </c>
      <c r="AM98" s="3">
        <f t="shared" ref="AM98:AM99" si="39">AF98</f>
        <v>0</v>
      </c>
      <c r="AN98" s="3">
        <f t="shared" ref="AN98:AN99" si="40">AG98</f>
        <v>120</v>
      </c>
      <c r="AO98" s="3">
        <f t="shared" ref="AO98:AO99" si="41">AH98</f>
        <v>0</v>
      </c>
      <c r="AP98" s="3">
        <f t="shared" si="37"/>
        <v>0</v>
      </c>
      <c r="AQ98" s="1" t="s">
        <v>24</v>
      </c>
    </row>
    <row r="99" spans="1:43" x14ac:dyDescent="0.35">
      <c r="A99" s="1">
        <v>742</v>
      </c>
      <c r="B99" s="2">
        <v>45840</v>
      </c>
      <c r="C99" s="1" t="s">
        <v>64</v>
      </c>
      <c r="D99" s="1">
        <v>9518902661</v>
      </c>
      <c r="E99" s="1">
        <v>1</v>
      </c>
      <c r="F99" s="1" t="s">
        <v>649</v>
      </c>
      <c r="G99" s="1" t="s">
        <v>393</v>
      </c>
      <c r="H99" s="1" t="s">
        <v>21</v>
      </c>
      <c r="I99" s="1" t="s">
        <v>975</v>
      </c>
      <c r="K99" s="1" t="s">
        <v>970</v>
      </c>
      <c r="L99" s="1" t="str">
        <f t="shared" si="24"/>
        <v>BPRS</v>
      </c>
      <c r="M99" s="1" t="s">
        <v>1230</v>
      </c>
      <c r="N99" s="1" t="s">
        <v>308</v>
      </c>
      <c r="O99" s="1" t="s">
        <v>151</v>
      </c>
      <c r="P99" s="1">
        <v>154464</v>
      </c>
      <c r="Q99" s="1" t="s">
        <v>24</v>
      </c>
      <c r="R99" s="1">
        <v>2438381</v>
      </c>
      <c r="S99" s="1" t="s">
        <v>414</v>
      </c>
      <c r="T99" s="1" t="s">
        <v>28</v>
      </c>
      <c r="U99" s="1" t="s">
        <v>29</v>
      </c>
      <c r="V99" s="1" t="s">
        <v>287</v>
      </c>
      <c r="W99" s="1">
        <v>0.9</v>
      </c>
      <c r="X99" s="1">
        <v>1320</v>
      </c>
      <c r="Y99" s="1">
        <v>0</v>
      </c>
      <c r="Z99" s="3">
        <v>120</v>
      </c>
      <c r="AA99" s="3">
        <v>54.16</v>
      </c>
      <c r="AB99" s="3">
        <v>65.84</v>
      </c>
      <c r="AC99" s="3">
        <v>0</v>
      </c>
      <c r="AD99" s="3">
        <f t="shared" si="28"/>
        <v>65.84</v>
      </c>
      <c r="AE99" s="3">
        <v>0</v>
      </c>
      <c r="AF99" s="3">
        <v>65.84</v>
      </c>
      <c r="AG99" s="3">
        <v>0</v>
      </c>
      <c r="AH99" s="3">
        <v>0</v>
      </c>
      <c r="AI99" s="3">
        <v>0</v>
      </c>
      <c r="AJ99" s="3">
        <f t="shared" si="29"/>
        <v>65.84</v>
      </c>
      <c r="AK99" s="1">
        <v>0</v>
      </c>
      <c r="AL99" s="3">
        <f t="shared" si="38"/>
        <v>0</v>
      </c>
      <c r="AM99" s="3">
        <f t="shared" si="39"/>
        <v>65.84</v>
      </c>
      <c r="AN99" s="3">
        <f t="shared" si="40"/>
        <v>0</v>
      </c>
      <c r="AO99" s="3">
        <f t="shared" si="41"/>
        <v>0</v>
      </c>
      <c r="AP99" s="3">
        <f t="shared" si="37"/>
        <v>0</v>
      </c>
      <c r="AQ99" s="1" t="s">
        <v>24</v>
      </c>
    </row>
    <row r="100" spans="1:43" x14ac:dyDescent="0.35">
      <c r="A100" s="1">
        <v>742</v>
      </c>
      <c r="B100" s="2">
        <v>45861</v>
      </c>
      <c r="C100" s="1" t="s">
        <v>64</v>
      </c>
      <c r="D100" s="1">
        <v>9518952391</v>
      </c>
      <c r="E100" s="1">
        <v>2</v>
      </c>
      <c r="F100" s="1" t="s">
        <v>651</v>
      </c>
      <c r="G100" s="1" t="s">
        <v>255</v>
      </c>
      <c r="H100" s="1" t="s">
        <v>21</v>
      </c>
      <c r="I100" s="1" t="s">
        <v>969</v>
      </c>
      <c r="K100" s="1" t="s">
        <v>969</v>
      </c>
      <c r="L100" s="1" t="str">
        <f t="shared" si="24"/>
        <v>IPP</v>
      </c>
      <c r="M100" s="1" t="s">
        <v>1228</v>
      </c>
      <c r="N100" s="1" t="s">
        <v>328</v>
      </c>
      <c r="O100" s="1" t="s">
        <v>173</v>
      </c>
      <c r="P100" s="1">
        <v>189405</v>
      </c>
      <c r="Q100" s="1" t="s">
        <v>327</v>
      </c>
      <c r="R100" s="1">
        <v>2164800</v>
      </c>
      <c r="S100" s="1" t="s">
        <v>325</v>
      </c>
      <c r="T100" s="1" t="s">
        <v>28</v>
      </c>
      <c r="U100" s="1" t="s">
        <v>29</v>
      </c>
      <c r="V100" s="1" t="s">
        <v>101</v>
      </c>
      <c r="W100" s="1">
        <v>0.97</v>
      </c>
      <c r="X100" s="1">
        <v>913</v>
      </c>
      <c r="Y100" s="1">
        <v>0</v>
      </c>
      <c r="Z100" s="3">
        <v>168</v>
      </c>
      <c r="AA100" s="3">
        <v>158.958</v>
      </c>
      <c r="AB100" s="3">
        <v>9.0419999999999998</v>
      </c>
      <c r="AC100" s="3">
        <v>0</v>
      </c>
      <c r="AD100" s="3">
        <f t="shared" si="28"/>
        <v>9.0419999999999998</v>
      </c>
      <c r="AE100" s="3">
        <v>9.0419999999999998</v>
      </c>
      <c r="AF100" s="3">
        <v>0</v>
      </c>
      <c r="AG100" s="3">
        <v>0</v>
      </c>
      <c r="AH100" s="3">
        <v>0</v>
      </c>
      <c r="AI100" s="3">
        <v>0</v>
      </c>
      <c r="AJ100" s="3">
        <f t="shared" si="29"/>
        <v>9.0419999999999998</v>
      </c>
      <c r="AK100" s="1">
        <v>0</v>
      </c>
      <c r="AL100" s="3">
        <f>AE100</f>
        <v>9.0419999999999998</v>
      </c>
      <c r="AM100" s="1">
        <v>0</v>
      </c>
      <c r="AN100" s="1">
        <v>0</v>
      </c>
      <c r="AO100" s="1">
        <v>0</v>
      </c>
      <c r="AP100" s="3">
        <f t="shared" si="37"/>
        <v>0</v>
      </c>
      <c r="AQ100" s="1" t="s">
        <v>327</v>
      </c>
    </row>
    <row r="101" spans="1:43" x14ac:dyDescent="0.35">
      <c r="A101" s="1">
        <v>742</v>
      </c>
      <c r="B101" s="2">
        <v>45869</v>
      </c>
      <c r="C101" s="1" t="s">
        <v>64</v>
      </c>
      <c r="D101" s="1">
        <v>9518980071</v>
      </c>
      <c r="E101" s="1">
        <v>2</v>
      </c>
      <c r="F101" s="1" t="s">
        <v>652</v>
      </c>
      <c r="G101" s="1" t="s">
        <v>393</v>
      </c>
      <c r="H101" s="1" t="s">
        <v>21</v>
      </c>
      <c r="I101" s="1" t="s">
        <v>71</v>
      </c>
      <c r="K101" s="1" t="s">
        <v>970</v>
      </c>
      <c r="L101" s="1" t="str">
        <f t="shared" si="24"/>
        <v>BPRS</v>
      </c>
      <c r="M101" s="1" t="s">
        <v>1230</v>
      </c>
      <c r="N101" s="1" t="s">
        <v>308</v>
      </c>
      <c r="O101" s="1" t="s">
        <v>151</v>
      </c>
      <c r="P101" s="1">
        <v>101278</v>
      </c>
      <c r="Q101" s="1" t="s">
        <v>311</v>
      </c>
      <c r="R101" s="1">
        <v>2441000</v>
      </c>
      <c r="S101" s="1" t="s">
        <v>416</v>
      </c>
      <c r="T101" s="1" t="s">
        <v>75</v>
      </c>
      <c r="U101" s="1" t="s">
        <v>122</v>
      </c>
      <c r="V101" s="1" t="s">
        <v>123</v>
      </c>
      <c r="W101" s="1">
        <v>0.33</v>
      </c>
      <c r="X101" s="1">
        <v>1250</v>
      </c>
      <c r="Y101" s="1">
        <v>2500</v>
      </c>
      <c r="Z101" s="3">
        <v>29</v>
      </c>
      <c r="AA101" s="3">
        <v>8.27</v>
      </c>
      <c r="AB101" s="3">
        <v>20.73</v>
      </c>
      <c r="AC101" s="3">
        <v>0</v>
      </c>
      <c r="AD101" s="3">
        <f t="shared" si="28"/>
        <v>20.73</v>
      </c>
      <c r="AE101" s="3">
        <v>0</v>
      </c>
      <c r="AF101" s="3">
        <v>0</v>
      </c>
      <c r="AG101" s="3">
        <v>0</v>
      </c>
      <c r="AH101" s="3">
        <v>0</v>
      </c>
      <c r="AI101" s="3">
        <v>20.73</v>
      </c>
      <c r="AJ101" s="3">
        <f t="shared" si="29"/>
        <v>20.73</v>
      </c>
      <c r="AK101" s="1">
        <v>0</v>
      </c>
      <c r="AL101" s="1">
        <v>0</v>
      </c>
      <c r="AM101" s="1">
        <v>0</v>
      </c>
      <c r="AN101" s="3">
        <f>AD101</f>
        <v>20.73</v>
      </c>
      <c r="AO101" s="3">
        <v>0</v>
      </c>
      <c r="AP101" s="3">
        <f t="shared" si="37"/>
        <v>0</v>
      </c>
      <c r="AQ101" s="1" t="s">
        <v>311</v>
      </c>
    </row>
    <row r="102" spans="1:43" x14ac:dyDescent="0.35">
      <c r="A102" s="1">
        <v>744</v>
      </c>
      <c r="B102" s="2">
        <v>45899</v>
      </c>
      <c r="C102" s="1" t="s">
        <v>64</v>
      </c>
      <c r="D102" s="1">
        <v>9519064390</v>
      </c>
      <c r="E102" s="1">
        <v>1</v>
      </c>
      <c r="F102" s="1" t="s">
        <v>653</v>
      </c>
      <c r="G102" s="1" t="s">
        <v>393</v>
      </c>
      <c r="H102" s="1" t="s">
        <v>86</v>
      </c>
      <c r="I102" s="1" t="s">
        <v>968</v>
      </c>
      <c r="K102" s="1" t="s">
        <v>969</v>
      </c>
      <c r="L102" s="1" t="str">
        <f t="shared" si="24"/>
        <v>IPP</v>
      </c>
      <c r="M102" s="1" t="s">
        <v>1232</v>
      </c>
      <c r="N102" s="1" t="s">
        <v>108</v>
      </c>
      <c r="O102" s="1" t="s">
        <v>54</v>
      </c>
      <c r="P102" s="1">
        <v>940016</v>
      </c>
      <c r="Q102" s="1" t="s">
        <v>107</v>
      </c>
      <c r="R102" s="1">
        <v>3521300</v>
      </c>
      <c r="S102" s="1" t="s">
        <v>417</v>
      </c>
      <c r="T102" s="1" t="s">
        <v>88</v>
      </c>
      <c r="U102" s="1" t="s">
        <v>89</v>
      </c>
      <c r="V102" s="1" t="s">
        <v>217</v>
      </c>
      <c r="W102" s="1">
        <v>0.4</v>
      </c>
      <c r="X102" s="1">
        <v>1220</v>
      </c>
      <c r="Y102" s="1">
        <v>0</v>
      </c>
      <c r="Z102" s="3">
        <v>112</v>
      </c>
      <c r="AA102" s="3">
        <v>97.415000000000006</v>
      </c>
      <c r="AB102" s="3">
        <v>14.585000000000001</v>
      </c>
      <c r="AC102" s="3">
        <v>63.704999999999998</v>
      </c>
      <c r="AD102" s="3">
        <f t="shared" si="28"/>
        <v>14.585000000000001</v>
      </c>
      <c r="AE102" s="3">
        <v>14.585000000000001</v>
      </c>
      <c r="AF102" s="3">
        <v>0</v>
      </c>
      <c r="AG102" s="3">
        <v>0</v>
      </c>
      <c r="AH102" s="3">
        <v>0</v>
      </c>
      <c r="AI102" s="3">
        <v>0</v>
      </c>
      <c r="AJ102" s="3">
        <f t="shared" si="29"/>
        <v>78.289999999999992</v>
      </c>
      <c r="AK102" s="1">
        <v>0</v>
      </c>
      <c r="AL102" s="3">
        <v>0</v>
      </c>
      <c r="AM102" s="3">
        <f>AE102+AC102</f>
        <v>78.289999999999992</v>
      </c>
      <c r="AN102" s="1">
        <v>0</v>
      </c>
      <c r="AO102" s="1">
        <v>0</v>
      </c>
      <c r="AP102" s="3">
        <f t="shared" si="37"/>
        <v>0</v>
      </c>
      <c r="AQ102" s="1" t="s">
        <v>107</v>
      </c>
    </row>
    <row r="103" spans="1:43" x14ac:dyDescent="0.35">
      <c r="A103" s="1">
        <v>742</v>
      </c>
      <c r="B103" s="2">
        <v>45898</v>
      </c>
      <c r="C103" s="1" t="s">
        <v>64</v>
      </c>
      <c r="D103" s="1">
        <v>9519062631</v>
      </c>
      <c r="E103" s="1">
        <v>2</v>
      </c>
      <c r="F103" s="1" t="s">
        <v>654</v>
      </c>
      <c r="G103" s="1" t="s">
        <v>1155</v>
      </c>
      <c r="H103" s="1" t="s">
        <v>21</v>
      </c>
      <c r="I103" s="1" t="s">
        <v>71</v>
      </c>
      <c r="K103" s="1" t="s">
        <v>970</v>
      </c>
      <c r="L103" s="1" t="str">
        <f t="shared" si="24"/>
        <v>BPRS</v>
      </c>
      <c r="M103" s="1" t="s">
        <v>1231</v>
      </c>
      <c r="N103" s="1" t="s">
        <v>214</v>
      </c>
      <c r="O103" s="1" t="s">
        <v>26</v>
      </c>
      <c r="P103" s="1">
        <v>931525</v>
      </c>
      <c r="Q103" s="1" t="s">
        <v>213</v>
      </c>
      <c r="R103" s="1">
        <v>3409561</v>
      </c>
      <c r="S103" s="1" t="s">
        <v>418</v>
      </c>
      <c r="T103" s="1" t="s">
        <v>75</v>
      </c>
      <c r="U103" s="1" t="s">
        <v>76</v>
      </c>
      <c r="V103" s="1" t="s">
        <v>77</v>
      </c>
      <c r="W103" s="1">
        <v>0.6</v>
      </c>
      <c r="X103" s="1">
        <v>1000</v>
      </c>
      <c r="Y103" s="1">
        <v>1930</v>
      </c>
      <c r="Z103" s="3">
        <v>46</v>
      </c>
      <c r="AA103" s="3">
        <v>0</v>
      </c>
      <c r="AB103" s="3">
        <v>46</v>
      </c>
      <c r="AC103" s="3">
        <v>0</v>
      </c>
      <c r="AD103" s="3">
        <f t="shared" si="28"/>
        <v>46</v>
      </c>
      <c r="AE103" s="3">
        <v>0</v>
      </c>
      <c r="AF103" s="3">
        <v>0</v>
      </c>
      <c r="AG103" s="3">
        <v>0</v>
      </c>
      <c r="AH103" s="3">
        <v>46</v>
      </c>
      <c r="AI103" s="3">
        <v>0</v>
      </c>
      <c r="AJ103" s="3">
        <f t="shared" si="29"/>
        <v>46</v>
      </c>
      <c r="AK103" s="1">
        <v>0</v>
      </c>
      <c r="AL103" s="3">
        <f>AE103</f>
        <v>0</v>
      </c>
      <c r="AM103" s="3">
        <f>AF103</f>
        <v>0</v>
      </c>
      <c r="AN103" s="3">
        <f>AD103</f>
        <v>46</v>
      </c>
      <c r="AO103" s="3">
        <v>0</v>
      </c>
      <c r="AP103" s="3">
        <f t="shared" si="37"/>
        <v>0</v>
      </c>
      <c r="AQ103" s="1" t="s">
        <v>213</v>
      </c>
    </row>
    <row r="104" spans="1:43" x14ac:dyDescent="0.35">
      <c r="A104" s="1">
        <v>742</v>
      </c>
      <c r="B104" s="2">
        <v>45898</v>
      </c>
      <c r="C104" s="1" t="s">
        <v>64</v>
      </c>
      <c r="D104" s="1">
        <v>9519062631</v>
      </c>
      <c r="E104" s="1">
        <v>3</v>
      </c>
      <c r="F104" s="1" t="s">
        <v>655</v>
      </c>
      <c r="G104" s="1" t="s">
        <v>1367</v>
      </c>
      <c r="H104" s="1" t="s">
        <v>21</v>
      </c>
      <c r="I104" s="1" t="s">
        <v>71</v>
      </c>
      <c r="K104" s="1" t="s">
        <v>970</v>
      </c>
      <c r="L104" s="1" t="str">
        <f t="shared" si="24"/>
        <v>BPRS</v>
      </c>
      <c r="M104" s="1" t="s">
        <v>1231</v>
      </c>
      <c r="N104" s="1" t="s">
        <v>214</v>
      </c>
      <c r="O104" s="1" t="s">
        <v>26</v>
      </c>
      <c r="P104" s="1">
        <v>931525</v>
      </c>
      <c r="Q104" s="1" t="s">
        <v>213</v>
      </c>
      <c r="R104" s="1">
        <v>3912459</v>
      </c>
      <c r="S104" s="1" t="s">
        <v>419</v>
      </c>
      <c r="T104" s="1" t="s">
        <v>75</v>
      </c>
      <c r="U104" s="1" t="s">
        <v>76</v>
      </c>
      <c r="V104" s="1" t="s">
        <v>77</v>
      </c>
      <c r="W104" s="1">
        <v>0.7</v>
      </c>
      <c r="X104" s="1">
        <v>1000</v>
      </c>
      <c r="Y104" s="1">
        <v>1925</v>
      </c>
      <c r="Z104" s="3">
        <v>22.998999999999999</v>
      </c>
      <c r="AA104" s="3">
        <v>19.734999999999999</v>
      </c>
      <c r="AB104" s="3">
        <v>3.2639999999999998</v>
      </c>
      <c r="AC104" s="3">
        <v>2.8149999999999999</v>
      </c>
      <c r="AD104" s="3">
        <f t="shared" si="28"/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f t="shared" si="29"/>
        <v>2.8149999999999999</v>
      </c>
      <c r="AK104" s="3">
        <f>AC104</f>
        <v>2.8149999999999999</v>
      </c>
      <c r="AL104" s="1">
        <v>0</v>
      </c>
      <c r="AM104" s="1">
        <v>0</v>
      </c>
      <c r="AN104" s="1">
        <v>0</v>
      </c>
      <c r="AO104" s="1">
        <v>0</v>
      </c>
      <c r="AP104" s="3">
        <f t="shared" si="37"/>
        <v>0</v>
      </c>
      <c r="AQ104" s="1" t="s">
        <v>213</v>
      </c>
    </row>
    <row r="105" spans="1:43" x14ac:dyDescent="0.35">
      <c r="A105" s="1">
        <v>742</v>
      </c>
      <c r="B105" s="2">
        <v>45898</v>
      </c>
      <c r="C105" s="1" t="s">
        <v>64</v>
      </c>
      <c r="D105" s="1">
        <v>9519062631</v>
      </c>
      <c r="E105" s="1">
        <v>4</v>
      </c>
      <c r="F105" s="1" t="s">
        <v>656</v>
      </c>
      <c r="G105" s="1" t="s">
        <v>1155</v>
      </c>
      <c r="H105" s="1" t="s">
        <v>21</v>
      </c>
      <c r="I105" s="1" t="s">
        <v>71</v>
      </c>
      <c r="K105" s="1" t="s">
        <v>970</v>
      </c>
      <c r="L105" s="1" t="str">
        <f t="shared" si="24"/>
        <v>BPRS</v>
      </c>
      <c r="M105" s="1" t="s">
        <v>1231</v>
      </c>
      <c r="N105" s="1" t="s">
        <v>214</v>
      </c>
      <c r="O105" s="1" t="s">
        <v>26</v>
      </c>
      <c r="P105" s="1">
        <v>931525</v>
      </c>
      <c r="Q105" s="1" t="s">
        <v>213</v>
      </c>
      <c r="R105" s="1">
        <v>3247971</v>
      </c>
      <c r="S105" s="1" t="s">
        <v>420</v>
      </c>
      <c r="T105" s="1" t="s">
        <v>75</v>
      </c>
      <c r="U105" s="1" t="s">
        <v>76</v>
      </c>
      <c r="V105" s="1" t="s">
        <v>77</v>
      </c>
      <c r="W105" s="1">
        <v>0.5</v>
      </c>
      <c r="X105" s="1">
        <v>1250</v>
      </c>
      <c r="Y105" s="1">
        <v>2020</v>
      </c>
      <c r="Z105" s="3">
        <v>29</v>
      </c>
      <c r="AA105" s="3">
        <v>0</v>
      </c>
      <c r="AB105" s="3">
        <v>29</v>
      </c>
      <c r="AC105" s="3">
        <v>0</v>
      </c>
      <c r="AD105" s="3">
        <f t="shared" si="28"/>
        <v>29</v>
      </c>
      <c r="AE105" s="3">
        <v>0</v>
      </c>
      <c r="AF105" s="3">
        <v>0</v>
      </c>
      <c r="AG105" s="3">
        <v>29</v>
      </c>
      <c r="AH105" s="3">
        <v>0</v>
      </c>
      <c r="AI105" s="3">
        <v>0</v>
      </c>
      <c r="AJ105" s="3">
        <f t="shared" si="29"/>
        <v>29</v>
      </c>
      <c r="AK105" s="1">
        <v>0</v>
      </c>
      <c r="AL105" s="3">
        <f>AE105</f>
        <v>0</v>
      </c>
      <c r="AM105" s="3">
        <f>AG105</f>
        <v>29</v>
      </c>
      <c r="AN105" s="3">
        <v>0</v>
      </c>
      <c r="AO105" s="3">
        <f>AH105</f>
        <v>0</v>
      </c>
      <c r="AP105" s="3">
        <f t="shared" si="37"/>
        <v>0</v>
      </c>
      <c r="AQ105" s="1" t="s">
        <v>213</v>
      </c>
    </row>
    <row r="106" spans="1:43" x14ac:dyDescent="0.35">
      <c r="A106" s="1">
        <v>742</v>
      </c>
      <c r="B106" s="2">
        <v>45881</v>
      </c>
      <c r="C106" s="1" t="s">
        <v>64</v>
      </c>
      <c r="D106" s="1">
        <v>9519011538</v>
      </c>
      <c r="E106" s="1">
        <v>3</v>
      </c>
      <c r="F106" s="1" t="s">
        <v>657</v>
      </c>
      <c r="G106" s="1" t="s">
        <v>1155</v>
      </c>
      <c r="H106" s="1" t="s">
        <v>21</v>
      </c>
      <c r="I106" s="1" t="s">
        <v>71</v>
      </c>
      <c r="K106" s="1" t="s">
        <v>970</v>
      </c>
      <c r="L106" s="1" t="str">
        <f t="shared" si="24"/>
        <v>BPRS</v>
      </c>
      <c r="M106" s="1" t="s">
        <v>1231</v>
      </c>
      <c r="N106" s="1" t="s">
        <v>214</v>
      </c>
      <c r="O106" s="1" t="s">
        <v>97</v>
      </c>
      <c r="P106" s="1">
        <v>115841</v>
      </c>
      <c r="Q106" s="1" t="s">
        <v>240</v>
      </c>
      <c r="R106" s="1">
        <v>3240781</v>
      </c>
      <c r="S106" s="1" t="s">
        <v>391</v>
      </c>
      <c r="T106" s="1" t="s">
        <v>75</v>
      </c>
      <c r="U106" s="1" t="s">
        <v>76</v>
      </c>
      <c r="V106" s="1" t="s">
        <v>77</v>
      </c>
      <c r="W106" s="1">
        <v>0.6</v>
      </c>
      <c r="X106" s="1">
        <v>1250</v>
      </c>
      <c r="Y106" s="1">
        <v>2030</v>
      </c>
      <c r="Z106" s="3">
        <v>29</v>
      </c>
      <c r="AA106" s="3">
        <v>0</v>
      </c>
      <c r="AB106" s="3">
        <v>29</v>
      </c>
      <c r="AC106" s="3">
        <v>0</v>
      </c>
      <c r="AD106" s="3">
        <f t="shared" si="28"/>
        <v>29</v>
      </c>
      <c r="AE106" s="3">
        <v>0</v>
      </c>
      <c r="AF106" s="3">
        <v>0</v>
      </c>
      <c r="AG106" s="3">
        <v>29</v>
      </c>
      <c r="AH106" s="3">
        <v>0</v>
      </c>
      <c r="AI106" s="3">
        <v>0</v>
      </c>
      <c r="AJ106" s="3">
        <f t="shared" si="29"/>
        <v>29</v>
      </c>
      <c r="AK106" s="1">
        <v>0</v>
      </c>
      <c r="AL106" s="3">
        <f t="shared" ref="AL106:AL107" si="42">AE106</f>
        <v>0</v>
      </c>
      <c r="AM106" s="3">
        <f>AG106</f>
        <v>29</v>
      </c>
      <c r="AN106" s="3">
        <v>0</v>
      </c>
      <c r="AO106" s="3">
        <f t="shared" ref="AO106:AO108" si="43">AH106</f>
        <v>0</v>
      </c>
      <c r="AP106" s="3">
        <f t="shared" si="37"/>
        <v>0</v>
      </c>
      <c r="AQ106" s="1" t="s">
        <v>240</v>
      </c>
    </row>
    <row r="107" spans="1:43" x14ac:dyDescent="0.35">
      <c r="A107" s="1">
        <v>742</v>
      </c>
      <c r="B107" s="2">
        <v>45890</v>
      </c>
      <c r="C107" s="1" t="s">
        <v>64</v>
      </c>
      <c r="D107" s="1">
        <v>9519036272</v>
      </c>
      <c r="E107" s="1">
        <v>7</v>
      </c>
      <c r="F107" s="1" t="s">
        <v>658</v>
      </c>
      <c r="G107" s="1" t="s">
        <v>1155</v>
      </c>
      <c r="H107" s="1" t="s">
        <v>21</v>
      </c>
      <c r="I107" s="1" t="s">
        <v>71</v>
      </c>
      <c r="K107" s="1" t="s">
        <v>970</v>
      </c>
      <c r="L107" s="1" t="str">
        <f t="shared" si="24"/>
        <v>BPRS</v>
      </c>
      <c r="M107" s="1" t="s">
        <v>1230</v>
      </c>
      <c r="N107" s="1" t="s">
        <v>220</v>
      </c>
      <c r="O107" s="1" t="s">
        <v>120</v>
      </c>
      <c r="P107" s="1">
        <v>185794</v>
      </c>
      <c r="Q107" s="1" t="s">
        <v>219</v>
      </c>
      <c r="R107" s="1">
        <v>3240760</v>
      </c>
      <c r="S107" s="1" t="s">
        <v>175</v>
      </c>
      <c r="T107" s="1" t="s">
        <v>75</v>
      </c>
      <c r="U107" s="1" t="s">
        <v>76</v>
      </c>
      <c r="V107" s="1" t="s">
        <v>77</v>
      </c>
      <c r="W107" s="1">
        <v>0.5</v>
      </c>
      <c r="X107" s="1">
        <v>1000</v>
      </c>
      <c r="Y107" s="1">
        <v>2500</v>
      </c>
      <c r="Z107" s="3">
        <v>92</v>
      </c>
      <c r="AA107" s="3">
        <v>0</v>
      </c>
      <c r="AB107" s="3">
        <v>92</v>
      </c>
      <c r="AC107" s="3">
        <v>0</v>
      </c>
      <c r="AD107" s="3">
        <f t="shared" si="28"/>
        <v>92</v>
      </c>
      <c r="AE107" s="3">
        <v>0</v>
      </c>
      <c r="AF107" s="3">
        <v>0</v>
      </c>
      <c r="AG107" s="3">
        <v>0</v>
      </c>
      <c r="AH107" s="3">
        <v>92</v>
      </c>
      <c r="AI107" s="3">
        <v>0</v>
      </c>
      <c r="AJ107" s="3">
        <f t="shared" si="29"/>
        <v>92</v>
      </c>
      <c r="AK107" s="1">
        <v>0</v>
      </c>
      <c r="AL107" s="3">
        <f t="shared" si="42"/>
        <v>0</v>
      </c>
      <c r="AM107" s="3">
        <f t="shared" ref="AM107" si="44">AF107</f>
        <v>0</v>
      </c>
      <c r="AN107" s="3">
        <f>AD107</f>
        <v>92</v>
      </c>
      <c r="AO107" s="3">
        <v>0</v>
      </c>
      <c r="AP107" s="3">
        <f t="shared" si="37"/>
        <v>0</v>
      </c>
      <c r="AQ107" s="1" t="s">
        <v>219</v>
      </c>
    </row>
    <row r="108" spans="1:43" x14ac:dyDescent="0.35">
      <c r="A108" s="1">
        <v>742</v>
      </c>
      <c r="B108" s="2">
        <v>45890</v>
      </c>
      <c r="C108" s="1" t="s">
        <v>64</v>
      </c>
      <c r="D108" s="1">
        <v>9519036272</v>
      </c>
      <c r="E108" s="1">
        <v>8</v>
      </c>
      <c r="F108" s="1" t="s">
        <v>659</v>
      </c>
      <c r="G108" s="1" t="s">
        <v>1155</v>
      </c>
      <c r="H108" s="1" t="s">
        <v>21</v>
      </c>
      <c r="I108" s="1" t="s">
        <v>71</v>
      </c>
      <c r="K108" s="1" t="s">
        <v>970</v>
      </c>
      <c r="L108" s="1" t="str">
        <f t="shared" si="24"/>
        <v>BPRS</v>
      </c>
      <c r="M108" s="1" t="s">
        <v>1230</v>
      </c>
      <c r="N108" s="1" t="s">
        <v>220</v>
      </c>
      <c r="O108" s="1" t="s">
        <v>120</v>
      </c>
      <c r="P108" s="1">
        <v>185794</v>
      </c>
      <c r="Q108" s="1" t="s">
        <v>219</v>
      </c>
      <c r="R108" s="1">
        <v>3240765</v>
      </c>
      <c r="S108" s="1" t="s">
        <v>381</v>
      </c>
      <c r="T108" s="1" t="s">
        <v>75</v>
      </c>
      <c r="U108" s="1" t="s">
        <v>76</v>
      </c>
      <c r="V108" s="1" t="s">
        <v>77</v>
      </c>
      <c r="W108" s="1">
        <v>0.5</v>
      </c>
      <c r="X108" s="1">
        <v>1250</v>
      </c>
      <c r="Y108" s="1">
        <v>2500</v>
      </c>
      <c r="Z108" s="3">
        <v>58</v>
      </c>
      <c r="AA108" s="3">
        <v>0</v>
      </c>
      <c r="AB108" s="3">
        <v>58</v>
      </c>
      <c r="AC108" s="3">
        <v>0</v>
      </c>
      <c r="AD108" s="3">
        <f t="shared" si="28"/>
        <v>58</v>
      </c>
      <c r="AE108" s="3">
        <v>0</v>
      </c>
      <c r="AF108" s="3">
        <v>58</v>
      </c>
      <c r="AG108" s="3">
        <v>0</v>
      </c>
      <c r="AH108" s="3">
        <v>0</v>
      </c>
      <c r="AI108" s="3">
        <v>0</v>
      </c>
      <c r="AJ108" s="3">
        <f t="shared" si="29"/>
        <v>58</v>
      </c>
      <c r="AK108" s="1">
        <v>0</v>
      </c>
      <c r="AL108" s="3">
        <f>AF108</f>
        <v>58</v>
      </c>
      <c r="AM108" s="3">
        <v>0</v>
      </c>
      <c r="AN108" s="3">
        <f t="shared" ref="AN108" si="45">AG108</f>
        <v>0</v>
      </c>
      <c r="AO108" s="3">
        <f t="shared" si="43"/>
        <v>0</v>
      </c>
      <c r="AP108" s="3">
        <f t="shared" si="37"/>
        <v>0</v>
      </c>
      <c r="AQ108" s="1" t="s">
        <v>219</v>
      </c>
    </row>
    <row r="109" spans="1:43" x14ac:dyDescent="0.35">
      <c r="A109" s="1">
        <v>742</v>
      </c>
      <c r="B109" s="2">
        <v>45897</v>
      </c>
      <c r="C109" s="1" t="s">
        <v>64</v>
      </c>
      <c r="D109" s="1">
        <v>9519056703</v>
      </c>
      <c r="E109" s="1">
        <v>3</v>
      </c>
      <c r="F109" s="1" t="s">
        <v>660</v>
      </c>
      <c r="G109" s="1" t="s">
        <v>1155</v>
      </c>
      <c r="H109" s="1" t="s">
        <v>21</v>
      </c>
      <c r="I109" s="1" t="s">
        <v>71</v>
      </c>
      <c r="K109" s="1" t="s">
        <v>970</v>
      </c>
      <c r="L109" s="1" t="str">
        <f t="shared" si="24"/>
        <v>BPRS</v>
      </c>
      <c r="M109" s="1" t="s">
        <v>1231</v>
      </c>
      <c r="N109" s="1" t="s">
        <v>214</v>
      </c>
      <c r="O109" s="1" t="s">
        <v>26</v>
      </c>
      <c r="P109" s="1">
        <v>931525</v>
      </c>
      <c r="Q109" s="1" t="s">
        <v>213</v>
      </c>
      <c r="R109" s="1">
        <v>3765561</v>
      </c>
      <c r="S109" s="1" t="s">
        <v>422</v>
      </c>
      <c r="T109" s="1" t="s">
        <v>75</v>
      </c>
      <c r="U109" s="1" t="s">
        <v>76</v>
      </c>
      <c r="V109" s="1" t="s">
        <v>77</v>
      </c>
      <c r="W109" s="1">
        <v>0.7</v>
      </c>
      <c r="X109" s="1">
        <v>1000</v>
      </c>
      <c r="Y109" s="1">
        <v>1930</v>
      </c>
      <c r="Z109" s="3">
        <v>23</v>
      </c>
      <c r="AA109" s="3">
        <v>0</v>
      </c>
      <c r="AB109" s="3">
        <v>23</v>
      </c>
      <c r="AC109" s="3">
        <v>0</v>
      </c>
      <c r="AD109" s="3">
        <f t="shared" ref="AD109:AD153" si="46">SUM(AE109:AI109)</f>
        <v>23</v>
      </c>
      <c r="AE109" s="3">
        <v>0</v>
      </c>
      <c r="AF109" s="3">
        <v>0</v>
      </c>
      <c r="AG109" s="3">
        <v>23</v>
      </c>
      <c r="AH109" s="3">
        <v>0</v>
      </c>
      <c r="AI109" s="3">
        <v>0</v>
      </c>
      <c r="AJ109" s="3">
        <f t="shared" ref="AJ109:AJ153" si="47">SUM(AK109:AO109)</f>
        <v>23</v>
      </c>
      <c r="AK109" s="1">
        <v>0</v>
      </c>
      <c r="AL109" s="3">
        <f>AE109</f>
        <v>0</v>
      </c>
      <c r="AM109" s="3">
        <f>AG109</f>
        <v>23</v>
      </c>
      <c r="AN109" s="3">
        <v>0</v>
      </c>
      <c r="AO109" s="3">
        <f>AH109</f>
        <v>0</v>
      </c>
      <c r="AP109" s="3">
        <f t="shared" si="37"/>
        <v>0</v>
      </c>
      <c r="AQ109" s="1" t="s">
        <v>213</v>
      </c>
    </row>
    <row r="110" spans="1:43" x14ac:dyDescent="0.35">
      <c r="A110" s="1">
        <v>742</v>
      </c>
      <c r="B110" s="2">
        <v>45897</v>
      </c>
      <c r="C110" s="1" t="s">
        <v>64</v>
      </c>
      <c r="D110" s="1">
        <v>9519056703</v>
      </c>
      <c r="E110" s="1">
        <v>4</v>
      </c>
      <c r="F110" s="1" t="s">
        <v>661</v>
      </c>
      <c r="G110" s="1" t="s">
        <v>1367</v>
      </c>
      <c r="H110" s="1" t="s">
        <v>21</v>
      </c>
      <c r="I110" s="1" t="s">
        <v>71</v>
      </c>
      <c r="K110" s="1" t="s">
        <v>970</v>
      </c>
      <c r="L110" s="1" t="str">
        <f t="shared" si="24"/>
        <v>BPRS</v>
      </c>
      <c r="M110" s="1" t="s">
        <v>1231</v>
      </c>
      <c r="N110" s="1" t="s">
        <v>214</v>
      </c>
      <c r="O110" s="1" t="s">
        <v>26</v>
      </c>
      <c r="P110" s="1">
        <v>931525</v>
      </c>
      <c r="Q110" s="1" t="s">
        <v>213</v>
      </c>
      <c r="R110" s="1">
        <v>3240794</v>
      </c>
      <c r="S110" s="1" t="s">
        <v>98</v>
      </c>
      <c r="T110" s="1" t="s">
        <v>75</v>
      </c>
      <c r="U110" s="1" t="s">
        <v>76</v>
      </c>
      <c r="V110" s="1" t="s">
        <v>77</v>
      </c>
      <c r="W110" s="1">
        <v>0.7</v>
      </c>
      <c r="X110" s="1">
        <v>1250</v>
      </c>
      <c r="Y110" s="1">
        <v>1930</v>
      </c>
      <c r="Z110" s="3">
        <v>28.998999999999999</v>
      </c>
      <c r="AA110" s="3">
        <v>16.524999999999999</v>
      </c>
      <c r="AB110" s="3">
        <v>12.474</v>
      </c>
      <c r="AC110" s="3">
        <v>16.524999999999999</v>
      </c>
      <c r="AD110" s="3">
        <f t="shared" si="46"/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f t="shared" si="47"/>
        <v>16.524999999999999</v>
      </c>
      <c r="AK110" s="3">
        <f>AC110</f>
        <v>16.524999999999999</v>
      </c>
      <c r="AL110" s="1">
        <v>0</v>
      </c>
      <c r="AM110" s="1">
        <v>0</v>
      </c>
      <c r="AN110" s="1">
        <v>0</v>
      </c>
      <c r="AO110" s="1">
        <v>0</v>
      </c>
      <c r="AP110" s="3">
        <f t="shared" si="37"/>
        <v>0</v>
      </c>
      <c r="AQ110" s="1" t="s">
        <v>213</v>
      </c>
    </row>
    <row r="111" spans="1:43" x14ac:dyDescent="0.35">
      <c r="A111" s="1">
        <v>742</v>
      </c>
      <c r="B111" s="2">
        <v>45887</v>
      </c>
      <c r="C111" s="1" t="s">
        <v>64</v>
      </c>
      <c r="D111" s="1">
        <v>9519025593</v>
      </c>
      <c r="E111" s="1">
        <v>3</v>
      </c>
      <c r="F111" s="1" t="s">
        <v>662</v>
      </c>
      <c r="G111" s="1" t="s">
        <v>1155</v>
      </c>
      <c r="H111" s="1" t="s">
        <v>21</v>
      </c>
      <c r="I111" s="1" t="s">
        <v>71</v>
      </c>
      <c r="K111" s="1" t="s">
        <v>970</v>
      </c>
      <c r="L111" s="1" t="str">
        <f t="shared" si="24"/>
        <v>BPRS</v>
      </c>
      <c r="M111" s="1" t="s">
        <v>1231</v>
      </c>
      <c r="N111" s="1" t="s">
        <v>214</v>
      </c>
      <c r="O111" s="1" t="s">
        <v>97</v>
      </c>
      <c r="P111" s="1">
        <v>115841</v>
      </c>
      <c r="Q111" s="1" t="s">
        <v>240</v>
      </c>
      <c r="R111" s="1">
        <v>3240761</v>
      </c>
      <c r="S111" s="1" t="s">
        <v>223</v>
      </c>
      <c r="T111" s="1" t="s">
        <v>75</v>
      </c>
      <c r="U111" s="1" t="s">
        <v>76</v>
      </c>
      <c r="V111" s="1" t="s">
        <v>77</v>
      </c>
      <c r="W111" s="1">
        <v>0.5</v>
      </c>
      <c r="X111" s="1">
        <v>1250</v>
      </c>
      <c r="Y111" s="1">
        <v>2030</v>
      </c>
      <c r="Z111" s="3">
        <v>57.999000000000002</v>
      </c>
      <c r="AA111" s="3">
        <v>3</v>
      </c>
      <c r="AB111" s="3">
        <v>54.999000000000002</v>
      </c>
      <c r="AC111" s="3">
        <v>3</v>
      </c>
      <c r="AD111" s="3">
        <f t="shared" si="46"/>
        <v>54.999000000000002</v>
      </c>
      <c r="AE111" s="3">
        <v>0</v>
      </c>
      <c r="AF111" s="3">
        <v>54.999000000000002</v>
      </c>
      <c r="AG111" s="3">
        <v>0</v>
      </c>
      <c r="AH111" s="3">
        <v>0</v>
      </c>
      <c r="AI111" s="3">
        <v>0</v>
      </c>
      <c r="AJ111" s="3">
        <f t="shared" si="47"/>
        <v>57.999000000000002</v>
      </c>
      <c r="AK111" s="1">
        <v>0</v>
      </c>
      <c r="AL111" s="1">
        <v>0</v>
      </c>
      <c r="AM111" s="3">
        <f>AF111+AC111</f>
        <v>57.999000000000002</v>
      </c>
      <c r="AN111" s="1">
        <v>0</v>
      </c>
      <c r="AO111" s="1">
        <v>0</v>
      </c>
      <c r="AP111" s="3">
        <f t="shared" si="37"/>
        <v>0</v>
      </c>
      <c r="AQ111" s="1" t="s">
        <v>240</v>
      </c>
    </row>
    <row r="112" spans="1:43" x14ac:dyDescent="0.35">
      <c r="A112" s="1">
        <v>742</v>
      </c>
      <c r="B112" s="2">
        <v>45887</v>
      </c>
      <c r="C112" s="1" t="s">
        <v>64</v>
      </c>
      <c r="D112" s="1">
        <v>9519025593</v>
      </c>
      <c r="E112" s="1">
        <v>4</v>
      </c>
      <c r="F112" s="1" t="s">
        <v>663</v>
      </c>
      <c r="G112" s="1" t="s">
        <v>1155</v>
      </c>
      <c r="H112" s="1" t="s">
        <v>21</v>
      </c>
      <c r="I112" s="1" t="s">
        <v>71</v>
      </c>
      <c r="K112" s="1" t="s">
        <v>970</v>
      </c>
      <c r="L112" s="1" t="str">
        <f t="shared" si="24"/>
        <v>BPRS</v>
      </c>
      <c r="M112" s="1" t="s">
        <v>1231</v>
      </c>
      <c r="N112" s="1" t="s">
        <v>214</v>
      </c>
      <c r="O112" s="1" t="s">
        <v>97</v>
      </c>
      <c r="P112" s="1">
        <v>115841</v>
      </c>
      <c r="Q112" s="1" t="s">
        <v>240</v>
      </c>
      <c r="R112" s="1">
        <v>3240781</v>
      </c>
      <c r="S112" s="1" t="s">
        <v>391</v>
      </c>
      <c r="T112" s="1" t="s">
        <v>75</v>
      </c>
      <c r="U112" s="1" t="s">
        <v>76</v>
      </c>
      <c r="V112" s="1" t="s">
        <v>77</v>
      </c>
      <c r="W112" s="1">
        <v>0.6</v>
      </c>
      <c r="X112" s="1">
        <v>1250</v>
      </c>
      <c r="Y112" s="1">
        <v>2030</v>
      </c>
      <c r="Z112" s="3">
        <v>29</v>
      </c>
      <c r="AA112" s="3">
        <v>0</v>
      </c>
      <c r="AB112" s="3">
        <v>29</v>
      </c>
      <c r="AC112" s="3">
        <v>0</v>
      </c>
      <c r="AD112" s="3">
        <f t="shared" si="46"/>
        <v>29</v>
      </c>
      <c r="AE112" s="3">
        <v>0</v>
      </c>
      <c r="AF112" s="3">
        <v>0</v>
      </c>
      <c r="AG112" s="3">
        <v>29</v>
      </c>
      <c r="AH112" s="3">
        <v>0</v>
      </c>
      <c r="AI112" s="3">
        <v>0</v>
      </c>
      <c r="AJ112" s="3">
        <f t="shared" si="47"/>
        <v>29</v>
      </c>
      <c r="AK112" s="1">
        <v>0</v>
      </c>
      <c r="AL112" s="3">
        <f>AE112</f>
        <v>0</v>
      </c>
      <c r="AM112" s="3">
        <f>AG112</f>
        <v>29</v>
      </c>
      <c r="AN112" s="3">
        <v>0</v>
      </c>
      <c r="AO112" s="3">
        <f>AH112</f>
        <v>0</v>
      </c>
      <c r="AP112" s="3">
        <f t="shared" si="37"/>
        <v>0</v>
      </c>
      <c r="AQ112" s="1" t="s">
        <v>240</v>
      </c>
    </row>
    <row r="113" spans="1:43" x14ac:dyDescent="0.35">
      <c r="A113" s="1">
        <v>742</v>
      </c>
      <c r="B113" s="2">
        <v>45889</v>
      </c>
      <c r="C113" s="1" t="s">
        <v>64</v>
      </c>
      <c r="D113" s="1">
        <v>9519031476</v>
      </c>
      <c r="E113" s="1">
        <v>3</v>
      </c>
      <c r="F113" s="1" t="s">
        <v>664</v>
      </c>
      <c r="G113" s="1" t="s">
        <v>1367</v>
      </c>
      <c r="H113" s="1" t="s">
        <v>21</v>
      </c>
      <c r="I113" s="1" t="s">
        <v>71</v>
      </c>
      <c r="K113" s="1" t="s">
        <v>970</v>
      </c>
      <c r="L113" s="1" t="str">
        <f t="shared" si="24"/>
        <v>BPRS</v>
      </c>
      <c r="M113" s="1" t="s">
        <v>1230</v>
      </c>
      <c r="N113" s="1" t="s">
        <v>92</v>
      </c>
      <c r="O113" s="1" t="s">
        <v>93</v>
      </c>
      <c r="P113" s="1">
        <v>117061</v>
      </c>
      <c r="Q113" s="1" t="s">
        <v>91</v>
      </c>
      <c r="R113" s="1">
        <v>3240760</v>
      </c>
      <c r="S113" s="1" t="s">
        <v>175</v>
      </c>
      <c r="T113" s="1" t="s">
        <v>75</v>
      </c>
      <c r="U113" s="1" t="s">
        <v>76</v>
      </c>
      <c r="V113" s="1" t="s">
        <v>77</v>
      </c>
      <c r="W113" s="1">
        <v>0.5</v>
      </c>
      <c r="X113" s="1">
        <v>1000</v>
      </c>
      <c r="Y113" s="1">
        <v>2500</v>
      </c>
      <c r="Z113" s="3">
        <v>23</v>
      </c>
      <c r="AA113" s="3">
        <v>22.565000000000001</v>
      </c>
      <c r="AB113" s="3">
        <v>0.435</v>
      </c>
      <c r="AC113" s="3">
        <v>22.565000000000001</v>
      </c>
      <c r="AD113" s="3">
        <f t="shared" si="46"/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f t="shared" si="47"/>
        <v>22.565000000000001</v>
      </c>
      <c r="AK113" s="3">
        <f>AC113</f>
        <v>22.565000000000001</v>
      </c>
      <c r="AL113" s="1">
        <v>0</v>
      </c>
      <c r="AM113" s="1">
        <v>0</v>
      </c>
      <c r="AN113" s="1">
        <v>0</v>
      </c>
      <c r="AO113" s="1">
        <v>0</v>
      </c>
      <c r="AP113" s="3">
        <f t="shared" si="37"/>
        <v>0</v>
      </c>
      <c r="AQ113" s="1" t="s">
        <v>91</v>
      </c>
    </row>
    <row r="114" spans="1:43" x14ac:dyDescent="0.35">
      <c r="A114" s="1">
        <v>742</v>
      </c>
      <c r="B114" s="2">
        <v>45889</v>
      </c>
      <c r="C114" s="1" t="s">
        <v>64</v>
      </c>
      <c r="D114" s="1">
        <v>9519032783</v>
      </c>
      <c r="E114" s="1">
        <v>1</v>
      </c>
      <c r="F114" s="1" t="s">
        <v>665</v>
      </c>
      <c r="G114" s="1" t="s">
        <v>1155</v>
      </c>
      <c r="H114" s="1" t="s">
        <v>21</v>
      </c>
      <c r="I114" s="1" t="s">
        <v>71</v>
      </c>
      <c r="K114" s="1" t="s">
        <v>970</v>
      </c>
      <c r="L114" s="1" t="str">
        <f t="shared" si="24"/>
        <v>BPRS</v>
      </c>
      <c r="M114" s="1" t="s">
        <v>1230</v>
      </c>
      <c r="N114" s="1" t="s">
        <v>170</v>
      </c>
      <c r="O114" s="1" t="s">
        <v>80</v>
      </c>
      <c r="P114" s="1">
        <v>948783</v>
      </c>
      <c r="Q114" s="1" t="s">
        <v>78</v>
      </c>
      <c r="R114" s="1">
        <v>3239543</v>
      </c>
      <c r="S114" s="1" t="s">
        <v>421</v>
      </c>
      <c r="T114" s="1" t="s">
        <v>75</v>
      </c>
      <c r="U114" s="1" t="s">
        <v>122</v>
      </c>
      <c r="V114" s="1" t="s">
        <v>123</v>
      </c>
      <c r="W114" s="1">
        <v>0.35</v>
      </c>
      <c r="X114" s="1">
        <v>1250</v>
      </c>
      <c r="Y114" s="1">
        <v>2500</v>
      </c>
      <c r="Z114" s="3">
        <v>29</v>
      </c>
      <c r="AA114" s="3">
        <v>0</v>
      </c>
      <c r="AB114" s="3">
        <v>29</v>
      </c>
      <c r="AC114" s="3">
        <v>0</v>
      </c>
      <c r="AD114" s="3">
        <f t="shared" si="46"/>
        <v>29</v>
      </c>
      <c r="AE114" s="3">
        <v>0</v>
      </c>
      <c r="AF114" s="3">
        <v>29</v>
      </c>
      <c r="AG114" s="3">
        <v>0</v>
      </c>
      <c r="AH114" s="3">
        <v>0</v>
      </c>
      <c r="AI114" s="3">
        <v>0</v>
      </c>
      <c r="AJ114" s="3">
        <f t="shared" si="47"/>
        <v>29</v>
      </c>
      <c r="AK114" s="1">
        <v>0</v>
      </c>
      <c r="AL114" s="3">
        <f>AF114</f>
        <v>29</v>
      </c>
      <c r="AM114" s="3">
        <v>0</v>
      </c>
      <c r="AN114" s="3">
        <f>AG114</f>
        <v>0</v>
      </c>
      <c r="AO114" s="3">
        <f>AH114</f>
        <v>0</v>
      </c>
      <c r="AP114" s="3">
        <f t="shared" si="37"/>
        <v>0</v>
      </c>
      <c r="AQ114" s="1" t="s">
        <v>78</v>
      </c>
    </row>
    <row r="115" spans="1:43" x14ac:dyDescent="0.35">
      <c r="A115" s="1">
        <v>742</v>
      </c>
      <c r="B115" s="2">
        <v>45887</v>
      </c>
      <c r="C115" s="1" t="s">
        <v>64</v>
      </c>
      <c r="D115" s="1">
        <v>9519025273</v>
      </c>
      <c r="E115" s="1">
        <v>2</v>
      </c>
      <c r="F115" s="1" t="s">
        <v>666</v>
      </c>
      <c r="G115" s="1" t="s">
        <v>1155</v>
      </c>
      <c r="H115" s="1" t="s">
        <v>21</v>
      </c>
      <c r="I115" s="1" t="s">
        <v>71</v>
      </c>
      <c r="K115" s="1" t="s">
        <v>970</v>
      </c>
      <c r="L115" s="1" t="str">
        <f t="shared" si="24"/>
        <v>BPRS</v>
      </c>
      <c r="M115" s="1" t="s">
        <v>1230</v>
      </c>
      <c r="N115" s="1" t="s">
        <v>308</v>
      </c>
      <c r="O115" s="1" t="s">
        <v>151</v>
      </c>
      <c r="P115" s="1">
        <v>925093</v>
      </c>
      <c r="Q115" s="1" t="s">
        <v>307</v>
      </c>
      <c r="R115" s="1">
        <v>3239536</v>
      </c>
      <c r="S115" s="1" t="s">
        <v>177</v>
      </c>
      <c r="T115" s="1" t="s">
        <v>75</v>
      </c>
      <c r="U115" s="1" t="s">
        <v>122</v>
      </c>
      <c r="V115" s="1" t="s">
        <v>123</v>
      </c>
      <c r="W115" s="1">
        <v>0.35</v>
      </c>
      <c r="X115" s="1">
        <v>900</v>
      </c>
      <c r="Y115" s="1">
        <v>2500</v>
      </c>
      <c r="Z115" s="3">
        <v>42</v>
      </c>
      <c r="AA115" s="3">
        <v>0</v>
      </c>
      <c r="AB115" s="3">
        <v>42</v>
      </c>
      <c r="AC115" s="3">
        <v>0</v>
      </c>
      <c r="AD115" s="3">
        <f t="shared" si="46"/>
        <v>42</v>
      </c>
      <c r="AE115" s="3">
        <v>0</v>
      </c>
      <c r="AF115" s="3">
        <v>0</v>
      </c>
      <c r="AG115" s="3">
        <v>0</v>
      </c>
      <c r="AH115" s="3">
        <v>0</v>
      </c>
      <c r="AI115" s="3">
        <v>42</v>
      </c>
      <c r="AJ115" s="3">
        <f t="shared" si="47"/>
        <v>42</v>
      </c>
      <c r="AK115" s="1">
        <v>0</v>
      </c>
      <c r="AL115" s="1">
        <v>0</v>
      </c>
      <c r="AM115" s="1">
        <v>0</v>
      </c>
      <c r="AN115" s="3">
        <f>AD115</f>
        <v>42</v>
      </c>
      <c r="AO115" s="3">
        <v>0</v>
      </c>
      <c r="AP115" s="3">
        <f t="shared" si="37"/>
        <v>0</v>
      </c>
      <c r="AQ115" s="1" t="s">
        <v>307</v>
      </c>
    </row>
    <row r="116" spans="1:43" x14ac:dyDescent="0.35">
      <c r="A116" s="1">
        <v>744</v>
      </c>
      <c r="B116" s="2">
        <v>45900</v>
      </c>
      <c r="C116" s="1" t="s">
        <v>64</v>
      </c>
      <c r="D116" s="1">
        <v>9519068944</v>
      </c>
      <c r="E116" s="1">
        <v>1</v>
      </c>
      <c r="F116" s="1" t="s">
        <v>667</v>
      </c>
      <c r="G116" s="1" t="s">
        <v>1367</v>
      </c>
      <c r="H116" s="1" t="s">
        <v>86</v>
      </c>
      <c r="I116" s="1" t="s">
        <v>968</v>
      </c>
      <c r="K116" s="1" t="s">
        <v>969</v>
      </c>
      <c r="L116" s="1" t="str">
        <f t="shared" si="24"/>
        <v>IPP</v>
      </c>
      <c r="M116" s="1" t="s">
        <v>1232</v>
      </c>
      <c r="N116" s="1" t="s">
        <v>1135</v>
      </c>
      <c r="O116" s="1" t="s">
        <v>54</v>
      </c>
      <c r="P116" s="1">
        <v>941597</v>
      </c>
      <c r="Q116" s="1" t="s">
        <v>87</v>
      </c>
      <c r="R116" s="1">
        <v>3902332</v>
      </c>
      <c r="S116" s="1" t="s">
        <v>142</v>
      </c>
      <c r="T116" s="1" t="s">
        <v>88</v>
      </c>
      <c r="U116" s="1" t="s">
        <v>89</v>
      </c>
      <c r="V116" s="1" t="s">
        <v>143</v>
      </c>
      <c r="W116" s="1">
        <v>0.5</v>
      </c>
      <c r="X116" s="1">
        <v>1220</v>
      </c>
      <c r="Y116" s="1">
        <v>0</v>
      </c>
      <c r="Z116" s="3">
        <v>28</v>
      </c>
      <c r="AA116" s="3">
        <v>25.515000000000001</v>
      </c>
      <c r="AB116" s="3">
        <v>2.4849999999999999</v>
      </c>
      <c r="AC116" s="3">
        <v>4.3250000000000002</v>
      </c>
      <c r="AD116" s="3">
        <f t="shared" si="46"/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f t="shared" si="47"/>
        <v>4.3250000000000002</v>
      </c>
      <c r="AK116" s="3">
        <f>AC116</f>
        <v>4.3250000000000002</v>
      </c>
      <c r="AL116" s="1">
        <v>0</v>
      </c>
      <c r="AM116" s="1">
        <v>0</v>
      </c>
      <c r="AN116" s="1">
        <v>0</v>
      </c>
      <c r="AO116" s="1">
        <v>0</v>
      </c>
      <c r="AP116" s="3">
        <f t="shared" si="37"/>
        <v>0</v>
      </c>
      <c r="AQ116" s="1" t="s">
        <v>87</v>
      </c>
    </row>
    <row r="117" spans="1:43" x14ac:dyDescent="0.35">
      <c r="A117" s="1">
        <v>744</v>
      </c>
      <c r="B117" s="2">
        <v>45900</v>
      </c>
      <c r="C117" s="1" t="s">
        <v>64</v>
      </c>
      <c r="D117" s="1">
        <v>9519068944</v>
      </c>
      <c r="E117" s="1">
        <v>3</v>
      </c>
      <c r="F117" s="1" t="s">
        <v>668</v>
      </c>
      <c r="G117" s="1" t="s">
        <v>1367</v>
      </c>
      <c r="H117" s="1" t="s">
        <v>86</v>
      </c>
      <c r="I117" s="1" t="s">
        <v>968</v>
      </c>
      <c r="K117" s="1" t="s">
        <v>969</v>
      </c>
      <c r="L117" s="1" t="str">
        <f t="shared" si="24"/>
        <v>IPP</v>
      </c>
      <c r="M117" s="1" t="s">
        <v>1232</v>
      </c>
      <c r="N117" s="1" t="s">
        <v>1135</v>
      </c>
      <c r="O117" s="1" t="s">
        <v>54</v>
      </c>
      <c r="P117" s="1">
        <v>941597</v>
      </c>
      <c r="Q117" s="1" t="s">
        <v>87</v>
      </c>
      <c r="R117" s="1">
        <v>3902332</v>
      </c>
      <c r="S117" s="1" t="s">
        <v>142</v>
      </c>
      <c r="T117" s="1" t="s">
        <v>88</v>
      </c>
      <c r="U117" s="1" t="s">
        <v>89</v>
      </c>
      <c r="V117" s="1" t="s">
        <v>143</v>
      </c>
      <c r="W117" s="1">
        <v>0.5</v>
      </c>
      <c r="X117" s="1">
        <v>1220</v>
      </c>
      <c r="Y117" s="1">
        <v>0</v>
      </c>
      <c r="Z117" s="3">
        <v>83.998999999999995</v>
      </c>
      <c r="AA117" s="3">
        <v>69.825000000000003</v>
      </c>
      <c r="AB117" s="3">
        <v>14.173999999999999</v>
      </c>
      <c r="AC117" s="3">
        <v>49.86</v>
      </c>
      <c r="AD117" s="3">
        <f t="shared" si="46"/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f t="shared" si="47"/>
        <v>49.86</v>
      </c>
      <c r="AK117" s="3">
        <f>AC117</f>
        <v>49.86</v>
      </c>
      <c r="AL117" s="1">
        <v>0</v>
      </c>
      <c r="AM117" s="1">
        <v>0</v>
      </c>
      <c r="AN117" s="1">
        <v>0</v>
      </c>
      <c r="AO117" s="1">
        <v>0</v>
      </c>
      <c r="AP117" s="3">
        <f t="shared" si="37"/>
        <v>0</v>
      </c>
      <c r="AQ117" s="1" t="s">
        <v>87</v>
      </c>
    </row>
    <row r="118" spans="1:43" x14ac:dyDescent="0.35">
      <c r="A118" s="1">
        <v>744</v>
      </c>
      <c r="B118" s="2">
        <v>45900</v>
      </c>
      <c r="C118" s="1" t="s">
        <v>64</v>
      </c>
      <c r="D118" s="1">
        <v>9519068944</v>
      </c>
      <c r="E118" s="1">
        <v>4</v>
      </c>
      <c r="F118" s="1" t="s">
        <v>669</v>
      </c>
      <c r="G118" s="1" t="s">
        <v>1367</v>
      </c>
      <c r="H118" s="1" t="s">
        <v>86</v>
      </c>
      <c r="I118" s="1" t="s">
        <v>968</v>
      </c>
      <c r="K118" s="1" t="s">
        <v>969</v>
      </c>
      <c r="L118" s="1" t="str">
        <f t="shared" si="24"/>
        <v>IPP</v>
      </c>
      <c r="M118" s="1" t="s">
        <v>1232</v>
      </c>
      <c r="N118" s="1" t="s">
        <v>1135</v>
      </c>
      <c r="O118" s="1" t="s">
        <v>54</v>
      </c>
      <c r="P118" s="1">
        <v>941597</v>
      </c>
      <c r="Q118" s="1" t="s">
        <v>87</v>
      </c>
      <c r="R118" s="1">
        <v>3902332</v>
      </c>
      <c r="S118" s="1" t="s">
        <v>142</v>
      </c>
      <c r="T118" s="1" t="s">
        <v>88</v>
      </c>
      <c r="U118" s="1" t="s">
        <v>89</v>
      </c>
      <c r="V118" s="1" t="s">
        <v>143</v>
      </c>
      <c r="W118" s="1">
        <v>0.5</v>
      </c>
      <c r="X118" s="1">
        <v>1220</v>
      </c>
      <c r="Y118" s="1">
        <v>0</v>
      </c>
      <c r="Z118" s="3">
        <v>84</v>
      </c>
      <c r="AA118" s="3">
        <v>69.724999999999994</v>
      </c>
      <c r="AB118" s="3">
        <v>14.275</v>
      </c>
      <c r="AC118" s="3">
        <v>13.12</v>
      </c>
      <c r="AD118" s="3">
        <f t="shared" si="46"/>
        <v>14.275</v>
      </c>
      <c r="AE118" s="3">
        <v>0</v>
      </c>
      <c r="AF118" s="3">
        <v>14.275</v>
      </c>
      <c r="AG118" s="3">
        <v>0</v>
      </c>
      <c r="AH118" s="3">
        <v>0</v>
      </c>
      <c r="AI118" s="3">
        <v>0</v>
      </c>
      <c r="AJ118" s="3">
        <f t="shared" si="47"/>
        <v>27.395</v>
      </c>
      <c r="AK118" s="1">
        <v>0</v>
      </c>
      <c r="AL118" s="1">
        <v>0</v>
      </c>
      <c r="AM118" s="1">
        <v>0</v>
      </c>
      <c r="AN118" s="3">
        <f>AF118+AC118</f>
        <v>27.395</v>
      </c>
      <c r="AO118" s="1">
        <v>0</v>
      </c>
      <c r="AP118" s="3">
        <f t="shared" si="37"/>
        <v>0</v>
      </c>
      <c r="AQ118" s="1" t="s">
        <v>87</v>
      </c>
    </row>
    <row r="119" spans="1:43" x14ac:dyDescent="0.35">
      <c r="A119" s="1">
        <v>744</v>
      </c>
      <c r="B119" s="2">
        <v>45900</v>
      </c>
      <c r="C119" s="1" t="s">
        <v>64</v>
      </c>
      <c r="D119" s="1">
        <v>9519068944</v>
      </c>
      <c r="E119" s="1">
        <v>5</v>
      </c>
      <c r="F119" s="1" t="s">
        <v>670</v>
      </c>
      <c r="G119" s="1" t="s">
        <v>1367</v>
      </c>
      <c r="H119" s="1" t="s">
        <v>86</v>
      </c>
      <c r="I119" s="1" t="s">
        <v>968</v>
      </c>
      <c r="K119" s="1" t="s">
        <v>969</v>
      </c>
      <c r="L119" s="1" t="str">
        <f t="shared" si="24"/>
        <v>IPP</v>
      </c>
      <c r="M119" s="1" t="s">
        <v>1232</v>
      </c>
      <c r="N119" s="1" t="s">
        <v>1135</v>
      </c>
      <c r="O119" s="1" t="s">
        <v>54</v>
      </c>
      <c r="P119" s="1">
        <v>941597</v>
      </c>
      <c r="Q119" s="1" t="s">
        <v>87</v>
      </c>
      <c r="R119" s="1">
        <v>3902332</v>
      </c>
      <c r="S119" s="1" t="s">
        <v>142</v>
      </c>
      <c r="T119" s="1" t="s">
        <v>88</v>
      </c>
      <c r="U119" s="1" t="s">
        <v>89</v>
      </c>
      <c r="V119" s="1" t="s">
        <v>143</v>
      </c>
      <c r="W119" s="1">
        <v>0.5</v>
      </c>
      <c r="X119" s="1">
        <v>1220</v>
      </c>
      <c r="Y119" s="1">
        <v>0</v>
      </c>
      <c r="Z119" s="3">
        <v>28</v>
      </c>
      <c r="AA119" s="3">
        <v>16.41</v>
      </c>
      <c r="AB119" s="3">
        <v>11.59</v>
      </c>
      <c r="AC119" s="3">
        <v>7.8449999999999998</v>
      </c>
      <c r="AD119" s="3">
        <f t="shared" si="46"/>
        <v>11.59</v>
      </c>
      <c r="AE119" s="3">
        <v>0</v>
      </c>
      <c r="AF119" s="3">
        <v>11.59</v>
      </c>
      <c r="AG119" s="3">
        <v>0</v>
      </c>
      <c r="AH119" s="3">
        <v>0</v>
      </c>
      <c r="AI119" s="3">
        <v>0</v>
      </c>
      <c r="AJ119" s="3">
        <f t="shared" si="47"/>
        <v>19.434999999999999</v>
      </c>
      <c r="AK119" s="1">
        <v>0</v>
      </c>
      <c r="AL119" s="1">
        <v>0</v>
      </c>
      <c r="AM119" s="1">
        <v>0</v>
      </c>
      <c r="AN119" s="3">
        <f>AF119+AC119</f>
        <v>19.434999999999999</v>
      </c>
      <c r="AO119" s="1">
        <v>0</v>
      </c>
      <c r="AP119" s="3">
        <f t="shared" ref="AP119:AP150" si="48">(AC119+AD119)-AJ119</f>
        <v>0</v>
      </c>
      <c r="AQ119" s="1" t="s">
        <v>87</v>
      </c>
    </row>
    <row r="120" spans="1:43" x14ac:dyDescent="0.35">
      <c r="A120" s="1">
        <v>744</v>
      </c>
      <c r="B120" s="2">
        <v>45900</v>
      </c>
      <c r="C120" s="1" t="s">
        <v>64</v>
      </c>
      <c r="D120" s="1">
        <v>9519068944</v>
      </c>
      <c r="E120" s="1">
        <v>6</v>
      </c>
      <c r="F120" s="1" t="s">
        <v>671</v>
      </c>
      <c r="G120" s="1" t="s">
        <v>1367</v>
      </c>
      <c r="H120" s="1" t="s">
        <v>86</v>
      </c>
      <c r="I120" s="1" t="s">
        <v>968</v>
      </c>
      <c r="K120" s="1" t="s">
        <v>969</v>
      </c>
      <c r="L120" s="1" t="str">
        <f t="shared" si="24"/>
        <v>IPP</v>
      </c>
      <c r="M120" s="1" t="s">
        <v>1232</v>
      </c>
      <c r="N120" s="1" t="s">
        <v>1135</v>
      </c>
      <c r="O120" s="1" t="s">
        <v>54</v>
      </c>
      <c r="P120" s="1">
        <v>941597</v>
      </c>
      <c r="Q120" s="1" t="s">
        <v>87</v>
      </c>
      <c r="R120" s="1">
        <v>3902332</v>
      </c>
      <c r="S120" s="1" t="s">
        <v>142</v>
      </c>
      <c r="T120" s="1" t="s">
        <v>88</v>
      </c>
      <c r="U120" s="1" t="s">
        <v>89</v>
      </c>
      <c r="V120" s="1" t="s">
        <v>143</v>
      </c>
      <c r="W120" s="1">
        <v>0.5</v>
      </c>
      <c r="X120" s="1">
        <v>1220</v>
      </c>
      <c r="Y120" s="1">
        <v>0</v>
      </c>
      <c r="Z120" s="3">
        <v>83.998999999999995</v>
      </c>
      <c r="AA120" s="3">
        <v>77.394999999999996</v>
      </c>
      <c r="AB120" s="3">
        <v>6.6040000000000001</v>
      </c>
      <c r="AC120" s="3">
        <v>18.739999999999998</v>
      </c>
      <c r="AD120" s="3">
        <f t="shared" si="46"/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f t="shared" si="47"/>
        <v>18.739999999999998</v>
      </c>
      <c r="AK120" s="3">
        <f>AC120</f>
        <v>18.739999999999998</v>
      </c>
      <c r="AL120" s="1">
        <v>0</v>
      </c>
      <c r="AM120" s="1">
        <v>0</v>
      </c>
      <c r="AN120" s="1">
        <v>0</v>
      </c>
      <c r="AO120" s="1">
        <v>0</v>
      </c>
      <c r="AP120" s="3">
        <f t="shared" si="48"/>
        <v>0</v>
      </c>
      <c r="AQ120" s="1" t="s">
        <v>87</v>
      </c>
    </row>
    <row r="121" spans="1:43" x14ac:dyDescent="0.35">
      <c r="A121" s="1">
        <v>742</v>
      </c>
      <c r="B121" s="2">
        <v>45898</v>
      </c>
      <c r="C121" s="1" t="s">
        <v>64</v>
      </c>
      <c r="D121" s="1">
        <v>9519062631</v>
      </c>
      <c r="E121" s="1">
        <v>1</v>
      </c>
      <c r="F121" s="1" t="s">
        <v>672</v>
      </c>
      <c r="G121" s="1" t="s">
        <v>1155</v>
      </c>
      <c r="H121" s="1" t="s">
        <v>21</v>
      </c>
      <c r="I121" s="1" t="s">
        <v>71</v>
      </c>
      <c r="K121" s="1" t="s">
        <v>970</v>
      </c>
      <c r="L121" s="1" t="str">
        <f t="shared" si="24"/>
        <v>BPRS</v>
      </c>
      <c r="M121" s="1" t="s">
        <v>1231</v>
      </c>
      <c r="N121" s="1" t="s">
        <v>214</v>
      </c>
      <c r="O121" s="1" t="s">
        <v>26</v>
      </c>
      <c r="P121" s="1">
        <v>931525</v>
      </c>
      <c r="Q121" s="1" t="s">
        <v>213</v>
      </c>
      <c r="R121" s="1">
        <v>3247971</v>
      </c>
      <c r="S121" s="1" t="s">
        <v>420</v>
      </c>
      <c r="T121" s="1" t="s">
        <v>75</v>
      </c>
      <c r="U121" s="1" t="s">
        <v>76</v>
      </c>
      <c r="V121" s="1" t="s">
        <v>77</v>
      </c>
      <c r="W121" s="1">
        <v>0.5</v>
      </c>
      <c r="X121" s="1">
        <v>1250</v>
      </c>
      <c r="Y121" s="1">
        <v>2020</v>
      </c>
      <c r="Z121" s="3">
        <v>29</v>
      </c>
      <c r="AA121" s="3">
        <v>0</v>
      </c>
      <c r="AB121" s="3">
        <v>29</v>
      </c>
      <c r="AC121" s="3">
        <v>0</v>
      </c>
      <c r="AD121" s="3">
        <f t="shared" si="46"/>
        <v>29</v>
      </c>
      <c r="AE121" s="3">
        <v>0</v>
      </c>
      <c r="AF121" s="3">
        <v>0</v>
      </c>
      <c r="AG121" s="3">
        <v>29</v>
      </c>
      <c r="AH121" s="3">
        <v>0</v>
      </c>
      <c r="AI121" s="3">
        <v>0</v>
      </c>
      <c r="AJ121" s="3">
        <f t="shared" si="47"/>
        <v>29</v>
      </c>
      <c r="AK121" s="1">
        <v>0</v>
      </c>
      <c r="AL121" s="3">
        <f>AE121</f>
        <v>0</v>
      </c>
      <c r="AM121" s="3">
        <f>AG121</f>
        <v>29</v>
      </c>
      <c r="AN121" s="3">
        <v>0</v>
      </c>
      <c r="AO121" s="3">
        <f>AH121</f>
        <v>0</v>
      </c>
      <c r="AP121" s="3">
        <f t="shared" si="48"/>
        <v>0</v>
      </c>
      <c r="AQ121" s="1" t="s">
        <v>213</v>
      </c>
    </row>
    <row r="122" spans="1:43" x14ac:dyDescent="0.35">
      <c r="A122" s="1">
        <v>743</v>
      </c>
      <c r="B122" s="2">
        <v>45916</v>
      </c>
      <c r="C122" s="1" t="s">
        <v>64</v>
      </c>
      <c r="D122" s="1">
        <v>9519107089</v>
      </c>
      <c r="E122" s="1">
        <v>2</v>
      </c>
      <c r="F122" s="1" t="s">
        <v>673</v>
      </c>
      <c r="G122" s="1" t="s">
        <v>1155</v>
      </c>
      <c r="H122" s="1" t="s">
        <v>63</v>
      </c>
      <c r="I122" s="1" t="s">
        <v>1404</v>
      </c>
      <c r="K122" s="1" t="s">
        <v>970</v>
      </c>
      <c r="L122" s="1" t="str">
        <f t="shared" si="24"/>
        <v>BPRS</v>
      </c>
      <c r="M122" s="1" t="s">
        <v>1230</v>
      </c>
      <c r="N122" s="1" t="s">
        <v>179</v>
      </c>
      <c r="O122" s="1" t="s">
        <v>180</v>
      </c>
      <c r="P122" s="1">
        <v>139336</v>
      </c>
      <c r="Q122" s="1" t="s">
        <v>178</v>
      </c>
      <c r="R122" s="1">
        <v>1178439</v>
      </c>
      <c r="S122" s="1" t="s">
        <v>202</v>
      </c>
      <c r="T122" s="1" t="s">
        <v>139</v>
      </c>
      <c r="U122" s="1" t="s">
        <v>140</v>
      </c>
      <c r="V122" s="1" t="s">
        <v>150</v>
      </c>
      <c r="W122" s="1">
        <v>0.4</v>
      </c>
      <c r="X122" s="1">
        <v>900</v>
      </c>
      <c r="Y122" s="1">
        <v>0</v>
      </c>
      <c r="Z122" s="3">
        <v>21</v>
      </c>
      <c r="AA122" s="3">
        <v>0</v>
      </c>
      <c r="AB122" s="3">
        <v>21</v>
      </c>
      <c r="AC122" s="3">
        <v>0</v>
      </c>
      <c r="AD122" s="3">
        <f t="shared" si="46"/>
        <v>21</v>
      </c>
      <c r="AE122" s="3">
        <v>0</v>
      </c>
      <c r="AF122" s="3">
        <v>0</v>
      </c>
      <c r="AG122" s="3">
        <v>0</v>
      </c>
      <c r="AH122" s="3">
        <v>0</v>
      </c>
      <c r="AI122" s="3">
        <v>21</v>
      </c>
      <c r="AJ122" s="3">
        <f t="shared" si="47"/>
        <v>21</v>
      </c>
      <c r="AK122" s="1">
        <v>0</v>
      </c>
      <c r="AL122" s="1">
        <v>0</v>
      </c>
      <c r="AM122" s="1">
        <v>0</v>
      </c>
      <c r="AN122" s="1">
        <v>0</v>
      </c>
      <c r="AO122" s="3">
        <f t="shared" ref="AO122:AO123" si="49">AI122</f>
        <v>21</v>
      </c>
      <c r="AP122" s="3">
        <f t="shared" si="48"/>
        <v>0</v>
      </c>
      <c r="AQ122" s="1" t="s">
        <v>178</v>
      </c>
    </row>
    <row r="123" spans="1:43" x14ac:dyDescent="0.35">
      <c r="A123" s="1">
        <v>743</v>
      </c>
      <c r="B123" s="2">
        <v>45916</v>
      </c>
      <c r="C123" s="1" t="s">
        <v>64</v>
      </c>
      <c r="D123" s="1">
        <v>9519107089</v>
      </c>
      <c r="E123" s="1">
        <v>4</v>
      </c>
      <c r="F123" s="1" t="s">
        <v>674</v>
      </c>
      <c r="G123" s="1" t="s">
        <v>1155</v>
      </c>
      <c r="H123" s="1" t="s">
        <v>63</v>
      </c>
      <c r="I123" s="1" t="s">
        <v>1404</v>
      </c>
      <c r="K123" s="1" t="s">
        <v>970</v>
      </c>
      <c r="L123" s="1" t="str">
        <f t="shared" si="24"/>
        <v>BPRS</v>
      </c>
      <c r="M123" s="1" t="s">
        <v>1230</v>
      </c>
      <c r="N123" s="1" t="s">
        <v>179</v>
      </c>
      <c r="O123" s="1" t="s">
        <v>180</v>
      </c>
      <c r="P123" s="1">
        <v>139336</v>
      </c>
      <c r="Q123" s="1" t="s">
        <v>178</v>
      </c>
      <c r="R123" s="1">
        <v>1353179</v>
      </c>
      <c r="S123" s="1" t="s">
        <v>204</v>
      </c>
      <c r="T123" s="1" t="s">
        <v>139</v>
      </c>
      <c r="U123" s="1" t="s">
        <v>140</v>
      </c>
      <c r="V123" s="1" t="s">
        <v>150</v>
      </c>
      <c r="W123" s="1">
        <v>0.5</v>
      </c>
      <c r="X123" s="1">
        <v>900</v>
      </c>
      <c r="Y123" s="1">
        <v>0</v>
      </c>
      <c r="Z123" s="3">
        <v>21</v>
      </c>
      <c r="AA123" s="3">
        <v>0</v>
      </c>
      <c r="AB123" s="3">
        <v>21</v>
      </c>
      <c r="AC123" s="3">
        <v>0</v>
      </c>
      <c r="AD123" s="3">
        <f t="shared" si="46"/>
        <v>21</v>
      </c>
      <c r="AE123" s="3">
        <v>0</v>
      </c>
      <c r="AF123" s="3">
        <v>0</v>
      </c>
      <c r="AG123" s="3">
        <v>0</v>
      </c>
      <c r="AH123" s="3">
        <v>0</v>
      </c>
      <c r="AI123" s="3">
        <v>21</v>
      </c>
      <c r="AJ123" s="3">
        <f t="shared" si="47"/>
        <v>21</v>
      </c>
      <c r="AK123" s="1">
        <v>0</v>
      </c>
      <c r="AL123" s="1">
        <v>0</v>
      </c>
      <c r="AM123" s="1">
        <v>0</v>
      </c>
      <c r="AN123" s="1">
        <v>0</v>
      </c>
      <c r="AO123" s="3">
        <f t="shared" si="49"/>
        <v>21</v>
      </c>
      <c r="AP123" s="3">
        <f t="shared" si="48"/>
        <v>0</v>
      </c>
      <c r="AQ123" s="1" t="s">
        <v>178</v>
      </c>
    </row>
    <row r="124" spans="1:43" x14ac:dyDescent="0.35">
      <c r="A124" s="1">
        <v>744</v>
      </c>
      <c r="B124" s="2">
        <v>45895</v>
      </c>
      <c r="C124" s="1" t="s">
        <v>64</v>
      </c>
      <c r="D124" s="1">
        <v>9519050617</v>
      </c>
      <c r="E124" s="1">
        <v>4</v>
      </c>
      <c r="F124" s="1" t="s">
        <v>675</v>
      </c>
      <c r="G124" s="1" t="s">
        <v>1367</v>
      </c>
      <c r="H124" s="1" t="s">
        <v>86</v>
      </c>
      <c r="I124" s="1" t="s">
        <v>968</v>
      </c>
      <c r="K124" s="1" t="s">
        <v>969</v>
      </c>
      <c r="L124" s="1" t="str">
        <f t="shared" si="24"/>
        <v>IPP</v>
      </c>
      <c r="M124" s="1" t="s">
        <v>1232</v>
      </c>
      <c r="N124" s="1" t="s">
        <v>1135</v>
      </c>
      <c r="O124" s="1" t="s">
        <v>54</v>
      </c>
      <c r="P124" s="1">
        <v>941597</v>
      </c>
      <c r="Q124" s="1" t="s">
        <v>87</v>
      </c>
      <c r="R124" s="1">
        <v>3902332</v>
      </c>
      <c r="S124" s="1" t="s">
        <v>142</v>
      </c>
      <c r="T124" s="1" t="s">
        <v>88</v>
      </c>
      <c r="U124" s="1" t="s">
        <v>89</v>
      </c>
      <c r="V124" s="1" t="s">
        <v>143</v>
      </c>
      <c r="W124" s="1">
        <v>0.5</v>
      </c>
      <c r="X124" s="1">
        <v>1220</v>
      </c>
      <c r="Y124" s="1">
        <v>0</v>
      </c>
      <c r="Z124" s="3">
        <v>55.999000000000002</v>
      </c>
      <c r="AA124" s="3">
        <v>45.59</v>
      </c>
      <c r="AB124" s="3">
        <v>10.409000000000001</v>
      </c>
      <c r="AC124" s="3">
        <v>21.215</v>
      </c>
      <c r="AD124" s="3">
        <f t="shared" si="46"/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f t="shared" si="47"/>
        <v>21.215</v>
      </c>
      <c r="AK124" s="3">
        <f>AC124</f>
        <v>21.215</v>
      </c>
      <c r="AL124" s="1">
        <v>0</v>
      </c>
      <c r="AM124" s="1">
        <v>0</v>
      </c>
      <c r="AN124" s="1">
        <v>0</v>
      </c>
      <c r="AO124" s="1">
        <v>0</v>
      </c>
      <c r="AP124" s="3">
        <f t="shared" si="48"/>
        <v>0</v>
      </c>
      <c r="AQ124" s="1" t="s">
        <v>87</v>
      </c>
    </row>
    <row r="125" spans="1:43" x14ac:dyDescent="0.35">
      <c r="A125" s="1">
        <v>744</v>
      </c>
      <c r="B125" s="2">
        <v>45895</v>
      </c>
      <c r="C125" s="1" t="s">
        <v>64</v>
      </c>
      <c r="D125" s="1">
        <v>9519050617</v>
      </c>
      <c r="E125" s="1">
        <v>5</v>
      </c>
      <c r="F125" s="1" t="s">
        <v>676</v>
      </c>
      <c r="G125" s="1" t="s">
        <v>393</v>
      </c>
      <c r="H125" s="1" t="s">
        <v>86</v>
      </c>
      <c r="I125" s="1" t="s">
        <v>968</v>
      </c>
      <c r="K125" s="1" t="s">
        <v>969</v>
      </c>
      <c r="L125" s="1" t="str">
        <f t="shared" si="24"/>
        <v>IPP</v>
      </c>
      <c r="M125" s="1" t="s">
        <v>1232</v>
      </c>
      <c r="N125" s="1" t="s">
        <v>1135</v>
      </c>
      <c r="O125" s="1" t="s">
        <v>54</v>
      </c>
      <c r="P125" s="1">
        <v>941597</v>
      </c>
      <c r="Q125" s="1" t="s">
        <v>87</v>
      </c>
      <c r="R125" s="1">
        <v>3902332</v>
      </c>
      <c r="S125" s="1" t="s">
        <v>142</v>
      </c>
      <c r="T125" s="1" t="s">
        <v>88</v>
      </c>
      <c r="U125" s="1" t="s">
        <v>89</v>
      </c>
      <c r="V125" s="1" t="s">
        <v>143</v>
      </c>
      <c r="W125" s="1">
        <v>0.5</v>
      </c>
      <c r="X125" s="1">
        <v>1220</v>
      </c>
      <c r="Y125" s="1">
        <v>0</v>
      </c>
      <c r="Z125" s="3">
        <v>27.998999999999999</v>
      </c>
      <c r="AA125" s="3">
        <v>7.9649999999999999</v>
      </c>
      <c r="AB125" s="3">
        <v>20.033999999999999</v>
      </c>
      <c r="AC125" s="3">
        <v>7.9649999999999999</v>
      </c>
      <c r="AD125" s="3">
        <f t="shared" si="46"/>
        <v>20.033999999999999</v>
      </c>
      <c r="AE125" s="3">
        <v>0</v>
      </c>
      <c r="AF125" s="3">
        <v>20.033999999999999</v>
      </c>
      <c r="AG125" s="3">
        <v>0</v>
      </c>
      <c r="AH125" s="3">
        <v>0</v>
      </c>
      <c r="AI125" s="3">
        <v>0</v>
      </c>
      <c r="AJ125" s="3">
        <f t="shared" si="47"/>
        <v>27.998999999999999</v>
      </c>
      <c r="AK125" s="1">
        <v>0</v>
      </c>
      <c r="AL125" s="1">
        <v>0</v>
      </c>
      <c r="AM125" s="1">
        <v>0</v>
      </c>
      <c r="AN125" s="3">
        <f>AF125+AC125</f>
        <v>27.998999999999999</v>
      </c>
      <c r="AO125" s="1">
        <v>0</v>
      </c>
      <c r="AP125" s="3">
        <f t="shared" si="48"/>
        <v>0</v>
      </c>
      <c r="AQ125" s="1" t="s">
        <v>87</v>
      </c>
    </row>
    <row r="126" spans="1:43" x14ac:dyDescent="0.35">
      <c r="A126" s="1">
        <v>744</v>
      </c>
      <c r="B126" s="2">
        <v>45895</v>
      </c>
      <c r="C126" s="1" t="s">
        <v>64</v>
      </c>
      <c r="D126" s="1">
        <v>9519050617</v>
      </c>
      <c r="E126" s="1">
        <v>6</v>
      </c>
      <c r="F126" s="1" t="s">
        <v>677</v>
      </c>
      <c r="G126" s="1" t="s">
        <v>1367</v>
      </c>
      <c r="H126" s="1" t="s">
        <v>86</v>
      </c>
      <c r="I126" s="1" t="s">
        <v>968</v>
      </c>
      <c r="K126" s="1" t="s">
        <v>969</v>
      </c>
      <c r="L126" s="1" t="str">
        <f t="shared" si="24"/>
        <v>IPP</v>
      </c>
      <c r="M126" s="1" t="s">
        <v>1232</v>
      </c>
      <c r="N126" s="1" t="s">
        <v>1135</v>
      </c>
      <c r="O126" s="1" t="s">
        <v>54</v>
      </c>
      <c r="P126" s="1">
        <v>941597</v>
      </c>
      <c r="Q126" s="1" t="s">
        <v>87</v>
      </c>
      <c r="R126" s="1">
        <v>3902332</v>
      </c>
      <c r="S126" s="1" t="s">
        <v>142</v>
      </c>
      <c r="T126" s="1" t="s">
        <v>88</v>
      </c>
      <c r="U126" s="1" t="s">
        <v>89</v>
      </c>
      <c r="V126" s="1" t="s">
        <v>143</v>
      </c>
      <c r="W126" s="1">
        <v>0.5</v>
      </c>
      <c r="X126" s="1">
        <v>1220</v>
      </c>
      <c r="Y126" s="1">
        <v>0</v>
      </c>
      <c r="Z126" s="3">
        <v>112</v>
      </c>
      <c r="AA126" s="3">
        <v>97.12</v>
      </c>
      <c r="AB126" s="3">
        <v>14.879</v>
      </c>
      <c r="AC126" s="3">
        <v>16.475000000000001</v>
      </c>
      <c r="AD126" s="3">
        <f t="shared" si="46"/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f t="shared" si="47"/>
        <v>16.475000000000001</v>
      </c>
      <c r="AK126" s="3">
        <f>AC126</f>
        <v>16.475000000000001</v>
      </c>
      <c r="AL126" s="1">
        <v>0</v>
      </c>
      <c r="AM126" s="1">
        <v>0</v>
      </c>
      <c r="AN126" s="1">
        <v>0</v>
      </c>
      <c r="AO126" s="1">
        <v>0</v>
      </c>
      <c r="AP126" s="3">
        <f t="shared" si="48"/>
        <v>0</v>
      </c>
      <c r="AQ126" s="1" t="s">
        <v>87</v>
      </c>
    </row>
    <row r="127" spans="1:43" x14ac:dyDescent="0.35">
      <c r="A127" s="1">
        <v>744</v>
      </c>
      <c r="B127" s="2">
        <v>45895</v>
      </c>
      <c r="C127" s="1" t="s">
        <v>64</v>
      </c>
      <c r="D127" s="1">
        <v>9519050617</v>
      </c>
      <c r="E127" s="1">
        <v>7</v>
      </c>
      <c r="F127" s="1" t="s">
        <v>678</v>
      </c>
      <c r="G127" s="1" t="s">
        <v>1367</v>
      </c>
      <c r="H127" s="1" t="s">
        <v>86</v>
      </c>
      <c r="I127" s="1" t="s">
        <v>968</v>
      </c>
      <c r="K127" s="1" t="s">
        <v>969</v>
      </c>
      <c r="L127" s="1" t="str">
        <f t="shared" si="24"/>
        <v>IPP</v>
      </c>
      <c r="M127" s="1" t="s">
        <v>1232</v>
      </c>
      <c r="N127" s="1" t="s">
        <v>1135</v>
      </c>
      <c r="O127" s="1" t="s">
        <v>54</v>
      </c>
      <c r="P127" s="1">
        <v>941597</v>
      </c>
      <c r="Q127" s="1" t="s">
        <v>87</v>
      </c>
      <c r="R127" s="1">
        <v>3940122</v>
      </c>
      <c r="S127" s="1" t="s">
        <v>281</v>
      </c>
      <c r="T127" s="1" t="s">
        <v>88</v>
      </c>
      <c r="U127" s="1" t="s">
        <v>89</v>
      </c>
      <c r="V127" s="1" t="s">
        <v>143</v>
      </c>
      <c r="W127" s="1">
        <v>0.47</v>
      </c>
      <c r="X127" s="1">
        <v>1220</v>
      </c>
      <c r="Y127" s="1">
        <v>0</v>
      </c>
      <c r="Z127" s="3">
        <v>28</v>
      </c>
      <c r="AA127" s="3">
        <v>20.11</v>
      </c>
      <c r="AB127" s="3">
        <v>7.89</v>
      </c>
      <c r="AC127" s="3">
        <v>20.11</v>
      </c>
      <c r="AD127" s="3">
        <f t="shared" si="46"/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f t="shared" si="47"/>
        <v>20.11</v>
      </c>
      <c r="AK127" s="3">
        <f>AC127</f>
        <v>20.11</v>
      </c>
      <c r="AL127" s="1">
        <v>0</v>
      </c>
      <c r="AM127" s="1">
        <v>0</v>
      </c>
      <c r="AN127" s="1">
        <v>0</v>
      </c>
      <c r="AO127" s="1">
        <v>0</v>
      </c>
      <c r="AP127" s="3">
        <f t="shared" si="48"/>
        <v>0</v>
      </c>
      <c r="AQ127" s="1" t="s">
        <v>87</v>
      </c>
    </row>
    <row r="128" spans="1:43" x14ac:dyDescent="0.35">
      <c r="A128" s="1">
        <v>744</v>
      </c>
      <c r="B128" s="2">
        <v>45895</v>
      </c>
      <c r="C128" s="1" t="s">
        <v>64</v>
      </c>
      <c r="D128" s="1">
        <v>9519050617</v>
      </c>
      <c r="E128" s="1">
        <v>8</v>
      </c>
      <c r="F128" s="1" t="s">
        <v>679</v>
      </c>
      <c r="G128" s="1" t="s">
        <v>1367</v>
      </c>
      <c r="H128" s="1" t="s">
        <v>86</v>
      </c>
      <c r="I128" s="1" t="s">
        <v>968</v>
      </c>
      <c r="K128" s="1" t="s">
        <v>969</v>
      </c>
      <c r="L128" s="1" t="str">
        <f t="shared" ref="L128:L169" si="50">K128</f>
        <v>IPP</v>
      </c>
      <c r="M128" s="1" t="s">
        <v>1232</v>
      </c>
      <c r="N128" s="1" t="s">
        <v>1135</v>
      </c>
      <c r="O128" s="1" t="s">
        <v>54</v>
      </c>
      <c r="P128" s="1">
        <v>941597</v>
      </c>
      <c r="Q128" s="1" t="s">
        <v>87</v>
      </c>
      <c r="R128" s="1">
        <v>3940122</v>
      </c>
      <c r="S128" s="1" t="s">
        <v>281</v>
      </c>
      <c r="T128" s="1" t="s">
        <v>88</v>
      </c>
      <c r="U128" s="1" t="s">
        <v>89</v>
      </c>
      <c r="V128" s="1" t="s">
        <v>143</v>
      </c>
      <c r="W128" s="1">
        <v>0.47</v>
      </c>
      <c r="X128" s="1">
        <v>1220</v>
      </c>
      <c r="Y128" s="1">
        <v>0</v>
      </c>
      <c r="Z128" s="3">
        <v>56</v>
      </c>
      <c r="AA128" s="3">
        <v>50.484999999999999</v>
      </c>
      <c r="AB128" s="3">
        <v>5.5149999999999997</v>
      </c>
      <c r="AC128" s="3">
        <v>32.130000000000003</v>
      </c>
      <c r="AD128" s="3">
        <f t="shared" si="46"/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f t="shared" si="47"/>
        <v>32.130000000000003</v>
      </c>
      <c r="AK128" s="3">
        <f>AC128</f>
        <v>32.130000000000003</v>
      </c>
      <c r="AL128" s="1">
        <v>0</v>
      </c>
      <c r="AM128" s="1">
        <v>0</v>
      </c>
      <c r="AN128" s="1">
        <v>0</v>
      </c>
      <c r="AO128" s="1">
        <v>0</v>
      </c>
      <c r="AP128" s="3">
        <f t="shared" si="48"/>
        <v>0</v>
      </c>
      <c r="AQ128" s="1" t="s">
        <v>87</v>
      </c>
    </row>
    <row r="129" spans="1:43" x14ac:dyDescent="0.35">
      <c r="A129" s="1">
        <v>744</v>
      </c>
      <c r="B129" s="2">
        <v>45895</v>
      </c>
      <c r="C129" s="1" t="s">
        <v>64</v>
      </c>
      <c r="D129" s="1">
        <v>9519050617</v>
      </c>
      <c r="E129" s="1">
        <v>9</v>
      </c>
      <c r="F129" s="1" t="s">
        <v>680</v>
      </c>
      <c r="G129" s="1" t="s">
        <v>1367</v>
      </c>
      <c r="H129" s="1" t="s">
        <v>86</v>
      </c>
      <c r="I129" s="1" t="s">
        <v>968</v>
      </c>
      <c r="K129" s="1" t="s">
        <v>969</v>
      </c>
      <c r="L129" s="1" t="str">
        <f t="shared" si="50"/>
        <v>IPP</v>
      </c>
      <c r="M129" s="1" t="s">
        <v>1232</v>
      </c>
      <c r="N129" s="1" t="s">
        <v>1135</v>
      </c>
      <c r="O129" s="1" t="s">
        <v>54</v>
      </c>
      <c r="P129" s="1">
        <v>941597</v>
      </c>
      <c r="Q129" s="1" t="s">
        <v>87</v>
      </c>
      <c r="R129" s="1">
        <v>3940122</v>
      </c>
      <c r="S129" s="1" t="s">
        <v>281</v>
      </c>
      <c r="T129" s="1" t="s">
        <v>88</v>
      </c>
      <c r="U129" s="1" t="s">
        <v>89</v>
      </c>
      <c r="V129" s="1" t="s">
        <v>143</v>
      </c>
      <c r="W129" s="1">
        <v>0.47</v>
      </c>
      <c r="X129" s="1">
        <v>1220</v>
      </c>
      <c r="Y129" s="1">
        <v>0</v>
      </c>
      <c r="Z129" s="3">
        <v>28</v>
      </c>
      <c r="AA129" s="3">
        <v>26.84</v>
      </c>
      <c r="AB129" s="3">
        <v>1.159</v>
      </c>
      <c r="AC129" s="3">
        <v>26.84</v>
      </c>
      <c r="AD129" s="3">
        <f t="shared" si="46"/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f t="shared" si="47"/>
        <v>26.84</v>
      </c>
      <c r="AK129" s="3">
        <f>AC129</f>
        <v>26.84</v>
      </c>
      <c r="AL129" s="1">
        <v>0</v>
      </c>
      <c r="AM129" s="1">
        <v>0</v>
      </c>
      <c r="AN129" s="1">
        <v>0</v>
      </c>
      <c r="AO129" s="1">
        <v>0</v>
      </c>
      <c r="AP129" s="3">
        <f t="shared" si="48"/>
        <v>0</v>
      </c>
      <c r="AQ129" s="1" t="s">
        <v>87</v>
      </c>
    </row>
    <row r="130" spans="1:43" x14ac:dyDescent="0.35">
      <c r="A130" s="1">
        <v>744</v>
      </c>
      <c r="B130" s="2">
        <v>45895</v>
      </c>
      <c r="C130" s="1" t="s">
        <v>64</v>
      </c>
      <c r="D130" s="1">
        <v>9519050617</v>
      </c>
      <c r="E130" s="1">
        <v>13</v>
      </c>
      <c r="F130" s="1" t="s">
        <v>681</v>
      </c>
      <c r="G130" s="1" t="s">
        <v>1367</v>
      </c>
      <c r="H130" s="1" t="s">
        <v>86</v>
      </c>
      <c r="I130" s="1" t="s">
        <v>968</v>
      </c>
      <c r="K130" s="1" t="s">
        <v>969</v>
      </c>
      <c r="L130" s="1" t="str">
        <f t="shared" si="50"/>
        <v>IPP</v>
      </c>
      <c r="M130" s="1" t="s">
        <v>1232</v>
      </c>
      <c r="N130" s="1" t="s">
        <v>1135</v>
      </c>
      <c r="O130" s="1" t="s">
        <v>54</v>
      </c>
      <c r="P130" s="1">
        <v>941597</v>
      </c>
      <c r="Q130" s="1" t="s">
        <v>87</v>
      </c>
      <c r="R130" s="1">
        <v>3940122</v>
      </c>
      <c r="S130" s="1" t="s">
        <v>281</v>
      </c>
      <c r="T130" s="1" t="s">
        <v>88</v>
      </c>
      <c r="U130" s="1" t="s">
        <v>89</v>
      </c>
      <c r="V130" s="1" t="s">
        <v>143</v>
      </c>
      <c r="W130" s="1">
        <v>0.47</v>
      </c>
      <c r="X130" s="1">
        <v>1220</v>
      </c>
      <c r="Y130" s="1">
        <v>0</v>
      </c>
      <c r="Z130" s="3">
        <v>84</v>
      </c>
      <c r="AA130" s="3">
        <v>73.819999999999993</v>
      </c>
      <c r="AB130" s="3">
        <v>10.18</v>
      </c>
      <c r="AC130" s="3">
        <v>73.819999999999993</v>
      </c>
      <c r="AD130" s="3">
        <f t="shared" si="46"/>
        <v>10.18</v>
      </c>
      <c r="AE130" s="3">
        <v>0</v>
      </c>
      <c r="AF130" s="3">
        <v>10.18</v>
      </c>
      <c r="AG130" s="3">
        <v>0</v>
      </c>
      <c r="AH130" s="3">
        <v>0</v>
      </c>
      <c r="AI130" s="3">
        <v>0</v>
      </c>
      <c r="AJ130" s="3">
        <f t="shared" si="47"/>
        <v>84</v>
      </c>
      <c r="AK130" s="1">
        <v>0</v>
      </c>
      <c r="AL130" s="1">
        <v>0</v>
      </c>
      <c r="AM130" s="1">
        <v>0</v>
      </c>
      <c r="AN130" s="3">
        <f>AF130+AC130</f>
        <v>84</v>
      </c>
      <c r="AO130" s="1">
        <v>0</v>
      </c>
      <c r="AP130" s="3">
        <f t="shared" si="48"/>
        <v>0</v>
      </c>
      <c r="AQ130" s="1" t="s">
        <v>87</v>
      </c>
    </row>
    <row r="131" spans="1:43" x14ac:dyDescent="0.35">
      <c r="A131" s="1">
        <v>744</v>
      </c>
      <c r="B131" s="2">
        <v>45895</v>
      </c>
      <c r="C131" s="1" t="s">
        <v>64</v>
      </c>
      <c r="D131" s="1">
        <v>9519050617</v>
      </c>
      <c r="E131" s="1">
        <v>14</v>
      </c>
      <c r="F131" s="1" t="s">
        <v>682</v>
      </c>
      <c r="G131" s="1" t="s">
        <v>1367</v>
      </c>
      <c r="H131" s="1" t="s">
        <v>86</v>
      </c>
      <c r="I131" s="1" t="s">
        <v>968</v>
      </c>
      <c r="K131" s="1" t="s">
        <v>969</v>
      </c>
      <c r="L131" s="1" t="str">
        <f t="shared" si="50"/>
        <v>IPP</v>
      </c>
      <c r="M131" s="1" t="s">
        <v>1232</v>
      </c>
      <c r="N131" s="1" t="s">
        <v>1135</v>
      </c>
      <c r="O131" s="1" t="s">
        <v>54</v>
      </c>
      <c r="P131" s="1">
        <v>941597</v>
      </c>
      <c r="Q131" s="1" t="s">
        <v>87</v>
      </c>
      <c r="R131" s="1">
        <v>3940122</v>
      </c>
      <c r="S131" s="1" t="s">
        <v>281</v>
      </c>
      <c r="T131" s="1" t="s">
        <v>88</v>
      </c>
      <c r="U131" s="1" t="s">
        <v>89</v>
      </c>
      <c r="V131" s="1" t="s">
        <v>143</v>
      </c>
      <c r="W131" s="1">
        <v>0.47</v>
      </c>
      <c r="X131" s="1">
        <v>1220</v>
      </c>
      <c r="Y131" s="1">
        <v>0</v>
      </c>
      <c r="Z131" s="3">
        <v>28</v>
      </c>
      <c r="AA131" s="3">
        <v>26.765000000000001</v>
      </c>
      <c r="AB131" s="3">
        <v>1.2350000000000001</v>
      </c>
      <c r="AC131" s="3">
        <v>26.765000000000004</v>
      </c>
      <c r="AD131" s="3">
        <f t="shared" si="46"/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f t="shared" si="47"/>
        <v>26.765000000000004</v>
      </c>
      <c r="AK131" s="3">
        <f>AC131</f>
        <v>26.765000000000004</v>
      </c>
      <c r="AL131" s="1">
        <v>0</v>
      </c>
      <c r="AM131" s="1">
        <v>0</v>
      </c>
      <c r="AN131" s="1">
        <v>0</v>
      </c>
      <c r="AO131" s="1">
        <v>0</v>
      </c>
      <c r="AP131" s="3">
        <f t="shared" si="48"/>
        <v>0</v>
      </c>
      <c r="AQ131" s="1" t="s">
        <v>87</v>
      </c>
    </row>
    <row r="132" spans="1:43" x14ac:dyDescent="0.35">
      <c r="A132" s="1">
        <v>744</v>
      </c>
      <c r="B132" s="2">
        <v>45895</v>
      </c>
      <c r="C132" s="1" t="s">
        <v>64</v>
      </c>
      <c r="D132" s="1">
        <v>9519050617</v>
      </c>
      <c r="E132" s="1">
        <v>15</v>
      </c>
      <c r="F132" s="1" t="s">
        <v>683</v>
      </c>
      <c r="G132" s="1" t="s">
        <v>1367</v>
      </c>
      <c r="H132" s="1" t="s">
        <v>86</v>
      </c>
      <c r="I132" s="1" t="s">
        <v>968</v>
      </c>
      <c r="K132" s="1" t="s">
        <v>969</v>
      </c>
      <c r="L132" s="1" t="str">
        <f t="shared" si="50"/>
        <v>IPP</v>
      </c>
      <c r="M132" s="1" t="s">
        <v>1232</v>
      </c>
      <c r="N132" s="1" t="s">
        <v>1135</v>
      </c>
      <c r="O132" s="1" t="s">
        <v>54</v>
      </c>
      <c r="P132" s="1">
        <v>941597</v>
      </c>
      <c r="Q132" s="1" t="s">
        <v>87</v>
      </c>
      <c r="R132" s="1">
        <v>3940122</v>
      </c>
      <c r="S132" s="1" t="s">
        <v>281</v>
      </c>
      <c r="T132" s="1" t="s">
        <v>88</v>
      </c>
      <c r="U132" s="1" t="s">
        <v>89</v>
      </c>
      <c r="V132" s="1" t="s">
        <v>143</v>
      </c>
      <c r="W132" s="1">
        <v>0.47</v>
      </c>
      <c r="X132" s="1">
        <v>1220</v>
      </c>
      <c r="Y132" s="1">
        <v>0</v>
      </c>
      <c r="Z132" s="3">
        <v>56</v>
      </c>
      <c r="AA132" s="3">
        <v>55.234999999999999</v>
      </c>
      <c r="AB132" s="3">
        <v>0.76500000000000001</v>
      </c>
      <c r="AC132" s="3">
        <v>55.235000000000014</v>
      </c>
      <c r="AD132" s="3">
        <f t="shared" si="46"/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f t="shared" si="47"/>
        <v>55.235000000000014</v>
      </c>
      <c r="AK132" s="3">
        <f>AC132</f>
        <v>55.235000000000014</v>
      </c>
      <c r="AL132" s="1">
        <v>0</v>
      </c>
      <c r="AM132" s="1">
        <v>0</v>
      </c>
      <c r="AN132" s="1">
        <v>0</v>
      </c>
      <c r="AO132" s="1">
        <v>0</v>
      </c>
      <c r="AP132" s="3">
        <f t="shared" si="48"/>
        <v>0</v>
      </c>
      <c r="AQ132" s="1" t="s">
        <v>87</v>
      </c>
    </row>
    <row r="133" spans="1:43" x14ac:dyDescent="0.35">
      <c r="A133" s="1">
        <v>744</v>
      </c>
      <c r="B133" s="2">
        <v>45899</v>
      </c>
      <c r="C133" s="1" t="s">
        <v>64</v>
      </c>
      <c r="D133" s="1">
        <v>9519065717</v>
      </c>
      <c r="E133" s="1">
        <v>1</v>
      </c>
      <c r="F133" s="1" t="s">
        <v>684</v>
      </c>
      <c r="G133" s="1" t="s">
        <v>1367</v>
      </c>
      <c r="H133" s="1" t="s">
        <v>86</v>
      </c>
      <c r="I133" s="1" t="s">
        <v>968</v>
      </c>
      <c r="K133" s="1" t="s">
        <v>969</v>
      </c>
      <c r="L133" s="1" t="str">
        <f t="shared" si="50"/>
        <v>IPP</v>
      </c>
      <c r="M133" s="1" t="s">
        <v>1232</v>
      </c>
      <c r="N133" s="1" t="s">
        <v>108</v>
      </c>
      <c r="O133" s="1" t="s">
        <v>54</v>
      </c>
      <c r="P133" s="1">
        <v>940016</v>
      </c>
      <c r="Q133" s="1" t="s">
        <v>107</v>
      </c>
      <c r="R133" s="1">
        <v>3521300</v>
      </c>
      <c r="S133" s="1" t="s">
        <v>417</v>
      </c>
      <c r="T133" s="1" t="s">
        <v>88</v>
      </c>
      <c r="U133" s="1" t="s">
        <v>89</v>
      </c>
      <c r="V133" s="1" t="s">
        <v>217</v>
      </c>
      <c r="W133" s="1">
        <v>0.4</v>
      </c>
      <c r="X133" s="1">
        <v>1220</v>
      </c>
      <c r="Y133" s="1">
        <v>0</v>
      </c>
      <c r="Z133" s="3">
        <v>280</v>
      </c>
      <c r="AA133" s="3">
        <v>272.73</v>
      </c>
      <c r="AB133" s="3">
        <v>7.27</v>
      </c>
      <c r="AC133" s="3">
        <v>46.984999999999999</v>
      </c>
      <c r="AD133" s="3">
        <f t="shared" si="46"/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f t="shared" si="47"/>
        <v>46.984999999999999</v>
      </c>
      <c r="AK133" s="3">
        <f>AC133</f>
        <v>46.984999999999999</v>
      </c>
      <c r="AL133" s="1">
        <v>0</v>
      </c>
      <c r="AM133" s="1">
        <v>0</v>
      </c>
      <c r="AN133" s="1">
        <v>0</v>
      </c>
      <c r="AO133" s="1">
        <v>0</v>
      </c>
      <c r="AP133" s="3">
        <f t="shared" si="48"/>
        <v>0</v>
      </c>
      <c r="AQ133" s="1" t="s">
        <v>107</v>
      </c>
    </row>
    <row r="134" spans="1:43" x14ac:dyDescent="0.35">
      <c r="A134" s="1">
        <v>742</v>
      </c>
      <c r="B134" s="2">
        <v>45887</v>
      </c>
      <c r="C134" s="1" t="s">
        <v>64</v>
      </c>
      <c r="D134" s="1">
        <v>9519025593</v>
      </c>
      <c r="E134" s="1">
        <v>1</v>
      </c>
      <c r="F134" s="1" t="s">
        <v>685</v>
      </c>
      <c r="G134" s="1" t="s">
        <v>1155</v>
      </c>
      <c r="H134" s="1" t="s">
        <v>21</v>
      </c>
      <c r="I134" s="1" t="s">
        <v>71</v>
      </c>
      <c r="K134" s="1" t="s">
        <v>970</v>
      </c>
      <c r="L134" s="1" t="str">
        <f t="shared" si="50"/>
        <v>BPRS</v>
      </c>
      <c r="M134" s="1" t="s">
        <v>1231</v>
      </c>
      <c r="N134" s="1" t="s">
        <v>214</v>
      </c>
      <c r="O134" s="1" t="s">
        <v>97</v>
      </c>
      <c r="P134" s="1">
        <v>115841</v>
      </c>
      <c r="Q134" s="1" t="s">
        <v>240</v>
      </c>
      <c r="R134" s="1">
        <v>3437524</v>
      </c>
      <c r="S134" s="1" t="s">
        <v>215</v>
      </c>
      <c r="T134" s="1" t="s">
        <v>75</v>
      </c>
      <c r="U134" s="1" t="s">
        <v>122</v>
      </c>
      <c r="V134" s="1" t="s">
        <v>123</v>
      </c>
      <c r="W134" s="1">
        <v>0.4</v>
      </c>
      <c r="X134" s="1">
        <v>1250</v>
      </c>
      <c r="Y134" s="1">
        <v>2030</v>
      </c>
      <c r="Z134" s="3">
        <v>29</v>
      </c>
      <c r="AA134" s="3">
        <v>0</v>
      </c>
      <c r="AB134" s="3">
        <v>29</v>
      </c>
      <c r="AC134" s="3">
        <v>0</v>
      </c>
      <c r="AD134" s="3">
        <f t="shared" si="46"/>
        <v>29</v>
      </c>
      <c r="AE134" s="3">
        <v>0</v>
      </c>
      <c r="AF134" s="3">
        <v>29</v>
      </c>
      <c r="AG134" s="3">
        <v>0</v>
      </c>
      <c r="AH134" s="3">
        <v>0</v>
      </c>
      <c r="AI134" s="3">
        <v>0</v>
      </c>
      <c r="AJ134" s="3">
        <f t="shared" si="47"/>
        <v>29</v>
      </c>
      <c r="AK134" s="1">
        <v>0</v>
      </c>
      <c r="AL134" s="3">
        <f>AF134</f>
        <v>29</v>
      </c>
      <c r="AM134" s="3">
        <v>0</v>
      </c>
      <c r="AN134" s="3">
        <f>AG134</f>
        <v>0</v>
      </c>
      <c r="AO134" s="3">
        <f>AH134</f>
        <v>0</v>
      </c>
      <c r="AP134" s="3">
        <f t="shared" si="48"/>
        <v>0</v>
      </c>
      <c r="AQ134" s="1" t="s">
        <v>240</v>
      </c>
    </row>
    <row r="135" spans="1:43" x14ac:dyDescent="0.35">
      <c r="A135" s="1">
        <v>744</v>
      </c>
      <c r="B135" s="2">
        <v>45889</v>
      </c>
      <c r="C135" s="1" t="s">
        <v>64</v>
      </c>
      <c r="D135" s="1">
        <v>9519032766</v>
      </c>
      <c r="E135" s="1">
        <v>3</v>
      </c>
      <c r="F135" s="1" t="s">
        <v>688</v>
      </c>
      <c r="G135" s="1" t="s">
        <v>1367</v>
      </c>
      <c r="H135" s="1" t="s">
        <v>86</v>
      </c>
      <c r="I135" s="1" t="s">
        <v>968</v>
      </c>
      <c r="K135" s="1" t="s">
        <v>969</v>
      </c>
      <c r="L135" s="1" t="str">
        <f t="shared" si="50"/>
        <v>IPP</v>
      </c>
      <c r="M135" s="1" t="s">
        <v>1232</v>
      </c>
      <c r="N135" s="1" t="s">
        <v>1135</v>
      </c>
      <c r="O135" s="1" t="s">
        <v>54</v>
      </c>
      <c r="P135" s="1">
        <v>941597</v>
      </c>
      <c r="Q135" s="1" t="s">
        <v>87</v>
      </c>
      <c r="R135" s="1">
        <v>3960726</v>
      </c>
      <c r="S135" s="1" t="s">
        <v>280</v>
      </c>
      <c r="T135" s="1" t="s">
        <v>88</v>
      </c>
      <c r="U135" s="1" t="s">
        <v>89</v>
      </c>
      <c r="V135" s="1" t="s">
        <v>143</v>
      </c>
      <c r="W135" s="1">
        <v>0.45</v>
      </c>
      <c r="X135" s="1">
        <v>1220</v>
      </c>
      <c r="Y135" s="1">
        <v>0</v>
      </c>
      <c r="Z135" s="3">
        <v>28</v>
      </c>
      <c r="AA135" s="3">
        <v>24.22</v>
      </c>
      <c r="AB135" s="3">
        <v>3.7789999999999999</v>
      </c>
      <c r="AC135" s="3">
        <v>24.22</v>
      </c>
      <c r="AD135" s="3">
        <f t="shared" si="46"/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f t="shared" si="47"/>
        <v>24.22</v>
      </c>
      <c r="AK135" s="3">
        <f>AC135</f>
        <v>24.22</v>
      </c>
      <c r="AL135" s="1">
        <v>0</v>
      </c>
      <c r="AM135" s="1">
        <v>0</v>
      </c>
      <c r="AN135" s="1">
        <v>0</v>
      </c>
      <c r="AO135" s="1">
        <v>0</v>
      </c>
      <c r="AP135" s="3">
        <f t="shared" si="48"/>
        <v>0</v>
      </c>
      <c r="AQ135" s="1" t="s">
        <v>87</v>
      </c>
    </row>
    <row r="136" spans="1:43" x14ac:dyDescent="0.35">
      <c r="A136" s="1">
        <v>744</v>
      </c>
      <c r="B136" s="2">
        <v>45892</v>
      </c>
      <c r="C136" s="1" t="s">
        <v>64</v>
      </c>
      <c r="D136" s="1">
        <v>9519042679</v>
      </c>
      <c r="E136" s="1">
        <v>2</v>
      </c>
      <c r="F136" s="1" t="s">
        <v>693</v>
      </c>
      <c r="G136" s="1" t="s">
        <v>1367</v>
      </c>
      <c r="H136" s="1" t="s">
        <v>86</v>
      </c>
      <c r="I136" s="1" t="s">
        <v>968</v>
      </c>
      <c r="K136" s="1" t="s">
        <v>969</v>
      </c>
      <c r="L136" s="1" t="str">
        <f t="shared" si="50"/>
        <v>IPP</v>
      </c>
      <c r="M136" s="1" t="s">
        <v>1232</v>
      </c>
      <c r="N136" s="1" t="s">
        <v>1135</v>
      </c>
      <c r="O136" s="1" t="s">
        <v>54</v>
      </c>
      <c r="P136" s="1">
        <v>941597</v>
      </c>
      <c r="Q136" s="1" t="s">
        <v>87</v>
      </c>
      <c r="R136" s="1">
        <v>3902332</v>
      </c>
      <c r="S136" s="1" t="s">
        <v>142</v>
      </c>
      <c r="T136" s="1" t="s">
        <v>88</v>
      </c>
      <c r="U136" s="1" t="s">
        <v>89</v>
      </c>
      <c r="V136" s="1" t="s">
        <v>143</v>
      </c>
      <c r="W136" s="1">
        <v>0.5</v>
      </c>
      <c r="X136" s="1">
        <v>1220</v>
      </c>
      <c r="Y136" s="1">
        <v>0</v>
      </c>
      <c r="Z136" s="3">
        <v>56</v>
      </c>
      <c r="AA136" s="3">
        <v>45.295000000000002</v>
      </c>
      <c r="AB136" s="3">
        <v>10.705</v>
      </c>
      <c r="AC136" s="3">
        <v>21.325000000000003</v>
      </c>
      <c r="AD136" s="3">
        <f t="shared" si="46"/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f t="shared" si="47"/>
        <v>21.325000000000003</v>
      </c>
      <c r="AK136" s="3">
        <f>AC136</f>
        <v>21.325000000000003</v>
      </c>
      <c r="AL136" s="1">
        <v>0</v>
      </c>
      <c r="AM136" s="1">
        <v>0</v>
      </c>
      <c r="AN136" s="1">
        <v>0</v>
      </c>
      <c r="AO136" s="1">
        <v>0</v>
      </c>
      <c r="AP136" s="3">
        <f t="shared" si="48"/>
        <v>0</v>
      </c>
      <c r="AQ136" s="1" t="s">
        <v>87</v>
      </c>
    </row>
    <row r="137" spans="1:43" x14ac:dyDescent="0.35">
      <c r="A137" s="1">
        <v>744</v>
      </c>
      <c r="B137" s="2">
        <v>45892</v>
      </c>
      <c r="C137" s="1" t="s">
        <v>64</v>
      </c>
      <c r="D137" s="1">
        <v>9519042679</v>
      </c>
      <c r="E137" s="1">
        <v>4</v>
      </c>
      <c r="F137" s="1" t="s">
        <v>694</v>
      </c>
      <c r="G137" s="1" t="s">
        <v>393</v>
      </c>
      <c r="H137" s="1" t="s">
        <v>86</v>
      </c>
      <c r="I137" s="1" t="s">
        <v>968</v>
      </c>
      <c r="K137" s="1" t="s">
        <v>969</v>
      </c>
      <c r="L137" s="1" t="str">
        <f t="shared" si="50"/>
        <v>IPP</v>
      </c>
      <c r="M137" s="1" t="s">
        <v>1232</v>
      </c>
      <c r="N137" s="1" t="s">
        <v>1135</v>
      </c>
      <c r="O137" s="1" t="s">
        <v>54</v>
      </c>
      <c r="P137" s="1">
        <v>941597</v>
      </c>
      <c r="Q137" s="1" t="s">
        <v>87</v>
      </c>
      <c r="R137" s="1">
        <v>3902332</v>
      </c>
      <c r="S137" s="1" t="s">
        <v>142</v>
      </c>
      <c r="T137" s="1" t="s">
        <v>88</v>
      </c>
      <c r="U137" s="1" t="s">
        <v>89</v>
      </c>
      <c r="V137" s="1" t="s">
        <v>143</v>
      </c>
      <c r="W137" s="1">
        <v>0.5</v>
      </c>
      <c r="X137" s="1">
        <v>1220</v>
      </c>
      <c r="Y137" s="1">
        <v>0</v>
      </c>
      <c r="Z137" s="3">
        <v>112</v>
      </c>
      <c r="AA137" s="3">
        <v>85.37</v>
      </c>
      <c r="AB137" s="3">
        <v>26.63</v>
      </c>
      <c r="AC137" s="3">
        <v>23.599999999999998</v>
      </c>
      <c r="AD137" s="3">
        <f t="shared" si="46"/>
        <v>26.63</v>
      </c>
      <c r="AE137" s="3">
        <v>0</v>
      </c>
      <c r="AF137" s="3">
        <v>26.63</v>
      </c>
      <c r="AG137" s="3">
        <v>0</v>
      </c>
      <c r="AH137" s="3">
        <v>0</v>
      </c>
      <c r="AI137" s="3">
        <v>0</v>
      </c>
      <c r="AJ137" s="3">
        <f t="shared" si="47"/>
        <v>50.23</v>
      </c>
      <c r="AK137" s="1">
        <v>0</v>
      </c>
      <c r="AL137" s="1">
        <v>0</v>
      </c>
      <c r="AM137" s="1">
        <v>0</v>
      </c>
      <c r="AN137" s="3">
        <f>AF137+AC137</f>
        <v>50.23</v>
      </c>
      <c r="AO137" s="1">
        <v>0</v>
      </c>
      <c r="AP137" s="3">
        <f t="shared" si="48"/>
        <v>0</v>
      </c>
      <c r="AQ137" s="1" t="s">
        <v>87</v>
      </c>
    </row>
    <row r="138" spans="1:43" x14ac:dyDescent="0.35">
      <c r="A138" s="1">
        <v>744</v>
      </c>
      <c r="B138" s="2">
        <v>45892</v>
      </c>
      <c r="C138" s="1" t="s">
        <v>64</v>
      </c>
      <c r="D138" s="1">
        <v>9519042679</v>
      </c>
      <c r="E138" s="1">
        <v>5</v>
      </c>
      <c r="F138" s="1" t="s">
        <v>695</v>
      </c>
      <c r="G138" s="1" t="s">
        <v>393</v>
      </c>
      <c r="H138" s="1" t="s">
        <v>86</v>
      </c>
      <c r="I138" s="1" t="s">
        <v>968</v>
      </c>
      <c r="K138" s="1" t="s">
        <v>969</v>
      </c>
      <c r="L138" s="1" t="str">
        <f t="shared" si="50"/>
        <v>IPP</v>
      </c>
      <c r="M138" s="1" t="s">
        <v>1232</v>
      </c>
      <c r="N138" s="1" t="s">
        <v>1135</v>
      </c>
      <c r="O138" s="1" t="s">
        <v>54</v>
      </c>
      <c r="P138" s="1">
        <v>941597</v>
      </c>
      <c r="Q138" s="1" t="s">
        <v>87</v>
      </c>
      <c r="R138" s="1">
        <v>3902332</v>
      </c>
      <c r="S138" s="1" t="s">
        <v>142</v>
      </c>
      <c r="T138" s="1" t="s">
        <v>88</v>
      </c>
      <c r="U138" s="1" t="s">
        <v>89</v>
      </c>
      <c r="V138" s="1" t="s">
        <v>143</v>
      </c>
      <c r="W138" s="1">
        <v>0.5</v>
      </c>
      <c r="X138" s="1">
        <v>1220</v>
      </c>
      <c r="Y138" s="1">
        <v>0</v>
      </c>
      <c r="Z138" s="3">
        <v>168</v>
      </c>
      <c r="AA138" s="3">
        <v>140.71</v>
      </c>
      <c r="AB138" s="3">
        <v>27.289000000000001</v>
      </c>
      <c r="AC138" s="3">
        <v>63.22</v>
      </c>
      <c r="AD138" s="3">
        <f t="shared" si="46"/>
        <v>27.289000000000001</v>
      </c>
      <c r="AE138" s="3">
        <v>0</v>
      </c>
      <c r="AF138" s="3">
        <v>27.289000000000001</v>
      </c>
      <c r="AG138" s="3">
        <v>0</v>
      </c>
      <c r="AH138" s="3">
        <v>0</v>
      </c>
      <c r="AI138" s="3">
        <v>0</v>
      </c>
      <c r="AJ138" s="3">
        <f t="shared" si="47"/>
        <v>90.509</v>
      </c>
      <c r="AK138" s="1">
        <v>0</v>
      </c>
      <c r="AL138" s="1">
        <v>0</v>
      </c>
      <c r="AM138" s="1">
        <v>0</v>
      </c>
      <c r="AN138" s="3">
        <f>AF138+AC138</f>
        <v>90.509</v>
      </c>
      <c r="AO138" s="1">
        <v>0</v>
      </c>
      <c r="AP138" s="3">
        <f t="shared" si="48"/>
        <v>0</v>
      </c>
      <c r="AQ138" s="1" t="s">
        <v>87</v>
      </c>
    </row>
    <row r="139" spans="1:43" x14ac:dyDescent="0.35">
      <c r="A139" s="1">
        <v>744</v>
      </c>
      <c r="B139" s="2">
        <v>45892</v>
      </c>
      <c r="C139" s="1" t="s">
        <v>64</v>
      </c>
      <c r="D139" s="1">
        <v>9519042679</v>
      </c>
      <c r="E139" s="1">
        <v>6</v>
      </c>
      <c r="F139" s="1" t="s">
        <v>696</v>
      </c>
      <c r="G139" s="1" t="s">
        <v>393</v>
      </c>
      <c r="H139" s="1" t="s">
        <v>86</v>
      </c>
      <c r="I139" s="1" t="s">
        <v>968</v>
      </c>
      <c r="K139" s="1" t="s">
        <v>969</v>
      </c>
      <c r="L139" s="1" t="str">
        <f t="shared" si="50"/>
        <v>IPP</v>
      </c>
      <c r="M139" s="1" t="s">
        <v>1232</v>
      </c>
      <c r="N139" s="1" t="s">
        <v>1135</v>
      </c>
      <c r="O139" s="1" t="s">
        <v>54</v>
      </c>
      <c r="P139" s="1">
        <v>941597</v>
      </c>
      <c r="Q139" s="1" t="s">
        <v>87</v>
      </c>
      <c r="R139" s="1">
        <v>3902332</v>
      </c>
      <c r="S139" s="1" t="s">
        <v>142</v>
      </c>
      <c r="T139" s="1" t="s">
        <v>88</v>
      </c>
      <c r="U139" s="1" t="s">
        <v>89</v>
      </c>
      <c r="V139" s="1" t="s">
        <v>143</v>
      </c>
      <c r="W139" s="1">
        <v>0.5</v>
      </c>
      <c r="X139" s="1">
        <v>1220</v>
      </c>
      <c r="Y139" s="1">
        <v>0</v>
      </c>
      <c r="Z139" s="3">
        <v>84</v>
      </c>
      <c r="AA139" s="3">
        <v>42.765000000000001</v>
      </c>
      <c r="AB139" s="3">
        <v>41.234000000000002</v>
      </c>
      <c r="AC139" s="3">
        <v>18.490000000000002</v>
      </c>
      <c r="AD139" s="3">
        <f t="shared" si="46"/>
        <v>41.234000000000002</v>
      </c>
      <c r="AE139" s="3">
        <v>0</v>
      </c>
      <c r="AF139" s="3">
        <v>41.234000000000002</v>
      </c>
      <c r="AG139" s="3">
        <v>0</v>
      </c>
      <c r="AH139" s="3">
        <v>0</v>
      </c>
      <c r="AI139" s="3">
        <v>0</v>
      </c>
      <c r="AJ139" s="3">
        <f t="shared" si="47"/>
        <v>59.724000000000004</v>
      </c>
      <c r="AK139" s="1">
        <v>0</v>
      </c>
      <c r="AL139" s="1">
        <v>0</v>
      </c>
      <c r="AM139" s="1">
        <v>0</v>
      </c>
      <c r="AN139" s="3">
        <f>AF139+AC139</f>
        <v>59.724000000000004</v>
      </c>
      <c r="AO139" s="1">
        <v>0</v>
      </c>
      <c r="AP139" s="3">
        <f t="shared" si="48"/>
        <v>0</v>
      </c>
      <c r="AQ139" s="1" t="s">
        <v>87</v>
      </c>
    </row>
    <row r="140" spans="1:43" x14ac:dyDescent="0.35">
      <c r="A140" s="1">
        <v>744</v>
      </c>
      <c r="B140" s="2">
        <v>45892</v>
      </c>
      <c r="C140" s="1" t="s">
        <v>64</v>
      </c>
      <c r="D140" s="1">
        <v>9519042679</v>
      </c>
      <c r="E140" s="1">
        <v>7</v>
      </c>
      <c r="F140" s="1" t="s">
        <v>697</v>
      </c>
      <c r="G140" s="1" t="s">
        <v>1367</v>
      </c>
      <c r="H140" s="1" t="s">
        <v>86</v>
      </c>
      <c r="I140" s="1" t="s">
        <v>968</v>
      </c>
      <c r="K140" s="1" t="s">
        <v>969</v>
      </c>
      <c r="L140" s="1" t="str">
        <f t="shared" si="50"/>
        <v>IPP</v>
      </c>
      <c r="M140" s="1" t="s">
        <v>1232</v>
      </c>
      <c r="N140" s="1" t="s">
        <v>1135</v>
      </c>
      <c r="O140" s="1" t="s">
        <v>54</v>
      </c>
      <c r="P140" s="1">
        <v>941597</v>
      </c>
      <c r="Q140" s="1" t="s">
        <v>87</v>
      </c>
      <c r="R140" s="1">
        <v>3902332</v>
      </c>
      <c r="S140" s="1" t="s">
        <v>142</v>
      </c>
      <c r="T140" s="1" t="s">
        <v>88</v>
      </c>
      <c r="U140" s="1" t="s">
        <v>89</v>
      </c>
      <c r="V140" s="1" t="s">
        <v>143</v>
      </c>
      <c r="W140" s="1">
        <v>0.5</v>
      </c>
      <c r="X140" s="1">
        <v>1220</v>
      </c>
      <c r="Y140" s="1">
        <v>0</v>
      </c>
      <c r="Z140" s="3">
        <v>112</v>
      </c>
      <c r="AA140" s="3">
        <v>109.985</v>
      </c>
      <c r="AB140" s="3">
        <v>2.0139999999999998</v>
      </c>
      <c r="AC140" s="3">
        <v>28.07</v>
      </c>
      <c r="AD140" s="3">
        <f t="shared" si="46"/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f t="shared" si="47"/>
        <v>28.07</v>
      </c>
      <c r="AK140" s="3">
        <f>AC140</f>
        <v>28.07</v>
      </c>
      <c r="AL140" s="1">
        <v>0</v>
      </c>
      <c r="AM140" s="1">
        <v>0</v>
      </c>
      <c r="AN140" s="1">
        <v>0</v>
      </c>
      <c r="AO140" s="1">
        <v>0</v>
      </c>
      <c r="AP140" s="3">
        <f t="shared" si="48"/>
        <v>0</v>
      </c>
      <c r="AQ140" s="1" t="s">
        <v>87</v>
      </c>
    </row>
    <row r="141" spans="1:43" x14ac:dyDescent="0.35">
      <c r="A141" s="1">
        <v>744</v>
      </c>
      <c r="B141" s="2">
        <v>45892</v>
      </c>
      <c r="C141" s="1" t="s">
        <v>64</v>
      </c>
      <c r="D141" s="1">
        <v>9519042679</v>
      </c>
      <c r="E141" s="1">
        <v>8</v>
      </c>
      <c r="F141" s="1" t="s">
        <v>698</v>
      </c>
      <c r="G141" s="1" t="s">
        <v>1367</v>
      </c>
      <c r="H141" s="1" t="s">
        <v>86</v>
      </c>
      <c r="I141" s="1" t="s">
        <v>968</v>
      </c>
      <c r="K141" s="1" t="s">
        <v>969</v>
      </c>
      <c r="L141" s="1" t="str">
        <f t="shared" si="50"/>
        <v>IPP</v>
      </c>
      <c r="M141" s="1" t="s">
        <v>1232</v>
      </c>
      <c r="N141" s="1" t="s">
        <v>1135</v>
      </c>
      <c r="O141" s="1" t="s">
        <v>54</v>
      </c>
      <c r="P141" s="1">
        <v>941597</v>
      </c>
      <c r="Q141" s="1" t="s">
        <v>87</v>
      </c>
      <c r="R141" s="1">
        <v>3902332</v>
      </c>
      <c r="S141" s="1" t="s">
        <v>142</v>
      </c>
      <c r="T141" s="1" t="s">
        <v>88</v>
      </c>
      <c r="U141" s="1" t="s">
        <v>89</v>
      </c>
      <c r="V141" s="1" t="s">
        <v>143</v>
      </c>
      <c r="W141" s="1">
        <v>0.5</v>
      </c>
      <c r="X141" s="1">
        <v>1220</v>
      </c>
      <c r="Y141" s="1">
        <v>0</v>
      </c>
      <c r="Z141" s="3">
        <v>168</v>
      </c>
      <c r="AA141" s="3">
        <v>157.04</v>
      </c>
      <c r="AB141" s="3">
        <v>10.959</v>
      </c>
      <c r="AC141" s="3">
        <v>45.08</v>
      </c>
      <c r="AD141" s="3">
        <f t="shared" si="46"/>
        <v>10.959</v>
      </c>
      <c r="AE141" s="3">
        <v>0</v>
      </c>
      <c r="AF141" s="3">
        <v>10.959</v>
      </c>
      <c r="AG141" s="3">
        <v>0</v>
      </c>
      <c r="AH141" s="3">
        <v>0</v>
      </c>
      <c r="AI141" s="3">
        <v>0</v>
      </c>
      <c r="AJ141" s="3">
        <f t="shared" si="47"/>
        <v>56.039000000000001</v>
      </c>
      <c r="AK141" s="1">
        <v>0</v>
      </c>
      <c r="AL141" s="1">
        <v>0</v>
      </c>
      <c r="AM141" s="1">
        <v>0</v>
      </c>
      <c r="AN141" s="3">
        <f>AF141+AC141</f>
        <v>56.039000000000001</v>
      </c>
      <c r="AO141" s="1">
        <v>0</v>
      </c>
      <c r="AP141" s="3">
        <f t="shared" si="48"/>
        <v>0</v>
      </c>
      <c r="AQ141" s="1" t="s">
        <v>87</v>
      </c>
    </row>
    <row r="142" spans="1:43" x14ac:dyDescent="0.35">
      <c r="A142" s="1">
        <v>742</v>
      </c>
      <c r="B142" s="2">
        <v>45898</v>
      </c>
      <c r="C142" s="1" t="s">
        <v>64</v>
      </c>
      <c r="D142" s="1">
        <v>9519062631</v>
      </c>
      <c r="E142" s="1">
        <v>10</v>
      </c>
      <c r="F142" s="1" t="s">
        <v>699</v>
      </c>
      <c r="G142" s="1" t="s">
        <v>1155</v>
      </c>
      <c r="H142" s="1" t="s">
        <v>21</v>
      </c>
      <c r="I142" s="1" t="s">
        <v>71</v>
      </c>
      <c r="K142" s="1" t="s">
        <v>970</v>
      </c>
      <c r="L142" s="1" t="str">
        <f t="shared" si="50"/>
        <v>BPRS</v>
      </c>
      <c r="M142" s="1" t="s">
        <v>1231</v>
      </c>
      <c r="N142" s="1" t="s">
        <v>214</v>
      </c>
      <c r="O142" s="1" t="s">
        <v>26</v>
      </c>
      <c r="P142" s="1">
        <v>931525</v>
      </c>
      <c r="Q142" s="1" t="s">
        <v>213</v>
      </c>
      <c r="R142" s="1">
        <v>3437524</v>
      </c>
      <c r="S142" s="1" t="s">
        <v>215</v>
      </c>
      <c r="T142" s="1" t="s">
        <v>75</v>
      </c>
      <c r="U142" s="1" t="s">
        <v>122</v>
      </c>
      <c r="V142" s="1" t="s">
        <v>123</v>
      </c>
      <c r="W142" s="1">
        <v>0.4</v>
      </c>
      <c r="X142" s="1">
        <v>1250</v>
      </c>
      <c r="Y142" s="1">
        <v>2030</v>
      </c>
      <c r="Z142" s="3">
        <v>58</v>
      </c>
      <c r="AA142" s="3">
        <v>0</v>
      </c>
      <c r="AB142" s="3">
        <v>58</v>
      </c>
      <c r="AC142" s="3">
        <v>0</v>
      </c>
      <c r="AD142" s="3">
        <f t="shared" si="46"/>
        <v>58</v>
      </c>
      <c r="AE142" s="3">
        <v>0</v>
      </c>
      <c r="AF142" s="3">
        <v>0</v>
      </c>
      <c r="AG142" s="3">
        <v>0</v>
      </c>
      <c r="AH142" s="3">
        <v>0</v>
      </c>
      <c r="AI142" s="3">
        <v>58</v>
      </c>
      <c r="AJ142" s="3">
        <f t="shared" si="47"/>
        <v>58</v>
      </c>
      <c r="AK142" s="1">
        <v>0</v>
      </c>
      <c r="AL142" s="1">
        <v>0</v>
      </c>
      <c r="AM142" s="1">
        <v>0</v>
      </c>
      <c r="AN142" s="3">
        <f t="shared" ref="AN142:AN143" si="51">AD142</f>
        <v>58</v>
      </c>
      <c r="AO142" s="3">
        <v>0</v>
      </c>
      <c r="AP142" s="3">
        <f t="shared" si="48"/>
        <v>0</v>
      </c>
      <c r="AQ142" s="1" t="s">
        <v>213</v>
      </c>
    </row>
    <row r="143" spans="1:43" x14ac:dyDescent="0.35">
      <c r="A143" s="1">
        <v>742</v>
      </c>
      <c r="B143" s="2">
        <v>45898</v>
      </c>
      <c r="C143" s="1" t="s">
        <v>64</v>
      </c>
      <c r="D143" s="1">
        <v>9519062631</v>
      </c>
      <c r="E143" s="1">
        <v>11</v>
      </c>
      <c r="F143" s="1" t="s">
        <v>700</v>
      </c>
      <c r="G143" s="1" t="s">
        <v>1155</v>
      </c>
      <c r="H143" s="1" t="s">
        <v>21</v>
      </c>
      <c r="I143" s="1" t="s">
        <v>71</v>
      </c>
      <c r="K143" s="1" t="s">
        <v>970</v>
      </c>
      <c r="L143" s="1" t="str">
        <f t="shared" si="50"/>
        <v>BPRS</v>
      </c>
      <c r="M143" s="1" t="s">
        <v>1231</v>
      </c>
      <c r="N143" s="1" t="s">
        <v>214</v>
      </c>
      <c r="O143" s="1" t="s">
        <v>26</v>
      </c>
      <c r="P143" s="1">
        <v>931525</v>
      </c>
      <c r="Q143" s="1" t="s">
        <v>213</v>
      </c>
      <c r="R143" s="1">
        <v>3444592</v>
      </c>
      <c r="S143" s="1" t="s">
        <v>262</v>
      </c>
      <c r="T143" s="1" t="s">
        <v>75</v>
      </c>
      <c r="U143" s="1" t="s">
        <v>122</v>
      </c>
      <c r="V143" s="1" t="s">
        <v>123</v>
      </c>
      <c r="W143" s="1">
        <v>0.45</v>
      </c>
      <c r="X143" s="1">
        <v>1250</v>
      </c>
      <c r="Y143" s="1">
        <v>2030</v>
      </c>
      <c r="Z143" s="3">
        <v>58</v>
      </c>
      <c r="AA143" s="3">
        <v>0</v>
      </c>
      <c r="AB143" s="3">
        <v>58</v>
      </c>
      <c r="AC143" s="3">
        <v>0</v>
      </c>
      <c r="AD143" s="3">
        <f t="shared" si="46"/>
        <v>58</v>
      </c>
      <c r="AE143" s="3">
        <v>0</v>
      </c>
      <c r="AF143" s="3">
        <v>0</v>
      </c>
      <c r="AG143" s="3">
        <v>0</v>
      </c>
      <c r="AH143" s="3">
        <v>0</v>
      </c>
      <c r="AI143" s="3">
        <v>58</v>
      </c>
      <c r="AJ143" s="3">
        <f t="shared" si="47"/>
        <v>58</v>
      </c>
      <c r="AK143" s="1">
        <v>0</v>
      </c>
      <c r="AL143" s="1">
        <v>0</v>
      </c>
      <c r="AM143" s="1">
        <v>0</v>
      </c>
      <c r="AN143" s="3">
        <f t="shared" si="51"/>
        <v>58</v>
      </c>
      <c r="AO143" s="3">
        <v>0</v>
      </c>
      <c r="AP143" s="3">
        <f t="shared" si="48"/>
        <v>0</v>
      </c>
      <c r="AQ143" s="1" t="s">
        <v>213</v>
      </c>
    </row>
    <row r="144" spans="1:43" x14ac:dyDescent="0.35">
      <c r="A144" s="1">
        <v>742</v>
      </c>
      <c r="B144" s="2">
        <v>45890</v>
      </c>
      <c r="C144" s="1" t="s">
        <v>64</v>
      </c>
      <c r="D144" s="1">
        <v>9519036388</v>
      </c>
      <c r="E144" s="1">
        <v>4</v>
      </c>
      <c r="F144" s="1" t="s">
        <v>701</v>
      </c>
      <c r="G144" s="1" t="s">
        <v>1155</v>
      </c>
      <c r="H144" s="1" t="s">
        <v>21</v>
      </c>
      <c r="I144" s="1" t="s">
        <v>71</v>
      </c>
      <c r="K144" s="1" t="s">
        <v>970</v>
      </c>
      <c r="L144" s="1" t="str">
        <f t="shared" si="50"/>
        <v>BPRS</v>
      </c>
      <c r="M144" s="1" t="s">
        <v>1230</v>
      </c>
      <c r="N144" s="1" t="s">
        <v>1135</v>
      </c>
      <c r="O144" s="1" t="s">
        <v>120</v>
      </c>
      <c r="P144" s="1">
        <v>121328</v>
      </c>
      <c r="Q144" s="1" t="s">
        <v>119</v>
      </c>
      <c r="R144" s="1">
        <v>2441006</v>
      </c>
      <c r="S144" s="1" t="s">
        <v>425</v>
      </c>
      <c r="T144" s="1" t="s">
        <v>75</v>
      </c>
      <c r="U144" s="1" t="s">
        <v>122</v>
      </c>
      <c r="V144" s="1" t="s">
        <v>123</v>
      </c>
      <c r="W144" s="1">
        <v>0.48</v>
      </c>
      <c r="X144" s="1">
        <v>1250</v>
      </c>
      <c r="Y144" s="1">
        <v>2500</v>
      </c>
      <c r="Z144" s="3">
        <v>29</v>
      </c>
      <c r="AA144" s="3">
        <v>0</v>
      </c>
      <c r="AB144" s="3">
        <v>29</v>
      </c>
      <c r="AC144" s="3">
        <v>0</v>
      </c>
      <c r="AD144" s="3">
        <f t="shared" si="46"/>
        <v>29</v>
      </c>
      <c r="AE144" s="3">
        <v>0</v>
      </c>
      <c r="AF144" s="3">
        <v>0</v>
      </c>
      <c r="AG144" s="3">
        <v>0</v>
      </c>
      <c r="AH144" s="3">
        <v>0</v>
      </c>
      <c r="AI144" s="3">
        <v>29</v>
      </c>
      <c r="AJ144" s="3">
        <f t="shared" si="47"/>
        <v>29</v>
      </c>
      <c r="AK144" s="1">
        <v>0</v>
      </c>
      <c r="AL144" s="1">
        <v>0</v>
      </c>
      <c r="AM144" s="1">
        <v>0</v>
      </c>
      <c r="AN144" s="3">
        <f>AD144</f>
        <v>29</v>
      </c>
      <c r="AO144" s="3">
        <v>0</v>
      </c>
      <c r="AP144" s="3">
        <f t="shared" si="48"/>
        <v>0</v>
      </c>
      <c r="AQ144" s="1" t="s">
        <v>119</v>
      </c>
    </row>
    <row r="145" spans="1:43" x14ac:dyDescent="0.35">
      <c r="A145" s="1">
        <v>742</v>
      </c>
      <c r="B145" s="2">
        <v>45887</v>
      </c>
      <c r="C145" s="1" t="s">
        <v>64</v>
      </c>
      <c r="D145" s="1">
        <v>9519025593</v>
      </c>
      <c r="E145" s="1">
        <v>2</v>
      </c>
      <c r="F145" s="1" t="s">
        <v>702</v>
      </c>
      <c r="G145" s="1" t="s">
        <v>1155</v>
      </c>
      <c r="H145" s="1" t="s">
        <v>21</v>
      </c>
      <c r="I145" s="1" t="s">
        <v>71</v>
      </c>
      <c r="K145" s="1" t="s">
        <v>970</v>
      </c>
      <c r="L145" s="1" t="str">
        <f t="shared" si="50"/>
        <v>BPRS</v>
      </c>
      <c r="M145" s="1" t="s">
        <v>1231</v>
      </c>
      <c r="N145" s="1" t="s">
        <v>214</v>
      </c>
      <c r="O145" s="1" t="s">
        <v>97</v>
      </c>
      <c r="P145" s="1">
        <v>115841</v>
      </c>
      <c r="Q145" s="1" t="s">
        <v>240</v>
      </c>
      <c r="R145" s="1">
        <v>3444592</v>
      </c>
      <c r="S145" s="1" t="s">
        <v>262</v>
      </c>
      <c r="T145" s="1" t="s">
        <v>75</v>
      </c>
      <c r="U145" s="1" t="s">
        <v>122</v>
      </c>
      <c r="V145" s="1" t="s">
        <v>123</v>
      </c>
      <c r="W145" s="1">
        <v>0.45</v>
      </c>
      <c r="X145" s="1">
        <v>1250</v>
      </c>
      <c r="Y145" s="1">
        <v>2030</v>
      </c>
      <c r="Z145" s="3">
        <v>29</v>
      </c>
      <c r="AA145" s="3">
        <v>0</v>
      </c>
      <c r="AB145" s="3">
        <v>29</v>
      </c>
      <c r="AC145" s="3">
        <v>0</v>
      </c>
      <c r="AD145" s="3">
        <f t="shared" si="46"/>
        <v>29</v>
      </c>
      <c r="AE145" s="3">
        <v>0</v>
      </c>
      <c r="AF145" s="3">
        <v>0</v>
      </c>
      <c r="AG145" s="3">
        <v>0</v>
      </c>
      <c r="AH145" s="3">
        <v>0</v>
      </c>
      <c r="AI145" s="3">
        <v>29</v>
      </c>
      <c r="AJ145" s="3">
        <f t="shared" si="47"/>
        <v>29</v>
      </c>
      <c r="AK145" s="1">
        <v>0</v>
      </c>
      <c r="AL145" s="1">
        <v>0</v>
      </c>
      <c r="AM145" s="1">
        <v>0</v>
      </c>
      <c r="AN145" s="3">
        <f>AD145</f>
        <v>29</v>
      </c>
      <c r="AO145" s="3">
        <v>0</v>
      </c>
      <c r="AP145" s="3">
        <f t="shared" si="48"/>
        <v>0</v>
      </c>
      <c r="AQ145" s="1" t="s">
        <v>240</v>
      </c>
    </row>
    <row r="146" spans="1:43" x14ac:dyDescent="0.35">
      <c r="A146" s="1">
        <v>742</v>
      </c>
      <c r="B146" s="2">
        <v>45902</v>
      </c>
      <c r="C146" s="1" t="s">
        <v>64</v>
      </c>
      <c r="D146" s="1">
        <v>9519073326</v>
      </c>
      <c r="E146" s="1">
        <v>1</v>
      </c>
      <c r="F146" s="1" t="s">
        <v>703</v>
      </c>
      <c r="G146" s="1" t="s">
        <v>1155</v>
      </c>
      <c r="H146" s="1" t="s">
        <v>21</v>
      </c>
      <c r="I146" s="1" t="s">
        <v>22</v>
      </c>
      <c r="K146" s="1" t="s">
        <v>970</v>
      </c>
      <c r="L146" s="1" t="str">
        <f t="shared" si="50"/>
        <v>BPRS</v>
      </c>
      <c r="M146" s="1" t="s">
        <v>1231</v>
      </c>
      <c r="N146" s="1" t="s">
        <v>50</v>
      </c>
      <c r="O146" s="1" t="s">
        <v>38</v>
      </c>
      <c r="P146" s="1">
        <v>184986</v>
      </c>
      <c r="Q146" s="1" t="s">
        <v>49</v>
      </c>
      <c r="R146" s="1">
        <v>259534</v>
      </c>
      <c r="S146" s="1" t="s">
        <v>426</v>
      </c>
      <c r="T146" s="1" t="s">
        <v>28</v>
      </c>
      <c r="U146" s="1" t="s">
        <v>29</v>
      </c>
      <c r="V146" s="1" t="s">
        <v>30</v>
      </c>
      <c r="W146" s="1">
        <v>0.35</v>
      </c>
      <c r="X146" s="1">
        <v>1250</v>
      </c>
      <c r="Y146" s="1">
        <v>0</v>
      </c>
      <c r="Z146" s="3">
        <v>116</v>
      </c>
      <c r="AA146" s="3">
        <v>0</v>
      </c>
      <c r="AB146" s="3">
        <v>116</v>
      </c>
      <c r="AC146" s="3">
        <v>0</v>
      </c>
      <c r="AD146" s="3">
        <f t="shared" si="46"/>
        <v>116</v>
      </c>
      <c r="AE146" s="3">
        <v>0</v>
      </c>
      <c r="AF146" s="3">
        <v>0</v>
      </c>
      <c r="AG146" s="3">
        <v>0</v>
      </c>
      <c r="AH146" s="3">
        <v>116</v>
      </c>
      <c r="AI146" s="3">
        <v>0</v>
      </c>
      <c r="AJ146" s="3">
        <f t="shared" si="47"/>
        <v>116</v>
      </c>
      <c r="AK146" s="1">
        <v>0</v>
      </c>
      <c r="AL146" s="3">
        <f>AE146</f>
        <v>0</v>
      </c>
      <c r="AM146" s="3">
        <f>AF146</f>
        <v>0</v>
      </c>
      <c r="AN146" s="3">
        <f>AG146</f>
        <v>0</v>
      </c>
      <c r="AO146" s="3">
        <f>AH146</f>
        <v>116</v>
      </c>
      <c r="AP146" s="3">
        <f t="shared" si="48"/>
        <v>0</v>
      </c>
      <c r="AQ146" s="1" t="s">
        <v>49</v>
      </c>
    </row>
    <row r="147" spans="1:43" x14ac:dyDescent="0.35">
      <c r="A147" s="1">
        <v>742</v>
      </c>
      <c r="B147" s="2">
        <v>45891</v>
      </c>
      <c r="C147" s="1" t="s">
        <v>64</v>
      </c>
      <c r="D147" s="1">
        <v>9519040022</v>
      </c>
      <c r="E147" s="1">
        <v>2</v>
      </c>
      <c r="F147" s="1" t="s">
        <v>705</v>
      </c>
      <c r="G147" s="1" t="s">
        <v>393</v>
      </c>
      <c r="H147" s="1" t="s">
        <v>21</v>
      </c>
      <c r="I147" s="1" t="s">
        <v>969</v>
      </c>
      <c r="K147" s="1" t="s">
        <v>969</v>
      </c>
      <c r="L147" s="1" t="str">
        <f t="shared" si="50"/>
        <v>IPP</v>
      </c>
      <c r="M147" s="1" t="s">
        <v>1228</v>
      </c>
      <c r="N147" s="1" t="s">
        <v>136</v>
      </c>
      <c r="O147" s="1" t="s">
        <v>173</v>
      </c>
      <c r="P147" s="1">
        <v>189022</v>
      </c>
      <c r="Q147" s="1" t="s">
        <v>415</v>
      </c>
      <c r="R147" s="1">
        <v>2164800</v>
      </c>
      <c r="S147" s="1" t="s">
        <v>325</v>
      </c>
      <c r="T147" s="1" t="s">
        <v>28</v>
      </c>
      <c r="U147" s="1" t="s">
        <v>29</v>
      </c>
      <c r="V147" s="1" t="s">
        <v>101</v>
      </c>
      <c r="W147" s="1">
        <v>0.97</v>
      </c>
      <c r="X147" s="1">
        <v>913</v>
      </c>
      <c r="Y147" s="1">
        <v>0</v>
      </c>
      <c r="Z147" s="3">
        <v>63</v>
      </c>
      <c r="AA147" s="3">
        <v>47.435000000000002</v>
      </c>
      <c r="AB147" s="3">
        <v>15.565</v>
      </c>
      <c r="AC147" s="3">
        <v>22.07</v>
      </c>
      <c r="AD147" s="3">
        <f t="shared" si="46"/>
        <v>15.565</v>
      </c>
      <c r="AE147" s="3">
        <v>15.565</v>
      </c>
      <c r="AF147" s="3">
        <v>0</v>
      </c>
      <c r="AG147" s="3">
        <v>0</v>
      </c>
      <c r="AH147" s="3">
        <v>0</v>
      </c>
      <c r="AI147" s="3">
        <v>0</v>
      </c>
      <c r="AJ147" s="3">
        <f t="shared" si="47"/>
        <v>37.634999999999998</v>
      </c>
      <c r="AK147" s="1">
        <v>0</v>
      </c>
      <c r="AL147" s="3">
        <f>AE147+AC147</f>
        <v>37.634999999999998</v>
      </c>
      <c r="AM147" s="1">
        <v>0</v>
      </c>
      <c r="AN147" s="1">
        <v>0</v>
      </c>
      <c r="AO147" s="1">
        <v>0</v>
      </c>
      <c r="AP147" s="3">
        <f t="shared" si="48"/>
        <v>0</v>
      </c>
      <c r="AQ147" s="1" t="s">
        <v>415</v>
      </c>
    </row>
    <row r="148" spans="1:43" x14ac:dyDescent="0.35">
      <c r="A148" s="1">
        <v>742</v>
      </c>
      <c r="B148" s="2">
        <v>45856</v>
      </c>
      <c r="C148" s="1" t="s">
        <v>64</v>
      </c>
      <c r="D148" s="1">
        <v>9518939375</v>
      </c>
      <c r="E148" s="1">
        <v>2</v>
      </c>
      <c r="F148" s="1" t="s">
        <v>706</v>
      </c>
      <c r="G148" s="1" t="s">
        <v>1155</v>
      </c>
      <c r="H148" s="1" t="s">
        <v>21</v>
      </c>
      <c r="I148" s="1" t="s">
        <v>975</v>
      </c>
      <c r="K148" s="1" t="s">
        <v>970</v>
      </c>
      <c r="L148" s="1" t="str">
        <f t="shared" si="50"/>
        <v>BPRS</v>
      </c>
      <c r="M148" s="1" t="s">
        <v>1230</v>
      </c>
      <c r="N148" s="1" t="s">
        <v>356</v>
      </c>
      <c r="O148" s="1" t="s">
        <v>151</v>
      </c>
      <c r="P148" s="1">
        <v>155536</v>
      </c>
      <c r="Q148" s="1" t="s">
        <v>24</v>
      </c>
      <c r="R148" s="1">
        <v>2420525</v>
      </c>
      <c r="S148" s="1" t="s">
        <v>363</v>
      </c>
      <c r="T148" s="1" t="s">
        <v>28</v>
      </c>
      <c r="U148" s="1" t="s">
        <v>29</v>
      </c>
      <c r="V148" s="1" t="s">
        <v>287</v>
      </c>
      <c r="W148" s="1">
        <v>2</v>
      </c>
      <c r="X148" s="1">
        <v>1250</v>
      </c>
      <c r="Y148" s="1">
        <v>0</v>
      </c>
      <c r="Z148" s="3">
        <v>185</v>
      </c>
      <c r="AA148" s="3">
        <v>156.89500000000001</v>
      </c>
      <c r="AB148" s="3">
        <v>28.105</v>
      </c>
      <c r="AC148" s="3">
        <v>0</v>
      </c>
      <c r="AD148" s="3">
        <f t="shared" si="46"/>
        <v>28.105</v>
      </c>
      <c r="AE148" s="3">
        <v>28.105</v>
      </c>
      <c r="AF148" s="3">
        <v>0</v>
      </c>
      <c r="AG148" s="3">
        <v>0</v>
      </c>
      <c r="AH148" s="3">
        <v>0</v>
      </c>
      <c r="AI148" s="3">
        <v>0</v>
      </c>
      <c r="AJ148" s="3">
        <f t="shared" si="47"/>
        <v>28.105</v>
      </c>
      <c r="AK148" s="1">
        <v>0</v>
      </c>
      <c r="AL148" s="3">
        <f>AE148</f>
        <v>28.105</v>
      </c>
      <c r="AM148" s="3">
        <f>AF148</f>
        <v>0</v>
      </c>
      <c r="AN148" s="3">
        <f>AG148</f>
        <v>0</v>
      </c>
      <c r="AO148" s="3">
        <f>AH148</f>
        <v>0</v>
      </c>
      <c r="AP148" s="3">
        <f t="shared" si="48"/>
        <v>0</v>
      </c>
      <c r="AQ148" s="1" t="s">
        <v>24</v>
      </c>
    </row>
    <row r="149" spans="1:43" x14ac:dyDescent="0.35">
      <c r="A149" s="1">
        <v>742</v>
      </c>
      <c r="B149" s="2">
        <v>45890</v>
      </c>
      <c r="C149" s="1" t="s">
        <v>64</v>
      </c>
      <c r="D149" s="1">
        <v>9519036272</v>
      </c>
      <c r="E149" s="1">
        <v>3</v>
      </c>
      <c r="F149" s="1" t="s">
        <v>707</v>
      </c>
      <c r="G149" s="1" t="s">
        <v>1155</v>
      </c>
      <c r="H149" s="1" t="s">
        <v>21</v>
      </c>
      <c r="I149" s="1" t="s">
        <v>71</v>
      </c>
      <c r="K149" s="1" t="s">
        <v>970</v>
      </c>
      <c r="L149" s="1" t="str">
        <f t="shared" si="50"/>
        <v>BPRS</v>
      </c>
      <c r="M149" s="1" t="s">
        <v>1230</v>
      </c>
      <c r="N149" s="1" t="s">
        <v>220</v>
      </c>
      <c r="O149" s="1" t="s">
        <v>120</v>
      </c>
      <c r="P149" s="1">
        <v>185794</v>
      </c>
      <c r="Q149" s="1" t="s">
        <v>219</v>
      </c>
      <c r="R149" s="1">
        <v>2441002</v>
      </c>
      <c r="S149" s="1" t="s">
        <v>347</v>
      </c>
      <c r="T149" s="1" t="s">
        <v>75</v>
      </c>
      <c r="U149" s="1" t="s">
        <v>122</v>
      </c>
      <c r="V149" s="1" t="s">
        <v>123</v>
      </c>
      <c r="W149" s="1">
        <v>0.38</v>
      </c>
      <c r="X149" s="1">
        <v>1250</v>
      </c>
      <c r="Y149" s="1">
        <v>2500</v>
      </c>
      <c r="Z149" s="3">
        <v>58</v>
      </c>
      <c r="AA149" s="3">
        <v>0</v>
      </c>
      <c r="AB149" s="3">
        <v>58</v>
      </c>
      <c r="AC149" s="3">
        <v>0</v>
      </c>
      <c r="AD149" s="3">
        <f t="shared" si="46"/>
        <v>58</v>
      </c>
      <c r="AE149" s="3">
        <v>0</v>
      </c>
      <c r="AF149" s="3">
        <v>0</v>
      </c>
      <c r="AG149" s="3">
        <v>58</v>
      </c>
      <c r="AH149" s="3">
        <v>0</v>
      </c>
      <c r="AI149" s="3">
        <v>0</v>
      </c>
      <c r="AJ149" s="3">
        <f t="shared" si="47"/>
        <v>58</v>
      </c>
      <c r="AK149" s="1">
        <v>0</v>
      </c>
      <c r="AL149" s="3">
        <f>AE149</f>
        <v>0</v>
      </c>
      <c r="AM149" s="3">
        <f>AG149</f>
        <v>58</v>
      </c>
      <c r="AN149" s="3">
        <v>0</v>
      </c>
      <c r="AO149" s="3">
        <f>AH149</f>
        <v>0</v>
      </c>
      <c r="AP149" s="3">
        <f t="shared" si="48"/>
        <v>0</v>
      </c>
      <c r="AQ149" s="1" t="s">
        <v>219</v>
      </c>
    </row>
    <row r="150" spans="1:43" x14ac:dyDescent="0.35">
      <c r="A150" s="1">
        <v>742</v>
      </c>
      <c r="B150" s="2">
        <v>45863</v>
      </c>
      <c r="C150" s="1" t="s">
        <v>64</v>
      </c>
      <c r="D150" s="1">
        <v>9518957749</v>
      </c>
      <c r="E150" s="1">
        <v>1</v>
      </c>
      <c r="F150" s="1" t="s">
        <v>708</v>
      </c>
      <c r="G150" s="1" t="s">
        <v>1155</v>
      </c>
      <c r="H150" s="1" t="s">
        <v>21</v>
      </c>
      <c r="I150" s="1" t="s">
        <v>22</v>
      </c>
      <c r="K150" s="1" t="s">
        <v>970</v>
      </c>
      <c r="L150" s="1" t="str">
        <f t="shared" si="50"/>
        <v>BPRS</v>
      </c>
      <c r="M150" s="1" t="s">
        <v>1229</v>
      </c>
      <c r="N150" s="1" t="s">
        <v>35</v>
      </c>
      <c r="O150" s="1" t="s">
        <v>32</v>
      </c>
      <c r="P150" s="1">
        <v>932244</v>
      </c>
      <c r="Q150" s="1" t="s">
        <v>270</v>
      </c>
      <c r="R150" s="1">
        <v>1804772</v>
      </c>
      <c r="S150" s="1" t="s">
        <v>271</v>
      </c>
      <c r="T150" s="1" t="s">
        <v>28</v>
      </c>
      <c r="U150" s="1" t="s">
        <v>29</v>
      </c>
      <c r="V150" s="1" t="s">
        <v>30</v>
      </c>
      <c r="W150" s="1">
        <v>0.4</v>
      </c>
      <c r="X150" s="1">
        <v>1250</v>
      </c>
      <c r="Y150" s="1">
        <v>0</v>
      </c>
      <c r="Z150" s="3">
        <v>116</v>
      </c>
      <c r="AA150" s="3">
        <v>25.045000000000002</v>
      </c>
      <c r="AB150" s="3">
        <v>90.954999999999998</v>
      </c>
      <c r="AC150" s="3">
        <v>0</v>
      </c>
      <c r="AD150" s="3">
        <f t="shared" si="46"/>
        <v>90.954999999999998</v>
      </c>
      <c r="AE150" s="3">
        <v>0</v>
      </c>
      <c r="AF150" s="3">
        <v>90.954999999999998</v>
      </c>
      <c r="AG150" s="3">
        <v>0</v>
      </c>
      <c r="AH150" s="3">
        <v>0</v>
      </c>
      <c r="AI150" s="3">
        <v>0</v>
      </c>
      <c r="AJ150" s="3">
        <f t="shared" si="47"/>
        <v>90.954999999999998</v>
      </c>
      <c r="AK150" s="1">
        <v>0</v>
      </c>
      <c r="AL150" s="3">
        <f>AF150</f>
        <v>90.954999999999998</v>
      </c>
      <c r="AM150" s="3">
        <v>0</v>
      </c>
      <c r="AN150" s="3">
        <f t="shared" ref="AN150:AN151" si="52">AG150</f>
        <v>0</v>
      </c>
      <c r="AO150" s="3">
        <f t="shared" ref="AO150:AO151" si="53">AH150</f>
        <v>0</v>
      </c>
      <c r="AP150" s="3">
        <f t="shared" si="48"/>
        <v>0</v>
      </c>
      <c r="AQ150" s="1" t="s">
        <v>270</v>
      </c>
    </row>
    <row r="151" spans="1:43" x14ac:dyDescent="0.35">
      <c r="A151" s="1">
        <v>742</v>
      </c>
      <c r="B151" s="2">
        <v>45862</v>
      </c>
      <c r="C151" s="1" t="s">
        <v>64</v>
      </c>
      <c r="D151" s="1">
        <v>9518954637</v>
      </c>
      <c r="E151" s="1">
        <v>1</v>
      </c>
      <c r="F151" s="1" t="s">
        <v>709</v>
      </c>
      <c r="G151" s="1" t="s">
        <v>393</v>
      </c>
      <c r="H151" s="1" t="s">
        <v>21</v>
      </c>
      <c r="I151" s="1" t="s">
        <v>22</v>
      </c>
      <c r="K151" s="1" t="s">
        <v>970</v>
      </c>
      <c r="L151" s="1" t="str">
        <f t="shared" si="50"/>
        <v>BPRS</v>
      </c>
      <c r="M151" s="1" t="s">
        <v>1230</v>
      </c>
      <c r="N151" s="1" t="s">
        <v>187</v>
      </c>
      <c r="O151" s="1" t="s">
        <v>120</v>
      </c>
      <c r="P151" s="1">
        <v>165053</v>
      </c>
      <c r="Q151" s="1" t="s">
        <v>186</v>
      </c>
      <c r="R151" s="1">
        <v>1804772</v>
      </c>
      <c r="S151" s="1" t="s">
        <v>271</v>
      </c>
      <c r="T151" s="1" t="s">
        <v>28</v>
      </c>
      <c r="U151" s="1" t="s">
        <v>29</v>
      </c>
      <c r="V151" s="1" t="s">
        <v>30</v>
      </c>
      <c r="W151" s="1">
        <v>0.4</v>
      </c>
      <c r="X151" s="1">
        <v>1250</v>
      </c>
      <c r="Y151" s="1">
        <v>0</v>
      </c>
      <c r="Z151" s="3">
        <v>58</v>
      </c>
      <c r="AA151" s="3">
        <v>0</v>
      </c>
      <c r="AB151" s="3">
        <v>58</v>
      </c>
      <c r="AC151" s="3">
        <v>0</v>
      </c>
      <c r="AD151" s="3">
        <f t="shared" si="46"/>
        <v>58</v>
      </c>
      <c r="AE151" s="3">
        <v>0</v>
      </c>
      <c r="AF151" s="3">
        <v>0</v>
      </c>
      <c r="AG151" s="3">
        <v>0</v>
      </c>
      <c r="AH151" s="3">
        <v>58</v>
      </c>
      <c r="AI151" s="3">
        <v>0</v>
      </c>
      <c r="AJ151" s="3">
        <f t="shared" si="47"/>
        <v>58</v>
      </c>
      <c r="AK151" s="1">
        <v>0</v>
      </c>
      <c r="AL151" s="3">
        <f t="shared" ref="AL151" si="54">AE151</f>
        <v>0</v>
      </c>
      <c r="AM151" s="3">
        <f t="shared" ref="AM151" si="55">AF151</f>
        <v>0</v>
      </c>
      <c r="AN151" s="3">
        <f t="shared" si="52"/>
        <v>0</v>
      </c>
      <c r="AO151" s="3">
        <f t="shared" si="53"/>
        <v>58</v>
      </c>
      <c r="AP151" s="3">
        <f t="shared" ref="AP151:AP182" si="56">(AC151+AD151)-AJ151</f>
        <v>0</v>
      </c>
      <c r="AQ151" s="1" t="s">
        <v>186</v>
      </c>
    </row>
    <row r="152" spans="1:43" x14ac:dyDescent="0.35">
      <c r="A152" s="1">
        <v>742</v>
      </c>
      <c r="B152" s="2">
        <v>45863</v>
      </c>
      <c r="C152" s="1" t="s">
        <v>64</v>
      </c>
      <c r="D152" s="1">
        <v>9518958168</v>
      </c>
      <c r="E152" s="1">
        <v>1</v>
      </c>
      <c r="F152" s="1" t="s">
        <v>710</v>
      </c>
      <c r="G152" s="1" t="s">
        <v>393</v>
      </c>
      <c r="H152" s="1" t="s">
        <v>21</v>
      </c>
      <c r="I152" s="1" t="s">
        <v>22</v>
      </c>
      <c r="K152" s="1" t="s">
        <v>970</v>
      </c>
      <c r="L152" s="1" t="str">
        <f t="shared" si="50"/>
        <v>BPRS</v>
      </c>
      <c r="M152" s="1" t="s">
        <v>1229</v>
      </c>
      <c r="N152" s="1" t="s">
        <v>35</v>
      </c>
      <c r="O152" s="1" t="s">
        <v>32</v>
      </c>
      <c r="P152" s="1">
        <v>165992</v>
      </c>
      <c r="Q152" s="1" t="s">
        <v>34</v>
      </c>
      <c r="R152" s="1">
        <v>1804772</v>
      </c>
      <c r="S152" s="1" t="s">
        <v>271</v>
      </c>
      <c r="T152" s="1" t="s">
        <v>28</v>
      </c>
      <c r="U152" s="1" t="s">
        <v>29</v>
      </c>
      <c r="V152" s="1" t="s">
        <v>30</v>
      </c>
      <c r="W152" s="1">
        <v>0.4</v>
      </c>
      <c r="X152" s="1">
        <v>1250</v>
      </c>
      <c r="Y152" s="1">
        <v>0</v>
      </c>
      <c r="Z152" s="3">
        <v>116</v>
      </c>
      <c r="AA152" s="3">
        <v>25.215</v>
      </c>
      <c r="AB152" s="3">
        <v>90.784999999999997</v>
      </c>
      <c r="AC152" s="3">
        <v>0</v>
      </c>
      <c r="AD152" s="3">
        <f t="shared" si="46"/>
        <v>90.784999999999997</v>
      </c>
      <c r="AE152" s="3">
        <v>0</v>
      </c>
      <c r="AF152" s="3">
        <v>90.784999999999997</v>
      </c>
      <c r="AG152" s="3">
        <v>0</v>
      </c>
      <c r="AH152" s="3">
        <v>0</v>
      </c>
      <c r="AI152" s="3">
        <v>0</v>
      </c>
      <c r="AJ152" s="3">
        <f t="shared" si="47"/>
        <v>90.784999999999997</v>
      </c>
      <c r="AK152" s="1">
        <v>0</v>
      </c>
      <c r="AL152" s="3">
        <v>0</v>
      </c>
      <c r="AM152" s="3">
        <f t="shared" ref="AM152:AM153" si="57">AF152</f>
        <v>90.784999999999997</v>
      </c>
      <c r="AN152" s="3">
        <f t="shared" ref="AN152:AN153" si="58">AG152</f>
        <v>0</v>
      </c>
      <c r="AO152" s="3">
        <f t="shared" ref="AO152:AO153" si="59">AH152</f>
        <v>0</v>
      </c>
      <c r="AP152" s="3">
        <f t="shared" si="56"/>
        <v>0</v>
      </c>
      <c r="AQ152" s="1" t="s">
        <v>34</v>
      </c>
    </row>
    <row r="153" spans="1:43" x14ac:dyDescent="0.35">
      <c r="A153" s="1">
        <v>742</v>
      </c>
      <c r="B153" s="2">
        <v>45856</v>
      </c>
      <c r="C153" s="1" t="s">
        <v>64</v>
      </c>
      <c r="D153" s="1">
        <v>9518939324</v>
      </c>
      <c r="E153" s="1">
        <v>1</v>
      </c>
      <c r="F153" s="1" t="s">
        <v>711</v>
      </c>
      <c r="G153" s="1" t="s">
        <v>1155</v>
      </c>
      <c r="H153" s="1" t="s">
        <v>21</v>
      </c>
      <c r="I153" s="1" t="s">
        <v>22</v>
      </c>
      <c r="K153" s="1" t="s">
        <v>970</v>
      </c>
      <c r="L153" s="1" t="str">
        <f t="shared" si="50"/>
        <v>BPRS</v>
      </c>
      <c r="M153" s="1" t="s">
        <v>1230</v>
      </c>
      <c r="N153" s="1" t="s">
        <v>308</v>
      </c>
      <c r="O153" s="1" t="s">
        <v>151</v>
      </c>
      <c r="P153" s="1">
        <v>154464</v>
      </c>
      <c r="Q153" s="1" t="s">
        <v>24</v>
      </c>
      <c r="R153" s="1">
        <v>185675</v>
      </c>
      <c r="S153" s="1" t="s">
        <v>272</v>
      </c>
      <c r="T153" s="1" t="s">
        <v>28</v>
      </c>
      <c r="U153" s="1" t="s">
        <v>29</v>
      </c>
      <c r="V153" s="1" t="s">
        <v>30</v>
      </c>
      <c r="W153" s="1">
        <v>0.5</v>
      </c>
      <c r="X153" s="1">
        <v>1250</v>
      </c>
      <c r="Y153" s="1">
        <v>0</v>
      </c>
      <c r="Z153" s="3">
        <v>58</v>
      </c>
      <c r="AA153" s="3">
        <v>0</v>
      </c>
      <c r="AB153" s="3">
        <v>58</v>
      </c>
      <c r="AC153" s="3">
        <v>0</v>
      </c>
      <c r="AD153" s="3">
        <f t="shared" si="46"/>
        <v>58</v>
      </c>
      <c r="AE153" s="3">
        <v>0</v>
      </c>
      <c r="AF153" s="3">
        <v>0</v>
      </c>
      <c r="AG153" s="3">
        <v>58</v>
      </c>
      <c r="AH153" s="3">
        <v>0</v>
      </c>
      <c r="AI153" s="3">
        <v>0</v>
      </c>
      <c r="AJ153" s="3">
        <f t="shared" si="47"/>
        <v>58</v>
      </c>
      <c r="AK153" s="1">
        <v>0</v>
      </c>
      <c r="AL153" s="3">
        <f t="shared" ref="AL153" si="60">AE153</f>
        <v>0</v>
      </c>
      <c r="AM153" s="3">
        <f t="shared" si="57"/>
        <v>0</v>
      </c>
      <c r="AN153" s="3">
        <f t="shared" si="58"/>
        <v>58</v>
      </c>
      <c r="AO153" s="3">
        <f t="shared" si="59"/>
        <v>0</v>
      </c>
      <c r="AP153" s="3">
        <f t="shared" si="56"/>
        <v>0</v>
      </c>
      <c r="AQ153" s="1" t="s">
        <v>24</v>
      </c>
    </row>
    <row r="154" spans="1:43" x14ac:dyDescent="0.35">
      <c r="A154" s="1">
        <v>742</v>
      </c>
      <c r="B154" s="2">
        <v>45863</v>
      </c>
      <c r="C154" s="1" t="s">
        <v>64</v>
      </c>
      <c r="D154" s="1">
        <v>9518959342</v>
      </c>
      <c r="E154" s="1">
        <v>1</v>
      </c>
      <c r="F154" s="1" t="s">
        <v>712</v>
      </c>
      <c r="G154" s="1" t="s">
        <v>1155</v>
      </c>
      <c r="H154" s="1" t="s">
        <v>21</v>
      </c>
      <c r="I154" s="1" t="s">
        <v>22</v>
      </c>
      <c r="K154" s="1" t="s">
        <v>970</v>
      </c>
      <c r="L154" s="1" t="str">
        <f t="shared" si="50"/>
        <v>BPRS</v>
      </c>
      <c r="M154" s="1" t="s">
        <v>1229</v>
      </c>
      <c r="N154" s="1" t="s">
        <v>114</v>
      </c>
      <c r="O154" s="1" t="s">
        <v>58</v>
      </c>
      <c r="P154" s="1">
        <v>822271</v>
      </c>
      <c r="Q154" s="1" t="s">
        <v>24</v>
      </c>
      <c r="R154" s="1">
        <v>1801290</v>
      </c>
      <c r="S154" s="1" t="s">
        <v>273</v>
      </c>
      <c r="T154" s="1" t="s">
        <v>28</v>
      </c>
      <c r="U154" s="1" t="s">
        <v>29</v>
      </c>
      <c r="V154" s="1" t="s">
        <v>30</v>
      </c>
      <c r="W154" s="1">
        <v>0.6</v>
      </c>
      <c r="X154" s="1">
        <v>1250</v>
      </c>
      <c r="Y154" s="1">
        <v>0</v>
      </c>
      <c r="Z154" s="3">
        <v>116</v>
      </c>
      <c r="AA154" s="3">
        <v>58.215000000000003</v>
      </c>
      <c r="AB154" s="3">
        <v>57.784999999999997</v>
      </c>
      <c r="AC154" s="3">
        <v>0</v>
      </c>
      <c r="AD154" s="3">
        <f t="shared" ref="AD154:AD194" si="61">SUM(AE154:AI154)</f>
        <v>57.784999999999997</v>
      </c>
      <c r="AE154" s="3">
        <v>0</v>
      </c>
      <c r="AF154" s="3">
        <v>57.784999999999997</v>
      </c>
      <c r="AG154" s="3">
        <v>0</v>
      </c>
      <c r="AH154" s="3">
        <v>0</v>
      </c>
      <c r="AI154" s="3">
        <v>0</v>
      </c>
      <c r="AJ154" s="3">
        <f t="shared" ref="AJ154:AJ194" si="62">SUM(AK154:AO154)</f>
        <v>57.784999999999997</v>
      </c>
      <c r="AK154" s="1">
        <v>0</v>
      </c>
      <c r="AL154" s="3">
        <v>0</v>
      </c>
      <c r="AM154" s="3">
        <f>AF154</f>
        <v>57.784999999999997</v>
      </c>
      <c r="AN154" s="3">
        <f>AG154</f>
        <v>0</v>
      </c>
      <c r="AO154" s="3">
        <f>AH154</f>
        <v>0</v>
      </c>
      <c r="AP154" s="3">
        <f t="shared" si="56"/>
        <v>0</v>
      </c>
      <c r="AQ154" s="1" t="s">
        <v>24</v>
      </c>
    </row>
    <row r="155" spans="1:43" x14ac:dyDescent="0.35">
      <c r="A155" s="1">
        <v>744</v>
      </c>
      <c r="B155" s="2">
        <v>45877</v>
      </c>
      <c r="C155" s="1" t="s">
        <v>64</v>
      </c>
      <c r="D155" s="1">
        <v>9519003169</v>
      </c>
      <c r="E155" s="1">
        <v>3</v>
      </c>
      <c r="F155" s="1" t="s">
        <v>713</v>
      </c>
      <c r="G155" s="1" t="s">
        <v>1367</v>
      </c>
      <c r="H155" s="1" t="s">
        <v>86</v>
      </c>
      <c r="I155" s="1" t="s">
        <v>968</v>
      </c>
      <c r="K155" s="1" t="s">
        <v>969</v>
      </c>
      <c r="L155" s="1" t="str">
        <f t="shared" si="50"/>
        <v>IPP</v>
      </c>
      <c r="M155" s="1" t="s">
        <v>1232</v>
      </c>
      <c r="N155" s="1" t="s">
        <v>1135</v>
      </c>
      <c r="O155" s="1" t="s">
        <v>54</v>
      </c>
      <c r="P155" s="1">
        <v>941597</v>
      </c>
      <c r="Q155" s="1" t="s">
        <v>87</v>
      </c>
      <c r="R155" s="1">
        <v>3902332</v>
      </c>
      <c r="S155" s="1" t="s">
        <v>142</v>
      </c>
      <c r="T155" s="1" t="s">
        <v>88</v>
      </c>
      <c r="U155" s="1" t="s">
        <v>89</v>
      </c>
      <c r="V155" s="1" t="s">
        <v>143</v>
      </c>
      <c r="W155" s="1">
        <v>0.5</v>
      </c>
      <c r="X155" s="1">
        <v>1220</v>
      </c>
      <c r="Y155" s="1">
        <v>0</v>
      </c>
      <c r="Z155" s="3">
        <v>27.998999999999999</v>
      </c>
      <c r="AA155" s="3">
        <v>15.57</v>
      </c>
      <c r="AB155" s="3">
        <v>12.429</v>
      </c>
      <c r="AC155" s="3">
        <v>4.2450000000000001</v>
      </c>
      <c r="AD155" s="3">
        <f t="shared" si="61"/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f t="shared" si="62"/>
        <v>4.2450000000000001</v>
      </c>
      <c r="AK155" s="3">
        <f>AC155</f>
        <v>4.2450000000000001</v>
      </c>
      <c r="AL155" s="1">
        <v>0</v>
      </c>
      <c r="AM155" s="1">
        <v>0</v>
      </c>
      <c r="AN155" s="1">
        <v>0</v>
      </c>
      <c r="AO155" s="1">
        <v>0</v>
      </c>
      <c r="AP155" s="3">
        <f t="shared" si="56"/>
        <v>0</v>
      </c>
      <c r="AQ155" s="1" t="s">
        <v>87</v>
      </c>
    </row>
    <row r="156" spans="1:43" x14ac:dyDescent="0.35">
      <c r="A156" s="1">
        <v>743</v>
      </c>
      <c r="B156" s="2">
        <v>45890</v>
      </c>
      <c r="C156" s="1" t="s">
        <v>64</v>
      </c>
      <c r="D156" s="1">
        <v>9519036122</v>
      </c>
      <c r="E156" s="1">
        <v>6</v>
      </c>
      <c r="F156" s="1" t="s">
        <v>720</v>
      </c>
      <c r="G156" s="1" t="s">
        <v>1367</v>
      </c>
      <c r="H156" s="1" t="s">
        <v>56</v>
      </c>
      <c r="I156" s="1" t="s">
        <v>968</v>
      </c>
      <c r="K156" s="1" t="s">
        <v>969</v>
      </c>
      <c r="L156" s="1" t="str">
        <f t="shared" si="50"/>
        <v>IPP</v>
      </c>
      <c r="M156" s="1" t="s">
        <v>1232</v>
      </c>
      <c r="N156" s="1" t="s">
        <v>187</v>
      </c>
      <c r="O156" s="1" t="s">
        <v>54</v>
      </c>
      <c r="P156" s="1">
        <v>942284</v>
      </c>
      <c r="Q156" s="1" t="s">
        <v>87</v>
      </c>
      <c r="R156" s="1">
        <v>3946362</v>
      </c>
      <c r="S156" s="1" t="s">
        <v>206</v>
      </c>
      <c r="T156" s="1" t="s">
        <v>60</v>
      </c>
      <c r="U156" s="1" t="s">
        <v>61</v>
      </c>
      <c r="V156" s="1" t="s">
        <v>207</v>
      </c>
      <c r="W156" s="1">
        <v>0.47</v>
      </c>
      <c r="X156" s="1">
        <v>1220</v>
      </c>
      <c r="Y156" s="1">
        <v>0</v>
      </c>
      <c r="Z156" s="3">
        <v>280</v>
      </c>
      <c r="AA156" s="3">
        <v>275.62</v>
      </c>
      <c r="AB156" s="3">
        <v>4.38</v>
      </c>
      <c r="AC156" s="3">
        <v>182.61999999999998</v>
      </c>
      <c r="AD156" s="3">
        <f t="shared" si="61"/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f t="shared" si="62"/>
        <v>182.61999999999998</v>
      </c>
      <c r="AK156" s="3">
        <v>0</v>
      </c>
      <c r="AL156" s="3">
        <f>AC156</f>
        <v>182.61999999999998</v>
      </c>
      <c r="AM156" s="1">
        <v>0</v>
      </c>
      <c r="AN156" s="1">
        <v>0</v>
      </c>
      <c r="AO156" s="1">
        <v>0</v>
      </c>
      <c r="AP156" s="3">
        <f t="shared" si="56"/>
        <v>0</v>
      </c>
      <c r="AQ156" s="1" t="s">
        <v>87</v>
      </c>
    </row>
    <row r="157" spans="1:43" x14ac:dyDescent="0.35">
      <c r="A157" s="1">
        <v>743</v>
      </c>
      <c r="B157" s="2">
        <v>45890</v>
      </c>
      <c r="C157" s="1" t="s">
        <v>64</v>
      </c>
      <c r="D157" s="1">
        <v>9519036122</v>
      </c>
      <c r="E157" s="1">
        <v>8</v>
      </c>
      <c r="F157" s="1" t="s">
        <v>721</v>
      </c>
      <c r="G157" s="1" t="s">
        <v>393</v>
      </c>
      <c r="H157" s="1" t="s">
        <v>56</v>
      </c>
      <c r="I157" s="1" t="s">
        <v>968</v>
      </c>
      <c r="K157" s="1" t="s">
        <v>969</v>
      </c>
      <c r="L157" s="1" t="str">
        <f t="shared" si="50"/>
        <v>IPP</v>
      </c>
      <c r="M157" s="1" t="s">
        <v>1232</v>
      </c>
      <c r="N157" s="1" t="s">
        <v>187</v>
      </c>
      <c r="O157" s="1" t="s">
        <v>54</v>
      </c>
      <c r="P157" s="1">
        <v>942284</v>
      </c>
      <c r="Q157" s="1" t="s">
        <v>87</v>
      </c>
      <c r="R157" s="1">
        <v>3946362</v>
      </c>
      <c r="S157" s="1" t="s">
        <v>206</v>
      </c>
      <c r="T157" s="1" t="s">
        <v>60</v>
      </c>
      <c r="U157" s="1" t="s">
        <v>61</v>
      </c>
      <c r="V157" s="1" t="s">
        <v>207</v>
      </c>
      <c r="W157" s="1">
        <v>0.47</v>
      </c>
      <c r="X157" s="1">
        <v>1220</v>
      </c>
      <c r="Y157" s="1">
        <v>0</v>
      </c>
      <c r="Z157" s="3">
        <v>224</v>
      </c>
      <c r="AA157" s="3">
        <v>164.33</v>
      </c>
      <c r="AB157" s="3">
        <v>59.67</v>
      </c>
      <c r="AC157" s="3">
        <v>117.99000000000001</v>
      </c>
      <c r="AD157" s="3">
        <f t="shared" si="61"/>
        <v>59.67</v>
      </c>
      <c r="AE157" s="3">
        <v>0</v>
      </c>
      <c r="AF157" s="3">
        <v>59.67</v>
      </c>
      <c r="AG157" s="3">
        <v>0</v>
      </c>
      <c r="AH157" s="3">
        <v>0</v>
      </c>
      <c r="AI157" s="3">
        <v>0</v>
      </c>
      <c r="AJ157" s="3">
        <f t="shared" si="62"/>
        <v>177.66000000000003</v>
      </c>
      <c r="AK157" s="1">
        <v>0</v>
      </c>
      <c r="AL157" s="1">
        <v>0</v>
      </c>
      <c r="AM157" s="3">
        <f>AF157+AC157</f>
        <v>177.66000000000003</v>
      </c>
      <c r="AN157" s="1">
        <v>0</v>
      </c>
      <c r="AO157" s="1">
        <v>0</v>
      </c>
      <c r="AP157" s="3">
        <f t="shared" si="56"/>
        <v>0</v>
      </c>
      <c r="AQ157" s="1" t="s">
        <v>87</v>
      </c>
    </row>
    <row r="158" spans="1:43" x14ac:dyDescent="0.35">
      <c r="A158" s="1">
        <v>742</v>
      </c>
      <c r="B158" s="2">
        <v>45860</v>
      </c>
      <c r="C158" s="1" t="s">
        <v>64</v>
      </c>
      <c r="D158" s="1">
        <v>9518948157</v>
      </c>
      <c r="E158" s="1">
        <v>1</v>
      </c>
      <c r="F158" s="1" t="s">
        <v>722</v>
      </c>
      <c r="G158" s="1" t="s">
        <v>393</v>
      </c>
      <c r="H158" s="1" t="s">
        <v>21</v>
      </c>
      <c r="I158" s="1" t="s">
        <v>71</v>
      </c>
      <c r="K158" s="1" t="s">
        <v>970</v>
      </c>
      <c r="L158" s="1" t="str">
        <f t="shared" si="50"/>
        <v>BPRS</v>
      </c>
      <c r="M158" s="1" t="s">
        <v>1230</v>
      </c>
      <c r="N158" s="1" t="s">
        <v>187</v>
      </c>
      <c r="O158" s="1" t="s">
        <v>120</v>
      </c>
      <c r="P158" s="1">
        <v>165053</v>
      </c>
      <c r="Q158" s="1" t="s">
        <v>186</v>
      </c>
      <c r="R158" s="1">
        <v>2427612</v>
      </c>
      <c r="S158" s="1" t="s">
        <v>121</v>
      </c>
      <c r="T158" s="1" t="s">
        <v>75</v>
      </c>
      <c r="U158" s="1" t="s">
        <v>122</v>
      </c>
      <c r="V158" s="1" t="s">
        <v>123</v>
      </c>
      <c r="W158" s="1">
        <v>0.3</v>
      </c>
      <c r="X158" s="1">
        <v>900</v>
      </c>
      <c r="Y158" s="1">
        <v>2500</v>
      </c>
      <c r="Z158" s="3">
        <v>21</v>
      </c>
      <c r="AA158" s="3">
        <v>0</v>
      </c>
      <c r="AB158" s="3">
        <v>21</v>
      </c>
      <c r="AC158" s="3">
        <v>0</v>
      </c>
      <c r="AD158" s="3">
        <f t="shared" si="61"/>
        <v>21</v>
      </c>
      <c r="AE158" s="3">
        <v>21</v>
      </c>
      <c r="AF158" s="3">
        <v>0</v>
      </c>
      <c r="AG158" s="3">
        <v>0</v>
      </c>
      <c r="AH158" s="3">
        <v>0</v>
      </c>
      <c r="AI158" s="3">
        <v>0</v>
      </c>
      <c r="AJ158" s="3">
        <f t="shared" si="62"/>
        <v>21</v>
      </c>
      <c r="AK158" s="1">
        <v>0</v>
      </c>
      <c r="AL158" s="3">
        <f>AE158</f>
        <v>21</v>
      </c>
      <c r="AM158" s="3">
        <f>AF158</f>
        <v>0</v>
      </c>
      <c r="AN158" s="3">
        <f>AG158</f>
        <v>0</v>
      </c>
      <c r="AO158" s="3">
        <f>AH158</f>
        <v>0</v>
      </c>
      <c r="AP158" s="3">
        <f t="shared" si="56"/>
        <v>0</v>
      </c>
      <c r="AQ158" s="1" t="s">
        <v>186</v>
      </c>
    </row>
    <row r="159" spans="1:43" x14ac:dyDescent="0.35">
      <c r="A159" s="1">
        <v>743</v>
      </c>
      <c r="B159" s="2">
        <v>45902</v>
      </c>
      <c r="C159" s="1" t="s">
        <v>64</v>
      </c>
      <c r="D159" s="1">
        <v>9519072913</v>
      </c>
      <c r="E159" s="1">
        <v>4</v>
      </c>
      <c r="F159" s="1" t="s">
        <v>724</v>
      </c>
      <c r="G159" s="1" t="s">
        <v>393</v>
      </c>
      <c r="H159" s="1" t="s">
        <v>63</v>
      </c>
      <c r="I159" s="1" t="s">
        <v>1404</v>
      </c>
      <c r="J159" s="1">
        <v>7100</v>
      </c>
      <c r="K159" s="1" t="s">
        <v>970</v>
      </c>
      <c r="L159" s="1" t="str">
        <f t="shared" si="50"/>
        <v>BPRS</v>
      </c>
      <c r="M159" s="1" t="s">
        <v>1230</v>
      </c>
      <c r="N159" s="1" t="s">
        <v>1135</v>
      </c>
      <c r="O159" s="1" t="s">
        <v>120</v>
      </c>
      <c r="P159" s="1">
        <v>121328</v>
      </c>
      <c r="Q159" s="1" t="s">
        <v>119</v>
      </c>
      <c r="R159" s="1">
        <v>1854413</v>
      </c>
      <c r="S159" s="1" t="s">
        <v>203</v>
      </c>
      <c r="T159" s="1" t="s">
        <v>139</v>
      </c>
      <c r="U159" s="1" t="s">
        <v>140</v>
      </c>
      <c r="V159" s="1" t="s">
        <v>150</v>
      </c>
      <c r="W159" s="1">
        <v>0.45</v>
      </c>
      <c r="X159" s="1">
        <v>900</v>
      </c>
      <c r="Y159" s="1">
        <v>0</v>
      </c>
      <c r="Z159" s="3">
        <v>21</v>
      </c>
      <c r="AA159" s="3">
        <v>0</v>
      </c>
      <c r="AB159" s="3">
        <v>21</v>
      </c>
      <c r="AC159" s="3">
        <v>0</v>
      </c>
      <c r="AD159" s="3">
        <f t="shared" si="61"/>
        <v>21</v>
      </c>
      <c r="AE159" s="3">
        <v>0</v>
      </c>
      <c r="AF159" s="3">
        <v>0</v>
      </c>
      <c r="AG159" s="3">
        <v>21</v>
      </c>
      <c r="AH159" s="3">
        <v>0</v>
      </c>
      <c r="AI159" s="3">
        <v>0</v>
      </c>
      <c r="AJ159" s="3">
        <f t="shared" si="62"/>
        <v>21</v>
      </c>
      <c r="AK159" s="1">
        <v>0</v>
      </c>
      <c r="AL159" s="1">
        <v>0</v>
      </c>
      <c r="AM159" s="3">
        <f t="shared" ref="AM159:AM160" si="63">AG159</f>
        <v>21</v>
      </c>
      <c r="AN159" s="1">
        <v>0</v>
      </c>
      <c r="AO159" s="1">
        <v>0</v>
      </c>
      <c r="AP159" s="3">
        <f t="shared" si="56"/>
        <v>0</v>
      </c>
      <c r="AQ159" s="1" t="s">
        <v>119</v>
      </c>
    </row>
    <row r="160" spans="1:43" x14ac:dyDescent="0.35">
      <c r="A160" s="1">
        <v>743</v>
      </c>
      <c r="B160" s="2">
        <v>45902</v>
      </c>
      <c r="C160" s="1" t="s">
        <v>64</v>
      </c>
      <c r="D160" s="1">
        <v>9519072913</v>
      </c>
      <c r="E160" s="1">
        <v>6</v>
      </c>
      <c r="F160" s="1" t="s">
        <v>725</v>
      </c>
      <c r="G160" s="1" t="s">
        <v>393</v>
      </c>
      <c r="H160" s="1" t="s">
        <v>63</v>
      </c>
      <c r="I160" s="1" t="s">
        <v>1404</v>
      </c>
      <c r="K160" s="1" t="s">
        <v>970</v>
      </c>
      <c r="L160" s="1" t="str">
        <f t="shared" si="50"/>
        <v>BPRS</v>
      </c>
      <c r="M160" s="1" t="s">
        <v>1230</v>
      </c>
      <c r="N160" s="1" t="s">
        <v>1135</v>
      </c>
      <c r="O160" s="1" t="s">
        <v>120</v>
      </c>
      <c r="P160" s="1">
        <v>121328</v>
      </c>
      <c r="Q160" s="1" t="s">
        <v>119</v>
      </c>
      <c r="R160" s="1">
        <v>1854429</v>
      </c>
      <c r="S160" s="1" t="s">
        <v>424</v>
      </c>
      <c r="T160" s="1" t="s">
        <v>139</v>
      </c>
      <c r="U160" s="1" t="s">
        <v>140</v>
      </c>
      <c r="V160" s="1" t="s">
        <v>150</v>
      </c>
      <c r="W160" s="1">
        <v>0.63</v>
      </c>
      <c r="X160" s="1">
        <v>900</v>
      </c>
      <c r="Y160" s="1">
        <v>0</v>
      </c>
      <c r="Z160" s="3">
        <v>21</v>
      </c>
      <c r="AA160" s="3">
        <v>0</v>
      </c>
      <c r="AB160" s="3">
        <v>21</v>
      </c>
      <c r="AC160" s="3">
        <v>0</v>
      </c>
      <c r="AD160" s="3">
        <f t="shared" si="61"/>
        <v>21</v>
      </c>
      <c r="AE160" s="3">
        <v>0</v>
      </c>
      <c r="AF160" s="3">
        <v>0</v>
      </c>
      <c r="AG160" s="3">
        <v>21</v>
      </c>
      <c r="AH160" s="3">
        <v>0</v>
      </c>
      <c r="AI160" s="3">
        <v>0</v>
      </c>
      <c r="AJ160" s="3">
        <f t="shared" si="62"/>
        <v>21</v>
      </c>
      <c r="AK160" s="1">
        <v>0</v>
      </c>
      <c r="AL160" s="1">
        <v>0</v>
      </c>
      <c r="AM160" s="3">
        <f t="shared" si="63"/>
        <v>21</v>
      </c>
      <c r="AN160" s="1">
        <v>0</v>
      </c>
      <c r="AO160" s="1">
        <v>0</v>
      </c>
      <c r="AP160" s="3">
        <f t="shared" si="56"/>
        <v>0</v>
      </c>
      <c r="AQ160" s="1" t="s">
        <v>119</v>
      </c>
    </row>
    <row r="161" spans="1:43" x14ac:dyDescent="0.35">
      <c r="A161" s="1">
        <v>743</v>
      </c>
      <c r="B161" s="2">
        <v>45907</v>
      </c>
      <c r="C161" s="1" t="s">
        <v>64</v>
      </c>
      <c r="D161" s="1">
        <v>9519084425</v>
      </c>
      <c r="E161" s="1">
        <v>1</v>
      </c>
      <c r="F161" s="1" t="s">
        <v>726</v>
      </c>
      <c r="G161" s="1" t="s">
        <v>1155</v>
      </c>
      <c r="H161" s="1" t="s">
        <v>56</v>
      </c>
      <c r="I161" s="1" t="s">
        <v>57</v>
      </c>
      <c r="K161" s="1" t="s">
        <v>969</v>
      </c>
      <c r="L161" s="1" t="str">
        <f t="shared" si="50"/>
        <v>IPP</v>
      </c>
      <c r="M161" s="1" t="s">
        <v>1228</v>
      </c>
      <c r="N161" s="1" t="s">
        <v>242</v>
      </c>
      <c r="O161" s="1" t="s">
        <v>66</v>
      </c>
      <c r="P161" s="1">
        <v>950529</v>
      </c>
      <c r="Q161" s="1" t="s">
        <v>413</v>
      </c>
      <c r="R161" s="1">
        <v>4113961</v>
      </c>
      <c r="S161" s="1" t="s">
        <v>428</v>
      </c>
      <c r="T161" s="1" t="s">
        <v>60</v>
      </c>
      <c r="U161" s="1" t="s">
        <v>61</v>
      </c>
      <c r="V161" s="1" t="s">
        <v>62</v>
      </c>
      <c r="W161" s="1">
        <v>0.9</v>
      </c>
      <c r="X161" s="1">
        <v>1020</v>
      </c>
      <c r="Y161" s="1">
        <v>0</v>
      </c>
      <c r="Z161" s="3">
        <v>249.999</v>
      </c>
      <c r="AA161" s="3">
        <v>0</v>
      </c>
      <c r="AB161" s="3">
        <v>249.999</v>
      </c>
      <c r="AC161" s="3">
        <v>0</v>
      </c>
      <c r="AD161" s="3">
        <f t="shared" si="61"/>
        <v>249.999</v>
      </c>
      <c r="AE161" s="3">
        <v>249.999</v>
      </c>
      <c r="AF161" s="3">
        <v>0</v>
      </c>
      <c r="AG161" s="3">
        <v>0</v>
      </c>
      <c r="AH161" s="3">
        <v>0</v>
      </c>
      <c r="AI161" s="3">
        <v>0</v>
      </c>
      <c r="AJ161" s="3">
        <f t="shared" si="62"/>
        <v>249.999</v>
      </c>
      <c r="AK161" s="3">
        <f t="shared" ref="AK161:AK162" si="64">AE161</f>
        <v>249.999</v>
      </c>
      <c r="AL161" s="1">
        <v>0</v>
      </c>
      <c r="AM161" s="1">
        <v>0</v>
      </c>
      <c r="AN161" s="1">
        <v>0</v>
      </c>
      <c r="AO161" s="1">
        <v>0</v>
      </c>
      <c r="AP161" s="3">
        <f t="shared" si="56"/>
        <v>0</v>
      </c>
      <c r="AQ161" s="1" t="s">
        <v>413</v>
      </c>
    </row>
    <row r="162" spans="1:43" x14ac:dyDescent="0.35">
      <c r="A162" s="1">
        <v>743</v>
      </c>
      <c r="B162" s="2">
        <v>45907</v>
      </c>
      <c r="C162" s="1" t="s">
        <v>64</v>
      </c>
      <c r="D162" s="1">
        <v>9519084425</v>
      </c>
      <c r="E162" s="1">
        <v>2</v>
      </c>
      <c r="F162" s="1" t="s">
        <v>727</v>
      </c>
      <c r="G162" s="1" t="s">
        <v>1155</v>
      </c>
      <c r="H162" s="1" t="s">
        <v>56</v>
      </c>
      <c r="I162" s="1" t="s">
        <v>57</v>
      </c>
      <c r="K162" s="1" t="s">
        <v>969</v>
      </c>
      <c r="L162" s="1" t="str">
        <f t="shared" si="50"/>
        <v>IPP</v>
      </c>
      <c r="M162" s="1" t="s">
        <v>1228</v>
      </c>
      <c r="N162" s="1" t="s">
        <v>242</v>
      </c>
      <c r="O162" s="1" t="s">
        <v>66</v>
      </c>
      <c r="P162" s="1">
        <v>950529</v>
      </c>
      <c r="Q162" s="1" t="s">
        <v>413</v>
      </c>
      <c r="R162" s="1">
        <v>4113961</v>
      </c>
      <c r="S162" s="1" t="s">
        <v>428</v>
      </c>
      <c r="T162" s="1" t="s">
        <v>60</v>
      </c>
      <c r="U162" s="1" t="s">
        <v>61</v>
      </c>
      <c r="V162" s="1" t="s">
        <v>62</v>
      </c>
      <c r="W162" s="1">
        <v>0.9</v>
      </c>
      <c r="X162" s="1">
        <v>1020</v>
      </c>
      <c r="Y162" s="1">
        <v>0</v>
      </c>
      <c r="Z162" s="3">
        <v>252.999</v>
      </c>
      <c r="AA162" s="3">
        <v>0</v>
      </c>
      <c r="AB162" s="3">
        <v>252.999</v>
      </c>
      <c r="AC162" s="3">
        <v>0</v>
      </c>
      <c r="AD162" s="3">
        <f t="shared" si="61"/>
        <v>252.999</v>
      </c>
      <c r="AE162" s="3">
        <v>252.999</v>
      </c>
      <c r="AF162" s="3">
        <v>0</v>
      </c>
      <c r="AG162" s="3">
        <v>0</v>
      </c>
      <c r="AH162" s="3">
        <v>0</v>
      </c>
      <c r="AI162" s="3">
        <v>0</v>
      </c>
      <c r="AJ162" s="3">
        <f t="shared" si="62"/>
        <v>252.999</v>
      </c>
      <c r="AK162" s="3">
        <f t="shared" si="64"/>
        <v>252.999</v>
      </c>
      <c r="AL162" s="1">
        <v>0</v>
      </c>
      <c r="AM162" s="1">
        <v>0</v>
      </c>
      <c r="AN162" s="1">
        <v>0</v>
      </c>
      <c r="AO162" s="1">
        <v>0</v>
      </c>
      <c r="AP162" s="3">
        <f t="shared" si="56"/>
        <v>0</v>
      </c>
      <c r="AQ162" s="1" t="s">
        <v>413</v>
      </c>
    </row>
    <row r="163" spans="1:43" x14ac:dyDescent="0.35">
      <c r="A163" s="1">
        <v>743</v>
      </c>
      <c r="B163" s="2">
        <v>45907</v>
      </c>
      <c r="C163" s="1" t="s">
        <v>64</v>
      </c>
      <c r="D163" s="1">
        <v>9519084425</v>
      </c>
      <c r="E163" s="1">
        <v>3</v>
      </c>
      <c r="F163" s="1" t="s">
        <v>728</v>
      </c>
      <c r="G163" s="1" t="s">
        <v>1155</v>
      </c>
      <c r="H163" s="1" t="s">
        <v>56</v>
      </c>
      <c r="I163" s="1" t="s">
        <v>57</v>
      </c>
      <c r="K163" s="1" t="s">
        <v>969</v>
      </c>
      <c r="L163" s="1" t="str">
        <f t="shared" si="50"/>
        <v>IPP</v>
      </c>
      <c r="M163" s="1" t="s">
        <v>1228</v>
      </c>
      <c r="N163" s="1" t="s">
        <v>242</v>
      </c>
      <c r="O163" s="1" t="s">
        <v>66</v>
      </c>
      <c r="P163" s="1">
        <v>950529</v>
      </c>
      <c r="Q163" s="1" t="s">
        <v>413</v>
      </c>
      <c r="R163" s="1">
        <v>4113961</v>
      </c>
      <c r="S163" s="1" t="s">
        <v>428</v>
      </c>
      <c r="T163" s="1" t="s">
        <v>60</v>
      </c>
      <c r="U163" s="1" t="s">
        <v>61</v>
      </c>
      <c r="V163" s="1" t="s">
        <v>62</v>
      </c>
      <c r="W163" s="1">
        <v>0.9</v>
      </c>
      <c r="X163" s="1">
        <v>1020</v>
      </c>
      <c r="Y163" s="1">
        <v>0</v>
      </c>
      <c r="Z163" s="3">
        <v>252.999</v>
      </c>
      <c r="AA163" s="3">
        <v>0</v>
      </c>
      <c r="AB163" s="3">
        <v>252.999</v>
      </c>
      <c r="AC163" s="3">
        <v>0</v>
      </c>
      <c r="AD163" s="3">
        <f t="shared" si="61"/>
        <v>252.999</v>
      </c>
      <c r="AE163" s="3">
        <v>252.999</v>
      </c>
      <c r="AF163" s="3">
        <v>0</v>
      </c>
      <c r="AG163" s="3">
        <v>0</v>
      </c>
      <c r="AH163" s="3">
        <v>0</v>
      </c>
      <c r="AI163" s="3">
        <v>0</v>
      </c>
      <c r="AJ163" s="3">
        <f t="shared" si="62"/>
        <v>252.999</v>
      </c>
      <c r="AK163" s="1">
        <v>0</v>
      </c>
      <c r="AL163" s="3">
        <f>AE163</f>
        <v>252.999</v>
      </c>
      <c r="AM163" s="1">
        <v>0</v>
      </c>
      <c r="AN163" s="1">
        <v>0</v>
      </c>
      <c r="AO163" s="1">
        <v>0</v>
      </c>
      <c r="AP163" s="3">
        <f t="shared" si="56"/>
        <v>0</v>
      </c>
      <c r="AQ163" s="1" t="s">
        <v>413</v>
      </c>
    </row>
    <row r="164" spans="1:43" x14ac:dyDescent="0.35">
      <c r="A164" s="1">
        <v>743</v>
      </c>
      <c r="B164" s="2">
        <v>45907</v>
      </c>
      <c r="C164" s="1" t="s">
        <v>64</v>
      </c>
      <c r="D164" s="1">
        <v>9519084425</v>
      </c>
      <c r="E164" s="1">
        <v>4</v>
      </c>
      <c r="F164" s="1" t="s">
        <v>729</v>
      </c>
      <c r="G164" s="1" t="s">
        <v>1155</v>
      </c>
      <c r="H164" s="1" t="s">
        <v>56</v>
      </c>
      <c r="I164" s="1" t="s">
        <v>57</v>
      </c>
      <c r="K164" s="1" t="s">
        <v>969</v>
      </c>
      <c r="L164" s="1" t="str">
        <f t="shared" si="50"/>
        <v>IPP</v>
      </c>
      <c r="M164" s="1" t="s">
        <v>1228</v>
      </c>
      <c r="N164" s="1" t="s">
        <v>242</v>
      </c>
      <c r="O164" s="1" t="s">
        <v>66</v>
      </c>
      <c r="P164" s="1">
        <v>950529</v>
      </c>
      <c r="Q164" s="1" t="s">
        <v>413</v>
      </c>
      <c r="R164" s="1">
        <v>4113961</v>
      </c>
      <c r="S164" s="1" t="s">
        <v>428</v>
      </c>
      <c r="T164" s="1" t="s">
        <v>60</v>
      </c>
      <c r="U164" s="1" t="s">
        <v>61</v>
      </c>
      <c r="V164" s="1" t="s">
        <v>62</v>
      </c>
      <c r="W164" s="1">
        <v>0.9</v>
      </c>
      <c r="X164" s="1">
        <v>1020</v>
      </c>
      <c r="Y164" s="1">
        <v>0</v>
      </c>
      <c r="Z164" s="3">
        <v>252.999</v>
      </c>
      <c r="AA164" s="3">
        <v>0</v>
      </c>
      <c r="AB164" s="3">
        <v>252.999</v>
      </c>
      <c r="AC164" s="3">
        <v>0</v>
      </c>
      <c r="AD164" s="3">
        <f t="shared" si="61"/>
        <v>252.999</v>
      </c>
      <c r="AE164" s="3">
        <v>252.999</v>
      </c>
      <c r="AF164" s="3">
        <v>0</v>
      </c>
      <c r="AG164" s="3">
        <v>0</v>
      </c>
      <c r="AH164" s="3">
        <v>0</v>
      </c>
      <c r="AI164" s="3">
        <v>0</v>
      </c>
      <c r="AJ164" s="3">
        <f t="shared" si="62"/>
        <v>252.999</v>
      </c>
      <c r="AK164" s="1">
        <v>0</v>
      </c>
      <c r="AL164" s="3">
        <f t="shared" ref="AL164:AL165" si="65">AE164</f>
        <v>252.999</v>
      </c>
      <c r="AM164" s="1">
        <v>0</v>
      </c>
      <c r="AN164" s="1">
        <v>0</v>
      </c>
      <c r="AO164" s="1">
        <v>0</v>
      </c>
      <c r="AP164" s="3">
        <f t="shared" si="56"/>
        <v>0</v>
      </c>
      <c r="AQ164" s="1" t="s">
        <v>413</v>
      </c>
    </row>
    <row r="165" spans="1:43" x14ac:dyDescent="0.35">
      <c r="A165" s="1">
        <v>743</v>
      </c>
      <c r="B165" s="2">
        <v>45907</v>
      </c>
      <c r="C165" s="1" t="s">
        <v>64</v>
      </c>
      <c r="D165" s="1">
        <v>9519084425</v>
      </c>
      <c r="E165" s="1">
        <v>5</v>
      </c>
      <c r="F165" s="1" t="s">
        <v>730</v>
      </c>
      <c r="G165" s="1" t="s">
        <v>1155</v>
      </c>
      <c r="H165" s="1" t="s">
        <v>56</v>
      </c>
      <c r="I165" s="1" t="s">
        <v>57</v>
      </c>
      <c r="K165" s="1" t="s">
        <v>969</v>
      </c>
      <c r="L165" s="1" t="str">
        <f t="shared" si="50"/>
        <v>IPP</v>
      </c>
      <c r="M165" s="1" t="s">
        <v>1228</v>
      </c>
      <c r="N165" s="1" t="s">
        <v>242</v>
      </c>
      <c r="O165" s="1" t="s">
        <v>66</v>
      </c>
      <c r="P165" s="1">
        <v>950529</v>
      </c>
      <c r="Q165" s="1" t="s">
        <v>413</v>
      </c>
      <c r="R165" s="1">
        <v>4113961</v>
      </c>
      <c r="S165" s="1" t="s">
        <v>428</v>
      </c>
      <c r="T165" s="1" t="s">
        <v>60</v>
      </c>
      <c r="U165" s="1" t="s">
        <v>61</v>
      </c>
      <c r="V165" s="1" t="s">
        <v>62</v>
      </c>
      <c r="W165" s="1">
        <v>0.9</v>
      </c>
      <c r="X165" s="1">
        <v>1020</v>
      </c>
      <c r="Y165" s="1">
        <v>0</v>
      </c>
      <c r="Z165" s="3">
        <v>252.999</v>
      </c>
      <c r="AA165" s="3">
        <v>0</v>
      </c>
      <c r="AB165" s="3">
        <v>252.999</v>
      </c>
      <c r="AC165" s="3">
        <v>0</v>
      </c>
      <c r="AD165" s="3">
        <f t="shared" si="61"/>
        <v>252.999</v>
      </c>
      <c r="AE165" s="3">
        <v>252.999</v>
      </c>
      <c r="AF165" s="3">
        <v>0</v>
      </c>
      <c r="AG165" s="3">
        <v>0</v>
      </c>
      <c r="AH165" s="3">
        <v>0</v>
      </c>
      <c r="AI165" s="3">
        <v>0</v>
      </c>
      <c r="AJ165" s="3">
        <f t="shared" si="62"/>
        <v>252.999</v>
      </c>
      <c r="AK165" s="1">
        <v>0</v>
      </c>
      <c r="AL165" s="3">
        <f t="shared" si="65"/>
        <v>252.999</v>
      </c>
      <c r="AM165" s="1">
        <v>0</v>
      </c>
      <c r="AN165" s="1">
        <v>0</v>
      </c>
      <c r="AO165" s="1">
        <v>0</v>
      </c>
      <c r="AP165" s="3">
        <f t="shared" si="56"/>
        <v>0</v>
      </c>
      <c r="AQ165" s="1" t="s">
        <v>413</v>
      </c>
    </row>
    <row r="166" spans="1:43" x14ac:dyDescent="0.35">
      <c r="A166" s="1">
        <v>742</v>
      </c>
      <c r="B166" s="2">
        <v>45903</v>
      </c>
      <c r="C166" s="1" t="s">
        <v>64</v>
      </c>
      <c r="D166" s="1">
        <v>9519077019</v>
      </c>
      <c r="E166" s="1">
        <v>2</v>
      </c>
      <c r="F166" s="1" t="s">
        <v>731</v>
      </c>
      <c r="G166" s="1" t="s">
        <v>1155</v>
      </c>
      <c r="H166" s="1" t="s">
        <v>21</v>
      </c>
      <c r="I166" s="1" t="s">
        <v>22</v>
      </c>
      <c r="K166" s="1" t="s">
        <v>970</v>
      </c>
      <c r="L166" s="1" t="str">
        <f t="shared" si="50"/>
        <v>BPRS</v>
      </c>
      <c r="M166" s="1" t="s">
        <v>1229</v>
      </c>
      <c r="N166" s="1" t="s">
        <v>35</v>
      </c>
      <c r="O166" s="1" t="s">
        <v>32</v>
      </c>
      <c r="P166" s="1">
        <v>939268</v>
      </c>
      <c r="Q166" s="1" t="s">
        <v>24</v>
      </c>
      <c r="R166" s="1">
        <v>1804814</v>
      </c>
      <c r="S166" s="1" t="s">
        <v>222</v>
      </c>
      <c r="T166" s="1" t="s">
        <v>28</v>
      </c>
      <c r="U166" s="1" t="s">
        <v>29</v>
      </c>
      <c r="V166" s="1" t="s">
        <v>30</v>
      </c>
      <c r="W166" s="1">
        <v>0.8</v>
      </c>
      <c r="X166" s="1">
        <v>1250</v>
      </c>
      <c r="Y166" s="1">
        <v>0</v>
      </c>
      <c r="Z166" s="3">
        <v>87</v>
      </c>
      <c r="AA166" s="3">
        <v>79.344999999999999</v>
      </c>
      <c r="AB166" s="3">
        <v>7.5</v>
      </c>
      <c r="AC166" s="3">
        <v>35.299999999999997</v>
      </c>
      <c r="AD166" s="3">
        <f t="shared" si="61"/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f t="shared" si="62"/>
        <v>35.299999999999997</v>
      </c>
      <c r="AK166" s="3">
        <f>AC166</f>
        <v>35.299999999999997</v>
      </c>
      <c r="AL166" s="1">
        <v>0</v>
      </c>
      <c r="AM166" s="1">
        <v>0</v>
      </c>
      <c r="AN166" s="1">
        <v>0</v>
      </c>
      <c r="AO166" s="1">
        <v>0</v>
      </c>
      <c r="AP166" s="3">
        <f t="shared" si="56"/>
        <v>0</v>
      </c>
      <c r="AQ166" s="1" t="s">
        <v>24</v>
      </c>
    </row>
    <row r="167" spans="1:43" x14ac:dyDescent="0.35">
      <c r="A167" s="1">
        <v>742</v>
      </c>
      <c r="B167" s="2">
        <v>45845</v>
      </c>
      <c r="C167" s="1" t="s">
        <v>64</v>
      </c>
      <c r="D167" s="1">
        <v>9518911415</v>
      </c>
      <c r="E167" s="1">
        <v>6</v>
      </c>
      <c r="F167" s="1" t="s">
        <v>732</v>
      </c>
      <c r="G167" s="1" t="s">
        <v>1367</v>
      </c>
      <c r="H167" s="1" t="s">
        <v>21</v>
      </c>
      <c r="I167" s="1" t="s">
        <v>71</v>
      </c>
      <c r="K167" s="1" t="s">
        <v>970</v>
      </c>
      <c r="L167" s="1" t="str">
        <f t="shared" si="50"/>
        <v>BPRS</v>
      </c>
      <c r="M167" s="1" t="s">
        <v>1231</v>
      </c>
      <c r="N167" s="1" t="s">
        <v>214</v>
      </c>
      <c r="O167" s="1" t="s">
        <v>97</v>
      </c>
      <c r="P167" s="1">
        <v>931525</v>
      </c>
      <c r="Q167" s="1" t="s">
        <v>213</v>
      </c>
      <c r="R167" s="1">
        <v>3912459</v>
      </c>
      <c r="S167" s="1" t="s">
        <v>419</v>
      </c>
      <c r="T167" s="1" t="s">
        <v>75</v>
      </c>
      <c r="U167" s="1" t="s">
        <v>76</v>
      </c>
      <c r="V167" s="1" t="s">
        <v>77</v>
      </c>
      <c r="W167" s="1">
        <v>0.7</v>
      </c>
      <c r="X167" s="1">
        <v>1000</v>
      </c>
      <c r="Y167" s="1">
        <v>1925</v>
      </c>
      <c r="Z167" s="3">
        <v>45.999000000000002</v>
      </c>
      <c r="AA167" s="3">
        <v>40.765000000000001</v>
      </c>
      <c r="AB167" s="3">
        <v>5.234</v>
      </c>
      <c r="AC167" s="3">
        <v>2.73</v>
      </c>
      <c r="AD167" s="3">
        <f t="shared" si="61"/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f t="shared" si="62"/>
        <v>2.73</v>
      </c>
      <c r="AK167" s="3">
        <f>AC167</f>
        <v>2.73</v>
      </c>
      <c r="AL167" s="1">
        <v>0</v>
      </c>
      <c r="AM167" s="1">
        <v>0</v>
      </c>
      <c r="AN167" s="1">
        <v>0</v>
      </c>
      <c r="AO167" s="1">
        <v>0</v>
      </c>
      <c r="AP167" s="3">
        <f t="shared" si="56"/>
        <v>0</v>
      </c>
      <c r="AQ167" s="1" t="s">
        <v>213</v>
      </c>
    </row>
    <row r="168" spans="1:43" x14ac:dyDescent="0.35">
      <c r="A168" s="1">
        <v>744</v>
      </c>
      <c r="B168" s="2">
        <v>45900</v>
      </c>
      <c r="C168" s="1" t="s">
        <v>64</v>
      </c>
      <c r="D168" s="1">
        <v>9519069645</v>
      </c>
      <c r="E168" s="1">
        <v>1</v>
      </c>
      <c r="F168" s="1" t="s">
        <v>733</v>
      </c>
      <c r="G168" s="1" t="s">
        <v>393</v>
      </c>
      <c r="H168" s="1" t="s">
        <v>86</v>
      </c>
      <c r="I168" s="1" t="s">
        <v>968</v>
      </c>
      <c r="K168" s="1" t="s">
        <v>969</v>
      </c>
      <c r="L168" s="1" t="str">
        <f t="shared" si="50"/>
        <v>IPP</v>
      </c>
      <c r="M168" s="1" t="s">
        <v>1232</v>
      </c>
      <c r="N168" s="1" t="s">
        <v>1135</v>
      </c>
      <c r="O168" s="1" t="s">
        <v>54</v>
      </c>
      <c r="P168" s="1">
        <v>941597</v>
      </c>
      <c r="Q168" s="1" t="s">
        <v>87</v>
      </c>
      <c r="R168" s="1">
        <v>4111268</v>
      </c>
      <c r="S168" s="1" t="s">
        <v>429</v>
      </c>
      <c r="T168" s="1" t="s">
        <v>88</v>
      </c>
      <c r="U168" s="1" t="s">
        <v>89</v>
      </c>
      <c r="V168" s="1" t="s">
        <v>430</v>
      </c>
      <c r="W168" s="1">
        <v>0.75</v>
      </c>
      <c r="X168" s="1">
        <v>1220</v>
      </c>
      <c r="Y168" s="1">
        <v>0</v>
      </c>
      <c r="Z168" s="3">
        <v>196</v>
      </c>
      <c r="AA168" s="3">
        <v>0</v>
      </c>
      <c r="AB168" s="3">
        <v>196</v>
      </c>
      <c r="AC168" s="3">
        <v>0</v>
      </c>
      <c r="AD168" s="3">
        <f t="shared" si="61"/>
        <v>196</v>
      </c>
      <c r="AE168" s="3">
        <v>196</v>
      </c>
      <c r="AF168" s="3">
        <v>0</v>
      </c>
      <c r="AG168" s="3">
        <v>0</v>
      </c>
      <c r="AH168" s="3">
        <v>0</v>
      </c>
      <c r="AI168" s="3">
        <v>0</v>
      </c>
      <c r="AJ168" s="3">
        <f t="shared" si="62"/>
        <v>196</v>
      </c>
      <c r="AK168" s="1">
        <v>0</v>
      </c>
      <c r="AL168" s="3">
        <f>AE168</f>
        <v>196</v>
      </c>
      <c r="AM168" s="1">
        <v>0</v>
      </c>
      <c r="AN168" s="1">
        <v>0</v>
      </c>
      <c r="AO168" s="1">
        <v>0</v>
      </c>
      <c r="AP168" s="3">
        <f t="shared" si="56"/>
        <v>0</v>
      </c>
      <c r="AQ168" s="1" t="s">
        <v>87</v>
      </c>
    </row>
    <row r="169" spans="1:43" x14ac:dyDescent="0.35">
      <c r="A169" s="1">
        <v>742</v>
      </c>
      <c r="B169" s="2">
        <v>45863</v>
      </c>
      <c r="C169" s="1" t="s">
        <v>64</v>
      </c>
      <c r="D169" s="1">
        <v>9518957825</v>
      </c>
      <c r="E169" s="1">
        <v>2</v>
      </c>
      <c r="F169" s="1" t="s">
        <v>734</v>
      </c>
      <c r="G169" s="1" t="s">
        <v>1367</v>
      </c>
      <c r="H169" s="1" t="s">
        <v>21</v>
      </c>
      <c r="I169" s="1" t="s">
        <v>71</v>
      </c>
      <c r="K169" s="1" t="s">
        <v>970</v>
      </c>
      <c r="L169" s="1" t="str">
        <f t="shared" si="50"/>
        <v>BPRS</v>
      </c>
      <c r="M169" s="1" t="s">
        <v>1230</v>
      </c>
      <c r="N169" s="1" t="s">
        <v>308</v>
      </c>
      <c r="O169" s="1" t="s">
        <v>151</v>
      </c>
      <c r="P169" s="1">
        <v>925093</v>
      </c>
      <c r="Q169" s="1" t="s">
        <v>307</v>
      </c>
      <c r="R169" s="1">
        <v>3239548</v>
      </c>
      <c r="S169" s="1" t="s">
        <v>306</v>
      </c>
      <c r="T169" s="1" t="s">
        <v>75</v>
      </c>
      <c r="U169" s="1" t="s">
        <v>122</v>
      </c>
      <c r="V169" s="1" t="s">
        <v>123</v>
      </c>
      <c r="W169" s="1">
        <v>0.4</v>
      </c>
      <c r="X169" s="1">
        <v>900</v>
      </c>
      <c r="Y169" s="1">
        <v>2500</v>
      </c>
      <c r="Z169" s="3">
        <v>41.999000000000002</v>
      </c>
      <c r="AA169" s="3">
        <v>29.155000000000001</v>
      </c>
      <c r="AB169" s="3">
        <v>12.843999999999999</v>
      </c>
      <c r="AC169" s="3">
        <v>11</v>
      </c>
      <c r="AD169" s="3">
        <f t="shared" si="61"/>
        <v>12.843999999999999</v>
      </c>
      <c r="AE169" s="3">
        <v>0</v>
      </c>
      <c r="AF169" s="3">
        <v>12.843999999999999</v>
      </c>
      <c r="AG169" s="3">
        <v>0</v>
      </c>
      <c r="AH169" s="3">
        <v>0</v>
      </c>
      <c r="AI169" s="3">
        <v>0</v>
      </c>
      <c r="AJ169" s="3">
        <f t="shared" si="62"/>
        <v>23.844000000000001</v>
      </c>
      <c r="AK169" s="1">
        <v>0</v>
      </c>
      <c r="AL169" s="1">
        <v>0</v>
      </c>
      <c r="AM169" s="3">
        <f>AF169+AC169</f>
        <v>23.844000000000001</v>
      </c>
      <c r="AN169" s="1">
        <v>0</v>
      </c>
      <c r="AO169" s="1">
        <v>0</v>
      </c>
      <c r="AP169" s="3">
        <f t="shared" si="56"/>
        <v>0</v>
      </c>
      <c r="AQ169" s="1" t="s">
        <v>307</v>
      </c>
    </row>
    <row r="170" spans="1:43" x14ac:dyDescent="0.35">
      <c r="A170" s="1">
        <v>743</v>
      </c>
      <c r="B170" s="2">
        <v>45903</v>
      </c>
      <c r="C170" s="1" t="s">
        <v>46</v>
      </c>
      <c r="D170" s="1">
        <v>9519074568</v>
      </c>
      <c r="E170" s="1">
        <v>1</v>
      </c>
      <c r="F170" s="1" t="s">
        <v>735</v>
      </c>
      <c r="G170" s="1" t="s">
        <v>1367</v>
      </c>
      <c r="H170" s="1" t="s">
        <v>63</v>
      </c>
      <c r="I170" s="1" t="s">
        <v>1404</v>
      </c>
      <c r="K170" s="1" t="s">
        <v>970</v>
      </c>
      <c r="L170" s="1" t="s">
        <v>1422</v>
      </c>
      <c r="M170" s="1" t="s">
        <v>1230</v>
      </c>
      <c r="N170" s="1" t="s">
        <v>431</v>
      </c>
      <c r="O170" s="1" t="s">
        <v>163</v>
      </c>
      <c r="P170" s="1">
        <v>600250</v>
      </c>
      <c r="Q170" s="1" t="s">
        <v>43</v>
      </c>
      <c r="R170" s="1">
        <v>1191955</v>
      </c>
      <c r="S170" s="1" t="s">
        <v>225</v>
      </c>
      <c r="T170" s="1" t="s">
        <v>139</v>
      </c>
      <c r="U170" s="1" t="s">
        <v>140</v>
      </c>
      <c r="V170" s="1" t="s">
        <v>150</v>
      </c>
      <c r="W170" s="1">
        <v>0.3</v>
      </c>
      <c r="X170" s="1">
        <v>900</v>
      </c>
      <c r="Y170" s="1">
        <v>0</v>
      </c>
      <c r="Z170" s="3">
        <v>63</v>
      </c>
      <c r="AA170" s="3">
        <v>60.064999999999998</v>
      </c>
      <c r="AB170" s="3">
        <v>2.9350000000000001</v>
      </c>
      <c r="AC170" s="3">
        <v>10.035</v>
      </c>
      <c r="AD170" s="3">
        <f t="shared" si="61"/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f t="shared" si="62"/>
        <v>10.035</v>
      </c>
      <c r="AK170" s="3">
        <f>AC170</f>
        <v>10.035</v>
      </c>
      <c r="AL170" s="1">
        <v>0</v>
      </c>
      <c r="AM170" s="1">
        <v>0</v>
      </c>
      <c r="AN170" s="1">
        <v>0</v>
      </c>
      <c r="AO170" s="1">
        <v>0</v>
      </c>
      <c r="AP170" s="3">
        <f t="shared" si="56"/>
        <v>0</v>
      </c>
      <c r="AQ170" s="1" t="s">
        <v>43</v>
      </c>
    </row>
    <row r="171" spans="1:43" x14ac:dyDescent="0.35">
      <c r="A171" s="1">
        <v>743</v>
      </c>
      <c r="B171" s="2">
        <v>45903</v>
      </c>
      <c r="C171" s="1" t="s">
        <v>46</v>
      </c>
      <c r="D171" s="1">
        <v>9519074568</v>
      </c>
      <c r="E171" s="1">
        <v>2</v>
      </c>
      <c r="F171" s="1" t="s">
        <v>736</v>
      </c>
      <c r="G171" s="1" t="s">
        <v>1155</v>
      </c>
      <c r="H171" s="1" t="s">
        <v>63</v>
      </c>
      <c r="I171" s="1" t="s">
        <v>1404</v>
      </c>
      <c r="K171" s="1" t="s">
        <v>970</v>
      </c>
      <c r="L171" s="1" t="s">
        <v>1422</v>
      </c>
      <c r="M171" s="1" t="s">
        <v>1230</v>
      </c>
      <c r="N171" s="1" t="s">
        <v>431</v>
      </c>
      <c r="O171" s="1" t="s">
        <v>163</v>
      </c>
      <c r="P171" s="1">
        <v>600250</v>
      </c>
      <c r="Q171" s="1" t="s">
        <v>43</v>
      </c>
      <c r="R171" s="1">
        <v>1191956</v>
      </c>
      <c r="S171" s="1" t="s">
        <v>254</v>
      </c>
      <c r="T171" s="1" t="s">
        <v>139</v>
      </c>
      <c r="U171" s="1" t="s">
        <v>140</v>
      </c>
      <c r="V171" s="1" t="s">
        <v>150</v>
      </c>
      <c r="W171" s="1">
        <v>0.35</v>
      </c>
      <c r="X171" s="1">
        <v>900</v>
      </c>
      <c r="Y171" s="1">
        <v>0</v>
      </c>
      <c r="Z171" s="3">
        <v>147</v>
      </c>
      <c r="AA171" s="3">
        <v>113.58</v>
      </c>
      <c r="AB171" s="3">
        <v>33.42</v>
      </c>
      <c r="AC171" s="3">
        <v>0</v>
      </c>
      <c r="AD171" s="3">
        <f t="shared" si="61"/>
        <v>33.42</v>
      </c>
      <c r="AE171" s="3">
        <v>33.42</v>
      </c>
      <c r="AF171" s="3">
        <v>0</v>
      </c>
      <c r="AG171" s="3">
        <v>0</v>
      </c>
      <c r="AH171" s="3">
        <v>0</v>
      </c>
      <c r="AI171" s="3">
        <v>0</v>
      </c>
      <c r="AJ171" s="3">
        <f t="shared" si="62"/>
        <v>33.42</v>
      </c>
      <c r="AK171" s="3">
        <f>AE171</f>
        <v>33.42</v>
      </c>
      <c r="AL171" s="1">
        <v>0</v>
      </c>
      <c r="AM171" s="1">
        <v>0</v>
      </c>
      <c r="AN171" s="1">
        <v>0</v>
      </c>
      <c r="AO171" s="1">
        <v>0</v>
      </c>
      <c r="AP171" s="3">
        <f t="shared" si="56"/>
        <v>0</v>
      </c>
      <c r="AQ171" s="1" t="s">
        <v>43</v>
      </c>
    </row>
    <row r="172" spans="1:43" x14ac:dyDescent="0.35">
      <c r="A172" s="1">
        <v>743</v>
      </c>
      <c r="B172" s="2">
        <v>45903</v>
      </c>
      <c r="C172" s="1" t="s">
        <v>46</v>
      </c>
      <c r="D172" s="1">
        <v>9519074568</v>
      </c>
      <c r="E172" s="1">
        <v>3</v>
      </c>
      <c r="F172" s="1" t="s">
        <v>737</v>
      </c>
      <c r="G172" s="1" t="s">
        <v>1367</v>
      </c>
      <c r="H172" s="1" t="s">
        <v>63</v>
      </c>
      <c r="I172" s="1" t="s">
        <v>1404</v>
      </c>
      <c r="K172" s="1" t="s">
        <v>970</v>
      </c>
      <c r="L172" s="1" t="s">
        <v>1422</v>
      </c>
      <c r="M172" s="1" t="s">
        <v>1230</v>
      </c>
      <c r="N172" s="1" t="s">
        <v>431</v>
      </c>
      <c r="O172" s="1" t="s">
        <v>163</v>
      </c>
      <c r="P172" s="1">
        <v>600250</v>
      </c>
      <c r="Q172" s="1" t="s">
        <v>43</v>
      </c>
      <c r="R172" s="1">
        <v>1178439</v>
      </c>
      <c r="S172" s="1" t="s">
        <v>202</v>
      </c>
      <c r="T172" s="1" t="s">
        <v>139</v>
      </c>
      <c r="U172" s="1" t="s">
        <v>140</v>
      </c>
      <c r="V172" s="1" t="s">
        <v>150</v>
      </c>
      <c r="W172" s="1">
        <v>0.4</v>
      </c>
      <c r="X172" s="1">
        <v>900</v>
      </c>
      <c r="Y172" s="1">
        <v>0</v>
      </c>
      <c r="Z172" s="3">
        <v>126</v>
      </c>
      <c r="AA172" s="3">
        <v>107.37</v>
      </c>
      <c r="AB172" s="3">
        <v>18.63</v>
      </c>
      <c r="AC172" s="3">
        <v>67.74499999999999</v>
      </c>
      <c r="AD172" s="3">
        <f t="shared" si="61"/>
        <v>18.63</v>
      </c>
      <c r="AE172" s="3">
        <v>18.63</v>
      </c>
      <c r="AF172" s="3">
        <v>0</v>
      </c>
      <c r="AG172" s="3">
        <v>0</v>
      </c>
      <c r="AH172" s="3">
        <v>0</v>
      </c>
      <c r="AI172" s="3">
        <v>0</v>
      </c>
      <c r="AJ172" s="3">
        <f t="shared" si="62"/>
        <v>86.374999999999986</v>
      </c>
      <c r="AK172" s="1">
        <v>0</v>
      </c>
      <c r="AL172" s="3">
        <f>AE172+AC172</f>
        <v>86.374999999999986</v>
      </c>
      <c r="AM172" s="1">
        <v>0</v>
      </c>
      <c r="AN172" s="1">
        <v>0</v>
      </c>
      <c r="AO172" s="1">
        <v>0</v>
      </c>
      <c r="AP172" s="3">
        <f t="shared" si="56"/>
        <v>0</v>
      </c>
      <c r="AQ172" s="1" t="s">
        <v>43</v>
      </c>
    </row>
    <row r="173" spans="1:43" x14ac:dyDescent="0.35">
      <c r="A173" s="1">
        <v>743</v>
      </c>
      <c r="B173" s="2">
        <v>45903</v>
      </c>
      <c r="C173" s="1" t="s">
        <v>46</v>
      </c>
      <c r="D173" s="1">
        <v>9519074568</v>
      </c>
      <c r="E173" s="1">
        <v>4</v>
      </c>
      <c r="F173" s="1" t="s">
        <v>738</v>
      </c>
      <c r="G173" s="1" t="s">
        <v>1367</v>
      </c>
      <c r="H173" s="1" t="s">
        <v>63</v>
      </c>
      <c r="I173" s="1" t="s">
        <v>1404</v>
      </c>
      <c r="K173" s="1" t="s">
        <v>970</v>
      </c>
      <c r="L173" s="1" t="s">
        <v>1422</v>
      </c>
      <c r="M173" s="1" t="s">
        <v>1230</v>
      </c>
      <c r="N173" s="1" t="s">
        <v>431</v>
      </c>
      <c r="O173" s="1" t="s">
        <v>163</v>
      </c>
      <c r="P173" s="1">
        <v>600250</v>
      </c>
      <c r="Q173" s="1" t="s">
        <v>43</v>
      </c>
      <c r="R173" s="1">
        <v>1854418</v>
      </c>
      <c r="S173" s="1" t="s">
        <v>176</v>
      </c>
      <c r="T173" s="1" t="s">
        <v>139</v>
      </c>
      <c r="U173" s="1" t="s">
        <v>140</v>
      </c>
      <c r="V173" s="1" t="s">
        <v>150</v>
      </c>
      <c r="W173" s="1">
        <v>0.5</v>
      </c>
      <c r="X173" s="1">
        <v>900</v>
      </c>
      <c r="Y173" s="1">
        <v>0</v>
      </c>
      <c r="Z173" s="3">
        <v>168</v>
      </c>
      <c r="AA173" s="3">
        <v>159.66999999999999</v>
      </c>
      <c r="AB173" s="3">
        <v>8.33</v>
      </c>
      <c r="AC173" s="3">
        <v>139.70500000000001</v>
      </c>
      <c r="AD173" s="3">
        <f t="shared" si="61"/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f t="shared" si="62"/>
        <v>139.70500000000001</v>
      </c>
      <c r="AK173" s="3">
        <f>AC173</f>
        <v>139.70500000000001</v>
      </c>
      <c r="AL173" s="1">
        <v>0</v>
      </c>
      <c r="AM173" s="1">
        <v>0</v>
      </c>
      <c r="AN173" s="1">
        <v>0</v>
      </c>
      <c r="AO173" s="1">
        <v>0</v>
      </c>
      <c r="AP173" s="3">
        <f t="shared" si="56"/>
        <v>0</v>
      </c>
      <c r="AQ173" s="1" t="s">
        <v>43</v>
      </c>
    </row>
    <row r="174" spans="1:43" x14ac:dyDescent="0.35">
      <c r="A174" s="1">
        <v>743</v>
      </c>
      <c r="B174" s="2">
        <v>45903</v>
      </c>
      <c r="C174" s="1" t="s">
        <v>46</v>
      </c>
      <c r="D174" s="1">
        <v>9519074568</v>
      </c>
      <c r="E174" s="1">
        <v>5</v>
      </c>
      <c r="F174" s="1" t="s">
        <v>739</v>
      </c>
      <c r="G174" s="1" t="s">
        <v>1367</v>
      </c>
      <c r="H174" s="1" t="s">
        <v>63</v>
      </c>
      <c r="I174" s="1" t="s">
        <v>1404</v>
      </c>
      <c r="K174" s="1" t="s">
        <v>970</v>
      </c>
      <c r="L174" s="1" t="s">
        <v>1422</v>
      </c>
      <c r="M174" s="1" t="s">
        <v>1230</v>
      </c>
      <c r="N174" s="1" t="s">
        <v>431</v>
      </c>
      <c r="O174" s="1" t="s">
        <v>163</v>
      </c>
      <c r="P174" s="1">
        <v>600250</v>
      </c>
      <c r="Q174" s="1" t="s">
        <v>43</v>
      </c>
      <c r="R174" s="1">
        <v>1854424</v>
      </c>
      <c r="S174" s="1" t="s">
        <v>249</v>
      </c>
      <c r="T174" s="1" t="s">
        <v>139</v>
      </c>
      <c r="U174" s="1" t="s">
        <v>140</v>
      </c>
      <c r="V174" s="1" t="s">
        <v>150</v>
      </c>
      <c r="W174" s="1">
        <v>0.6</v>
      </c>
      <c r="X174" s="1">
        <v>900</v>
      </c>
      <c r="Y174" s="1">
        <v>0</v>
      </c>
      <c r="Z174" s="3">
        <v>105</v>
      </c>
      <c r="AA174" s="3">
        <v>87.254999999999995</v>
      </c>
      <c r="AB174" s="3">
        <v>17.745000000000001</v>
      </c>
      <c r="AC174" s="3">
        <v>48.805</v>
      </c>
      <c r="AD174" s="3">
        <f t="shared" si="61"/>
        <v>17.745000000000001</v>
      </c>
      <c r="AE174" s="3">
        <v>17.745000000000001</v>
      </c>
      <c r="AF174" s="3">
        <v>0</v>
      </c>
      <c r="AG174" s="3">
        <v>0</v>
      </c>
      <c r="AH174" s="3">
        <v>0</v>
      </c>
      <c r="AI174" s="3">
        <v>0</v>
      </c>
      <c r="AJ174" s="3">
        <f t="shared" si="62"/>
        <v>66.55</v>
      </c>
      <c r="AK174" s="1">
        <v>0</v>
      </c>
      <c r="AL174" s="3">
        <f>AE174+AC174</f>
        <v>66.55</v>
      </c>
      <c r="AM174" s="1">
        <v>0</v>
      </c>
      <c r="AN174" s="1">
        <v>0</v>
      </c>
      <c r="AO174" s="1">
        <v>0</v>
      </c>
      <c r="AP174" s="3">
        <f t="shared" si="56"/>
        <v>0</v>
      </c>
      <c r="AQ174" s="1" t="s">
        <v>43</v>
      </c>
    </row>
    <row r="175" spans="1:43" x14ac:dyDescent="0.35">
      <c r="A175" s="1">
        <v>743</v>
      </c>
      <c r="B175" s="2">
        <v>45915</v>
      </c>
      <c r="C175" s="1" t="s">
        <v>64</v>
      </c>
      <c r="D175" s="1">
        <v>9519105231</v>
      </c>
      <c r="E175" s="1">
        <v>2</v>
      </c>
      <c r="F175" s="1" t="s">
        <v>741</v>
      </c>
      <c r="G175" s="1" t="s">
        <v>1155</v>
      </c>
      <c r="H175" s="1" t="s">
        <v>63</v>
      </c>
      <c r="I175" s="1" t="s">
        <v>1404</v>
      </c>
      <c r="K175" s="1" t="s">
        <v>970</v>
      </c>
      <c r="L175" s="1" t="str">
        <f t="shared" ref="L175:L191" si="66">K175</f>
        <v>BPRS</v>
      </c>
      <c r="M175" s="1" t="s">
        <v>1231</v>
      </c>
      <c r="N175" s="1" t="s">
        <v>214</v>
      </c>
      <c r="O175" s="1" t="s">
        <v>97</v>
      </c>
      <c r="P175" s="1">
        <v>931525</v>
      </c>
      <c r="Q175" s="1" t="s">
        <v>213</v>
      </c>
      <c r="R175" s="1">
        <v>1191956</v>
      </c>
      <c r="S175" s="1" t="s">
        <v>254</v>
      </c>
      <c r="T175" s="1" t="s">
        <v>139</v>
      </c>
      <c r="U175" s="1" t="s">
        <v>140</v>
      </c>
      <c r="V175" s="1" t="s">
        <v>150</v>
      </c>
      <c r="W175" s="1">
        <v>0.35</v>
      </c>
      <c r="X175" s="1">
        <v>900</v>
      </c>
      <c r="Y175" s="1">
        <v>0</v>
      </c>
      <c r="Z175" s="3">
        <v>63</v>
      </c>
      <c r="AA175" s="3">
        <v>0</v>
      </c>
      <c r="AB175" s="3">
        <v>63</v>
      </c>
      <c r="AC175" s="3">
        <v>0</v>
      </c>
      <c r="AD175" s="3">
        <f t="shared" si="61"/>
        <v>63</v>
      </c>
      <c r="AE175" s="3">
        <v>0</v>
      </c>
      <c r="AF175" s="3">
        <v>0</v>
      </c>
      <c r="AG175" s="3">
        <v>0</v>
      </c>
      <c r="AH175" s="3">
        <v>0</v>
      </c>
      <c r="AI175" s="3">
        <v>63</v>
      </c>
      <c r="AJ175" s="3">
        <f t="shared" si="62"/>
        <v>63</v>
      </c>
      <c r="AK175" s="1">
        <v>0</v>
      </c>
      <c r="AL175" s="1">
        <v>0</v>
      </c>
      <c r="AM175" s="1">
        <v>0</v>
      </c>
      <c r="AN175" s="1">
        <v>0</v>
      </c>
      <c r="AO175" s="3">
        <f>AI175</f>
        <v>63</v>
      </c>
      <c r="AP175" s="3">
        <f t="shared" si="56"/>
        <v>0</v>
      </c>
      <c r="AQ175" s="1" t="s">
        <v>213</v>
      </c>
    </row>
    <row r="176" spans="1:43" x14ac:dyDescent="0.35">
      <c r="A176" s="1">
        <v>742</v>
      </c>
      <c r="B176" s="2">
        <v>45863</v>
      </c>
      <c r="C176" s="1" t="s">
        <v>64</v>
      </c>
      <c r="D176" s="1">
        <v>9518959342</v>
      </c>
      <c r="E176" s="1">
        <v>2</v>
      </c>
      <c r="F176" s="1" t="s">
        <v>742</v>
      </c>
      <c r="G176" s="1" t="s">
        <v>1155</v>
      </c>
      <c r="H176" s="1" t="s">
        <v>21</v>
      </c>
      <c r="I176" s="1" t="s">
        <v>22</v>
      </c>
      <c r="K176" s="1" t="s">
        <v>970</v>
      </c>
      <c r="L176" s="1" t="str">
        <f t="shared" si="66"/>
        <v>BPRS</v>
      </c>
      <c r="M176" s="1" t="s">
        <v>1229</v>
      </c>
      <c r="N176" s="1" t="s">
        <v>114</v>
      </c>
      <c r="O176" s="1" t="s">
        <v>58</v>
      </c>
      <c r="P176" s="1">
        <v>822271</v>
      </c>
      <c r="Q176" s="1" t="s">
        <v>24</v>
      </c>
      <c r="R176" s="1">
        <v>1801290</v>
      </c>
      <c r="S176" s="1" t="s">
        <v>273</v>
      </c>
      <c r="T176" s="1" t="s">
        <v>28</v>
      </c>
      <c r="U176" s="1" t="s">
        <v>29</v>
      </c>
      <c r="V176" s="1" t="s">
        <v>30</v>
      </c>
      <c r="W176" s="1">
        <v>0.6</v>
      </c>
      <c r="X176" s="1">
        <v>1250</v>
      </c>
      <c r="Y176" s="1">
        <v>0</v>
      </c>
      <c r="Z176" s="3">
        <v>116</v>
      </c>
      <c r="AA176" s="3">
        <v>0</v>
      </c>
      <c r="AB176" s="3">
        <v>116</v>
      </c>
      <c r="AC176" s="3">
        <v>0</v>
      </c>
      <c r="AD176" s="3">
        <f t="shared" si="61"/>
        <v>116</v>
      </c>
      <c r="AE176" s="3">
        <v>0</v>
      </c>
      <c r="AF176" s="3">
        <v>116</v>
      </c>
      <c r="AG176" s="3">
        <v>0</v>
      </c>
      <c r="AH176" s="3">
        <v>0</v>
      </c>
      <c r="AI176" s="3">
        <v>0</v>
      </c>
      <c r="AJ176" s="3">
        <f t="shared" si="62"/>
        <v>116</v>
      </c>
      <c r="AK176" s="1">
        <v>0</v>
      </c>
      <c r="AL176" s="3">
        <v>0</v>
      </c>
      <c r="AM176" s="3">
        <f>AF176</f>
        <v>116</v>
      </c>
      <c r="AN176" s="3">
        <f>AG176</f>
        <v>0</v>
      </c>
      <c r="AO176" s="3">
        <f>AH176</f>
        <v>0</v>
      </c>
      <c r="AP176" s="3">
        <f t="shared" si="56"/>
        <v>0</v>
      </c>
      <c r="AQ176" s="1" t="s">
        <v>24</v>
      </c>
    </row>
    <row r="177" spans="1:43" x14ac:dyDescent="0.35">
      <c r="A177" s="1">
        <v>742</v>
      </c>
      <c r="B177" s="2">
        <v>45888</v>
      </c>
      <c r="C177" s="1" t="s">
        <v>64</v>
      </c>
      <c r="D177" s="1">
        <v>9519027787</v>
      </c>
      <c r="E177" s="1">
        <v>4</v>
      </c>
      <c r="F177" s="1" t="s">
        <v>743</v>
      </c>
      <c r="G177" s="1" t="s">
        <v>1367</v>
      </c>
      <c r="H177" s="1" t="s">
        <v>21</v>
      </c>
      <c r="I177" s="1" t="s">
        <v>71</v>
      </c>
      <c r="K177" s="1" t="s">
        <v>970</v>
      </c>
      <c r="L177" s="1" t="str">
        <f t="shared" si="66"/>
        <v>BPRS</v>
      </c>
      <c r="M177" s="1" t="s">
        <v>1229</v>
      </c>
      <c r="N177" s="1" t="s">
        <v>73</v>
      </c>
      <c r="O177" s="1" t="s">
        <v>74</v>
      </c>
      <c r="P177" s="1">
        <v>946077</v>
      </c>
      <c r="Q177" s="1" t="s">
        <v>72</v>
      </c>
      <c r="R177" s="1">
        <v>3240759</v>
      </c>
      <c r="S177" s="1" t="s">
        <v>434</v>
      </c>
      <c r="T177" s="1" t="s">
        <v>75</v>
      </c>
      <c r="U177" s="1" t="s">
        <v>76</v>
      </c>
      <c r="V177" s="1" t="s">
        <v>77</v>
      </c>
      <c r="W177" s="1">
        <v>0.5</v>
      </c>
      <c r="X177" s="1">
        <v>1000</v>
      </c>
      <c r="Y177" s="1">
        <v>2440</v>
      </c>
      <c r="Z177" s="3">
        <v>22.998999999999999</v>
      </c>
      <c r="AA177" s="3">
        <v>27.914999999999999</v>
      </c>
      <c r="AB177" s="3">
        <v>-4.9160000000000004</v>
      </c>
      <c r="AC177" s="3">
        <v>2.81</v>
      </c>
      <c r="AD177" s="3">
        <f t="shared" si="61"/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f t="shared" si="62"/>
        <v>2.81</v>
      </c>
      <c r="AK177" s="3">
        <f>AC177</f>
        <v>2.81</v>
      </c>
      <c r="AL177" s="1">
        <v>0</v>
      </c>
      <c r="AM177" s="1">
        <v>0</v>
      </c>
      <c r="AN177" s="1">
        <v>0</v>
      </c>
      <c r="AO177" s="1">
        <v>0</v>
      </c>
      <c r="AP177" s="3">
        <f t="shared" si="56"/>
        <v>0</v>
      </c>
      <c r="AQ177" s="1" t="s">
        <v>72</v>
      </c>
    </row>
    <row r="178" spans="1:43" x14ac:dyDescent="0.35">
      <c r="A178" s="1">
        <v>743</v>
      </c>
      <c r="B178" s="2">
        <v>45871</v>
      </c>
      <c r="C178" s="1" t="s">
        <v>64</v>
      </c>
      <c r="D178" s="1">
        <v>9518988805</v>
      </c>
      <c r="E178" s="1">
        <v>1</v>
      </c>
      <c r="F178" s="1" t="s">
        <v>744</v>
      </c>
      <c r="G178" s="1" t="s">
        <v>393</v>
      </c>
      <c r="H178" s="1" t="s">
        <v>63</v>
      </c>
      <c r="I178" s="1" t="s">
        <v>1404</v>
      </c>
      <c r="K178" s="1" t="s">
        <v>970</v>
      </c>
      <c r="L178" s="1" t="str">
        <f t="shared" si="66"/>
        <v>BPRS</v>
      </c>
      <c r="M178" s="1" t="s">
        <v>1230</v>
      </c>
      <c r="N178" s="1" t="s">
        <v>79</v>
      </c>
      <c r="O178" s="1" t="s">
        <v>80</v>
      </c>
      <c r="P178" s="1">
        <v>116649</v>
      </c>
      <c r="Q178" s="1" t="s">
        <v>78</v>
      </c>
      <c r="R178" s="1">
        <v>1854363</v>
      </c>
      <c r="S178" s="1" t="s">
        <v>252</v>
      </c>
      <c r="T178" s="1" t="s">
        <v>139</v>
      </c>
      <c r="U178" s="1" t="s">
        <v>140</v>
      </c>
      <c r="V178" s="1" t="s">
        <v>141</v>
      </c>
      <c r="W178" s="1">
        <v>0.22</v>
      </c>
      <c r="X178" s="1">
        <v>900</v>
      </c>
      <c r="Y178" s="1">
        <v>0</v>
      </c>
      <c r="Z178" s="3">
        <v>42</v>
      </c>
      <c r="AA178" s="3">
        <v>0</v>
      </c>
      <c r="AB178" s="3">
        <v>42</v>
      </c>
      <c r="AC178" s="3">
        <v>0</v>
      </c>
      <c r="AD178" s="3">
        <f t="shared" si="61"/>
        <v>42</v>
      </c>
      <c r="AE178" s="3">
        <v>0</v>
      </c>
      <c r="AF178" s="3">
        <v>0</v>
      </c>
      <c r="AG178" s="3">
        <v>0</v>
      </c>
      <c r="AH178" s="3">
        <v>42</v>
      </c>
      <c r="AI178" s="3">
        <v>0</v>
      </c>
      <c r="AJ178" s="3">
        <f t="shared" si="62"/>
        <v>42</v>
      </c>
      <c r="AK178" s="1">
        <v>0</v>
      </c>
      <c r="AL178" s="1">
        <v>0</v>
      </c>
      <c r="AM178" s="1">
        <v>0</v>
      </c>
      <c r="AN178" s="3">
        <f>AH178</f>
        <v>42</v>
      </c>
      <c r="AO178" s="1">
        <v>0</v>
      </c>
      <c r="AP178" s="3">
        <f t="shared" si="56"/>
        <v>0</v>
      </c>
      <c r="AQ178" s="1" t="s">
        <v>78</v>
      </c>
    </row>
    <row r="179" spans="1:43" x14ac:dyDescent="0.35">
      <c r="A179" s="1">
        <v>743</v>
      </c>
      <c r="B179" s="2">
        <v>45871</v>
      </c>
      <c r="C179" s="1" t="s">
        <v>64</v>
      </c>
      <c r="D179" s="1">
        <v>9518988805</v>
      </c>
      <c r="E179" s="1">
        <v>2</v>
      </c>
      <c r="F179" s="1" t="s">
        <v>745</v>
      </c>
      <c r="G179" s="1" t="s">
        <v>393</v>
      </c>
      <c r="H179" s="1" t="s">
        <v>63</v>
      </c>
      <c r="I179" s="1" t="s">
        <v>1404</v>
      </c>
      <c r="K179" s="1" t="s">
        <v>970</v>
      </c>
      <c r="L179" s="1" t="str">
        <f t="shared" si="66"/>
        <v>BPRS</v>
      </c>
      <c r="M179" s="1" t="s">
        <v>1230</v>
      </c>
      <c r="N179" s="1" t="s">
        <v>79</v>
      </c>
      <c r="O179" s="1" t="s">
        <v>80</v>
      </c>
      <c r="P179" s="1">
        <v>116649</v>
      </c>
      <c r="Q179" s="1" t="s">
        <v>78</v>
      </c>
      <c r="R179" s="1">
        <v>1319275</v>
      </c>
      <c r="S179" s="1" t="s">
        <v>279</v>
      </c>
      <c r="T179" s="1" t="s">
        <v>139</v>
      </c>
      <c r="U179" s="1" t="s">
        <v>140</v>
      </c>
      <c r="V179" s="1" t="s">
        <v>141</v>
      </c>
      <c r="W179" s="1">
        <v>0.2</v>
      </c>
      <c r="X179" s="1">
        <v>900</v>
      </c>
      <c r="Y179" s="1">
        <v>0</v>
      </c>
      <c r="Z179" s="3">
        <v>42</v>
      </c>
      <c r="AA179" s="3">
        <v>0</v>
      </c>
      <c r="AB179" s="3">
        <v>42</v>
      </c>
      <c r="AC179" s="3">
        <v>0</v>
      </c>
      <c r="AD179" s="3">
        <f t="shared" si="61"/>
        <v>42</v>
      </c>
      <c r="AE179" s="3">
        <v>0</v>
      </c>
      <c r="AF179" s="3">
        <v>0</v>
      </c>
      <c r="AG179" s="3">
        <v>42</v>
      </c>
      <c r="AH179" s="3">
        <v>0</v>
      </c>
      <c r="AI179" s="3">
        <v>0</v>
      </c>
      <c r="AJ179" s="3">
        <f t="shared" si="62"/>
        <v>42</v>
      </c>
      <c r="AK179" s="1">
        <v>0</v>
      </c>
      <c r="AL179" s="1">
        <v>0</v>
      </c>
      <c r="AM179" s="3">
        <f>AG179</f>
        <v>42</v>
      </c>
      <c r="AN179" s="1">
        <v>0</v>
      </c>
      <c r="AO179" s="1">
        <v>0</v>
      </c>
      <c r="AP179" s="3">
        <f t="shared" si="56"/>
        <v>0</v>
      </c>
      <c r="AQ179" s="1" t="s">
        <v>78</v>
      </c>
    </row>
    <row r="180" spans="1:43" x14ac:dyDescent="0.35">
      <c r="A180" s="1">
        <v>743</v>
      </c>
      <c r="B180" s="2">
        <v>45912</v>
      </c>
      <c r="C180" s="1" t="s">
        <v>64</v>
      </c>
      <c r="D180" s="1">
        <v>9519097824</v>
      </c>
      <c r="E180" s="1">
        <v>1</v>
      </c>
      <c r="F180" s="1" t="s">
        <v>746</v>
      </c>
      <c r="G180" s="1" t="s">
        <v>1367</v>
      </c>
      <c r="H180" s="1" t="s">
        <v>56</v>
      </c>
      <c r="I180" s="1" t="s">
        <v>968</v>
      </c>
      <c r="K180" s="1" t="s">
        <v>969</v>
      </c>
      <c r="L180" s="1" t="str">
        <f t="shared" si="66"/>
        <v>IPP</v>
      </c>
      <c r="M180" s="1" t="s">
        <v>1232</v>
      </c>
      <c r="N180" s="1" t="s">
        <v>1135</v>
      </c>
      <c r="O180" s="1" t="s">
        <v>54</v>
      </c>
      <c r="P180" s="1">
        <v>942283</v>
      </c>
      <c r="Q180" s="1" t="s">
        <v>87</v>
      </c>
      <c r="R180" s="1">
        <v>1881969</v>
      </c>
      <c r="S180" s="1" t="s">
        <v>112</v>
      </c>
      <c r="T180" s="1" t="s">
        <v>60</v>
      </c>
      <c r="U180" s="1" t="s">
        <v>61</v>
      </c>
      <c r="V180" s="1" t="s">
        <v>103</v>
      </c>
      <c r="W180" s="1">
        <v>0.45</v>
      </c>
      <c r="X180" s="1">
        <v>1220</v>
      </c>
      <c r="Y180" s="1">
        <v>0</v>
      </c>
      <c r="Z180" s="3">
        <v>280</v>
      </c>
      <c r="AA180" s="3">
        <v>274.23</v>
      </c>
      <c r="AB180" s="3">
        <v>5.77</v>
      </c>
      <c r="AC180" s="3">
        <v>99.10499999999999</v>
      </c>
      <c r="AD180" s="3">
        <f t="shared" si="61"/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f t="shared" si="62"/>
        <v>99.10499999999999</v>
      </c>
      <c r="AK180" s="3">
        <v>0</v>
      </c>
      <c r="AL180" s="3">
        <f>AC180</f>
        <v>99.10499999999999</v>
      </c>
      <c r="AM180" s="1">
        <v>0</v>
      </c>
      <c r="AN180" s="1">
        <v>0</v>
      </c>
      <c r="AO180" s="1">
        <v>0</v>
      </c>
      <c r="AP180" s="3">
        <f t="shared" si="56"/>
        <v>0</v>
      </c>
      <c r="AQ180" s="1" t="s">
        <v>87</v>
      </c>
    </row>
    <row r="181" spans="1:43" x14ac:dyDescent="0.35">
      <c r="A181" s="1">
        <v>743</v>
      </c>
      <c r="B181" s="2">
        <v>45912</v>
      </c>
      <c r="C181" s="1" t="s">
        <v>64</v>
      </c>
      <c r="D181" s="1">
        <v>9519097824</v>
      </c>
      <c r="E181" s="1">
        <v>2</v>
      </c>
      <c r="F181" s="1" t="s">
        <v>747</v>
      </c>
      <c r="G181" s="1" t="s">
        <v>1155</v>
      </c>
      <c r="H181" s="1" t="s">
        <v>56</v>
      </c>
      <c r="I181" s="1" t="s">
        <v>968</v>
      </c>
      <c r="K181" s="1" t="s">
        <v>969</v>
      </c>
      <c r="L181" s="1" t="str">
        <f t="shared" si="66"/>
        <v>IPP</v>
      </c>
      <c r="M181" s="1" t="s">
        <v>1232</v>
      </c>
      <c r="N181" s="1" t="s">
        <v>1135</v>
      </c>
      <c r="O181" s="1" t="s">
        <v>54</v>
      </c>
      <c r="P181" s="1">
        <v>942283</v>
      </c>
      <c r="Q181" s="1" t="s">
        <v>87</v>
      </c>
      <c r="R181" s="1">
        <v>1881969</v>
      </c>
      <c r="S181" s="1" t="s">
        <v>112</v>
      </c>
      <c r="T181" s="1" t="s">
        <v>60</v>
      </c>
      <c r="U181" s="1" t="s">
        <v>61</v>
      </c>
      <c r="V181" s="1" t="s">
        <v>103</v>
      </c>
      <c r="W181" s="1">
        <v>0.45</v>
      </c>
      <c r="X181" s="1">
        <v>1220</v>
      </c>
      <c r="Y181" s="1">
        <v>0</v>
      </c>
      <c r="Z181" s="3">
        <v>84</v>
      </c>
      <c r="AA181" s="3">
        <v>56.524999999999999</v>
      </c>
      <c r="AB181" s="3">
        <v>27.475000000000001</v>
      </c>
      <c r="AC181" s="3">
        <v>43.645000000000003</v>
      </c>
      <c r="AD181" s="3">
        <f t="shared" si="61"/>
        <v>27.475000000000001</v>
      </c>
      <c r="AE181" s="3">
        <v>27.475000000000001</v>
      </c>
      <c r="AF181" s="3">
        <v>0</v>
      </c>
      <c r="AG181" s="3">
        <v>0</v>
      </c>
      <c r="AH181" s="3">
        <v>0</v>
      </c>
      <c r="AI181" s="3">
        <v>0</v>
      </c>
      <c r="AJ181" s="3">
        <f t="shared" si="62"/>
        <v>71.12</v>
      </c>
      <c r="AK181" s="1">
        <v>0</v>
      </c>
      <c r="AL181" s="3">
        <f>AE181+AC181</f>
        <v>71.12</v>
      </c>
      <c r="AM181" s="1">
        <v>0</v>
      </c>
      <c r="AN181" s="1">
        <v>0</v>
      </c>
      <c r="AO181" s="1">
        <v>0</v>
      </c>
      <c r="AP181" s="3">
        <f t="shared" si="56"/>
        <v>0</v>
      </c>
      <c r="AQ181" s="1" t="s">
        <v>87</v>
      </c>
    </row>
    <row r="182" spans="1:43" x14ac:dyDescent="0.35">
      <c r="A182" s="1">
        <v>743</v>
      </c>
      <c r="B182" s="2">
        <v>45912</v>
      </c>
      <c r="C182" s="1" t="s">
        <v>64</v>
      </c>
      <c r="D182" s="1">
        <v>9519097824</v>
      </c>
      <c r="E182" s="1">
        <v>3</v>
      </c>
      <c r="F182" s="1" t="s">
        <v>748</v>
      </c>
      <c r="G182" s="1" t="s">
        <v>1155</v>
      </c>
      <c r="H182" s="1" t="s">
        <v>56</v>
      </c>
      <c r="I182" s="1" t="s">
        <v>968</v>
      </c>
      <c r="K182" s="1" t="s">
        <v>969</v>
      </c>
      <c r="L182" s="1" t="str">
        <f t="shared" si="66"/>
        <v>IPP</v>
      </c>
      <c r="M182" s="1" t="s">
        <v>1232</v>
      </c>
      <c r="N182" s="1" t="s">
        <v>1135</v>
      </c>
      <c r="O182" s="1" t="s">
        <v>54</v>
      </c>
      <c r="P182" s="1">
        <v>942283</v>
      </c>
      <c r="Q182" s="1" t="s">
        <v>87</v>
      </c>
      <c r="R182" s="1">
        <v>1882004</v>
      </c>
      <c r="S182" s="1" t="s">
        <v>400</v>
      </c>
      <c r="T182" s="1" t="s">
        <v>60</v>
      </c>
      <c r="U182" s="1" t="s">
        <v>61</v>
      </c>
      <c r="V182" s="1" t="s">
        <v>103</v>
      </c>
      <c r="W182" s="1">
        <v>0.55000000000000004</v>
      </c>
      <c r="X182" s="1">
        <v>1220</v>
      </c>
      <c r="Y182" s="1">
        <v>0</v>
      </c>
      <c r="Z182" s="3">
        <v>140</v>
      </c>
      <c r="AA182" s="3">
        <v>108.96</v>
      </c>
      <c r="AB182" s="3">
        <v>31.04</v>
      </c>
      <c r="AC182" s="3">
        <v>90.804999999999993</v>
      </c>
      <c r="AD182" s="3">
        <f t="shared" si="61"/>
        <v>31.04</v>
      </c>
      <c r="AE182" s="3">
        <v>31.04</v>
      </c>
      <c r="AF182" s="3">
        <v>0</v>
      </c>
      <c r="AG182" s="3">
        <v>0</v>
      </c>
      <c r="AH182" s="3">
        <v>0</v>
      </c>
      <c r="AI182" s="3">
        <v>0</v>
      </c>
      <c r="AJ182" s="3">
        <f t="shared" si="62"/>
        <v>121.845</v>
      </c>
      <c r="AK182" s="1">
        <v>0</v>
      </c>
      <c r="AL182" s="3">
        <f>AE182+AC182</f>
        <v>121.845</v>
      </c>
      <c r="AM182" s="1">
        <v>0</v>
      </c>
      <c r="AN182" s="1">
        <v>0</v>
      </c>
      <c r="AO182" s="1">
        <v>0</v>
      </c>
      <c r="AP182" s="3">
        <f t="shared" si="56"/>
        <v>0</v>
      </c>
      <c r="AQ182" s="1" t="s">
        <v>87</v>
      </c>
    </row>
    <row r="183" spans="1:43" x14ac:dyDescent="0.35">
      <c r="A183" s="1">
        <v>742</v>
      </c>
      <c r="B183" s="2">
        <v>45909</v>
      </c>
      <c r="C183" s="1" t="s">
        <v>64</v>
      </c>
      <c r="D183" s="1">
        <v>9519088655</v>
      </c>
      <c r="E183" s="1">
        <v>9</v>
      </c>
      <c r="F183" s="1" t="s">
        <v>749</v>
      </c>
      <c r="G183" s="1" t="s">
        <v>1155</v>
      </c>
      <c r="H183" s="1" t="s">
        <v>21</v>
      </c>
      <c r="I183" s="1" t="s">
        <v>71</v>
      </c>
      <c r="K183" s="1" t="s">
        <v>970</v>
      </c>
      <c r="L183" s="1" t="str">
        <f t="shared" si="66"/>
        <v>BPRS</v>
      </c>
      <c r="M183" s="1" t="s">
        <v>1230</v>
      </c>
      <c r="N183" s="1" t="s">
        <v>92</v>
      </c>
      <c r="O183" s="1" t="s">
        <v>93</v>
      </c>
      <c r="P183" s="1">
        <v>117061</v>
      </c>
      <c r="Q183" s="1" t="s">
        <v>91</v>
      </c>
      <c r="R183" s="1">
        <v>3240799</v>
      </c>
      <c r="S183" s="1" t="s">
        <v>376</v>
      </c>
      <c r="T183" s="1" t="s">
        <v>75</v>
      </c>
      <c r="U183" s="1" t="s">
        <v>76</v>
      </c>
      <c r="V183" s="1" t="s">
        <v>77</v>
      </c>
      <c r="W183" s="1">
        <v>0.75</v>
      </c>
      <c r="X183" s="1">
        <v>1250</v>
      </c>
      <c r="Y183" s="1">
        <v>2500</v>
      </c>
      <c r="Z183" s="3">
        <v>29</v>
      </c>
      <c r="AA183" s="3">
        <v>0</v>
      </c>
      <c r="AB183" s="3">
        <v>29</v>
      </c>
      <c r="AC183" s="3">
        <v>0</v>
      </c>
      <c r="AD183" s="3">
        <f t="shared" si="61"/>
        <v>29</v>
      </c>
      <c r="AE183" s="3">
        <v>29</v>
      </c>
      <c r="AF183" s="3">
        <v>0</v>
      </c>
      <c r="AG183" s="3">
        <v>0</v>
      </c>
      <c r="AH183" s="3">
        <v>0</v>
      </c>
      <c r="AI183" s="3">
        <v>0</v>
      </c>
      <c r="AJ183" s="3">
        <f t="shared" si="62"/>
        <v>29</v>
      </c>
      <c r="AK183" s="1">
        <v>0</v>
      </c>
      <c r="AL183" s="3">
        <f>AE183</f>
        <v>29</v>
      </c>
      <c r="AM183" s="3">
        <f>AF183</f>
        <v>0</v>
      </c>
      <c r="AN183" s="3">
        <f>AG183</f>
        <v>0</v>
      </c>
      <c r="AO183" s="3">
        <f>AH183</f>
        <v>0</v>
      </c>
      <c r="AP183" s="3">
        <f t="shared" ref="AP183:AP191" si="67">(AC183+AD183)-AJ183</f>
        <v>0</v>
      </c>
      <c r="AQ183" s="1" t="s">
        <v>91</v>
      </c>
    </row>
    <row r="184" spans="1:43" x14ac:dyDescent="0.35">
      <c r="A184" s="1">
        <v>742</v>
      </c>
      <c r="B184" s="2">
        <v>45909</v>
      </c>
      <c r="C184" s="1" t="s">
        <v>64</v>
      </c>
      <c r="D184" s="1">
        <v>9519088655</v>
      </c>
      <c r="E184" s="1">
        <v>13</v>
      </c>
      <c r="F184" s="1" t="s">
        <v>750</v>
      </c>
      <c r="G184" s="1" t="s">
        <v>1155</v>
      </c>
      <c r="H184" s="1" t="s">
        <v>21</v>
      </c>
      <c r="I184" s="1" t="s">
        <v>71</v>
      </c>
      <c r="K184" s="1" t="s">
        <v>970</v>
      </c>
      <c r="L184" s="1" t="str">
        <f t="shared" si="66"/>
        <v>BPRS</v>
      </c>
      <c r="M184" s="1" t="s">
        <v>1230</v>
      </c>
      <c r="N184" s="1" t="s">
        <v>92</v>
      </c>
      <c r="O184" s="1" t="s">
        <v>93</v>
      </c>
      <c r="P184" s="1">
        <v>117061</v>
      </c>
      <c r="Q184" s="1" t="s">
        <v>91</v>
      </c>
      <c r="R184" s="1">
        <v>3240851</v>
      </c>
      <c r="S184" s="1" t="s">
        <v>261</v>
      </c>
      <c r="T184" s="1" t="s">
        <v>75</v>
      </c>
      <c r="U184" s="1" t="s">
        <v>76</v>
      </c>
      <c r="V184" s="1" t="s">
        <v>77</v>
      </c>
      <c r="W184" s="1">
        <v>1.2</v>
      </c>
      <c r="X184" s="1">
        <v>1250</v>
      </c>
      <c r="Y184" s="1">
        <v>2500</v>
      </c>
      <c r="Z184" s="3">
        <v>58</v>
      </c>
      <c r="AA184" s="3">
        <v>16.585000000000001</v>
      </c>
      <c r="AB184" s="3">
        <v>41.414999999999999</v>
      </c>
      <c r="AC184" s="3">
        <v>16.585000000000001</v>
      </c>
      <c r="AD184" s="3">
        <f t="shared" si="61"/>
        <v>41.414999999999999</v>
      </c>
      <c r="AE184" s="3">
        <v>0</v>
      </c>
      <c r="AF184" s="3">
        <v>0</v>
      </c>
      <c r="AG184" s="3">
        <v>41.414999999999999</v>
      </c>
      <c r="AH184" s="3">
        <v>0</v>
      </c>
      <c r="AI184" s="3">
        <v>0</v>
      </c>
      <c r="AJ184" s="3">
        <f t="shared" si="62"/>
        <v>58</v>
      </c>
      <c r="AK184" s="1">
        <v>0</v>
      </c>
      <c r="AL184" s="1">
        <v>0</v>
      </c>
      <c r="AM184" s="3">
        <f>AG184+AC184</f>
        <v>58</v>
      </c>
      <c r="AN184" s="3">
        <v>0</v>
      </c>
      <c r="AO184" s="1">
        <v>0</v>
      </c>
      <c r="AP184" s="3">
        <f t="shared" si="67"/>
        <v>0</v>
      </c>
      <c r="AQ184" s="1" t="s">
        <v>91</v>
      </c>
    </row>
    <row r="185" spans="1:43" x14ac:dyDescent="0.35">
      <c r="A185" s="1">
        <v>742</v>
      </c>
      <c r="B185" s="2">
        <v>45849</v>
      </c>
      <c r="C185" s="1" t="s">
        <v>64</v>
      </c>
      <c r="D185" s="1">
        <v>9518921586</v>
      </c>
      <c r="E185" s="1">
        <v>5</v>
      </c>
      <c r="F185" s="1" t="s">
        <v>751</v>
      </c>
      <c r="G185" s="1" t="s">
        <v>1155</v>
      </c>
      <c r="H185" s="1" t="s">
        <v>21</v>
      </c>
      <c r="I185" s="1" t="s">
        <v>22</v>
      </c>
      <c r="K185" s="1" t="s">
        <v>970</v>
      </c>
      <c r="L185" s="1" t="str">
        <f t="shared" si="66"/>
        <v>BPRS</v>
      </c>
      <c r="M185" s="1" t="s">
        <v>1229</v>
      </c>
      <c r="N185" s="1" t="s">
        <v>85</v>
      </c>
      <c r="O185" s="1" t="s">
        <v>74</v>
      </c>
      <c r="P185" s="1">
        <v>939422</v>
      </c>
      <c r="Q185" s="1" t="s">
        <v>282</v>
      </c>
      <c r="R185" s="1">
        <v>1801456</v>
      </c>
      <c r="S185" s="1" t="s">
        <v>440</v>
      </c>
      <c r="T185" s="1" t="s">
        <v>28</v>
      </c>
      <c r="U185" s="1" t="s">
        <v>29</v>
      </c>
      <c r="V185" s="1" t="s">
        <v>30</v>
      </c>
      <c r="W185" s="1">
        <v>0.7</v>
      </c>
      <c r="X185" s="1">
        <v>1250</v>
      </c>
      <c r="Y185" s="1">
        <v>0</v>
      </c>
      <c r="Z185" s="3">
        <v>29</v>
      </c>
      <c r="AA185" s="3">
        <v>0</v>
      </c>
      <c r="AB185" s="3">
        <v>29</v>
      </c>
      <c r="AC185" s="3">
        <v>0</v>
      </c>
      <c r="AD185" s="3">
        <f t="shared" si="61"/>
        <v>29</v>
      </c>
      <c r="AE185" s="3">
        <v>0</v>
      </c>
      <c r="AF185" s="3">
        <v>0</v>
      </c>
      <c r="AG185" s="3">
        <v>29</v>
      </c>
      <c r="AH185" s="3">
        <v>0</v>
      </c>
      <c r="AI185" s="3">
        <v>0</v>
      </c>
      <c r="AJ185" s="3">
        <f t="shared" si="62"/>
        <v>29</v>
      </c>
      <c r="AK185" s="1">
        <v>0</v>
      </c>
      <c r="AL185" s="3">
        <f t="shared" ref="AL185:AL186" si="68">AE185</f>
        <v>0</v>
      </c>
      <c r="AM185" s="3">
        <f t="shared" ref="AM185:AM186" si="69">AF185</f>
        <v>0</v>
      </c>
      <c r="AN185" s="3">
        <f t="shared" ref="AN185:AN186" si="70">AG185</f>
        <v>29</v>
      </c>
      <c r="AO185" s="3">
        <f t="shared" ref="AO185:AO186" si="71">AH185</f>
        <v>0</v>
      </c>
      <c r="AP185" s="3">
        <f t="shared" si="67"/>
        <v>0</v>
      </c>
      <c r="AQ185" s="1" t="s">
        <v>282</v>
      </c>
    </row>
    <row r="186" spans="1:43" x14ac:dyDescent="0.35">
      <c r="A186" s="1">
        <v>742</v>
      </c>
      <c r="B186" s="2">
        <v>45856</v>
      </c>
      <c r="C186" s="1" t="s">
        <v>64</v>
      </c>
      <c r="D186" s="1">
        <v>9518939324</v>
      </c>
      <c r="E186" s="1">
        <v>3</v>
      </c>
      <c r="F186" s="1" t="s">
        <v>752</v>
      </c>
      <c r="G186" s="1" t="s">
        <v>1155</v>
      </c>
      <c r="H186" s="1" t="s">
        <v>21</v>
      </c>
      <c r="I186" s="1" t="s">
        <v>975</v>
      </c>
      <c r="K186" s="1" t="s">
        <v>970</v>
      </c>
      <c r="L186" s="1" t="str">
        <f t="shared" si="66"/>
        <v>BPRS</v>
      </c>
      <c r="M186" s="1" t="s">
        <v>1230</v>
      </c>
      <c r="N186" s="1" t="s">
        <v>308</v>
      </c>
      <c r="O186" s="1" t="s">
        <v>151</v>
      </c>
      <c r="P186" s="1">
        <v>154464</v>
      </c>
      <c r="Q186" s="1" t="s">
        <v>24</v>
      </c>
      <c r="R186" s="1">
        <v>3853362</v>
      </c>
      <c r="S186" s="1" t="s">
        <v>441</v>
      </c>
      <c r="T186" s="1" t="s">
        <v>28</v>
      </c>
      <c r="U186" s="1" t="s">
        <v>29</v>
      </c>
      <c r="V186" s="1" t="s">
        <v>287</v>
      </c>
      <c r="W186" s="1">
        <v>1.1000000000000001</v>
      </c>
      <c r="X186" s="1">
        <v>1320</v>
      </c>
      <c r="Y186" s="1">
        <v>0</v>
      </c>
      <c r="Z186" s="3">
        <v>60</v>
      </c>
      <c r="AA186" s="3">
        <v>28.45</v>
      </c>
      <c r="AB186" s="3">
        <v>31.55</v>
      </c>
      <c r="AC186" s="3">
        <v>0</v>
      </c>
      <c r="AD186" s="3">
        <f t="shared" si="61"/>
        <v>31.55</v>
      </c>
      <c r="AE186" s="3">
        <v>31.55</v>
      </c>
      <c r="AF186" s="3">
        <v>0</v>
      </c>
      <c r="AG186" s="3">
        <v>0</v>
      </c>
      <c r="AH186" s="3">
        <v>0</v>
      </c>
      <c r="AI186" s="3">
        <v>0</v>
      </c>
      <c r="AJ186" s="3">
        <f t="shared" si="62"/>
        <v>31.55</v>
      </c>
      <c r="AK186" s="1">
        <v>0</v>
      </c>
      <c r="AL186" s="3">
        <f t="shared" si="68"/>
        <v>31.55</v>
      </c>
      <c r="AM186" s="3">
        <f t="shared" si="69"/>
        <v>0</v>
      </c>
      <c r="AN186" s="3">
        <f t="shared" si="70"/>
        <v>0</v>
      </c>
      <c r="AO186" s="3">
        <f t="shared" si="71"/>
        <v>0</v>
      </c>
      <c r="AP186" s="3">
        <f t="shared" si="67"/>
        <v>0</v>
      </c>
      <c r="AQ186" s="1" t="s">
        <v>24</v>
      </c>
    </row>
    <row r="187" spans="1:43" x14ac:dyDescent="0.35">
      <c r="A187" s="1">
        <v>742</v>
      </c>
      <c r="B187" s="2">
        <v>45881</v>
      </c>
      <c r="C187" s="1" t="s">
        <v>64</v>
      </c>
      <c r="D187" s="1">
        <v>9519011538</v>
      </c>
      <c r="E187" s="1">
        <v>5</v>
      </c>
      <c r="F187" s="1" t="s">
        <v>753</v>
      </c>
      <c r="G187" s="1" t="s">
        <v>1155</v>
      </c>
      <c r="H187" s="1" t="s">
        <v>21</v>
      </c>
      <c r="I187" s="1" t="s">
        <v>71</v>
      </c>
      <c r="K187" s="1" t="s">
        <v>970</v>
      </c>
      <c r="L187" s="1" t="str">
        <f t="shared" si="66"/>
        <v>BPRS</v>
      </c>
      <c r="M187" s="1" t="s">
        <v>1231</v>
      </c>
      <c r="N187" s="1" t="s">
        <v>214</v>
      </c>
      <c r="O187" s="1" t="s">
        <v>97</v>
      </c>
      <c r="P187" s="1">
        <v>115841</v>
      </c>
      <c r="Q187" s="1" t="s">
        <v>240</v>
      </c>
      <c r="R187" s="1">
        <v>3765561</v>
      </c>
      <c r="S187" s="1" t="s">
        <v>422</v>
      </c>
      <c r="T187" s="1" t="s">
        <v>75</v>
      </c>
      <c r="U187" s="1" t="s">
        <v>76</v>
      </c>
      <c r="V187" s="1" t="s">
        <v>77</v>
      </c>
      <c r="W187" s="1">
        <v>0.7</v>
      </c>
      <c r="X187" s="1">
        <v>1000</v>
      </c>
      <c r="Y187" s="1">
        <v>1930</v>
      </c>
      <c r="Z187" s="3">
        <v>46</v>
      </c>
      <c r="AA187" s="3">
        <v>0</v>
      </c>
      <c r="AB187" s="3">
        <v>46</v>
      </c>
      <c r="AC187" s="3">
        <v>0</v>
      </c>
      <c r="AD187" s="3">
        <f t="shared" si="61"/>
        <v>46</v>
      </c>
      <c r="AE187" s="3">
        <v>0</v>
      </c>
      <c r="AF187" s="3">
        <v>0</v>
      </c>
      <c r="AG187" s="3">
        <v>0</v>
      </c>
      <c r="AH187" s="3">
        <v>46</v>
      </c>
      <c r="AI187" s="3">
        <v>0</v>
      </c>
      <c r="AJ187" s="3">
        <f t="shared" si="62"/>
        <v>46</v>
      </c>
      <c r="AK187" s="1">
        <v>0</v>
      </c>
      <c r="AL187" s="3">
        <f>AE187</f>
        <v>0</v>
      </c>
      <c r="AM187" s="3">
        <f>AF187</f>
        <v>0</v>
      </c>
      <c r="AN187" s="3">
        <f t="shared" ref="AN187:AN189" si="72">AD187</f>
        <v>46</v>
      </c>
      <c r="AO187" s="3">
        <v>0</v>
      </c>
      <c r="AP187" s="3">
        <f t="shared" si="67"/>
        <v>0</v>
      </c>
      <c r="AQ187" s="1" t="s">
        <v>240</v>
      </c>
    </row>
    <row r="188" spans="1:43" x14ac:dyDescent="0.35">
      <c r="A188" s="1">
        <v>742</v>
      </c>
      <c r="B188" s="2">
        <v>45888</v>
      </c>
      <c r="C188" s="1" t="s">
        <v>64</v>
      </c>
      <c r="D188" s="1">
        <v>9519028293</v>
      </c>
      <c r="E188" s="1">
        <v>1</v>
      </c>
      <c r="F188" s="1" t="s">
        <v>754</v>
      </c>
      <c r="G188" s="1" t="s">
        <v>1155</v>
      </c>
      <c r="H188" s="1" t="s">
        <v>21</v>
      </c>
      <c r="I188" s="1" t="s">
        <v>71</v>
      </c>
      <c r="K188" s="1" t="s">
        <v>970</v>
      </c>
      <c r="L188" s="1" t="str">
        <f t="shared" si="66"/>
        <v>BPRS</v>
      </c>
      <c r="M188" s="1" t="s">
        <v>1229</v>
      </c>
      <c r="N188" s="1" t="s">
        <v>137</v>
      </c>
      <c r="O188" s="1" t="s">
        <v>58</v>
      </c>
      <c r="P188" s="1">
        <v>938550</v>
      </c>
      <c r="Q188" s="1" t="s">
        <v>221</v>
      </c>
      <c r="R188" s="1">
        <v>3239536</v>
      </c>
      <c r="S188" s="1" t="s">
        <v>177</v>
      </c>
      <c r="T188" s="1" t="s">
        <v>75</v>
      </c>
      <c r="U188" s="1" t="s">
        <v>122</v>
      </c>
      <c r="V188" s="1" t="s">
        <v>123</v>
      </c>
      <c r="W188" s="1">
        <v>0.35</v>
      </c>
      <c r="X188" s="1">
        <v>900</v>
      </c>
      <c r="Y188" s="1">
        <v>2500</v>
      </c>
      <c r="Z188" s="3">
        <v>42</v>
      </c>
      <c r="AA188" s="3">
        <v>0</v>
      </c>
      <c r="AB188" s="3">
        <v>42</v>
      </c>
      <c r="AC188" s="3">
        <v>0</v>
      </c>
      <c r="AD188" s="3">
        <f t="shared" si="61"/>
        <v>42</v>
      </c>
      <c r="AE188" s="3">
        <v>0</v>
      </c>
      <c r="AF188" s="3">
        <v>0</v>
      </c>
      <c r="AG188" s="3">
        <v>0</v>
      </c>
      <c r="AH188" s="3">
        <v>0</v>
      </c>
      <c r="AI188" s="3">
        <v>42</v>
      </c>
      <c r="AJ188" s="3">
        <f t="shared" si="62"/>
        <v>42</v>
      </c>
      <c r="AK188" s="1">
        <v>0</v>
      </c>
      <c r="AL188" s="1">
        <v>0</v>
      </c>
      <c r="AM188" s="1">
        <v>0</v>
      </c>
      <c r="AN188" s="3">
        <f t="shared" si="72"/>
        <v>42</v>
      </c>
      <c r="AO188" s="3">
        <v>0</v>
      </c>
      <c r="AP188" s="3">
        <f t="shared" si="67"/>
        <v>0</v>
      </c>
      <c r="AQ188" s="1" t="s">
        <v>221</v>
      </c>
    </row>
    <row r="189" spans="1:43" x14ac:dyDescent="0.35">
      <c r="A189" s="1">
        <v>742</v>
      </c>
      <c r="B189" s="2">
        <v>45874</v>
      </c>
      <c r="C189" s="1" t="s">
        <v>64</v>
      </c>
      <c r="D189" s="1">
        <v>9518995069</v>
      </c>
      <c r="E189" s="1">
        <v>1</v>
      </c>
      <c r="F189" s="1" t="s">
        <v>755</v>
      </c>
      <c r="G189" s="1" t="s">
        <v>1155</v>
      </c>
      <c r="H189" s="1" t="s">
        <v>21</v>
      </c>
      <c r="I189" s="1" t="s">
        <v>71</v>
      </c>
      <c r="K189" s="1" t="s">
        <v>970</v>
      </c>
      <c r="L189" s="1" t="str">
        <f t="shared" si="66"/>
        <v>BPRS</v>
      </c>
      <c r="M189" s="1" t="s">
        <v>1231</v>
      </c>
      <c r="N189" s="1" t="s">
        <v>96</v>
      </c>
      <c r="O189" s="1" t="s">
        <v>26</v>
      </c>
      <c r="P189" s="1">
        <v>933952</v>
      </c>
      <c r="Q189" s="1" t="s">
        <v>95</v>
      </c>
      <c r="R189" s="1">
        <v>3240761</v>
      </c>
      <c r="S189" s="1" t="s">
        <v>223</v>
      </c>
      <c r="T189" s="1" t="s">
        <v>75</v>
      </c>
      <c r="U189" s="1" t="s">
        <v>76</v>
      </c>
      <c r="V189" s="1" t="s">
        <v>77</v>
      </c>
      <c r="W189" s="1">
        <v>0.5</v>
      </c>
      <c r="X189" s="1">
        <v>1250</v>
      </c>
      <c r="Y189" s="1">
        <v>2030</v>
      </c>
      <c r="Z189" s="3">
        <v>87</v>
      </c>
      <c r="AA189" s="3">
        <v>0</v>
      </c>
      <c r="AB189" s="3">
        <v>87</v>
      </c>
      <c r="AC189" s="3">
        <v>0</v>
      </c>
      <c r="AD189" s="3">
        <f t="shared" si="61"/>
        <v>87</v>
      </c>
      <c r="AE189" s="3">
        <v>0</v>
      </c>
      <c r="AF189" s="3">
        <v>0</v>
      </c>
      <c r="AG189" s="3">
        <v>0</v>
      </c>
      <c r="AH189" s="3">
        <v>87</v>
      </c>
      <c r="AI189" s="3">
        <v>0</v>
      </c>
      <c r="AJ189" s="3">
        <f t="shared" si="62"/>
        <v>87</v>
      </c>
      <c r="AK189" s="1">
        <v>0</v>
      </c>
      <c r="AL189" s="3">
        <f>AE189</f>
        <v>0</v>
      </c>
      <c r="AM189" s="3">
        <f>AF189</f>
        <v>0</v>
      </c>
      <c r="AN189" s="3">
        <f t="shared" si="72"/>
        <v>87</v>
      </c>
      <c r="AO189" s="3">
        <v>0</v>
      </c>
      <c r="AP189" s="3">
        <f t="shared" si="67"/>
        <v>0</v>
      </c>
      <c r="AQ189" s="1" t="s">
        <v>95</v>
      </c>
    </row>
    <row r="190" spans="1:43" x14ac:dyDescent="0.35">
      <c r="A190" s="1">
        <v>742</v>
      </c>
      <c r="B190" s="2">
        <v>45891</v>
      </c>
      <c r="C190" s="1" t="s">
        <v>64</v>
      </c>
      <c r="D190" s="1">
        <v>9519040245</v>
      </c>
      <c r="E190" s="1">
        <v>4</v>
      </c>
      <c r="F190" s="1" t="s">
        <v>756</v>
      </c>
      <c r="G190" s="1" t="s">
        <v>393</v>
      </c>
      <c r="H190" s="1" t="s">
        <v>21</v>
      </c>
      <c r="I190" s="1" t="s">
        <v>969</v>
      </c>
      <c r="K190" s="1" t="s">
        <v>969</v>
      </c>
      <c r="L190" s="1" t="str">
        <f t="shared" si="66"/>
        <v>IPP</v>
      </c>
      <c r="M190" s="1" t="s">
        <v>1229</v>
      </c>
      <c r="N190" s="1" t="s">
        <v>137</v>
      </c>
      <c r="O190" s="1" t="s">
        <v>173</v>
      </c>
      <c r="P190" s="1">
        <v>187214</v>
      </c>
      <c r="Q190" s="1" t="s">
        <v>324</v>
      </c>
      <c r="R190" s="1">
        <v>3701960</v>
      </c>
      <c r="S190" s="1" t="s">
        <v>442</v>
      </c>
      <c r="T190" s="1" t="s">
        <v>28</v>
      </c>
      <c r="U190" s="1" t="s">
        <v>29</v>
      </c>
      <c r="V190" s="1" t="s">
        <v>349</v>
      </c>
      <c r="W190" s="1">
        <v>1.2</v>
      </c>
      <c r="X190" s="1">
        <v>1310</v>
      </c>
      <c r="Y190" s="1">
        <v>0</v>
      </c>
      <c r="Z190" s="3">
        <v>30</v>
      </c>
      <c r="AA190" s="3">
        <v>27.184999999999999</v>
      </c>
      <c r="AB190" s="3">
        <v>2.8149999999999999</v>
      </c>
      <c r="AC190" s="3">
        <v>27.185000000000002</v>
      </c>
      <c r="AD190" s="3">
        <f t="shared" si="61"/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f t="shared" si="62"/>
        <v>27.185000000000002</v>
      </c>
      <c r="AK190" s="3">
        <f>AC190</f>
        <v>27.185000000000002</v>
      </c>
      <c r="AL190" s="1">
        <v>0</v>
      </c>
      <c r="AM190" s="1">
        <v>0</v>
      </c>
      <c r="AN190" s="1">
        <v>0</v>
      </c>
      <c r="AO190" s="1">
        <v>0</v>
      </c>
      <c r="AP190" s="3">
        <f t="shared" si="67"/>
        <v>0</v>
      </c>
      <c r="AQ190" s="1" t="s">
        <v>324</v>
      </c>
    </row>
    <row r="191" spans="1:43" x14ac:dyDescent="0.35">
      <c r="A191" s="1">
        <v>742</v>
      </c>
      <c r="B191" s="2">
        <v>45863</v>
      </c>
      <c r="C191" s="1" t="s">
        <v>64</v>
      </c>
      <c r="D191" s="1">
        <v>9518959342</v>
      </c>
      <c r="E191" s="1">
        <v>3</v>
      </c>
      <c r="F191" s="1" t="s">
        <v>758</v>
      </c>
      <c r="G191" s="1" t="s">
        <v>1155</v>
      </c>
      <c r="H191" s="1" t="s">
        <v>21</v>
      </c>
      <c r="I191" s="1" t="s">
        <v>22</v>
      </c>
      <c r="K191" s="1" t="s">
        <v>970</v>
      </c>
      <c r="L191" s="1" t="str">
        <f t="shared" si="66"/>
        <v>BPRS</v>
      </c>
      <c r="M191" s="1" t="s">
        <v>1229</v>
      </c>
      <c r="N191" s="1" t="s">
        <v>114</v>
      </c>
      <c r="O191" s="1" t="s">
        <v>58</v>
      </c>
      <c r="P191" s="1">
        <v>822271</v>
      </c>
      <c r="Q191" s="1" t="s">
        <v>24</v>
      </c>
      <c r="R191" s="1">
        <v>1801290</v>
      </c>
      <c r="S191" s="1" t="s">
        <v>273</v>
      </c>
      <c r="T191" s="1" t="s">
        <v>28</v>
      </c>
      <c r="U191" s="1" t="s">
        <v>29</v>
      </c>
      <c r="V191" s="1" t="s">
        <v>30</v>
      </c>
      <c r="W191" s="1">
        <v>0.6</v>
      </c>
      <c r="X191" s="1">
        <v>1250</v>
      </c>
      <c r="Y191" s="1">
        <v>0</v>
      </c>
      <c r="Z191" s="3">
        <v>87</v>
      </c>
      <c r="AA191" s="3">
        <v>0</v>
      </c>
      <c r="AB191" s="3">
        <v>87</v>
      </c>
      <c r="AC191" s="3">
        <v>0</v>
      </c>
      <c r="AD191" s="3">
        <f t="shared" si="61"/>
        <v>87</v>
      </c>
      <c r="AE191" s="3">
        <v>0</v>
      </c>
      <c r="AF191" s="3">
        <v>87</v>
      </c>
      <c r="AG191" s="3">
        <v>0</v>
      </c>
      <c r="AH191" s="3">
        <v>0</v>
      </c>
      <c r="AI191" s="3">
        <v>0</v>
      </c>
      <c r="AJ191" s="3">
        <f t="shared" si="62"/>
        <v>87</v>
      </c>
      <c r="AK191" s="1">
        <v>0</v>
      </c>
      <c r="AL191" s="3">
        <f>AE191</f>
        <v>0</v>
      </c>
      <c r="AM191" s="3">
        <f>AF191</f>
        <v>87</v>
      </c>
      <c r="AN191" s="3">
        <f>AG191</f>
        <v>0</v>
      </c>
      <c r="AO191" s="3">
        <f>AH191</f>
        <v>0</v>
      </c>
      <c r="AP191" s="3">
        <f t="shared" si="67"/>
        <v>0</v>
      </c>
      <c r="AQ191" s="1" t="s">
        <v>24</v>
      </c>
    </row>
    <row r="192" spans="1:43" x14ac:dyDescent="0.35">
      <c r="A192" s="1">
        <v>742</v>
      </c>
      <c r="B192" s="2">
        <v>45898</v>
      </c>
      <c r="C192" s="1" t="s">
        <v>46</v>
      </c>
      <c r="D192" s="1">
        <v>9519061304</v>
      </c>
      <c r="E192" s="1">
        <v>1</v>
      </c>
      <c r="F192" s="1" t="s">
        <v>759</v>
      </c>
      <c r="G192" s="1" t="s">
        <v>1155</v>
      </c>
      <c r="H192" s="1" t="s">
        <v>21</v>
      </c>
      <c r="I192" s="1" t="s">
        <v>969</v>
      </c>
      <c r="K192" s="1" t="s">
        <v>969</v>
      </c>
      <c r="L192" s="1" t="s">
        <v>1421</v>
      </c>
      <c r="M192" s="1" t="s">
        <v>1231</v>
      </c>
      <c r="N192" s="1" t="s">
        <v>257</v>
      </c>
      <c r="O192" s="1" t="s">
        <v>285</v>
      </c>
      <c r="P192" s="1">
        <v>925428</v>
      </c>
      <c r="Q192" s="1" t="s">
        <v>284</v>
      </c>
      <c r="R192" s="1">
        <v>3741589</v>
      </c>
      <c r="S192" s="1" t="s">
        <v>292</v>
      </c>
      <c r="T192" s="1" t="s">
        <v>28</v>
      </c>
      <c r="U192" s="1" t="s">
        <v>293</v>
      </c>
      <c r="V192" s="1" t="s">
        <v>294</v>
      </c>
      <c r="W192" s="1">
        <v>1.5</v>
      </c>
      <c r="X192" s="1">
        <v>1250</v>
      </c>
      <c r="Y192" s="1">
        <v>0</v>
      </c>
      <c r="Z192" s="3">
        <v>290</v>
      </c>
      <c r="AA192" s="3">
        <v>0</v>
      </c>
      <c r="AB192" s="3">
        <v>290</v>
      </c>
      <c r="AC192" s="3">
        <v>0</v>
      </c>
      <c r="AD192" s="3">
        <f t="shared" si="61"/>
        <v>290</v>
      </c>
      <c r="AE192" s="3">
        <v>0</v>
      </c>
      <c r="AF192" s="3">
        <v>290</v>
      </c>
      <c r="AG192" s="3">
        <v>0</v>
      </c>
      <c r="AH192" s="3">
        <v>0</v>
      </c>
      <c r="AI192" s="3">
        <v>0</v>
      </c>
      <c r="AJ192" s="3">
        <f t="shared" si="62"/>
        <v>580</v>
      </c>
      <c r="AK192" s="1">
        <v>0</v>
      </c>
      <c r="AL192" s="3">
        <f>AF192</f>
        <v>290</v>
      </c>
      <c r="AM192" s="3">
        <f>AF192</f>
        <v>290</v>
      </c>
      <c r="AN192" s="1">
        <v>0</v>
      </c>
      <c r="AO192" s="1">
        <v>0</v>
      </c>
      <c r="AP192" s="3">
        <v>0</v>
      </c>
      <c r="AQ192" s="1" t="s">
        <v>284</v>
      </c>
    </row>
    <row r="193" spans="1:43" x14ac:dyDescent="0.35">
      <c r="A193" s="1">
        <v>742</v>
      </c>
      <c r="B193" s="2">
        <v>45895</v>
      </c>
      <c r="C193" s="1" t="s">
        <v>64</v>
      </c>
      <c r="D193" s="1">
        <v>9519050808</v>
      </c>
      <c r="E193" s="1">
        <v>1</v>
      </c>
      <c r="F193" s="1" t="s">
        <v>760</v>
      </c>
      <c r="G193" s="1" t="s">
        <v>1367</v>
      </c>
      <c r="H193" s="1" t="s">
        <v>21</v>
      </c>
      <c r="I193" s="1" t="s">
        <v>969</v>
      </c>
      <c r="K193" s="1" t="s">
        <v>969</v>
      </c>
      <c r="L193" s="1" t="str">
        <f t="shared" ref="L193:L213" si="73">K193</f>
        <v>IPP</v>
      </c>
      <c r="M193" s="1" t="s">
        <v>1228</v>
      </c>
      <c r="N193" s="1" t="s">
        <v>328</v>
      </c>
      <c r="O193" s="1" t="s">
        <v>173</v>
      </c>
      <c r="P193" s="1">
        <v>187157</v>
      </c>
      <c r="Q193" s="1" t="s">
        <v>398</v>
      </c>
      <c r="R193" s="1">
        <v>2170008</v>
      </c>
      <c r="S193" s="1" t="s">
        <v>443</v>
      </c>
      <c r="T193" s="1" t="s">
        <v>28</v>
      </c>
      <c r="U193" s="1" t="s">
        <v>29</v>
      </c>
      <c r="V193" s="1" t="s">
        <v>349</v>
      </c>
      <c r="W193" s="1">
        <v>0.97</v>
      </c>
      <c r="X193" s="1">
        <v>1220</v>
      </c>
      <c r="Y193" s="1">
        <v>0</v>
      </c>
      <c r="Z193" s="3">
        <v>83.99</v>
      </c>
      <c r="AA193" s="3">
        <v>72.22</v>
      </c>
      <c r="AB193" s="3">
        <v>11.77</v>
      </c>
      <c r="AC193" s="3">
        <v>25.21</v>
      </c>
      <c r="AD193" s="3">
        <f t="shared" si="61"/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f t="shared" si="62"/>
        <v>25.21</v>
      </c>
      <c r="AK193" s="3">
        <f>AC193</f>
        <v>25.21</v>
      </c>
      <c r="AL193" s="1">
        <v>0</v>
      </c>
      <c r="AM193" s="1">
        <v>0</v>
      </c>
      <c r="AN193" s="1">
        <v>0</v>
      </c>
      <c r="AO193" s="1">
        <v>0</v>
      </c>
      <c r="AP193" s="3">
        <f t="shared" ref="AP193:AP256" si="74">(AC193+AD193)-AJ193</f>
        <v>0</v>
      </c>
      <c r="AQ193" s="1" t="s">
        <v>398</v>
      </c>
    </row>
    <row r="194" spans="1:43" x14ac:dyDescent="0.35">
      <c r="A194" s="1">
        <v>743</v>
      </c>
      <c r="B194" s="2">
        <v>45902</v>
      </c>
      <c r="C194" s="1" t="s">
        <v>64</v>
      </c>
      <c r="D194" s="1">
        <v>9519072913</v>
      </c>
      <c r="E194" s="1">
        <v>2</v>
      </c>
      <c r="F194" s="1" t="s">
        <v>761</v>
      </c>
      <c r="G194" s="1" t="s">
        <v>393</v>
      </c>
      <c r="H194" s="1" t="s">
        <v>63</v>
      </c>
      <c r="I194" s="1" t="s">
        <v>1404</v>
      </c>
      <c r="K194" s="1" t="s">
        <v>970</v>
      </c>
      <c r="L194" s="1" t="str">
        <f t="shared" si="73"/>
        <v>BPRS</v>
      </c>
      <c r="M194" s="1" t="s">
        <v>1230</v>
      </c>
      <c r="N194" s="1" t="s">
        <v>1135</v>
      </c>
      <c r="O194" s="1" t="s">
        <v>120</v>
      </c>
      <c r="P194" s="1">
        <v>121328</v>
      </c>
      <c r="Q194" s="1" t="s">
        <v>119</v>
      </c>
      <c r="R194" s="1">
        <v>1191956</v>
      </c>
      <c r="S194" s="1" t="s">
        <v>254</v>
      </c>
      <c r="T194" s="1" t="s">
        <v>139</v>
      </c>
      <c r="U194" s="1" t="s">
        <v>140</v>
      </c>
      <c r="V194" s="1" t="s">
        <v>150</v>
      </c>
      <c r="W194" s="1">
        <v>0.35</v>
      </c>
      <c r="X194" s="1">
        <v>900</v>
      </c>
      <c r="Y194" s="1">
        <v>0</v>
      </c>
      <c r="Z194" s="3">
        <v>126</v>
      </c>
      <c r="AA194" s="3">
        <v>0</v>
      </c>
      <c r="AB194" s="3">
        <v>126</v>
      </c>
      <c r="AC194" s="3">
        <v>0</v>
      </c>
      <c r="AD194" s="3">
        <f t="shared" si="61"/>
        <v>126</v>
      </c>
      <c r="AE194" s="3">
        <v>0</v>
      </c>
      <c r="AF194" s="3">
        <v>126</v>
      </c>
      <c r="AG194" s="3">
        <v>0</v>
      </c>
      <c r="AH194" s="3">
        <v>0</v>
      </c>
      <c r="AI194" s="3">
        <v>0</v>
      </c>
      <c r="AJ194" s="3">
        <f t="shared" si="62"/>
        <v>126</v>
      </c>
      <c r="AK194" s="1">
        <v>0</v>
      </c>
      <c r="AL194" s="3">
        <f>AF194</f>
        <v>126</v>
      </c>
      <c r="AM194" s="1">
        <v>0</v>
      </c>
      <c r="AN194" s="1">
        <v>0</v>
      </c>
      <c r="AO194" s="1">
        <v>0</v>
      </c>
      <c r="AP194" s="3">
        <f t="shared" si="74"/>
        <v>0</v>
      </c>
      <c r="AQ194" s="1" t="s">
        <v>119</v>
      </c>
    </row>
    <row r="195" spans="1:43" x14ac:dyDescent="0.35">
      <c r="A195" s="1">
        <v>743</v>
      </c>
      <c r="B195" s="2">
        <v>45915</v>
      </c>
      <c r="C195" s="1" t="s">
        <v>64</v>
      </c>
      <c r="D195" s="1">
        <v>9519105231</v>
      </c>
      <c r="E195" s="1">
        <v>1</v>
      </c>
      <c r="F195" s="1" t="s">
        <v>762</v>
      </c>
      <c r="G195" s="1" t="s">
        <v>1155</v>
      </c>
      <c r="H195" s="1" t="s">
        <v>63</v>
      </c>
      <c r="I195" s="1" t="s">
        <v>1404</v>
      </c>
      <c r="K195" s="1" t="s">
        <v>970</v>
      </c>
      <c r="L195" s="1" t="str">
        <f t="shared" si="73"/>
        <v>BPRS</v>
      </c>
      <c r="M195" s="1" t="s">
        <v>1231</v>
      </c>
      <c r="N195" s="1" t="s">
        <v>214</v>
      </c>
      <c r="O195" s="1" t="s">
        <v>97</v>
      </c>
      <c r="P195" s="1">
        <v>931525</v>
      </c>
      <c r="Q195" s="1" t="s">
        <v>213</v>
      </c>
      <c r="R195" s="1">
        <v>1191955</v>
      </c>
      <c r="S195" s="1" t="s">
        <v>225</v>
      </c>
      <c r="T195" s="1" t="s">
        <v>139</v>
      </c>
      <c r="U195" s="1" t="s">
        <v>140</v>
      </c>
      <c r="V195" s="1" t="s">
        <v>150</v>
      </c>
      <c r="W195" s="1">
        <v>0.3</v>
      </c>
      <c r="X195" s="1">
        <v>900</v>
      </c>
      <c r="Y195" s="1">
        <v>0</v>
      </c>
      <c r="Z195" s="3">
        <v>63</v>
      </c>
      <c r="AA195" s="3">
        <v>0</v>
      </c>
      <c r="AB195" s="3">
        <v>63</v>
      </c>
      <c r="AC195" s="3">
        <v>0</v>
      </c>
      <c r="AD195" s="3">
        <f t="shared" ref="AD195:AD225" si="75">SUM(AE195:AI195)</f>
        <v>63</v>
      </c>
      <c r="AE195" s="3">
        <v>0</v>
      </c>
      <c r="AF195" s="3">
        <v>0</v>
      </c>
      <c r="AG195" s="3">
        <v>0</v>
      </c>
      <c r="AH195" s="3">
        <v>0</v>
      </c>
      <c r="AI195" s="3">
        <v>63</v>
      </c>
      <c r="AJ195" s="3">
        <f t="shared" ref="AJ195:AJ225" si="76">SUM(AK195:AO195)</f>
        <v>63</v>
      </c>
      <c r="AK195" s="1">
        <v>0</v>
      </c>
      <c r="AL195" s="1">
        <v>0</v>
      </c>
      <c r="AM195" s="1">
        <v>0</v>
      </c>
      <c r="AN195" s="1">
        <v>0</v>
      </c>
      <c r="AO195" s="3">
        <f>AI195</f>
        <v>63</v>
      </c>
      <c r="AP195" s="3">
        <f t="shared" si="74"/>
        <v>0</v>
      </c>
      <c r="AQ195" s="1" t="s">
        <v>213</v>
      </c>
    </row>
    <row r="196" spans="1:43" x14ac:dyDescent="0.35">
      <c r="A196" s="1">
        <v>743</v>
      </c>
      <c r="B196" s="2">
        <v>45912</v>
      </c>
      <c r="C196" s="1" t="s">
        <v>64</v>
      </c>
      <c r="D196" s="1">
        <v>9519098404</v>
      </c>
      <c r="E196" s="1">
        <v>3</v>
      </c>
      <c r="F196" s="1" t="s">
        <v>763</v>
      </c>
      <c r="G196" s="1" t="s">
        <v>1367</v>
      </c>
      <c r="H196" s="1" t="s">
        <v>63</v>
      </c>
      <c r="I196" s="1" t="s">
        <v>1368</v>
      </c>
      <c r="K196" s="1" t="s">
        <v>970</v>
      </c>
      <c r="L196" s="1" t="str">
        <f t="shared" si="73"/>
        <v>BPRS</v>
      </c>
      <c r="M196" s="1" t="s">
        <v>1228</v>
      </c>
      <c r="N196" s="1" t="s">
        <v>242</v>
      </c>
      <c r="O196" s="1" t="s">
        <v>243</v>
      </c>
      <c r="P196" s="1">
        <v>117583</v>
      </c>
      <c r="Q196" s="1" t="s">
        <v>250</v>
      </c>
      <c r="R196" s="1">
        <v>1854399</v>
      </c>
      <c r="S196" s="1" t="s">
        <v>201</v>
      </c>
      <c r="T196" s="1" t="s">
        <v>139</v>
      </c>
      <c r="U196" s="1" t="s">
        <v>140</v>
      </c>
      <c r="V196" s="1" t="s">
        <v>150</v>
      </c>
      <c r="W196" s="1">
        <v>0.35</v>
      </c>
      <c r="X196" s="1">
        <v>1220</v>
      </c>
      <c r="Y196" s="1">
        <v>0</v>
      </c>
      <c r="Z196" s="3">
        <v>56</v>
      </c>
      <c r="AA196" s="3">
        <v>53.02</v>
      </c>
      <c r="AB196" s="3">
        <v>2.98</v>
      </c>
      <c r="AC196" s="3">
        <v>6.77</v>
      </c>
      <c r="AD196" s="3">
        <f t="shared" si="75"/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f t="shared" si="76"/>
        <v>6.77</v>
      </c>
      <c r="AK196" s="3">
        <f>AC196</f>
        <v>6.77</v>
      </c>
      <c r="AL196" s="1">
        <v>0</v>
      </c>
      <c r="AM196" s="1">
        <v>0</v>
      </c>
      <c r="AN196" s="1">
        <v>0</v>
      </c>
      <c r="AO196" s="1">
        <v>0</v>
      </c>
      <c r="AP196" s="3">
        <f t="shared" si="74"/>
        <v>0</v>
      </c>
      <c r="AQ196" s="1" t="s">
        <v>250</v>
      </c>
    </row>
    <row r="197" spans="1:43" x14ac:dyDescent="0.35">
      <c r="A197" s="1">
        <v>743</v>
      </c>
      <c r="B197" s="2">
        <v>45896</v>
      </c>
      <c r="C197" s="1" t="s">
        <v>64</v>
      </c>
      <c r="D197" s="1">
        <v>9519054625</v>
      </c>
      <c r="E197" s="1">
        <v>4</v>
      </c>
      <c r="F197" s="1" t="s">
        <v>764</v>
      </c>
      <c r="G197" s="1" t="s">
        <v>1155</v>
      </c>
      <c r="H197" s="1" t="s">
        <v>63</v>
      </c>
      <c r="I197" s="1" t="s">
        <v>1404</v>
      </c>
      <c r="K197" s="1" t="s">
        <v>970</v>
      </c>
      <c r="L197" s="1" t="str">
        <f t="shared" si="73"/>
        <v>BPRS</v>
      </c>
      <c r="M197" s="1" t="s">
        <v>1230</v>
      </c>
      <c r="N197" s="1" t="s">
        <v>79</v>
      </c>
      <c r="O197" s="1" t="s">
        <v>80</v>
      </c>
      <c r="P197" s="1">
        <v>116649</v>
      </c>
      <c r="Q197" s="1" t="s">
        <v>78</v>
      </c>
      <c r="R197" s="1">
        <v>1142414</v>
      </c>
      <c r="S197" s="1" t="s">
        <v>389</v>
      </c>
      <c r="T197" s="1" t="s">
        <v>139</v>
      </c>
      <c r="U197" s="1" t="s">
        <v>140</v>
      </c>
      <c r="V197" s="1" t="s">
        <v>141</v>
      </c>
      <c r="W197" s="1">
        <v>0.45</v>
      </c>
      <c r="X197" s="1">
        <v>900</v>
      </c>
      <c r="Y197" s="1">
        <v>0</v>
      </c>
      <c r="Z197" s="3">
        <v>42</v>
      </c>
      <c r="AA197" s="3">
        <v>0</v>
      </c>
      <c r="AB197" s="3">
        <v>42</v>
      </c>
      <c r="AC197" s="3">
        <v>0</v>
      </c>
      <c r="AD197" s="3">
        <f t="shared" si="75"/>
        <v>42</v>
      </c>
      <c r="AE197" s="3">
        <v>0</v>
      </c>
      <c r="AF197" s="3">
        <v>0</v>
      </c>
      <c r="AG197" s="3">
        <v>0</v>
      </c>
      <c r="AH197" s="3">
        <v>42</v>
      </c>
      <c r="AI197" s="3">
        <v>0</v>
      </c>
      <c r="AJ197" s="3">
        <f t="shared" si="76"/>
        <v>42</v>
      </c>
      <c r="AK197" s="1">
        <v>0</v>
      </c>
      <c r="AL197" s="1">
        <v>0</v>
      </c>
      <c r="AM197" s="1">
        <v>0</v>
      </c>
      <c r="AN197" s="3">
        <f>AH197</f>
        <v>42</v>
      </c>
      <c r="AO197" s="1">
        <v>0</v>
      </c>
      <c r="AP197" s="3">
        <f t="shared" si="74"/>
        <v>0</v>
      </c>
      <c r="AQ197" s="1" t="s">
        <v>78</v>
      </c>
    </row>
    <row r="198" spans="1:43" x14ac:dyDescent="0.35">
      <c r="A198" s="1">
        <v>742</v>
      </c>
      <c r="B198" s="2">
        <v>45887</v>
      </c>
      <c r="C198" s="1" t="s">
        <v>64</v>
      </c>
      <c r="D198" s="1">
        <v>9519025430</v>
      </c>
      <c r="E198" s="1">
        <v>8</v>
      </c>
      <c r="F198" s="1" t="s">
        <v>765</v>
      </c>
      <c r="G198" s="1" t="s">
        <v>1155</v>
      </c>
      <c r="H198" s="1" t="s">
        <v>21</v>
      </c>
      <c r="I198" s="1" t="s">
        <v>71</v>
      </c>
      <c r="K198" s="1" t="s">
        <v>970</v>
      </c>
      <c r="L198" s="1" t="str">
        <f t="shared" si="73"/>
        <v>BPRS</v>
      </c>
      <c r="M198" s="1" t="s">
        <v>1229</v>
      </c>
      <c r="N198" s="1" t="s">
        <v>433</v>
      </c>
      <c r="O198" s="1" t="s">
        <v>58</v>
      </c>
      <c r="P198" s="1">
        <v>116465</v>
      </c>
      <c r="Q198" s="1" t="s">
        <v>364</v>
      </c>
      <c r="R198" s="1">
        <v>3239557</v>
      </c>
      <c r="S198" s="1" t="s">
        <v>158</v>
      </c>
      <c r="T198" s="1" t="s">
        <v>75</v>
      </c>
      <c r="U198" s="1" t="s">
        <v>122</v>
      </c>
      <c r="V198" s="1" t="s">
        <v>123</v>
      </c>
      <c r="W198" s="1">
        <v>0.4</v>
      </c>
      <c r="X198" s="1">
        <v>1250</v>
      </c>
      <c r="Y198" s="1">
        <v>2500</v>
      </c>
      <c r="Z198" s="3">
        <v>29</v>
      </c>
      <c r="AA198" s="3">
        <v>0</v>
      </c>
      <c r="AB198" s="3">
        <v>29</v>
      </c>
      <c r="AC198" s="3">
        <v>0</v>
      </c>
      <c r="AD198" s="3">
        <f t="shared" si="75"/>
        <v>29</v>
      </c>
      <c r="AE198" s="3">
        <v>0</v>
      </c>
      <c r="AF198" s="3">
        <v>0</v>
      </c>
      <c r="AG198" s="3">
        <v>0</v>
      </c>
      <c r="AH198" s="3">
        <v>0</v>
      </c>
      <c r="AI198" s="3">
        <v>29</v>
      </c>
      <c r="AJ198" s="3">
        <f t="shared" si="76"/>
        <v>29</v>
      </c>
      <c r="AK198" s="1">
        <v>0</v>
      </c>
      <c r="AL198" s="1">
        <v>0</v>
      </c>
      <c r="AM198" s="1">
        <v>0</v>
      </c>
      <c r="AN198" s="3">
        <f t="shared" ref="AN198:AN199" si="77">AD198</f>
        <v>29</v>
      </c>
      <c r="AO198" s="3">
        <v>0</v>
      </c>
      <c r="AP198" s="3">
        <f t="shared" si="74"/>
        <v>0</v>
      </c>
      <c r="AQ198" s="1" t="s">
        <v>364</v>
      </c>
    </row>
    <row r="199" spans="1:43" x14ac:dyDescent="0.35">
      <c r="A199" s="1">
        <v>742</v>
      </c>
      <c r="B199" s="2">
        <v>45910</v>
      </c>
      <c r="C199" s="1" t="s">
        <v>64</v>
      </c>
      <c r="D199" s="1">
        <v>9519093436</v>
      </c>
      <c r="E199" s="1">
        <v>1</v>
      </c>
      <c r="F199" s="1" t="s">
        <v>766</v>
      </c>
      <c r="G199" s="1" t="s">
        <v>1155</v>
      </c>
      <c r="H199" s="1" t="s">
        <v>21</v>
      </c>
      <c r="I199" s="1" t="s">
        <v>71</v>
      </c>
      <c r="K199" s="1" t="s">
        <v>970</v>
      </c>
      <c r="L199" s="1" t="str">
        <f t="shared" si="73"/>
        <v>BPRS</v>
      </c>
      <c r="M199" s="1" t="s">
        <v>1230</v>
      </c>
      <c r="N199" s="1" t="s">
        <v>79</v>
      </c>
      <c r="O199" s="1" t="s">
        <v>80</v>
      </c>
      <c r="P199" s="1">
        <v>116649</v>
      </c>
      <c r="Q199" s="1" t="s">
        <v>78</v>
      </c>
      <c r="R199" s="1">
        <v>3727343</v>
      </c>
      <c r="S199" s="1" t="s">
        <v>446</v>
      </c>
      <c r="T199" s="1" t="s">
        <v>28</v>
      </c>
      <c r="U199" s="1" t="s">
        <v>76</v>
      </c>
      <c r="V199" s="1" t="s">
        <v>246</v>
      </c>
      <c r="W199" s="1">
        <v>0.43</v>
      </c>
      <c r="X199" s="1">
        <v>1250</v>
      </c>
      <c r="Y199" s="1">
        <v>0</v>
      </c>
      <c r="Z199" s="3">
        <v>29</v>
      </c>
      <c r="AA199" s="3">
        <v>0</v>
      </c>
      <c r="AB199" s="3">
        <v>29</v>
      </c>
      <c r="AC199" s="3">
        <v>0</v>
      </c>
      <c r="AD199" s="3">
        <f t="shared" si="75"/>
        <v>29</v>
      </c>
      <c r="AE199" s="3">
        <v>0</v>
      </c>
      <c r="AF199" s="3">
        <v>0</v>
      </c>
      <c r="AG199" s="3">
        <v>0</v>
      </c>
      <c r="AH199" s="3">
        <v>29</v>
      </c>
      <c r="AI199" s="3">
        <v>0</v>
      </c>
      <c r="AJ199" s="3">
        <f t="shared" si="76"/>
        <v>29</v>
      </c>
      <c r="AK199" s="1">
        <v>0</v>
      </c>
      <c r="AL199" s="3">
        <f>AE199</f>
        <v>0</v>
      </c>
      <c r="AM199" s="3">
        <f>AF199</f>
        <v>0</v>
      </c>
      <c r="AN199" s="3">
        <f t="shared" si="77"/>
        <v>29</v>
      </c>
      <c r="AO199" s="3">
        <v>0</v>
      </c>
      <c r="AP199" s="3">
        <f t="shared" si="74"/>
        <v>0</v>
      </c>
      <c r="AQ199" s="1" t="s">
        <v>78</v>
      </c>
    </row>
    <row r="200" spans="1:43" x14ac:dyDescent="0.35">
      <c r="A200" s="1">
        <v>742</v>
      </c>
      <c r="B200" s="2">
        <v>45888</v>
      </c>
      <c r="C200" s="1" t="s">
        <v>64</v>
      </c>
      <c r="D200" s="1">
        <v>9519029782</v>
      </c>
      <c r="E200" s="1">
        <v>7</v>
      </c>
      <c r="F200" s="1" t="s">
        <v>767</v>
      </c>
      <c r="G200" s="1" t="s">
        <v>1155</v>
      </c>
      <c r="H200" s="1" t="s">
        <v>21</v>
      </c>
      <c r="I200" s="1" t="s">
        <v>71</v>
      </c>
      <c r="K200" s="1" t="s">
        <v>970</v>
      </c>
      <c r="L200" s="1" t="str">
        <f t="shared" si="73"/>
        <v>BPRS</v>
      </c>
      <c r="M200" s="1" t="s">
        <v>1230</v>
      </c>
      <c r="N200" s="1" t="s">
        <v>156</v>
      </c>
      <c r="O200" s="1" t="s">
        <v>157</v>
      </c>
      <c r="P200" s="1">
        <v>103227</v>
      </c>
      <c r="Q200" s="1" t="s">
        <v>155</v>
      </c>
      <c r="R200" s="1">
        <v>3239568</v>
      </c>
      <c r="S200" s="1" t="s">
        <v>174</v>
      </c>
      <c r="T200" s="1" t="s">
        <v>75</v>
      </c>
      <c r="U200" s="1" t="s">
        <v>122</v>
      </c>
      <c r="V200" s="1" t="s">
        <v>123</v>
      </c>
      <c r="W200" s="1">
        <v>0.45</v>
      </c>
      <c r="X200" s="1">
        <v>1250</v>
      </c>
      <c r="Y200" s="1">
        <v>2500</v>
      </c>
      <c r="Z200" s="3">
        <v>29</v>
      </c>
      <c r="AA200" s="3">
        <v>0</v>
      </c>
      <c r="AB200" s="3">
        <v>29</v>
      </c>
      <c r="AC200" s="3">
        <v>0</v>
      </c>
      <c r="AD200" s="3">
        <f t="shared" si="75"/>
        <v>29</v>
      </c>
      <c r="AE200" s="3">
        <v>29</v>
      </c>
      <c r="AF200" s="3">
        <v>0</v>
      </c>
      <c r="AG200" s="3">
        <v>0</v>
      </c>
      <c r="AH200" s="3">
        <v>0</v>
      </c>
      <c r="AI200" s="3">
        <v>0</v>
      </c>
      <c r="AJ200" s="3">
        <f t="shared" si="76"/>
        <v>29</v>
      </c>
      <c r="AK200" s="1">
        <v>0</v>
      </c>
      <c r="AL200" s="3">
        <f>AE200</f>
        <v>29</v>
      </c>
      <c r="AM200" s="3">
        <f>AF200</f>
        <v>0</v>
      </c>
      <c r="AN200" s="3">
        <f>AG200</f>
        <v>0</v>
      </c>
      <c r="AO200" s="3">
        <f>AH200</f>
        <v>0</v>
      </c>
      <c r="AP200" s="3">
        <f t="shared" si="74"/>
        <v>0</v>
      </c>
      <c r="AQ200" s="1" t="s">
        <v>155</v>
      </c>
    </row>
    <row r="201" spans="1:43" x14ac:dyDescent="0.35">
      <c r="A201" s="1">
        <v>743</v>
      </c>
      <c r="B201" s="2">
        <v>45915</v>
      </c>
      <c r="C201" s="1" t="s">
        <v>64</v>
      </c>
      <c r="D201" s="1">
        <v>9519105662</v>
      </c>
      <c r="E201" s="1">
        <v>2</v>
      </c>
      <c r="F201" s="1" t="s">
        <v>770</v>
      </c>
      <c r="G201" s="1" t="s">
        <v>1155</v>
      </c>
      <c r="H201" s="1" t="s">
        <v>63</v>
      </c>
      <c r="I201" s="1" t="s">
        <v>1404</v>
      </c>
      <c r="K201" s="1" t="s">
        <v>970</v>
      </c>
      <c r="L201" s="1" t="str">
        <f t="shared" si="73"/>
        <v>BPRS</v>
      </c>
      <c r="M201" s="1" t="s">
        <v>1230</v>
      </c>
      <c r="N201" s="1" t="s">
        <v>156</v>
      </c>
      <c r="O201" s="1" t="s">
        <v>157</v>
      </c>
      <c r="P201" s="1">
        <v>103227</v>
      </c>
      <c r="Q201" s="1" t="s">
        <v>155</v>
      </c>
      <c r="R201" s="1">
        <v>1191955</v>
      </c>
      <c r="S201" s="1" t="s">
        <v>225</v>
      </c>
      <c r="T201" s="1" t="s">
        <v>139</v>
      </c>
      <c r="U201" s="1" t="s">
        <v>140</v>
      </c>
      <c r="V201" s="1" t="s">
        <v>150</v>
      </c>
      <c r="W201" s="1">
        <v>0.3</v>
      </c>
      <c r="X201" s="1">
        <v>900</v>
      </c>
      <c r="Y201" s="1">
        <v>0</v>
      </c>
      <c r="Z201" s="3">
        <v>147</v>
      </c>
      <c r="AA201" s="3">
        <v>0</v>
      </c>
      <c r="AB201" s="3">
        <v>147</v>
      </c>
      <c r="AC201" s="3">
        <v>0</v>
      </c>
      <c r="AD201" s="3">
        <f t="shared" si="75"/>
        <v>147</v>
      </c>
      <c r="AE201" s="3">
        <v>0</v>
      </c>
      <c r="AF201" s="3">
        <v>147</v>
      </c>
      <c r="AG201" s="3">
        <v>0</v>
      </c>
      <c r="AH201" s="3">
        <v>0</v>
      </c>
      <c r="AI201" s="3">
        <v>0</v>
      </c>
      <c r="AJ201" s="3">
        <f t="shared" si="76"/>
        <v>147</v>
      </c>
      <c r="AK201" s="1">
        <v>0</v>
      </c>
      <c r="AL201" s="3">
        <f t="shared" ref="AL201" si="78">AF201</f>
        <v>147</v>
      </c>
      <c r="AM201" s="1">
        <v>0</v>
      </c>
      <c r="AN201" s="1">
        <v>0</v>
      </c>
      <c r="AO201" s="1">
        <v>0</v>
      </c>
      <c r="AP201" s="3">
        <f t="shared" si="74"/>
        <v>0</v>
      </c>
      <c r="AQ201" s="1" t="s">
        <v>155</v>
      </c>
    </row>
    <row r="202" spans="1:43" x14ac:dyDescent="0.35">
      <c r="A202" s="1">
        <v>743</v>
      </c>
      <c r="B202" s="2">
        <v>45915</v>
      </c>
      <c r="C202" s="1" t="s">
        <v>64</v>
      </c>
      <c r="D202" s="1">
        <v>9519105662</v>
      </c>
      <c r="E202" s="1">
        <v>3</v>
      </c>
      <c r="F202" s="1" t="s">
        <v>771</v>
      </c>
      <c r="G202" s="1" t="s">
        <v>1155</v>
      </c>
      <c r="H202" s="1" t="s">
        <v>63</v>
      </c>
      <c r="I202" s="1" t="s">
        <v>1404</v>
      </c>
      <c r="K202" s="1" t="s">
        <v>970</v>
      </c>
      <c r="L202" s="1" t="str">
        <f t="shared" si="73"/>
        <v>BPRS</v>
      </c>
      <c r="M202" s="1" t="s">
        <v>1230</v>
      </c>
      <c r="N202" s="1" t="s">
        <v>156</v>
      </c>
      <c r="O202" s="1" t="s">
        <v>157</v>
      </c>
      <c r="P202" s="1">
        <v>103227</v>
      </c>
      <c r="Q202" s="1" t="s">
        <v>155</v>
      </c>
      <c r="R202" s="1">
        <v>1191956</v>
      </c>
      <c r="S202" s="1" t="s">
        <v>254</v>
      </c>
      <c r="T202" s="1" t="s">
        <v>139</v>
      </c>
      <c r="U202" s="1" t="s">
        <v>140</v>
      </c>
      <c r="V202" s="1" t="s">
        <v>150</v>
      </c>
      <c r="W202" s="1">
        <v>0.35</v>
      </c>
      <c r="X202" s="1">
        <v>900</v>
      </c>
      <c r="Y202" s="1">
        <v>0</v>
      </c>
      <c r="Z202" s="3">
        <v>189</v>
      </c>
      <c r="AA202" s="3">
        <v>0</v>
      </c>
      <c r="AB202" s="3">
        <v>189</v>
      </c>
      <c r="AC202" s="3">
        <v>0</v>
      </c>
      <c r="AD202" s="3">
        <f t="shared" si="75"/>
        <v>189</v>
      </c>
      <c r="AE202" s="3">
        <v>0</v>
      </c>
      <c r="AF202" s="3">
        <v>189</v>
      </c>
      <c r="AG202" s="3">
        <v>0</v>
      </c>
      <c r="AH202" s="3">
        <v>0</v>
      </c>
      <c r="AI202" s="3">
        <v>0</v>
      </c>
      <c r="AJ202" s="3">
        <f t="shared" si="76"/>
        <v>189</v>
      </c>
      <c r="AK202" s="1">
        <v>0</v>
      </c>
      <c r="AL202" s="3">
        <f>AF202</f>
        <v>189</v>
      </c>
      <c r="AM202" s="1">
        <v>0</v>
      </c>
      <c r="AN202" s="1">
        <v>0</v>
      </c>
      <c r="AO202" s="1">
        <v>0</v>
      </c>
      <c r="AP202" s="3">
        <f t="shared" si="74"/>
        <v>0</v>
      </c>
      <c r="AQ202" s="1" t="s">
        <v>155</v>
      </c>
    </row>
    <row r="203" spans="1:43" x14ac:dyDescent="0.35">
      <c r="A203" s="1">
        <v>743</v>
      </c>
      <c r="B203" s="2">
        <v>45915</v>
      </c>
      <c r="C203" s="1" t="s">
        <v>64</v>
      </c>
      <c r="D203" s="1">
        <v>9519105662</v>
      </c>
      <c r="E203" s="1">
        <v>4</v>
      </c>
      <c r="F203" s="1" t="s">
        <v>772</v>
      </c>
      <c r="G203" s="1" t="s">
        <v>1155</v>
      </c>
      <c r="H203" s="1" t="s">
        <v>63</v>
      </c>
      <c r="I203" s="1" t="s">
        <v>1404</v>
      </c>
      <c r="K203" s="1" t="s">
        <v>970</v>
      </c>
      <c r="L203" s="1" t="str">
        <f t="shared" si="73"/>
        <v>BPRS</v>
      </c>
      <c r="M203" s="1" t="s">
        <v>1230</v>
      </c>
      <c r="N203" s="1" t="s">
        <v>156</v>
      </c>
      <c r="O203" s="1" t="s">
        <v>157</v>
      </c>
      <c r="P203" s="1">
        <v>103227</v>
      </c>
      <c r="Q203" s="1" t="s">
        <v>155</v>
      </c>
      <c r="R203" s="1">
        <v>1178439</v>
      </c>
      <c r="S203" s="1" t="s">
        <v>202</v>
      </c>
      <c r="T203" s="1" t="s">
        <v>139</v>
      </c>
      <c r="U203" s="1" t="s">
        <v>140</v>
      </c>
      <c r="V203" s="1" t="s">
        <v>150</v>
      </c>
      <c r="W203" s="1">
        <v>0.4</v>
      </c>
      <c r="X203" s="1">
        <v>900</v>
      </c>
      <c r="Y203" s="1">
        <v>0</v>
      </c>
      <c r="Z203" s="3">
        <v>252</v>
      </c>
      <c r="AA203" s="3">
        <v>0</v>
      </c>
      <c r="AB203" s="3">
        <v>252</v>
      </c>
      <c r="AC203" s="3">
        <v>0</v>
      </c>
      <c r="AD203" s="3">
        <f t="shared" si="75"/>
        <v>252</v>
      </c>
      <c r="AE203" s="3">
        <v>0</v>
      </c>
      <c r="AF203" s="3">
        <v>252</v>
      </c>
      <c r="AG203" s="3">
        <v>0</v>
      </c>
      <c r="AH203" s="3">
        <v>0</v>
      </c>
      <c r="AI203" s="3">
        <v>0</v>
      </c>
      <c r="AJ203" s="3">
        <f t="shared" si="76"/>
        <v>252</v>
      </c>
      <c r="AK203" s="1">
        <v>0</v>
      </c>
      <c r="AL203" s="1">
        <v>0</v>
      </c>
      <c r="AM203" s="3">
        <f>AF203</f>
        <v>252</v>
      </c>
      <c r="AN203" s="1">
        <v>0</v>
      </c>
      <c r="AO203" s="1">
        <v>0</v>
      </c>
      <c r="AP203" s="3">
        <f t="shared" si="74"/>
        <v>0</v>
      </c>
      <c r="AQ203" s="1" t="s">
        <v>155</v>
      </c>
    </row>
    <row r="204" spans="1:43" x14ac:dyDescent="0.35">
      <c r="A204" s="1">
        <v>743</v>
      </c>
      <c r="B204" s="2">
        <v>45915</v>
      </c>
      <c r="C204" s="1" t="s">
        <v>64</v>
      </c>
      <c r="D204" s="1">
        <v>9519105662</v>
      </c>
      <c r="E204" s="1">
        <v>5</v>
      </c>
      <c r="F204" s="1" t="s">
        <v>773</v>
      </c>
      <c r="G204" s="1" t="s">
        <v>1155</v>
      </c>
      <c r="H204" s="1" t="s">
        <v>63</v>
      </c>
      <c r="I204" s="1" t="s">
        <v>1404</v>
      </c>
      <c r="K204" s="1" t="s">
        <v>970</v>
      </c>
      <c r="L204" s="1" t="str">
        <f t="shared" si="73"/>
        <v>BPRS</v>
      </c>
      <c r="M204" s="1" t="s">
        <v>1230</v>
      </c>
      <c r="N204" s="1" t="s">
        <v>156</v>
      </c>
      <c r="O204" s="1" t="s">
        <v>157</v>
      </c>
      <c r="P204" s="1">
        <v>103227</v>
      </c>
      <c r="Q204" s="1" t="s">
        <v>155</v>
      </c>
      <c r="R204" s="1">
        <v>1854418</v>
      </c>
      <c r="S204" s="1" t="s">
        <v>176</v>
      </c>
      <c r="T204" s="1" t="s">
        <v>139</v>
      </c>
      <c r="U204" s="1" t="s">
        <v>140</v>
      </c>
      <c r="V204" s="1" t="s">
        <v>150</v>
      </c>
      <c r="W204" s="1">
        <v>0.5</v>
      </c>
      <c r="X204" s="1">
        <v>900</v>
      </c>
      <c r="Y204" s="1">
        <v>0</v>
      </c>
      <c r="Z204" s="3">
        <v>294</v>
      </c>
      <c r="AA204" s="3">
        <v>0</v>
      </c>
      <c r="AB204" s="3">
        <v>294</v>
      </c>
      <c r="AC204" s="3">
        <v>0</v>
      </c>
      <c r="AD204" s="3">
        <f t="shared" si="75"/>
        <v>294</v>
      </c>
      <c r="AE204" s="3">
        <v>0</v>
      </c>
      <c r="AF204" s="3">
        <v>294</v>
      </c>
      <c r="AG204" s="3">
        <v>0</v>
      </c>
      <c r="AH204" s="3">
        <v>0</v>
      </c>
      <c r="AI204" s="3">
        <v>0</v>
      </c>
      <c r="AJ204" s="3">
        <f t="shared" si="76"/>
        <v>294</v>
      </c>
      <c r="AK204" s="1">
        <v>0</v>
      </c>
      <c r="AL204" s="1">
        <v>0</v>
      </c>
      <c r="AM204" s="3">
        <f t="shared" ref="AM204:AM205" si="79">AF204</f>
        <v>294</v>
      </c>
      <c r="AN204" s="1">
        <v>0</v>
      </c>
      <c r="AO204" s="1">
        <v>0</v>
      </c>
      <c r="AP204" s="3">
        <f t="shared" si="74"/>
        <v>0</v>
      </c>
      <c r="AQ204" s="1" t="s">
        <v>155</v>
      </c>
    </row>
    <row r="205" spans="1:43" x14ac:dyDescent="0.35">
      <c r="A205" s="1">
        <v>743</v>
      </c>
      <c r="B205" s="2">
        <v>45915</v>
      </c>
      <c r="C205" s="1" t="s">
        <v>64</v>
      </c>
      <c r="D205" s="1">
        <v>9519105662</v>
      </c>
      <c r="E205" s="1">
        <v>6</v>
      </c>
      <c r="F205" s="1" t="s">
        <v>774</v>
      </c>
      <c r="G205" s="1" t="s">
        <v>1155</v>
      </c>
      <c r="H205" s="1" t="s">
        <v>63</v>
      </c>
      <c r="I205" s="1" t="s">
        <v>1404</v>
      </c>
      <c r="K205" s="1" t="s">
        <v>970</v>
      </c>
      <c r="L205" s="1" t="str">
        <f t="shared" si="73"/>
        <v>BPRS</v>
      </c>
      <c r="M205" s="1" t="s">
        <v>1230</v>
      </c>
      <c r="N205" s="1" t="s">
        <v>156</v>
      </c>
      <c r="O205" s="1" t="s">
        <v>157</v>
      </c>
      <c r="P205" s="1">
        <v>103227</v>
      </c>
      <c r="Q205" s="1" t="s">
        <v>155</v>
      </c>
      <c r="R205" s="1">
        <v>1854424</v>
      </c>
      <c r="S205" s="1" t="s">
        <v>249</v>
      </c>
      <c r="T205" s="1" t="s">
        <v>139</v>
      </c>
      <c r="U205" s="1" t="s">
        <v>140</v>
      </c>
      <c r="V205" s="1" t="s">
        <v>150</v>
      </c>
      <c r="W205" s="1">
        <v>0.6</v>
      </c>
      <c r="X205" s="1">
        <v>900</v>
      </c>
      <c r="Y205" s="1">
        <v>0</v>
      </c>
      <c r="Z205" s="3">
        <v>189</v>
      </c>
      <c r="AA205" s="3">
        <v>0</v>
      </c>
      <c r="AB205" s="3">
        <v>189</v>
      </c>
      <c r="AC205" s="3">
        <v>0</v>
      </c>
      <c r="AD205" s="3">
        <f t="shared" si="75"/>
        <v>189</v>
      </c>
      <c r="AE205" s="3">
        <v>0</v>
      </c>
      <c r="AF205" s="3">
        <v>189</v>
      </c>
      <c r="AG205" s="3">
        <v>0</v>
      </c>
      <c r="AH205" s="3">
        <v>0</v>
      </c>
      <c r="AI205" s="3">
        <v>0</v>
      </c>
      <c r="AJ205" s="3">
        <f t="shared" si="76"/>
        <v>189</v>
      </c>
      <c r="AK205" s="1">
        <v>0</v>
      </c>
      <c r="AL205" s="1">
        <v>0</v>
      </c>
      <c r="AM205" s="3">
        <f t="shared" si="79"/>
        <v>189</v>
      </c>
      <c r="AN205" s="1">
        <v>0</v>
      </c>
      <c r="AO205" s="1">
        <v>0</v>
      </c>
      <c r="AP205" s="3">
        <f t="shared" si="74"/>
        <v>0</v>
      </c>
      <c r="AQ205" s="1" t="s">
        <v>155</v>
      </c>
    </row>
    <row r="206" spans="1:43" x14ac:dyDescent="0.35">
      <c r="A206" s="1">
        <v>743</v>
      </c>
      <c r="B206" s="2">
        <v>45915</v>
      </c>
      <c r="C206" s="1" t="s">
        <v>64</v>
      </c>
      <c r="D206" s="1">
        <v>9519105662</v>
      </c>
      <c r="E206" s="1">
        <v>11</v>
      </c>
      <c r="F206" s="1" t="s">
        <v>775</v>
      </c>
      <c r="G206" s="1" t="s">
        <v>1367</v>
      </c>
      <c r="H206" s="1" t="s">
        <v>63</v>
      </c>
      <c r="I206" s="1" t="s">
        <v>1368</v>
      </c>
      <c r="K206" s="1" t="s">
        <v>970</v>
      </c>
      <c r="L206" s="1" t="str">
        <f t="shared" si="73"/>
        <v>BPRS</v>
      </c>
      <c r="M206" s="1" t="s">
        <v>1230</v>
      </c>
      <c r="N206" s="1" t="s">
        <v>156</v>
      </c>
      <c r="O206" s="1" t="s">
        <v>157</v>
      </c>
      <c r="P206" s="1">
        <v>103227</v>
      </c>
      <c r="Q206" s="1" t="s">
        <v>155</v>
      </c>
      <c r="R206" s="1">
        <v>1334725</v>
      </c>
      <c r="S206" s="1" t="s">
        <v>288</v>
      </c>
      <c r="T206" s="1" t="s">
        <v>139</v>
      </c>
      <c r="U206" s="1" t="s">
        <v>140</v>
      </c>
      <c r="V206" s="1" t="s">
        <v>150</v>
      </c>
      <c r="W206" s="1">
        <v>0.6</v>
      </c>
      <c r="X206" s="1">
        <v>1220</v>
      </c>
      <c r="Y206" s="1">
        <v>0</v>
      </c>
      <c r="Z206" s="3">
        <v>84</v>
      </c>
      <c r="AA206" s="3">
        <v>82.85</v>
      </c>
      <c r="AB206" s="3">
        <v>0</v>
      </c>
      <c r="AC206" s="3">
        <v>3.605</v>
      </c>
      <c r="AD206" s="3">
        <f t="shared" si="75"/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f t="shared" si="76"/>
        <v>3.605</v>
      </c>
      <c r="AK206" s="3">
        <f>AC206</f>
        <v>3.605</v>
      </c>
      <c r="AL206" s="1">
        <v>0</v>
      </c>
      <c r="AM206" s="1">
        <v>0</v>
      </c>
      <c r="AN206" s="1">
        <v>0</v>
      </c>
      <c r="AO206" s="1">
        <v>0</v>
      </c>
      <c r="AP206" s="3">
        <f t="shared" si="74"/>
        <v>0</v>
      </c>
      <c r="AQ206" s="1" t="s">
        <v>155</v>
      </c>
    </row>
    <row r="207" spans="1:43" x14ac:dyDescent="0.35">
      <c r="A207" s="1">
        <v>743</v>
      </c>
      <c r="B207" s="2">
        <v>45915</v>
      </c>
      <c r="C207" s="1" t="s">
        <v>64</v>
      </c>
      <c r="D207" s="1">
        <v>9519105662</v>
      </c>
      <c r="E207" s="1">
        <v>7</v>
      </c>
      <c r="F207" s="1" t="s">
        <v>776</v>
      </c>
      <c r="G207" s="1" t="s">
        <v>1155</v>
      </c>
      <c r="H207" s="1" t="s">
        <v>63</v>
      </c>
      <c r="I207" s="1" t="s">
        <v>1404</v>
      </c>
      <c r="K207" s="1" t="s">
        <v>970</v>
      </c>
      <c r="L207" s="1" t="str">
        <f t="shared" si="73"/>
        <v>BPRS</v>
      </c>
      <c r="M207" s="1" t="s">
        <v>1230</v>
      </c>
      <c r="N207" s="1" t="s">
        <v>156</v>
      </c>
      <c r="O207" s="1" t="s">
        <v>157</v>
      </c>
      <c r="P207" s="1">
        <v>103227</v>
      </c>
      <c r="Q207" s="1" t="s">
        <v>155</v>
      </c>
      <c r="R207" s="1">
        <v>1854429</v>
      </c>
      <c r="S207" s="1" t="s">
        <v>424</v>
      </c>
      <c r="T207" s="1" t="s">
        <v>139</v>
      </c>
      <c r="U207" s="1" t="s">
        <v>140</v>
      </c>
      <c r="V207" s="1" t="s">
        <v>150</v>
      </c>
      <c r="W207" s="1">
        <v>0.63</v>
      </c>
      <c r="X207" s="1">
        <v>900</v>
      </c>
      <c r="Y207" s="1">
        <v>0</v>
      </c>
      <c r="Z207" s="3">
        <v>105</v>
      </c>
      <c r="AA207" s="3">
        <v>0</v>
      </c>
      <c r="AB207" s="3">
        <v>105</v>
      </c>
      <c r="AC207" s="3">
        <v>0</v>
      </c>
      <c r="AD207" s="3">
        <f t="shared" si="75"/>
        <v>105</v>
      </c>
      <c r="AE207" s="3">
        <v>0</v>
      </c>
      <c r="AF207" s="3">
        <v>105</v>
      </c>
      <c r="AG207" s="3">
        <v>0</v>
      </c>
      <c r="AH207" s="3">
        <v>0</v>
      </c>
      <c r="AI207" s="3">
        <v>0</v>
      </c>
      <c r="AJ207" s="3">
        <f t="shared" si="76"/>
        <v>105</v>
      </c>
      <c r="AK207" s="1">
        <v>0</v>
      </c>
      <c r="AL207" s="1">
        <v>0</v>
      </c>
      <c r="AM207" s="3">
        <f>AF207</f>
        <v>105</v>
      </c>
      <c r="AN207" s="1">
        <v>0</v>
      </c>
      <c r="AO207" s="1">
        <v>0</v>
      </c>
      <c r="AP207" s="3">
        <f t="shared" si="74"/>
        <v>0</v>
      </c>
      <c r="AQ207" s="1" t="s">
        <v>155</v>
      </c>
    </row>
    <row r="208" spans="1:43" x14ac:dyDescent="0.35">
      <c r="A208" s="1">
        <v>742</v>
      </c>
      <c r="B208" s="2">
        <v>45912</v>
      </c>
      <c r="C208" s="1" t="s">
        <v>64</v>
      </c>
      <c r="D208" s="1">
        <v>9519097662</v>
      </c>
      <c r="E208" s="1">
        <v>3</v>
      </c>
      <c r="F208" s="1" t="s">
        <v>777</v>
      </c>
      <c r="G208" s="1" t="s">
        <v>1155</v>
      </c>
      <c r="H208" s="1" t="s">
        <v>21</v>
      </c>
      <c r="I208" s="1" t="s">
        <v>22</v>
      </c>
      <c r="K208" s="1" t="s">
        <v>970</v>
      </c>
      <c r="L208" s="1" t="str">
        <f t="shared" si="73"/>
        <v>BPRS</v>
      </c>
      <c r="M208" s="1" t="s">
        <v>1229</v>
      </c>
      <c r="N208" s="1" t="s">
        <v>35</v>
      </c>
      <c r="O208" s="1" t="s">
        <v>32</v>
      </c>
      <c r="P208" s="1">
        <v>932244</v>
      </c>
      <c r="Q208" s="1" t="s">
        <v>270</v>
      </c>
      <c r="R208" s="1">
        <v>2334995</v>
      </c>
      <c r="S208" s="1" t="s">
        <v>283</v>
      </c>
      <c r="T208" s="1" t="s">
        <v>28</v>
      </c>
      <c r="U208" s="1" t="s">
        <v>29</v>
      </c>
      <c r="V208" s="1" t="s">
        <v>30</v>
      </c>
      <c r="W208" s="1">
        <v>1.5</v>
      </c>
      <c r="X208" s="1">
        <v>1250</v>
      </c>
      <c r="Y208" s="1">
        <v>0</v>
      </c>
      <c r="Z208" s="3">
        <v>87</v>
      </c>
      <c r="AA208" s="3">
        <v>64.930000000000007</v>
      </c>
      <c r="AB208" s="3">
        <v>22.07</v>
      </c>
      <c r="AC208" s="3">
        <v>10.81</v>
      </c>
      <c r="AD208" s="3">
        <f t="shared" si="75"/>
        <v>22.07</v>
      </c>
      <c r="AE208" s="3">
        <v>0</v>
      </c>
      <c r="AF208" s="3">
        <v>22.07</v>
      </c>
      <c r="AG208" s="3">
        <v>0</v>
      </c>
      <c r="AH208" s="3">
        <v>0</v>
      </c>
      <c r="AI208" s="3">
        <v>0</v>
      </c>
      <c r="AJ208" s="3">
        <f t="shared" si="76"/>
        <v>32.880000000000003</v>
      </c>
      <c r="AK208" s="1">
        <v>0</v>
      </c>
      <c r="AL208" s="1">
        <v>0</v>
      </c>
      <c r="AM208" s="3">
        <f>AF208+AC208</f>
        <v>32.880000000000003</v>
      </c>
      <c r="AN208" s="1">
        <v>0</v>
      </c>
      <c r="AO208" s="1">
        <v>0</v>
      </c>
      <c r="AP208" s="3">
        <f t="shared" si="74"/>
        <v>0</v>
      </c>
      <c r="AQ208" s="1" t="s">
        <v>270</v>
      </c>
    </row>
    <row r="209" spans="1:43" x14ac:dyDescent="0.35">
      <c r="A209" s="1">
        <v>743</v>
      </c>
      <c r="B209" s="2">
        <v>45915</v>
      </c>
      <c r="C209" s="1" t="s">
        <v>64</v>
      </c>
      <c r="D209" s="1">
        <v>9519105231</v>
      </c>
      <c r="E209" s="1">
        <v>3</v>
      </c>
      <c r="F209" s="1" t="s">
        <v>778</v>
      </c>
      <c r="G209" s="1" t="s">
        <v>1155</v>
      </c>
      <c r="H209" s="1" t="s">
        <v>63</v>
      </c>
      <c r="I209" s="1" t="s">
        <v>1404</v>
      </c>
      <c r="K209" s="1" t="s">
        <v>970</v>
      </c>
      <c r="L209" s="1" t="str">
        <f t="shared" si="73"/>
        <v>BPRS</v>
      </c>
      <c r="M209" s="1" t="s">
        <v>1231</v>
      </c>
      <c r="N209" s="1" t="s">
        <v>214</v>
      </c>
      <c r="O209" s="1" t="s">
        <v>97</v>
      </c>
      <c r="P209" s="1">
        <v>931525</v>
      </c>
      <c r="Q209" s="1" t="s">
        <v>213</v>
      </c>
      <c r="R209" s="1">
        <v>1178439</v>
      </c>
      <c r="S209" s="1" t="s">
        <v>202</v>
      </c>
      <c r="T209" s="1" t="s">
        <v>139</v>
      </c>
      <c r="U209" s="1" t="s">
        <v>140</v>
      </c>
      <c r="V209" s="1" t="s">
        <v>150</v>
      </c>
      <c r="W209" s="1">
        <v>0.4</v>
      </c>
      <c r="X209" s="1">
        <v>900</v>
      </c>
      <c r="Y209" s="1">
        <v>0</v>
      </c>
      <c r="Z209" s="3">
        <v>63</v>
      </c>
      <c r="AA209" s="3">
        <v>0</v>
      </c>
      <c r="AB209" s="3">
        <v>63</v>
      </c>
      <c r="AC209" s="3">
        <v>0</v>
      </c>
      <c r="AD209" s="3">
        <f t="shared" si="75"/>
        <v>63</v>
      </c>
      <c r="AE209" s="3">
        <v>0</v>
      </c>
      <c r="AF209" s="3">
        <v>0</v>
      </c>
      <c r="AG209" s="3">
        <v>0</v>
      </c>
      <c r="AH209" s="3">
        <v>0</v>
      </c>
      <c r="AI209" s="3">
        <v>63</v>
      </c>
      <c r="AJ209" s="3">
        <f t="shared" si="76"/>
        <v>63</v>
      </c>
      <c r="AK209" s="1">
        <v>0</v>
      </c>
      <c r="AL209" s="1">
        <v>0</v>
      </c>
      <c r="AM209" s="1">
        <v>0</v>
      </c>
      <c r="AN209" s="1">
        <v>0</v>
      </c>
      <c r="AO209" s="3">
        <f t="shared" ref="AO209:AO210" si="80">AI209</f>
        <v>63</v>
      </c>
      <c r="AP209" s="3">
        <f t="shared" si="74"/>
        <v>0</v>
      </c>
      <c r="AQ209" s="1" t="s">
        <v>213</v>
      </c>
    </row>
    <row r="210" spans="1:43" x14ac:dyDescent="0.35">
      <c r="A210" s="1">
        <v>743</v>
      </c>
      <c r="B210" s="2">
        <v>45915</v>
      </c>
      <c r="C210" s="1" t="s">
        <v>64</v>
      </c>
      <c r="D210" s="1">
        <v>9519105231</v>
      </c>
      <c r="E210" s="1">
        <v>5</v>
      </c>
      <c r="F210" s="1" t="s">
        <v>779</v>
      </c>
      <c r="G210" s="1" t="s">
        <v>1155</v>
      </c>
      <c r="H210" s="1" t="s">
        <v>63</v>
      </c>
      <c r="I210" s="1" t="s">
        <v>1404</v>
      </c>
      <c r="K210" s="1" t="s">
        <v>970</v>
      </c>
      <c r="L210" s="1" t="str">
        <f t="shared" si="73"/>
        <v>BPRS</v>
      </c>
      <c r="M210" s="1" t="s">
        <v>1231</v>
      </c>
      <c r="N210" s="1" t="s">
        <v>214</v>
      </c>
      <c r="O210" s="1" t="s">
        <v>97</v>
      </c>
      <c r="P210" s="1">
        <v>931525</v>
      </c>
      <c r="Q210" s="1" t="s">
        <v>213</v>
      </c>
      <c r="R210" s="1">
        <v>1854424</v>
      </c>
      <c r="S210" s="1" t="s">
        <v>249</v>
      </c>
      <c r="T210" s="1" t="s">
        <v>139</v>
      </c>
      <c r="U210" s="1" t="s">
        <v>140</v>
      </c>
      <c r="V210" s="1" t="s">
        <v>150</v>
      </c>
      <c r="W210" s="1">
        <v>0.6</v>
      </c>
      <c r="X210" s="1">
        <v>900</v>
      </c>
      <c r="Y210" s="1">
        <v>0</v>
      </c>
      <c r="Z210" s="3">
        <v>42</v>
      </c>
      <c r="AA210" s="3">
        <v>0</v>
      </c>
      <c r="AB210" s="3">
        <v>42</v>
      </c>
      <c r="AC210" s="3">
        <v>0</v>
      </c>
      <c r="AD210" s="3">
        <f t="shared" si="75"/>
        <v>42</v>
      </c>
      <c r="AE210" s="3">
        <v>0</v>
      </c>
      <c r="AF210" s="3">
        <v>0</v>
      </c>
      <c r="AG210" s="3">
        <v>0</v>
      </c>
      <c r="AH210" s="3">
        <v>0</v>
      </c>
      <c r="AI210" s="3">
        <v>42</v>
      </c>
      <c r="AJ210" s="3">
        <f t="shared" si="76"/>
        <v>42</v>
      </c>
      <c r="AK210" s="1">
        <v>0</v>
      </c>
      <c r="AL210" s="1">
        <v>0</v>
      </c>
      <c r="AM210" s="1">
        <v>0</v>
      </c>
      <c r="AN210" s="1">
        <v>0</v>
      </c>
      <c r="AO210" s="3">
        <f t="shared" si="80"/>
        <v>42</v>
      </c>
      <c r="AP210" s="3">
        <f t="shared" si="74"/>
        <v>0</v>
      </c>
      <c r="AQ210" s="1" t="s">
        <v>213</v>
      </c>
    </row>
    <row r="211" spans="1:43" x14ac:dyDescent="0.35">
      <c r="A211" s="1">
        <v>742</v>
      </c>
      <c r="B211" s="2">
        <v>45888</v>
      </c>
      <c r="C211" s="1" t="s">
        <v>64</v>
      </c>
      <c r="D211" s="1">
        <v>9519029800</v>
      </c>
      <c r="E211" s="1">
        <v>7</v>
      </c>
      <c r="F211" s="1" t="s">
        <v>780</v>
      </c>
      <c r="G211" s="1" t="s">
        <v>1155</v>
      </c>
      <c r="H211" s="1" t="s">
        <v>21</v>
      </c>
      <c r="I211" s="1" t="s">
        <v>71</v>
      </c>
      <c r="K211" s="1" t="s">
        <v>970</v>
      </c>
      <c r="L211" s="1" t="str">
        <f t="shared" si="73"/>
        <v>BPRS</v>
      </c>
      <c r="M211" s="1" t="s">
        <v>1230</v>
      </c>
      <c r="N211" s="1" t="s">
        <v>318</v>
      </c>
      <c r="O211" s="1" t="s">
        <v>157</v>
      </c>
      <c r="P211" s="1">
        <v>103227</v>
      </c>
      <c r="Q211" s="1" t="s">
        <v>155</v>
      </c>
      <c r="R211" s="1">
        <v>3239568</v>
      </c>
      <c r="S211" s="1" t="s">
        <v>174</v>
      </c>
      <c r="T211" s="1" t="s">
        <v>75</v>
      </c>
      <c r="U211" s="1" t="s">
        <v>122</v>
      </c>
      <c r="V211" s="1" t="s">
        <v>123</v>
      </c>
      <c r="W211" s="1">
        <v>0.45</v>
      </c>
      <c r="X211" s="1">
        <v>1250</v>
      </c>
      <c r="Y211" s="1">
        <v>2500</v>
      </c>
      <c r="Z211" s="3">
        <v>29</v>
      </c>
      <c r="AA211" s="3">
        <v>0</v>
      </c>
      <c r="AB211" s="3">
        <v>29</v>
      </c>
      <c r="AC211" s="3">
        <v>0</v>
      </c>
      <c r="AD211" s="3">
        <f t="shared" si="75"/>
        <v>29</v>
      </c>
      <c r="AE211" s="3">
        <v>29</v>
      </c>
      <c r="AF211" s="3">
        <v>0</v>
      </c>
      <c r="AG211" s="3">
        <v>0</v>
      </c>
      <c r="AH211" s="3">
        <v>0</v>
      </c>
      <c r="AI211" s="3">
        <v>0</v>
      </c>
      <c r="AJ211" s="3">
        <f t="shared" si="76"/>
        <v>29</v>
      </c>
      <c r="AK211" s="1">
        <v>0</v>
      </c>
      <c r="AL211" s="3">
        <f>AE211</f>
        <v>29</v>
      </c>
      <c r="AM211" s="3">
        <f>AF211</f>
        <v>0</v>
      </c>
      <c r="AN211" s="3">
        <f>AG211</f>
        <v>0</v>
      </c>
      <c r="AO211" s="3">
        <f>AH211</f>
        <v>0</v>
      </c>
      <c r="AP211" s="3">
        <f t="shared" si="74"/>
        <v>0</v>
      </c>
      <c r="AQ211" s="1" t="s">
        <v>155</v>
      </c>
    </row>
    <row r="212" spans="1:43" x14ac:dyDescent="0.35">
      <c r="A212" s="1">
        <v>743</v>
      </c>
      <c r="B212" s="2">
        <v>45891</v>
      </c>
      <c r="C212" s="1" t="s">
        <v>64</v>
      </c>
      <c r="D212" s="1">
        <v>9519038273</v>
      </c>
      <c r="E212" s="1">
        <v>4</v>
      </c>
      <c r="F212" s="1" t="s">
        <v>782</v>
      </c>
      <c r="G212" s="1" t="s">
        <v>1367</v>
      </c>
      <c r="H212" s="1" t="s">
        <v>63</v>
      </c>
      <c r="I212" s="1" t="s">
        <v>1291</v>
      </c>
      <c r="K212" s="1" t="s">
        <v>970</v>
      </c>
      <c r="L212" s="1" t="str">
        <f t="shared" si="73"/>
        <v>BPRS</v>
      </c>
      <c r="M212" s="1" t="s">
        <v>1230</v>
      </c>
      <c r="N212" s="1" t="s">
        <v>318</v>
      </c>
      <c r="O212" s="1" t="s">
        <v>157</v>
      </c>
      <c r="P212" s="1">
        <v>931671</v>
      </c>
      <c r="Q212" s="1" t="s">
        <v>155</v>
      </c>
      <c r="R212" s="1">
        <v>3708868</v>
      </c>
      <c r="S212" s="1" t="s">
        <v>67</v>
      </c>
      <c r="T212" s="1" t="s">
        <v>68</v>
      </c>
      <c r="U212" s="1" t="s">
        <v>69</v>
      </c>
      <c r="V212" s="1" t="s">
        <v>70</v>
      </c>
      <c r="W212" s="1">
        <v>0.5</v>
      </c>
      <c r="X212" s="1">
        <v>1350</v>
      </c>
      <c r="Y212" s="1">
        <v>0</v>
      </c>
      <c r="Z212" s="3">
        <v>93</v>
      </c>
      <c r="AA212" s="3">
        <v>89.905000000000001</v>
      </c>
      <c r="AB212" s="3">
        <v>3.0950000000000002</v>
      </c>
      <c r="AC212" s="3">
        <v>6.9949999999999992</v>
      </c>
      <c r="AD212" s="3">
        <f t="shared" si="75"/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f t="shared" si="76"/>
        <v>6.9949999999999992</v>
      </c>
      <c r="AK212" s="3">
        <f>AC212</f>
        <v>6.9949999999999992</v>
      </c>
      <c r="AL212" s="1">
        <v>0</v>
      </c>
      <c r="AM212" s="1">
        <v>0</v>
      </c>
      <c r="AN212" s="1">
        <v>0</v>
      </c>
      <c r="AO212" s="1">
        <v>0</v>
      </c>
      <c r="AP212" s="3">
        <f t="shared" si="74"/>
        <v>0</v>
      </c>
      <c r="AQ212" s="1" t="s">
        <v>155</v>
      </c>
    </row>
    <row r="213" spans="1:43" x14ac:dyDescent="0.35">
      <c r="A213" s="1">
        <v>742</v>
      </c>
      <c r="B213" s="2">
        <v>45888</v>
      </c>
      <c r="C213" s="1" t="s">
        <v>64</v>
      </c>
      <c r="D213" s="1">
        <v>9519029782</v>
      </c>
      <c r="E213" s="1">
        <v>6</v>
      </c>
      <c r="F213" s="1" t="s">
        <v>783</v>
      </c>
      <c r="G213" s="1" t="s">
        <v>1155</v>
      </c>
      <c r="H213" s="1" t="s">
        <v>21</v>
      </c>
      <c r="I213" s="1" t="s">
        <v>71</v>
      </c>
      <c r="K213" s="1" t="s">
        <v>970</v>
      </c>
      <c r="L213" s="1" t="str">
        <f t="shared" si="73"/>
        <v>BPRS</v>
      </c>
      <c r="M213" s="1" t="s">
        <v>1230</v>
      </c>
      <c r="N213" s="1" t="s">
        <v>156</v>
      </c>
      <c r="O213" s="1" t="s">
        <v>157</v>
      </c>
      <c r="P213" s="1">
        <v>103227</v>
      </c>
      <c r="Q213" s="1" t="s">
        <v>155</v>
      </c>
      <c r="R213" s="1">
        <v>3239557</v>
      </c>
      <c r="S213" s="1" t="s">
        <v>158</v>
      </c>
      <c r="T213" s="1" t="s">
        <v>75</v>
      </c>
      <c r="U213" s="1" t="s">
        <v>122</v>
      </c>
      <c r="V213" s="1" t="s">
        <v>123</v>
      </c>
      <c r="W213" s="1">
        <v>0.4</v>
      </c>
      <c r="X213" s="1">
        <v>1250</v>
      </c>
      <c r="Y213" s="1">
        <v>2500</v>
      </c>
      <c r="Z213" s="3">
        <v>29</v>
      </c>
      <c r="AA213" s="3">
        <v>0</v>
      </c>
      <c r="AB213" s="3">
        <v>29</v>
      </c>
      <c r="AC213" s="3">
        <v>0</v>
      </c>
      <c r="AD213" s="3">
        <f t="shared" si="75"/>
        <v>29</v>
      </c>
      <c r="AE213" s="3">
        <v>29</v>
      </c>
      <c r="AF213" s="3">
        <v>0</v>
      </c>
      <c r="AG213" s="3">
        <v>0</v>
      </c>
      <c r="AH213" s="3">
        <v>0</v>
      </c>
      <c r="AI213" s="3">
        <v>0</v>
      </c>
      <c r="AJ213" s="3">
        <f t="shared" si="76"/>
        <v>29</v>
      </c>
      <c r="AK213" s="1">
        <v>0</v>
      </c>
      <c r="AL213" s="3">
        <f>AE213</f>
        <v>29</v>
      </c>
      <c r="AM213" s="3">
        <f>AF213</f>
        <v>0</v>
      </c>
      <c r="AN213" s="3">
        <f>AG213</f>
        <v>0</v>
      </c>
      <c r="AO213" s="3">
        <f>AH213</f>
        <v>0</v>
      </c>
      <c r="AP213" s="3">
        <f t="shared" si="74"/>
        <v>0</v>
      </c>
      <c r="AQ213" s="1" t="s">
        <v>155</v>
      </c>
    </row>
    <row r="214" spans="1:43" x14ac:dyDescent="0.35">
      <c r="A214" s="1">
        <v>742</v>
      </c>
      <c r="B214" s="2">
        <v>45875</v>
      </c>
      <c r="C214" s="1" t="s">
        <v>46</v>
      </c>
      <c r="D214" s="1">
        <v>9518998049</v>
      </c>
      <c r="E214" s="1">
        <v>1</v>
      </c>
      <c r="F214" s="1" t="s">
        <v>784</v>
      </c>
      <c r="G214" s="1" t="s">
        <v>393</v>
      </c>
      <c r="H214" s="1" t="s">
        <v>21</v>
      </c>
      <c r="I214" s="1" t="s">
        <v>974</v>
      </c>
      <c r="K214" s="1" t="s">
        <v>969</v>
      </c>
      <c r="L214" s="1" t="s">
        <v>1421</v>
      </c>
      <c r="M214" s="1" t="s">
        <v>1230</v>
      </c>
      <c r="N214" s="1" t="s">
        <v>100</v>
      </c>
      <c r="O214" s="1" t="s">
        <v>145</v>
      </c>
      <c r="P214" s="1">
        <v>600250</v>
      </c>
      <c r="Q214" s="1" t="s">
        <v>43</v>
      </c>
      <c r="R214" s="1">
        <v>2439203</v>
      </c>
      <c r="S214" s="1" t="s">
        <v>146</v>
      </c>
      <c r="T214" s="1" t="s">
        <v>28</v>
      </c>
      <c r="U214" s="1" t="s">
        <v>117</v>
      </c>
      <c r="V214" s="1" t="s">
        <v>118</v>
      </c>
      <c r="W214" s="1">
        <v>0.5</v>
      </c>
      <c r="X214" s="1">
        <v>1160</v>
      </c>
      <c r="Y214" s="1">
        <v>0</v>
      </c>
      <c r="Z214" s="3">
        <v>297</v>
      </c>
      <c r="AA214" s="3">
        <v>146.72</v>
      </c>
      <c r="AB214" s="3">
        <v>150.28</v>
      </c>
      <c r="AC214" s="3">
        <v>36.865000000000002</v>
      </c>
      <c r="AD214" s="3">
        <f t="shared" si="75"/>
        <v>150.28</v>
      </c>
      <c r="AE214" s="3">
        <v>0</v>
      </c>
      <c r="AF214" s="3">
        <v>0</v>
      </c>
      <c r="AG214" s="3">
        <v>150.28</v>
      </c>
      <c r="AH214" s="3">
        <v>0</v>
      </c>
      <c r="AI214" s="3">
        <v>0</v>
      </c>
      <c r="AJ214" s="3">
        <f t="shared" si="76"/>
        <v>187.14500000000001</v>
      </c>
      <c r="AK214" s="1">
        <v>0</v>
      </c>
      <c r="AL214" s="1">
        <v>0</v>
      </c>
      <c r="AM214" s="3">
        <f>AG214+AC214</f>
        <v>187.14500000000001</v>
      </c>
      <c r="AN214" s="3">
        <v>0</v>
      </c>
      <c r="AO214" s="1">
        <v>0</v>
      </c>
      <c r="AP214" s="3">
        <f t="shared" si="74"/>
        <v>0</v>
      </c>
      <c r="AQ214" s="1" t="s">
        <v>43</v>
      </c>
    </row>
    <row r="215" spans="1:43" x14ac:dyDescent="0.35">
      <c r="A215" s="1">
        <v>742</v>
      </c>
      <c r="B215" s="2">
        <v>45875</v>
      </c>
      <c r="C215" s="1" t="s">
        <v>46</v>
      </c>
      <c r="D215" s="1">
        <v>9518998049</v>
      </c>
      <c r="E215" s="1">
        <v>2</v>
      </c>
      <c r="F215" s="1" t="s">
        <v>785</v>
      </c>
      <c r="G215" s="1" t="s">
        <v>393</v>
      </c>
      <c r="H215" s="1" t="s">
        <v>21</v>
      </c>
      <c r="I215" s="1" t="s">
        <v>974</v>
      </c>
      <c r="K215" s="1" t="s">
        <v>969</v>
      </c>
      <c r="L215" s="1" t="s">
        <v>1421</v>
      </c>
      <c r="M215" s="1" t="s">
        <v>1230</v>
      </c>
      <c r="N215" s="1" t="s">
        <v>100</v>
      </c>
      <c r="O215" s="1" t="s">
        <v>145</v>
      </c>
      <c r="P215" s="1">
        <v>600250</v>
      </c>
      <c r="Q215" s="1" t="s">
        <v>43</v>
      </c>
      <c r="R215" s="1">
        <v>2439203</v>
      </c>
      <c r="S215" s="1" t="s">
        <v>146</v>
      </c>
      <c r="T215" s="1" t="s">
        <v>28</v>
      </c>
      <c r="U215" s="1" t="s">
        <v>117</v>
      </c>
      <c r="V215" s="1" t="s">
        <v>118</v>
      </c>
      <c r="W215" s="1">
        <v>0.5</v>
      </c>
      <c r="X215" s="1">
        <v>1160</v>
      </c>
      <c r="Y215" s="1">
        <v>0</v>
      </c>
      <c r="Z215" s="3">
        <v>297</v>
      </c>
      <c r="AA215" s="3">
        <v>269.67</v>
      </c>
      <c r="AB215" s="3">
        <v>27.33</v>
      </c>
      <c r="AC215" s="3">
        <v>135.245</v>
      </c>
      <c r="AD215" s="3">
        <f t="shared" si="75"/>
        <v>27.33</v>
      </c>
      <c r="AE215" s="3">
        <v>0</v>
      </c>
      <c r="AF215" s="3">
        <v>0</v>
      </c>
      <c r="AG215" s="3">
        <v>0</v>
      </c>
      <c r="AH215" s="3">
        <v>27.33</v>
      </c>
      <c r="AI215" s="3">
        <v>0</v>
      </c>
      <c r="AJ215" s="3">
        <f t="shared" si="76"/>
        <v>162.57499999999999</v>
      </c>
      <c r="AK215" s="1">
        <v>0</v>
      </c>
      <c r="AL215" s="1">
        <v>0</v>
      </c>
      <c r="AM215" s="1">
        <v>0</v>
      </c>
      <c r="AN215" s="1">
        <v>0</v>
      </c>
      <c r="AO215" s="3">
        <f>AH215+AC215</f>
        <v>162.57499999999999</v>
      </c>
      <c r="AP215" s="3">
        <f t="shared" si="74"/>
        <v>0</v>
      </c>
      <c r="AQ215" s="1" t="s">
        <v>43</v>
      </c>
    </row>
    <row r="216" spans="1:43" x14ac:dyDescent="0.35">
      <c r="A216" s="1">
        <v>742</v>
      </c>
      <c r="B216" s="2">
        <v>45875</v>
      </c>
      <c r="C216" s="1" t="s">
        <v>46</v>
      </c>
      <c r="D216" s="1">
        <v>9518998049</v>
      </c>
      <c r="E216" s="1">
        <v>3</v>
      </c>
      <c r="F216" s="1" t="s">
        <v>786</v>
      </c>
      <c r="G216" s="1" t="s">
        <v>393</v>
      </c>
      <c r="H216" s="1" t="s">
        <v>21</v>
      </c>
      <c r="I216" s="1" t="s">
        <v>974</v>
      </c>
      <c r="K216" s="1" t="s">
        <v>969</v>
      </c>
      <c r="L216" s="1" t="s">
        <v>1421</v>
      </c>
      <c r="M216" s="1" t="s">
        <v>1230</v>
      </c>
      <c r="N216" s="1" t="s">
        <v>100</v>
      </c>
      <c r="O216" s="1" t="s">
        <v>145</v>
      </c>
      <c r="P216" s="1">
        <v>600250</v>
      </c>
      <c r="Q216" s="1" t="s">
        <v>43</v>
      </c>
      <c r="R216" s="1">
        <v>2439203</v>
      </c>
      <c r="S216" s="1" t="s">
        <v>146</v>
      </c>
      <c r="T216" s="1" t="s">
        <v>28</v>
      </c>
      <c r="U216" s="1" t="s">
        <v>117</v>
      </c>
      <c r="V216" s="1" t="s">
        <v>118</v>
      </c>
      <c r="W216" s="1">
        <v>0.5</v>
      </c>
      <c r="X216" s="1">
        <v>1160</v>
      </c>
      <c r="Y216" s="1">
        <v>0</v>
      </c>
      <c r="Z216" s="3">
        <v>297</v>
      </c>
      <c r="AA216" s="3">
        <v>244.79499999999999</v>
      </c>
      <c r="AB216" s="3">
        <v>52.204999999999998</v>
      </c>
      <c r="AC216" s="3">
        <v>146.53</v>
      </c>
      <c r="AD216" s="3">
        <f t="shared" si="75"/>
        <v>52.204999999999998</v>
      </c>
      <c r="AE216" s="3">
        <v>52.204999999999998</v>
      </c>
      <c r="AF216" s="3">
        <v>0</v>
      </c>
      <c r="AG216" s="3">
        <v>0</v>
      </c>
      <c r="AH216" s="3">
        <v>0</v>
      </c>
      <c r="AI216" s="3">
        <v>0</v>
      </c>
      <c r="AJ216" s="3">
        <f t="shared" si="76"/>
        <v>198.73500000000001</v>
      </c>
      <c r="AK216" s="1">
        <v>0</v>
      </c>
      <c r="AL216" s="3">
        <f>AE216+AC216</f>
        <v>198.73500000000001</v>
      </c>
      <c r="AM216" s="1">
        <v>0</v>
      </c>
      <c r="AN216" s="1">
        <v>0</v>
      </c>
      <c r="AO216" s="1">
        <v>0</v>
      </c>
      <c r="AP216" s="3">
        <f t="shared" si="74"/>
        <v>0</v>
      </c>
      <c r="AQ216" s="1" t="s">
        <v>43</v>
      </c>
    </row>
    <row r="217" spans="1:43" x14ac:dyDescent="0.35">
      <c r="A217" s="1">
        <v>742</v>
      </c>
      <c r="B217" s="2">
        <v>45875</v>
      </c>
      <c r="C217" s="1" t="s">
        <v>46</v>
      </c>
      <c r="D217" s="1">
        <v>9518998049</v>
      </c>
      <c r="E217" s="1">
        <v>4</v>
      </c>
      <c r="F217" s="1" t="s">
        <v>787</v>
      </c>
      <c r="G217" s="1" t="s">
        <v>393</v>
      </c>
      <c r="H217" s="1" t="s">
        <v>21</v>
      </c>
      <c r="I217" s="1" t="s">
        <v>974</v>
      </c>
      <c r="K217" s="1" t="s">
        <v>969</v>
      </c>
      <c r="L217" s="1" t="s">
        <v>1421</v>
      </c>
      <c r="M217" s="1" t="s">
        <v>1230</v>
      </c>
      <c r="N217" s="1" t="s">
        <v>100</v>
      </c>
      <c r="O217" s="1" t="s">
        <v>145</v>
      </c>
      <c r="P217" s="1">
        <v>600250</v>
      </c>
      <c r="Q217" s="1" t="s">
        <v>43</v>
      </c>
      <c r="R217" s="1">
        <v>2439203</v>
      </c>
      <c r="S217" s="1" t="s">
        <v>146</v>
      </c>
      <c r="T217" s="1" t="s">
        <v>28</v>
      </c>
      <c r="U217" s="1" t="s">
        <v>117</v>
      </c>
      <c r="V217" s="1" t="s">
        <v>118</v>
      </c>
      <c r="W217" s="1">
        <v>0.5</v>
      </c>
      <c r="X217" s="1">
        <v>1160</v>
      </c>
      <c r="Y217" s="1">
        <v>0</v>
      </c>
      <c r="Z217" s="3">
        <v>297</v>
      </c>
      <c r="AA217" s="3">
        <v>208.45500000000001</v>
      </c>
      <c r="AB217" s="3">
        <v>88.545000000000002</v>
      </c>
      <c r="AC217" s="3">
        <v>135.09000000000003</v>
      </c>
      <c r="AD217" s="3">
        <f t="shared" si="75"/>
        <v>88.545000000000002</v>
      </c>
      <c r="AE217" s="3">
        <v>0</v>
      </c>
      <c r="AF217" s="3">
        <v>0</v>
      </c>
      <c r="AG217" s="3">
        <v>88.545000000000002</v>
      </c>
      <c r="AH217" s="3">
        <v>0</v>
      </c>
      <c r="AI217" s="3">
        <v>0</v>
      </c>
      <c r="AJ217" s="3">
        <f t="shared" si="76"/>
        <v>223.63500000000005</v>
      </c>
      <c r="AK217" s="1">
        <v>0</v>
      </c>
      <c r="AL217" s="1">
        <v>0</v>
      </c>
      <c r="AM217" s="3">
        <f>AG217+AC217</f>
        <v>223.63500000000005</v>
      </c>
      <c r="AN217" s="3">
        <v>0</v>
      </c>
      <c r="AO217" s="1">
        <v>0</v>
      </c>
      <c r="AP217" s="3">
        <f t="shared" si="74"/>
        <v>0</v>
      </c>
      <c r="AQ217" s="1" t="s">
        <v>43</v>
      </c>
    </row>
    <row r="218" spans="1:43" x14ac:dyDescent="0.35">
      <c r="A218" s="1">
        <v>743</v>
      </c>
      <c r="B218" s="2">
        <v>45912</v>
      </c>
      <c r="C218" s="1" t="s">
        <v>64</v>
      </c>
      <c r="D218" s="1">
        <v>9519099563</v>
      </c>
      <c r="E218" s="1">
        <v>15</v>
      </c>
      <c r="F218" s="1" t="s">
        <v>788</v>
      </c>
      <c r="G218" s="1" t="s">
        <v>1155</v>
      </c>
      <c r="H218" s="1" t="s">
        <v>63</v>
      </c>
      <c r="I218" s="1" t="s">
        <v>1404</v>
      </c>
      <c r="K218" s="1" t="s">
        <v>970</v>
      </c>
      <c r="L218" s="1" t="str">
        <f t="shared" ref="L218:L227" si="81">K218</f>
        <v>BPRS</v>
      </c>
      <c r="M218" s="1" t="s">
        <v>1230</v>
      </c>
      <c r="N218" s="1" t="s">
        <v>220</v>
      </c>
      <c r="O218" s="1" t="s">
        <v>120</v>
      </c>
      <c r="P218" s="1">
        <v>185794</v>
      </c>
      <c r="Q218" s="1" t="s">
        <v>219</v>
      </c>
      <c r="R218" s="1">
        <v>1854424</v>
      </c>
      <c r="S218" s="1" t="s">
        <v>249</v>
      </c>
      <c r="T218" s="1" t="s">
        <v>139</v>
      </c>
      <c r="U218" s="1" t="s">
        <v>140</v>
      </c>
      <c r="V218" s="1" t="s">
        <v>150</v>
      </c>
      <c r="W218" s="1">
        <v>0.6</v>
      </c>
      <c r="X218" s="1">
        <v>900</v>
      </c>
      <c r="Y218" s="1">
        <v>0</v>
      </c>
      <c r="Z218" s="3">
        <v>126</v>
      </c>
      <c r="AA218" s="3">
        <v>0</v>
      </c>
      <c r="AB218" s="3">
        <v>126</v>
      </c>
      <c r="AC218" s="3">
        <v>0</v>
      </c>
      <c r="AD218" s="3">
        <f t="shared" si="75"/>
        <v>126</v>
      </c>
      <c r="AE218" s="3">
        <v>0</v>
      </c>
      <c r="AF218" s="3">
        <v>0</v>
      </c>
      <c r="AG218" s="3">
        <v>126</v>
      </c>
      <c r="AH218" s="3">
        <v>0</v>
      </c>
      <c r="AI218" s="3">
        <v>0</v>
      </c>
      <c r="AJ218" s="3">
        <f t="shared" si="76"/>
        <v>126</v>
      </c>
      <c r="AK218" s="1">
        <v>0</v>
      </c>
      <c r="AL218" s="1">
        <v>0</v>
      </c>
      <c r="AM218" s="3">
        <f>AG218</f>
        <v>126</v>
      </c>
      <c r="AN218" s="1">
        <v>0</v>
      </c>
      <c r="AO218" s="1">
        <v>0</v>
      </c>
      <c r="AP218" s="3">
        <f t="shared" si="74"/>
        <v>0</v>
      </c>
      <c r="AQ218" s="1" t="s">
        <v>219</v>
      </c>
    </row>
    <row r="219" spans="1:43" x14ac:dyDescent="0.35">
      <c r="A219" s="1">
        <v>743</v>
      </c>
      <c r="B219" s="2">
        <v>45915</v>
      </c>
      <c r="C219" s="1" t="s">
        <v>64</v>
      </c>
      <c r="D219" s="1">
        <v>9519105231</v>
      </c>
      <c r="E219" s="1">
        <v>4</v>
      </c>
      <c r="F219" s="1" t="s">
        <v>789</v>
      </c>
      <c r="G219" s="1" t="s">
        <v>1155</v>
      </c>
      <c r="H219" s="1" t="s">
        <v>63</v>
      </c>
      <c r="I219" s="1" t="s">
        <v>1404</v>
      </c>
      <c r="K219" s="1" t="s">
        <v>970</v>
      </c>
      <c r="L219" s="1" t="str">
        <f t="shared" si="81"/>
        <v>BPRS</v>
      </c>
      <c r="M219" s="1" t="s">
        <v>1231</v>
      </c>
      <c r="N219" s="1" t="s">
        <v>214</v>
      </c>
      <c r="O219" s="1" t="s">
        <v>97</v>
      </c>
      <c r="P219" s="1">
        <v>931525</v>
      </c>
      <c r="Q219" s="1" t="s">
        <v>213</v>
      </c>
      <c r="R219" s="1">
        <v>1854418</v>
      </c>
      <c r="S219" s="1" t="s">
        <v>176</v>
      </c>
      <c r="T219" s="1" t="s">
        <v>139</v>
      </c>
      <c r="U219" s="1" t="s">
        <v>140</v>
      </c>
      <c r="V219" s="1" t="s">
        <v>150</v>
      </c>
      <c r="W219" s="1">
        <v>0.5</v>
      </c>
      <c r="X219" s="1">
        <v>900</v>
      </c>
      <c r="Y219" s="1">
        <v>0</v>
      </c>
      <c r="Z219" s="3">
        <v>84</v>
      </c>
      <c r="AA219" s="3">
        <v>0</v>
      </c>
      <c r="AB219" s="3">
        <v>84</v>
      </c>
      <c r="AC219" s="3">
        <v>0</v>
      </c>
      <c r="AD219" s="3">
        <f t="shared" si="75"/>
        <v>84</v>
      </c>
      <c r="AE219" s="3">
        <v>0</v>
      </c>
      <c r="AF219" s="3">
        <v>0</v>
      </c>
      <c r="AG219" s="3">
        <v>0</v>
      </c>
      <c r="AH219" s="3">
        <v>0</v>
      </c>
      <c r="AI219" s="3">
        <v>84</v>
      </c>
      <c r="AJ219" s="3">
        <f t="shared" si="76"/>
        <v>84</v>
      </c>
      <c r="AK219" s="1">
        <v>0</v>
      </c>
      <c r="AL219" s="1">
        <v>0</v>
      </c>
      <c r="AM219" s="1">
        <v>0</v>
      </c>
      <c r="AN219" s="1">
        <v>0</v>
      </c>
      <c r="AO219" s="3">
        <f>AI219</f>
        <v>84</v>
      </c>
      <c r="AP219" s="3">
        <f t="shared" si="74"/>
        <v>0</v>
      </c>
      <c r="AQ219" s="1" t="s">
        <v>213</v>
      </c>
    </row>
    <row r="220" spans="1:43" x14ac:dyDescent="0.35">
      <c r="A220" s="1">
        <v>742</v>
      </c>
      <c r="B220" s="2">
        <v>45888</v>
      </c>
      <c r="C220" s="1" t="s">
        <v>64</v>
      </c>
      <c r="D220" s="1">
        <v>9519029782</v>
      </c>
      <c r="E220" s="1">
        <v>5</v>
      </c>
      <c r="F220" s="1" t="s">
        <v>790</v>
      </c>
      <c r="G220" s="1" t="s">
        <v>1155</v>
      </c>
      <c r="H220" s="1" t="s">
        <v>21</v>
      </c>
      <c r="I220" s="1" t="s">
        <v>71</v>
      </c>
      <c r="K220" s="1" t="s">
        <v>970</v>
      </c>
      <c r="L220" s="1" t="str">
        <f t="shared" si="81"/>
        <v>BPRS</v>
      </c>
      <c r="M220" s="1" t="s">
        <v>1230</v>
      </c>
      <c r="N220" s="1" t="s">
        <v>156</v>
      </c>
      <c r="O220" s="1" t="s">
        <v>157</v>
      </c>
      <c r="P220" s="1">
        <v>103227</v>
      </c>
      <c r="Q220" s="1" t="s">
        <v>155</v>
      </c>
      <c r="R220" s="1">
        <v>2441002</v>
      </c>
      <c r="S220" s="1" t="s">
        <v>347</v>
      </c>
      <c r="T220" s="1" t="s">
        <v>75</v>
      </c>
      <c r="U220" s="1" t="s">
        <v>122</v>
      </c>
      <c r="V220" s="1" t="s">
        <v>123</v>
      </c>
      <c r="W220" s="1">
        <v>0.38</v>
      </c>
      <c r="X220" s="1">
        <v>1250</v>
      </c>
      <c r="Y220" s="1">
        <v>2500</v>
      </c>
      <c r="Z220" s="3">
        <v>29</v>
      </c>
      <c r="AA220" s="3">
        <v>0</v>
      </c>
      <c r="AB220" s="3">
        <v>29</v>
      </c>
      <c r="AC220" s="3">
        <v>0</v>
      </c>
      <c r="AD220" s="3">
        <f t="shared" si="75"/>
        <v>29</v>
      </c>
      <c r="AE220" s="3">
        <v>0</v>
      </c>
      <c r="AF220" s="3">
        <v>29</v>
      </c>
      <c r="AG220" s="3">
        <v>0</v>
      </c>
      <c r="AH220" s="3">
        <v>0</v>
      </c>
      <c r="AI220" s="3">
        <v>0</v>
      </c>
      <c r="AJ220" s="3">
        <f t="shared" si="76"/>
        <v>29</v>
      </c>
      <c r="AK220" s="1">
        <v>0</v>
      </c>
      <c r="AL220" s="3">
        <f>AF220</f>
        <v>29</v>
      </c>
      <c r="AM220" s="3">
        <v>0</v>
      </c>
      <c r="AN220" s="3">
        <f>AG220</f>
        <v>0</v>
      </c>
      <c r="AO220" s="3">
        <f>AH220</f>
        <v>0</v>
      </c>
      <c r="AP220" s="3">
        <f t="shared" si="74"/>
        <v>0</v>
      </c>
      <c r="AQ220" s="1" t="s">
        <v>155</v>
      </c>
    </row>
    <row r="221" spans="1:43" x14ac:dyDescent="0.35">
      <c r="A221" s="1">
        <v>742</v>
      </c>
      <c r="B221" s="2">
        <v>45888</v>
      </c>
      <c r="C221" s="1" t="s">
        <v>64</v>
      </c>
      <c r="D221" s="1">
        <v>9519029800</v>
      </c>
      <c r="E221" s="1">
        <v>5</v>
      </c>
      <c r="F221" s="1" t="s">
        <v>791</v>
      </c>
      <c r="G221" s="1" t="s">
        <v>1155</v>
      </c>
      <c r="H221" s="1" t="s">
        <v>21</v>
      </c>
      <c r="I221" s="1" t="s">
        <v>71</v>
      </c>
      <c r="K221" s="1" t="s">
        <v>970</v>
      </c>
      <c r="L221" s="1" t="str">
        <f t="shared" si="81"/>
        <v>BPRS</v>
      </c>
      <c r="M221" s="1" t="s">
        <v>1230</v>
      </c>
      <c r="N221" s="1" t="s">
        <v>318</v>
      </c>
      <c r="O221" s="1" t="s">
        <v>157</v>
      </c>
      <c r="P221" s="1">
        <v>103227</v>
      </c>
      <c r="Q221" s="1" t="s">
        <v>155</v>
      </c>
      <c r="R221" s="1">
        <v>2441002</v>
      </c>
      <c r="S221" s="1" t="s">
        <v>347</v>
      </c>
      <c r="T221" s="1" t="s">
        <v>75</v>
      </c>
      <c r="U221" s="1" t="s">
        <v>122</v>
      </c>
      <c r="V221" s="1" t="s">
        <v>123</v>
      </c>
      <c r="W221" s="1">
        <v>0.38</v>
      </c>
      <c r="X221" s="1">
        <v>1250</v>
      </c>
      <c r="Y221" s="1">
        <v>2500</v>
      </c>
      <c r="Z221" s="3">
        <v>29</v>
      </c>
      <c r="AA221" s="3">
        <v>0</v>
      </c>
      <c r="AB221" s="3">
        <v>29</v>
      </c>
      <c r="AC221" s="3">
        <v>0</v>
      </c>
      <c r="AD221" s="3">
        <f t="shared" si="75"/>
        <v>29</v>
      </c>
      <c r="AE221" s="3">
        <v>0</v>
      </c>
      <c r="AF221" s="3">
        <v>0</v>
      </c>
      <c r="AG221" s="3">
        <v>0</v>
      </c>
      <c r="AH221" s="3">
        <v>0</v>
      </c>
      <c r="AI221" s="3">
        <v>29</v>
      </c>
      <c r="AJ221" s="3">
        <f t="shared" si="76"/>
        <v>0</v>
      </c>
      <c r="AK221" s="1">
        <v>0</v>
      </c>
      <c r="AL221" s="3">
        <f t="shared" ref="AL221:AO222" si="82">AE221</f>
        <v>0</v>
      </c>
      <c r="AM221" s="3">
        <f t="shared" si="82"/>
        <v>0</v>
      </c>
      <c r="AN221" s="3">
        <f t="shared" si="82"/>
        <v>0</v>
      </c>
      <c r="AO221" s="3">
        <f t="shared" si="82"/>
        <v>0</v>
      </c>
      <c r="AP221" s="3">
        <f t="shared" si="74"/>
        <v>29</v>
      </c>
      <c r="AQ221" s="1" t="s">
        <v>155</v>
      </c>
    </row>
    <row r="222" spans="1:43" x14ac:dyDescent="0.35">
      <c r="A222" s="1">
        <v>742</v>
      </c>
      <c r="B222" s="2">
        <v>45881</v>
      </c>
      <c r="C222" s="1" t="s">
        <v>64</v>
      </c>
      <c r="D222" s="1">
        <v>9519011585</v>
      </c>
      <c r="E222" s="1">
        <v>1</v>
      </c>
      <c r="F222" s="1" t="s">
        <v>792</v>
      </c>
      <c r="G222" s="1" t="s">
        <v>1155</v>
      </c>
      <c r="H222" s="1" t="s">
        <v>21</v>
      </c>
      <c r="I222" s="1" t="s">
        <v>22</v>
      </c>
      <c r="K222" s="1" t="s">
        <v>970</v>
      </c>
      <c r="L222" s="1" t="str">
        <f t="shared" si="81"/>
        <v>BPRS</v>
      </c>
      <c r="M222" s="1" t="s">
        <v>1228</v>
      </c>
      <c r="N222" s="1" t="s">
        <v>37</v>
      </c>
      <c r="O222" s="1" t="s">
        <v>38</v>
      </c>
      <c r="P222" s="1">
        <v>116734</v>
      </c>
      <c r="Q222" s="1" t="s">
        <v>36</v>
      </c>
      <c r="R222" s="1">
        <v>1804772</v>
      </c>
      <c r="S222" s="1" t="s">
        <v>271</v>
      </c>
      <c r="T222" s="1" t="s">
        <v>28</v>
      </c>
      <c r="U222" s="1" t="s">
        <v>29</v>
      </c>
      <c r="V222" s="1" t="s">
        <v>30</v>
      </c>
      <c r="W222" s="1">
        <v>0.4</v>
      </c>
      <c r="X222" s="1">
        <v>1250</v>
      </c>
      <c r="Y222" s="1">
        <v>0</v>
      </c>
      <c r="Z222" s="3">
        <v>58</v>
      </c>
      <c r="AA222" s="3">
        <v>0</v>
      </c>
      <c r="AB222" s="3">
        <v>58</v>
      </c>
      <c r="AC222" s="3">
        <v>0</v>
      </c>
      <c r="AD222" s="3">
        <f t="shared" si="75"/>
        <v>58</v>
      </c>
      <c r="AE222" s="3">
        <v>0</v>
      </c>
      <c r="AF222" s="3">
        <v>58</v>
      </c>
      <c r="AG222" s="3">
        <v>0</v>
      </c>
      <c r="AH222" s="3">
        <v>0</v>
      </c>
      <c r="AI222" s="3">
        <v>0</v>
      </c>
      <c r="AJ222" s="3">
        <f t="shared" si="76"/>
        <v>58</v>
      </c>
      <c r="AK222" s="1">
        <v>0</v>
      </c>
      <c r="AL222" s="3">
        <f t="shared" si="82"/>
        <v>0</v>
      </c>
      <c r="AM222" s="3">
        <f t="shared" si="82"/>
        <v>58</v>
      </c>
      <c r="AN222" s="3">
        <f t="shared" si="82"/>
        <v>0</v>
      </c>
      <c r="AO222" s="3">
        <f t="shared" si="82"/>
        <v>0</v>
      </c>
      <c r="AP222" s="3">
        <f t="shared" si="74"/>
        <v>0</v>
      </c>
      <c r="AQ222" s="1" t="s">
        <v>36</v>
      </c>
    </row>
    <row r="223" spans="1:43" x14ac:dyDescent="0.35">
      <c r="A223" s="1">
        <v>742</v>
      </c>
      <c r="B223" s="2">
        <v>45896</v>
      </c>
      <c r="C223" s="1" t="s">
        <v>64</v>
      </c>
      <c r="D223" s="1">
        <v>9519054316</v>
      </c>
      <c r="E223" s="1">
        <v>2</v>
      </c>
      <c r="F223" s="1" t="s">
        <v>793</v>
      </c>
      <c r="G223" s="1" t="s">
        <v>1155</v>
      </c>
      <c r="H223" s="1" t="s">
        <v>21</v>
      </c>
      <c r="I223" s="1" t="s">
        <v>970</v>
      </c>
      <c r="K223" s="1" t="s">
        <v>970</v>
      </c>
      <c r="L223" s="1" t="str">
        <f t="shared" si="81"/>
        <v>BPRS</v>
      </c>
      <c r="M223" s="1" t="s">
        <v>1230</v>
      </c>
      <c r="N223" s="1" t="s">
        <v>187</v>
      </c>
      <c r="O223" s="1" t="s">
        <v>120</v>
      </c>
      <c r="P223" s="1">
        <v>165053</v>
      </c>
      <c r="Q223" s="1" t="s">
        <v>186</v>
      </c>
      <c r="R223" s="1">
        <v>3755738</v>
      </c>
      <c r="S223" s="1" t="s">
        <v>188</v>
      </c>
      <c r="T223" s="1" t="s">
        <v>28</v>
      </c>
      <c r="U223" s="1" t="s">
        <v>189</v>
      </c>
      <c r="V223" s="1" t="s">
        <v>190</v>
      </c>
      <c r="W223" s="1">
        <v>1.2</v>
      </c>
      <c r="X223" s="1">
        <v>1250</v>
      </c>
      <c r="Y223" s="1">
        <v>0</v>
      </c>
      <c r="Z223" s="3">
        <v>116</v>
      </c>
      <c r="AA223" s="3">
        <v>0</v>
      </c>
      <c r="AB223" s="3">
        <v>115.999</v>
      </c>
      <c r="AC223" s="3">
        <v>0</v>
      </c>
      <c r="AD223" s="3">
        <f t="shared" si="75"/>
        <v>115.999</v>
      </c>
      <c r="AE223" s="3">
        <v>0</v>
      </c>
      <c r="AF223" s="3">
        <v>0</v>
      </c>
      <c r="AG223" s="3">
        <v>0</v>
      </c>
      <c r="AH223" s="3">
        <v>0</v>
      </c>
      <c r="AI223" s="3">
        <v>115.999</v>
      </c>
      <c r="AJ223" s="3">
        <f t="shared" si="76"/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3">
        <f t="shared" si="74"/>
        <v>115.999</v>
      </c>
      <c r="AQ223" s="1" t="s">
        <v>186</v>
      </c>
    </row>
    <row r="224" spans="1:43" x14ac:dyDescent="0.35">
      <c r="A224" s="1">
        <v>744</v>
      </c>
      <c r="B224" s="2">
        <v>45864</v>
      </c>
      <c r="C224" s="1" t="s">
        <v>64</v>
      </c>
      <c r="D224" s="1">
        <v>9518962673</v>
      </c>
      <c r="E224" s="1">
        <v>5</v>
      </c>
      <c r="F224" s="1" t="s">
        <v>794</v>
      </c>
      <c r="G224" s="1" t="s">
        <v>1367</v>
      </c>
      <c r="H224" s="1" t="s">
        <v>86</v>
      </c>
      <c r="I224" s="1" t="s">
        <v>968</v>
      </c>
      <c r="K224" s="1" t="s">
        <v>969</v>
      </c>
      <c r="L224" s="1" t="str">
        <f t="shared" si="81"/>
        <v>IPP</v>
      </c>
      <c r="M224" s="1" t="s">
        <v>1232</v>
      </c>
      <c r="O224" s="1" t="s">
        <v>54</v>
      </c>
      <c r="P224" s="1">
        <v>941597</v>
      </c>
      <c r="Q224" s="1" t="s">
        <v>87</v>
      </c>
      <c r="R224" s="1">
        <v>3902332</v>
      </c>
      <c r="S224" s="1" t="s">
        <v>142</v>
      </c>
      <c r="T224" s="1" t="s">
        <v>88</v>
      </c>
      <c r="U224" s="1" t="s">
        <v>89</v>
      </c>
      <c r="V224" s="1" t="s">
        <v>143</v>
      </c>
      <c r="W224" s="1">
        <v>0.5</v>
      </c>
      <c r="X224" s="1">
        <v>1220</v>
      </c>
      <c r="Y224" s="1">
        <v>0</v>
      </c>
      <c r="Z224" s="3">
        <v>251.99600000000001</v>
      </c>
      <c r="AA224" s="3">
        <v>247.62</v>
      </c>
      <c r="AB224" s="3">
        <v>4.3760000000000003</v>
      </c>
      <c r="AC224" s="3">
        <v>9.129999999999999</v>
      </c>
      <c r="AD224" s="3">
        <f t="shared" si="75"/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f t="shared" si="76"/>
        <v>9.129999999999999</v>
      </c>
      <c r="AK224" s="3">
        <f>AC224</f>
        <v>9.129999999999999</v>
      </c>
      <c r="AL224" s="1">
        <v>0</v>
      </c>
      <c r="AM224" s="1">
        <v>0</v>
      </c>
      <c r="AN224" s="1">
        <v>0</v>
      </c>
      <c r="AO224" s="1">
        <v>0</v>
      </c>
      <c r="AP224" s="3">
        <f t="shared" si="74"/>
        <v>0</v>
      </c>
      <c r="AQ224" s="1" t="s">
        <v>87</v>
      </c>
    </row>
    <row r="225" spans="1:43" x14ac:dyDescent="0.35">
      <c r="A225" s="1">
        <v>742</v>
      </c>
      <c r="B225" s="2">
        <v>45888</v>
      </c>
      <c r="C225" s="1" t="s">
        <v>64</v>
      </c>
      <c r="D225" s="1">
        <v>9519029800</v>
      </c>
      <c r="E225" s="1">
        <v>6</v>
      </c>
      <c r="F225" s="1" t="s">
        <v>795</v>
      </c>
      <c r="G225" s="1" t="s">
        <v>1155</v>
      </c>
      <c r="H225" s="1" t="s">
        <v>21</v>
      </c>
      <c r="I225" s="1" t="s">
        <v>71</v>
      </c>
      <c r="K225" s="1" t="s">
        <v>970</v>
      </c>
      <c r="L225" s="1" t="str">
        <f t="shared" si="81"/>
        <v>BPRS</v>
      </c>
      <c r="M225" s="1" t="s">
        <v>1230</v>
      </c>
      <c r="N225" s="1" t="s">
        <v>318</v>
      </c>
      <c r="O225" s="1" t="s">
        <v>157</v>
      </c>
      <c r="P225" s="1">
        <v>103227</v>
      </c>
      <c r="Q225" s="1" t="s">
        <v>155</v>
      </c>
      <c r="R225" s="1">
        <v>3239557</v>
      </c>
      <c r="S225" s="1" t="s">
        <v>158</v>
      </c>
      <c r="T225" s="1" t="s">
        <v>75</v>
      </c>
      <c r="U225" s="1" t="s">
        <v>122</v>
      </c>
      <c r="V225" s="1" t="s">
        <v>123</v>
      </c>
      <c r="W225" s="1">
        <v>0.4</v>
      </c>
      <c r="X225" s="1">
        <v>1250</v>
      </c>
      <c r="Y225" s="1">
        <v>2500</v>
      </c>
      <c r="Z225" s="3">
        <v>29</v>
      </c>
      <c r="AA225" s="3">
        <v>0</v>
      </c>
      <c r="AB225" s="3">
        <v>29</v>
      </c>
      <c r="AC225" s="3">
        <v>0</v>
      </c>
      <c r="AD225" s="3">
        <f t="shared" si="75"/>
        <v>29</v>
      </c>
      <c r="AE225" s="3">
        <v>0</v>
      </c>
      <c r="AF225" s="3">
        <v>0</v>
      </c>
      <c r="AG225" s="3">
        <v>0</v>
      </c>
      <c r="AH225" s="3">
        <v>0</v>
      </c>
      <c r="AI225" s="3">
        <v>29</v>
      </c>
      <c r="AJ225" s="3">
        <f t="shared" si="76"/>
        <v>0</v>
      </c>
      <c r="AK225" s="1">
        <v>0</v>
      </c>
      <c r="AL225" s="3">
        <f>AE225</f>
        <v>0</v>
      </c>
      <c r="AM225" s="3">
        <f>AF225</f>
        <v>0</v>
      </c>
      <c r="AN225" s="3">
        <f>AG225</f>
        <v>0</v>
      </c>
      <c r="AO225" s="3">
        <f>AH225</f>
        <v>0</v>
      </c>
      <c r="AP225" s="3">
        <f t="shared" si="74"/>
        <v>29</v>
      </c>
      <c r="AQ225" s="1" t="s">
        <v>155</v>
      </c>
    </row>
    <row r="226" spans="1:43" x14ac:dyDescent="0.35">
      <c r="A226" s="1">
        <v>742</v>
      </c>
      <c r="B226" s="2">
        <v>45874</v>
      </c>
      <c r="C226" s="1" t="s">
        <v>64</v>
      </c>
      <c r="D226" s="1">
        <v>9518995071</v>
      </c>
      <c r="E226" s="1">
        <v>4</v>
      </c>
      <c r="F226" s="1" t="s">
        <v>796</v>
      </c>
      <c r="G226" s="1" t="s">
        <v>1367</v>
      </c>
      <c r="H226" s="1" t="s">
        <v>21</v>
      </c>
      <c r="I226" s="1" t="s">
        <v>22</v>
      </c>
      <c r="K226" s="1" t="s">
        <v>970</v>
      </c>
      <c r="L226" s="1" t="str">
        <f t="shared" si="81"/>
        <v>BPRS</v>
      </c>
      <c r="M226" s="1" t="s">
        <v>1231</v>
      </c>
      <c r="N226" s="1" t="s">
        <v>96</v>
      </c>
      <c r="O226" s="1" t="s">
        <v>26</v>
      </c>
      <c r="P226" s="1">
        <v>933952</v>
      </c>
      <c r="Q226" s="1" t="s">
        <v>95</v>
      </c>
      <c r="R226" s="1">
        <v>1804854</v>
      </c>
      <c r="S226" s="1" t="s">
        <v>211</v>
      </c>
      <c r="T226" s="1" t="s">
        <v>28</v>
      </c>
      <c r="U226" s="1" t="s">
        <v>29</v>
      </c>
      <c r="V226" s="1" t="s">
        <v>30</v>
      </c>
      <c r="W226" s="1">
        <v>1.2</v>
      </c>
      <c r="X226" s="1">
        <v>1250</v>
      </c>
      <c r="Y226" s="1">
        <v>0</v>
      </c>
      <c r="Z226" s="3">
        <v>29</v>
      </c>
      <c r="AA226" s="3">
        <v>23.9</v>
      </c>
      <c r="AB226" s="3">
        <v>5.0999999999999996</v>
      </c>
      <c r="AC226" s="3">
        <v>23.9</v>
      </c>
      <c r="AD226" s="3">
        <f t="shared" ref="AD226:AD258" si="83">SUM(AE226:AI226)</f>
        <v>5.0999999999999996</v>
      </c>
      <c r="AE226" s="3">
        <v>0</v>
      </c>
      <c r="AF226" s="3">
        <v>5.0999999999999996</v>
      </c>
      <c r="AG226" s="3">
        <v>0</v>
      </c>
      <c r="AH226" s="3">
        <v>0</v>
      </c>
      <c r="AI226" s="3">
        <v>0</v>
      </c>
      <c r="AJ226" s="3">
        <f t="shared" ref="AJ226:AJ258" si="84">SUM(AK226:AO226)</f>
        <v>29</v>
      </c>
      <c r="AK226" s="1">
        <v>0</v>
      </c>
      <c r="AL226" s="1">
        <v>0</v>
      </c>
      <c r="AM226" s="3">
        <f>AF226+AC226</f>
        <v>29</v>
      </c>
      <c r="AN226" s="1">
        <v>0</v>
      </c>
      <c r="AO226" s="1">
        <v>0</v>
      </c>
      <c r="AP226" s="3">
        <f t="shared" si="74"/>
        <v>0</v>
      </c>
      <c r="AQ226" s="1" t="s">
        <v>95</v>
      </c>
    </row>
    <row r="227" spans="1:43" x14ac:dyDescent="0.35">
      <c r="A227" s="1">
        <v>743</v>
      </c>
      <c r="B227" s="2">
        <v>45891</v>
      </c>
      <c r="C227" s="1" t="s">
        <v>64</v>
      </c>
      <c r="D227" s="1">
        <v>9519038643</v>
      </c>
      <c r="E227" s="1">
        <v>2</v>
      </c>
      <c r="F227" s="1" t="s">
        <v>797</v>
      </c>
      <c r="G227" s="1" t="s">
        <v>1155</v>
      </c>
      <c r="H227" s="1" t="s">
        <v>63</v>
      </c>
      <c r="I227" s="1" t="s">
        <v>1404</v>
      </c>
      <c r="K227" s="1" t="s">
        <v>970</v>
      </c>
      <c r="L227" s="1" t="str">
        <f t="shared" si="81"/>
        <v>BPRS</v>
      </c>
      <c r="M227" s="1" t="s">
        <v>1230</v>
      </c>
      <c r="N227" s="1" t="s">
        <v>384</v>
      </c>
      <c r="O227" s="1" t="s">
        <v>151</v>
      </c>
      <c r="P227" s="1">
        <v>100922</v>
      </c>
      <c r="Q227" s="1" t="s">
        <v>334</v>
      </c>
      <c r="R227" s="1">
        <v>1191956</v>
      </c>
      <c r="S227" s="1" t="s">
        <v>254</v>
      </c>
      <c r="T227" s="1" t="s">
        <v>139</v>
      </c>
      <c r="U227" s="1" t="s">
        <v>140</v>
      </c>
      <c r="V227" s="1" t="s">
        <v>150</v>
      </c>
      <c r="W227" s="1">
        <v>0.35</v>
      </c>
      <c r="X227" s="1">
        <v>900</v>
      </c>
      <c r="Y227" s="1">
        <v>0</v>
      </c>
      <c r="Z227" s="3">
        <v>105</v>
      </c>
      <c r="AA227" s="3">
        <v>0</v>
      </c>
      <c r="AB227" s="3">
        <v>105</v>
      </c>
      <c r="AC227" s="3">
        <v>0</v>
      </c>
      <c r="AD227" s="3">
        <f t="shared" si="83"/>
        <v>105</v>
      </c>
      <c r="AE227" s="3">
        <v>0</v>
      </c>
      <c r="AF227" s="3">
        <v>0</v>
      </c>
      <c r="AG227" s="3">
        <v>0</v>
      </c>
      <c r="AH227" s="3">
        <v>105</v>
      </c>
      <c r="AI227" s="3">
        <v>0</v>
      </c>
      <c r="AJ227" s="3">
        <f t="shared" si="84"/>
        <v>105</v>
      </c>
      <c r="AK227" s="1">
        <v>0</v>
      </c>
      <c r="AL227" s="1">
        <v>0</v>
      </c>
      <c r="AM227" s="1">
        <v>0</v>
      </c>
      <c r="AN227" s="3">
        <f>AH227</f>
        <v>105</v>
      </c>
      <c r="AO227" s="1">
        <v>0</v>
      </c>
      <c r="AP227" s="3">
        <f t="shared" si="74"/>
        <v>0</v>
      </c>
      <c r="AQ227" s="1" t="s">
        <v>334</v>
      </c>
    </row>
    <row r="228" spans="1:43" x14ac:dyDescent="0.35">
      <c r="A228" s="1">
        <v>742</v>
      </c>
      <c r="B228" s="2">
        <v>45887</v>
      </c>
      <c r="C228" s="1" t="s">
        <v>46</v>
      </c>
      <c r="D228" s="1">
        <v>9519023959</v>
      </c>
      <c r="E228" s="1">
        <v>1</v>
      </c>
      <c r="F228" s="1" t="s">
        <v>798</v>
      </c>
      <c r="G228" s="1" t="s">
        <v>1155</v>
      </c>
      <c r="H228" s="1" t="s">
        <v>21</v>
      </c>
      <c r="I228" s="1" t="s">
        <v>974</v>
      </c>
      <c r="K228" s="1" t="s">
        <v>969</v>
      </c>
      <c r="L228" s="1" t="s">
        <v>1421</v>
      </c>
      <c r="M228" s="1" t="s">
        <v>1229</v>
      </c>
      <c r="N228" s="1" t="s">
        <v>47</v>
      </c>
      <c r="O228" s="1" t="s">
        <v>58</v>
      </c>
      <c r="P228" s="1">
        <v>600250</v>
      </c>
      <c r="Q228" s="1" t="s">
        <v>43</v>
      </c>
      <c r="R228" s="1">
        <v>3659268</v>
      </c>
      <c r="S228" s="1" t="s">
        <v>133</v>
      </c>
      <c r="T228" s="1" t="s">
        <v>28</v>
      </c>
      <c r="U228" s="1" t="s">
        <v>117</v>
      </c>
      <c r="V228" s="1" t="s">
        <v>134</v>
      </c>
      <c r="W228" s="1">
        <v>0.5</v>
      </c>
      <c r="X228" s="1">
        <v>1217</v>
      </c>
      <c r="Y228" s="1">
        <v>0</v>
      </c>
      <c r="Z228" s="3">
        <v>280</v>
      </c>
      <c r="AA228" s="3">
        <v>0</v>
      </c>
      <c r="AB228" s="3">
        <v>280</v>
      </c>
      <c r="AC228" s="3">
        <v>0</v>
      </c>
      <c r="AD228" s="3">
        <f t="shared" si="83"/>
        <v>280</v>
      </c>
      <c r="AE228" s="3">
        <v>0</v>
      </c>
      <c r="AF228" s="3">
        <v>0</v>
      </c>
      <c r="AG228" s="3">
        <v>280</v>
      </c>
      <c r="AH228" s="3">
        <v>0</v>
      </c>
      <c r="AI228" s="3">
        <v>0</v>
      </c>
      <c r="AJ228" s="3">
        <f t="shared" si="84"/>
        <v>280</v>
      </c>
      <c r="AK228" s="1">
        <v>0</v>
      </c>
      <c r="AL228" s="3">
        <f t="shared" ref="AL228:AL229" si="85">AE228</f>
        <v>0</v>
      </c>
      <c r="AM228" s="3">
        <f t="shared" ref="AM228:AM229" si="86">AF228</f>
        <v>0</v>
      </c>
      <c r="AN228" s="3">
        <f t="shared" ref="AN228:AN229" si="87">AG228</f>
        <v>280</v>
      </c>
      <c r="AO228" s="3">
        <f t="shared" ref="AO228:AO229" si="88">AH228</f>
        <v>0</v>
      </c>
      <c r="AP228" s="3">
        <f t="shared" si="74"/>
        <v>0</v>
      </c>
      <c r="AQ228" s="1" t="s">
        <v>43</v>
      </c>
    </row>
    <row r="229" spans="1:43" x14ac:dyDescent="0.35">
      <c r="A229" s="1">
        <v>742</v>
      </c>
      <c r="B229" s="2">
        <v>45887</v>
      </c>
      <c r="C229" s="1" t="s">
        <v>46</v>
      </c>
      <c r="D229" s="1">
        <v>9519023959</v>
      </c>
      <c r="E229" s="1">
        <v>2</v>
      </c>
      <c r="F229" s="1" t="s">
        <v>799</v>
      </c>
      <c r="G229" s="1" t="s">
        <v>1155</v>
      </c>
      <c r="H229" s="1" t="s">
        <v>21</v>
      </c>
      <c r="I229" s="1" t="s">
        <v>974</v>
      </c>
      <c r="K229" s="1" t="s">
        <v>969</v>
      </c>
      <c r="L229" s="1" t="s">
        <v>1421</v>
      </c>
      <c r="M229" s="1" t="s">
        <v>1229</v>
      </c>
      <c r="N229" s="1" t="s">
        <v>47</v>
      </c>
      <c r="O229" s="1" t="s">
        <v>58</v>
      </c>
      <c r="P229" s="1">
        <v>600250</v>
      </c>
      <c r="Q229" s="1" t="s">
        <v>43</v>
      </c>
      <c r="R229" s="1">
        <v>3704262</v>
      </c>
      <c r="S229" s="1" t="s">
        <v>450</v>
      </c>
      <c r="T229" s="1" t="s">
        <v>28</v>
      </c>
      <c r="U229" s="1" t="s">
        <v>117</v>
      </c>
      <c r="V229" s="1" t="s">
        <v>134</v>
      </c>
      <c r="W229" s="1">
        <v>1</v>
      </c>
      <c r="X229" s="1">
        <v>1250</v>
      </c>
      <c r="Y229" s="1">
        <v>0</v>
      </c>
      <c r="Z229" s="3">
        <v>29</v>
      </c>
      <c r="AA229" s="3">
        <v>0</v>
      </c>
      <c r="AB229" s="3">
        <v>29</v>
      </c>
      <c r="AC229" s="3">
        <v>0</v>
      </c>
      <c r="AD229" s="3">
        <f t="shared" si="83"/>
        <v>29</v>
      </c>
      <c r="AE229" s="3">
        <v>0</v>
      </c>
      <c r="AF229" s="3">
        <v>0</v>
      </c>
      <c r="AG229" s="3">
        <v>0</v>
      </c>
      <c r="AH229" s="3">
        <v>0</v>
      </c>
      <c r="AI229" s="3">
        <v>29</v>
      </c>
      <c r="AJ229" s="3">
        <f t="shared" si="84"/>
        <v>0</v>
      </c>
      <c r="AK229" s="1">
        <v>0</v>
      </c>
      <c r="AL229" s="3">
        <f t="shared" si="85"/>
        <v>0</v>
      </c>
      <c r="AM229" s="3">
        <f t="shared" si="86"/>
        <v>0</v>
      </c>
      <c r="AN229" s="3">
        <f t="shared" si="87"/>
        <v>0</v>
      </c>
      <c r="AO229" s="3">
        <f t="shared" si="88"/>
        <v>0</v>
      </c>
      <c r="AP229" s="3">
        <f t="shared" si="74"/>
        <v>29</v>
      </c>
      <c r="AQ229" s="1" t="s">
        <v>43</v>
      </c>
    </row>
    <row r="230" spans="1:43" x14ac:dyDescent="0.35">
      <c r="A230" s="1">
        <v>743</v>
      </c>
      <c r="B230" s="2">
        <v>45902</v>
      </c>
      <c r="C230" s="1" t="s">
        <v>64</v>
      </c>
      <c r="D230" s="1">
        <v>9519073218</v>
      </c>
      <c r="E230" s="1">
        <v>2</v>
      </c>
      <c r="F230" s="1" t="s">
        <v>800</v>
      </c>
      <c r="G230" s="1" t="s">
        <v>393</v>
      </c>
      <c r="H230" s="1" t="s">
        <v>63</v>
      </c>
      <c r="I230" s="1" t="s">
        <v>1368</v>
      </c>
      <c r="K230" s="1" t="s">
        <v>970</v>
      </c>
      <c r="L230" s="1" t="str">
        <f t="shared" ref="L230:L262" si="89">K230</f>
        <v>BPRS</v>
      </c>
      <c r="M230" s="1" t="s">
        <v>1231</v>
      </c>
      <c r="N230" s="1" t="s">
        <v>96</v>
      </c>
      <c r="O230" s="1" t="s">
        <v>97</v>
      </c>
      <c r="P230" s="1">
        <v>933952</v>
      </c>
      <c r="Q230" s="1" t="s">
        <v>95</v>
      </c>
      <c r="R230" s="1">
        <v>2332906</v>
      </c>
      <c r="S230" s="1" t="s">
        <v>451</v>
      </c>
      <c r="T230" s="1" t="s">
        <v>139</v>
      </c>
      <c r="U230" s="1" t="s">
        <v>140</v>
      </c>
      <c r="V230" s="1" t="s">
        <v>150</v>
      </c>
      <c r="W230" s="1">
        <v>0.3</v>
      </c>
      <c r="X230" s="1">
        <v>1250</v>
      </c>
      <c r="Y230" s="1">
        <v>0</v>
      </c>
      <c r="Z230" s="3">
        <v>29</v>
      </c>
      <c r="AA230" s="3">
        <v>0</v>
      </c>
      <c r="AB230" s="3">
        <v>29</v>
      </c>
      <c r="AC230" s="3">
        <v>0</v>
      </c>
      <c r="AD230" s="3">
        <f t="shared" si="83"/>
        <v>29</v>
      </c>
      <c r="AE230" s="3">
        <v>0</v>
      </c>
      <c r="AF230" s="3">
        <v>29</v>
      </c>
      <c r="AG230" s="3">
        <v>0</v>
      </c>
      <c r="AH230" s="3">
        <v>0</v>
      </c>
      <c r="AI230" s="3">
        <v>0</v>
      </c>
      <c r="AJ230" s="3">
        <f t="shared" si="84"/>
        <v>29</v>
      </c>
      <c r="AK230" s="1">
        <v>0</v>
      </c>
      <c r="AL230" s="1">
        <v>0</v>
      </c>
      <c r="AM230" s="3">
        <f>AF230</f>
        <v>29</v>
      </c>
      <c r="AN230" s="1">
        <v>0</v>
      </c>
      <c r="AO230" s="1">
        <v>0</v>
      </c>
      <c r="AP230" s="3">
        <f t="shared" si="74"/>
        <v>0</v>
      </c>
      <c r="AQ230" s="1" t="s">
        <v>95</v>
      </c>
    </row>
    <row r="231" spans="1:43" x14ac:dyDescent="0.35">
      <c r="A231" s="1">
        <v>742</v>
      </c>
      <c r="B231" s="2">
        <v>45859</v>
      </c>
      <c r="C231" s="1" t="s">
        <v>64</v>
      </c>
      <c r="D231" s="1">
        <v>9518945284</v>
      </c>
      <c r="E231" s="1">
        <v>1</v>
      </c>
      <c r="F231" s="1" t="s">
        <v>801</v>
      </c>
      <c r="G231" s="1" t="s">
        <v>1155</v>
      </c>
      <c r="H231" s="1" t="s">
        <v>21</v>
      </c>
      <c r="I231" s="1" t="s">
        <v>22</v>
      </c>
      <c r="K231" s="1" t="s">
        <v>970</v>
      </c>
      <c r="L231" s="1" t="str">
        <f t="shared" si="89"/>
        <v>BPRS</v>
      </c>
      <c r="M231" s="1" t="s">
        <v>1229</v>
      </c>
      <c r="N231" s="1" t="s">
        <v>137</v>
      </c>
      <c r="O231" s="1" t="s">
        <v>58</v>
      </c>
      <c r="P231" s="1">
        <v>822271</v>
      </c>
      <c r="Q231" s="1" t="s">
        <v>24</v>
      </c>
      <c r="R231" s="1">
        <v>1884117</v>
      </c>
      <c r="S231" s="1" t="s">
        <v>336</v>
      </c>
      <c r="T231" s="1" t="s">
        <v>28</v>
      </c>
      <c r="U231" s="1" t="s">
        <v>29</v>
      </c>
      <c r="V231" s="1" t="s">
        <v>30</v>
      </c>
      <c r="W231" s="1">
        <v>2</v>
      </c>
      <c r="X231" s="1">
        <v>1250</v>
      </c>
      <c r="Y231" s="1">
        <v>0</v>
      </c>
      <c r="Z231" s="3">
        <v>58</v>
      </c>
      <c r="AA231" s="3">
        <v>31.07</v>
      </c>
      <c r="AB231" s="3">
        <v>26.93</v>
      </c>
      <c r="AC231" s="3">
        <v>0</v>
      </c>
      <c r="AD231" s="3">
        <f t="shared" si="83"/>
        <v>26.93</v>
      </c>
      <c r="AE231" s="3">
        <v>26.93</v>
      </c>
      <c r="AF231" s="3">
        <v>0</v>
      </c>
      <c r="AG231" s="3">
        <v>0</v>
      </c>
      <c r="AH231" s="3">
        <v>0</v>
      </c>
      <c r="AI231" s="3">
        <v>0</v>
      </c>
      <c r="AJ231" s="3">
        <f t="shared" si="84"/>
        <v>26.93</v>
      </c>
      <c r="AK231" s="1">
        <v>0</v>
      </c>
      <c r="AL231" s="3">
        <f t="shared" ref="AL231:AL232" si="90">AE231</f>
        <v>26.93</v>
      </c>
      <c r="AM231" s="3">
        <f t="shared" ref="AM231:AM232" si="91">AF231</f>
        <v>0</v>
      </c>
      <c r="AN231" s="3">
        <f t="shared" ref="AN231:AN232" si="92">AG231</f>
        <v>0</v>
      </c>
      <c r="AO231" s="3">
        <f t="shared" ref="AO231:AO232" si="93">AH231</f>
        <v>0</v>
      </c>
      <c r="AP231" s="3">
        <f t="shared" si="74"/>
        <v>0</v>
      </c>
      <c r="AQ231" s="1" t="s">
        <v>24</v>
      </c>
    </row>
    <row r="232" spans="1:43" x14ac:dyDescent="0.35">
      <c r="A232" s="1">
        <v>742</v>
      </c>
      <c r="B232" s="2">
        <v>45859</v>
      </c>
      <c r="C232" s="1" t="s">
        <v>64</v>
      </c>
      <c r="D232" s="1">
        <v>9518946840</v>
      </c>
      <c r="E232" s="1">
        <v>1</v>
      </c>
      <c r="F232" s="1" t="s">
        <v>802</v>
      </c>
      <c r="G232" s="1" t="s">
        <v>1155</v>
      </c>
      <c r="H232" s="1" t="s">
        <v>21</v>
      </c>
      <c r="I232" s="1" t="s">
        <v>22</v>
      </c>
      <c r="K232" s="1" t="s">
        <v>970</v>
      </c>
      <c r="L232" s="1" t="str">
        <f t="shared" si="89"/>
        <v>BPRS</v>
      </c>
      <c r="M232" s="1" t="s">
        <v>1228</v>
      </c>
      <c r="N232" s="1" t="s">
        <v>37</v>
      </c>
      <c r="O232" s="1" t="s">
        <v>26</v>
      </c>
      <c r="P232" s="1">
        <v>123052</v>
      </c>
      <c r="Q232" s="1" t="s">
        <v>51</v>
      </c>
      <c r="R232" s="1">
        <v>1801290</v>
      </c>
      <c r="S232" s="1" t="s">
        <v>273</v>
      </c>
      <c r="T232" s="1" t="s">
        <v>28</v>
      </c>
      <c r="U232" s="1" t="s">
        <v>29</v>
      </c>
      <c r="V232" s="1" t="s">
        <v>30</v>
      </c>
      <c r="W232" s="1">
        <v>0.6</v>
      </c>
      <c r="X232" s="1">
        <v>1250</v>
      </c>
      <c r="Y232" s="1">
        <v>0</v>
      </c>
      <c r="Z232" s="3">
        <v>58</v>
      </c>
      <c r="AA232" s="3">
        <v>0</v>
      </c>
      <c r="AB232" s="3">
        <v>57.999000000000002</v>
      </c>
      <c r="AC232" s="3">
        <v>0</v>
      </c>
      <c r="AD232" s="3">
        <f t="shared" si="83"/>
        <v>57.999000000000002</v>
      </c>
      <c r="AE232" s="3">
        <v>0</v>
      </c>
      <c r="AF232" s="3">
        <v>57.999000000000002</v>
      </c>
      <c r="AG232" s="3">
        <v>0</v>
      </c>
      <c r="AH232" s="3">
        <v>0</v>
      </c>
      <c r="AI232" s="3">
        <v>0</v>
      </c>
      <c r="AJ232" s="3">
        <f t="shared" si="84"/>
        <v>57.999000000000002</v>
      </c>
      <c r="AK232" s="1">
        <v>0</v>
      </c>
      <c r="AL232" s="3">
        <f t="shared" si="90"/>
        <v>0</v>
      </c>
      <c r="AM232" s="3">
        <f t="shared" si="91"/>
        <v>57.999000000000002</v>
      </c>
      <c r="AN232" s="3">
        <f t="shared" si="92"/>
        <v>0</v>
      </c>
      <c r="AO232" s="3">
        <f t="shared" si="93"/>
        <v>0</v>
      </c>
      <c r="AP232" s="3">
        <f t="shared" si="74"/>
        <v>0</v>
      </c>
      <c r="AQ232" s="1" t="s">
        <v>51</v>
      </c>
    </row>
    <row r="233" spans="1:43" x14ac:dyDescent="0.35">
      <c r="A233" s="1">
        <v>742</v>
      </c>
      <c r="B233" s="2">
        <v>45859</v>
      </c>
      <c r="C233" s="1" t="s">
        <v>64</v>
      </c>
      <c r="D233" s="1">
        <v>9518946840</v>
      </c>
      <c r="E233" s="1">
        <v>2</v>
      </c>
      <c r="F233" s="1" t="s">
        <v>803</v>
      </c>
      <c r="G233" s="1" t="s">
        <v>1367</v>
      </c>
      <c r="H233" s="1" t="s">
        <v>21</v>
      </c>
      <c r="I233" s="1" t="s">
        <v>22</v>
      </c>
      <c r="K233" s="1" t="s">
        <v>970</v>
      </c>
      <c r="L233" s="1" t="str">
        <f t="shared" si="89"/>
        <v>BPRS</v>
      </c>
      <c r="M233" s="1" t="s">
        <v>1228</v>
      </c>
      <c r="N233" s="1" t="s">
        <v>37</v>
      </c>
      <c r="O233" s="1" t="s">
        <v>26</v>
      </c>
      <c r="P233" s="1">
        <v>123052</v>
      </c>
      <c r="Q233" s="1" t="s">
        <v>51</v>
      </c>
      <c r="R233" s="1">
        <v>1804814</v>
      </c>
      <c r="S233" s="1" t="s">
        <v>222</v>
      </c>
      <c r="T233" s="1" t="s">
        <v>28</v>
      </c>
      <c r="U233" s="1" t="s">
        <v>29</v>
      </c>
      <c r="V233" s="1" t="s">
        <v>30</v>
      </c>
      <c r="W233" s="1">
        <v>0.8</v>
      </c>
      <c r="X233" s="1">
        <v>1250</v>
      </c>
      <c r="Y233" s="1">
        <v>0</v>
      </c>
      <c r="Z233" s="3">
        <v>58</v>
      </c>
      <c r="AA233" s="3">
        <v>56.265000000000001</v>
      </c>
      <c r="AB233" s="3">
        <v>1.734</v>
      </c>
      <c r="AC233" s="3">
        <v>11.07</v>
      </c>
      <c r="AD233" s="3">
        <f t="shared" si="83"/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f t="shared" si="84"/>
        <v>11.07</v>
      </c>
      <c r="AK233" s="3">
        <f>AC233</f>
        <v>11.07</v>
      </c>
      <c r="AL233" s="1">
        <v>0</v>
      </c>
      <c r="AM233" s="1">
        <v>0</v>
      </c>
      <c r="AN233" s="1">
        <v>0</v>
      </c>
      <c r="AO233" s="1">
        <v>0</v>
      </c>
      <c r="AP233" s="3">
        <f t="shared" si="74"/>
        <v>0</v>
      </c>
      <c r="AQ233" s="1" t="s">
        <v>51</v>
      </c>
    </row>
    <row r="234" spans="1:43" x14ac:dyDescent="0.35">
      <c r="A234" s="1">
        <v>743</v>
      </c>
      <c r="B234" s="2">
        <v>45912</v>
      </c>
      <c r="C234" s="1" t="s">
        <v>64</v>
      </c>
      <c r="D234" s="1">
        <v>9519099563</v>
      </c>
      <c r="E234" s="1">
        <v>2</v>
      </c>
      <c r="F234" s="1" t="s">
        <v>804</v>
      </c>
      <c r="G234" s="1" t="s">
        <v>1155</v>
      </c>
      <c r="H234" s="1" t="s">
        <v>63</v>
      </c>
      <c r="I234" s="1" t="s">
        <v>1404</v>
      </c>
      <c r="K234" s="1" t="s">
        <v>970</v>
      </c>
      <c r="L234" s="1" t="str">
        <f t="shared" si="89"/>
        <v>BPRS</v>
      </c>
      <c r="M234" s="1" t="s">
        <v>1230</v>
      </c>
      <c r="N234" s="1" t="s">
        <v>220</v>
      </c>
      <c r="O234" s="1" t="s">
        <v>120</v>
      </c>
      <c r="P234" s="1">
        <v>185794</v>
      </c>
      <c r="Q234" s="1" t="s">
        <v>219</v>
      </c>
      <c r="R234" s="1">
        <v>1191955</v>
      </c>
      <c r="S234" s="1" t="s">
        <v>225</v>
      </c>
      <c r="T234" s="1" t="s">
        <v>139</v>
      </c>
      <c r="U234" s="1" t="s">
        <v>140</v>
      </c>
      <c r="V234" s="1" t="s">
        <v>150</v>
      </c>
      <c r="W234" s="1">
        <v>0.3</v>
      </c>
      <c r="X234" s="1">
        <v>900</v>
      </c>
      <c r="Y234" s="1">
        <v>0</v>
      </c>
      <c r="Z234" s="3">
        <v>126</v>
      </c>
      <c r="AA234" s="3">
        <v>0</v>
      </c>
      <c r="AB234" s="3">
        <v>126</v>
      </c>
      <c r="AC234" s="3">
        <v>0</v>
      </c>
      <c r="AD234" s="3">
        <f t="shared" si="83"/>
        <v>126</v>
      </c>
      <c r="AE234" s="3">
        <v>0</v>
      </c>
      <c r="AF234" s="3">
        <v>0</v>
      </c>
      <c r="AG234" s="3">
        <v>126</v>
      </c>
      <c r="AH234" s="3">
        <v>0</v>
      </c>
      <c r="AI234" s="3">
        <v>0</v>
      </c>
      <c r="AJ234" s="3">
        <f t="shared" si="84"/>
        <v>126</v>
      </c>
      <c r="AK234" s="1">
        <v>0</v>
      </c>
      <c r="AL234" s="1">
        <v>0</v>
      </c>
      <c r="AM234" s="3">
        <f>AG234</f>
        <v>126</v>
      </c>
      <c r="AN234" s="1">
        <v>0</v>
      </c>
      <c r="AO234" s="1">
        <v>0</v>
      </c>
      <c r="AP234" s="3">
        <f t="shared" si="74"/>
        <v>0</v>
      </c>
      <c r="AQ234" s="1" t="s">
        <v>219</v>
      </c>
    </row>
    <row r="235" spans="1:43" x14ac:dyDescent="0.35">
      <c r="A235" s="1">
        <v>742</v>
      </c>
      <c r="B235" s="2">
        <v>45888</v>
      </c>
      <c r="C235" s="1" t="s">
        <v>64</v>
      </c>
      <c r="D235" s="1">
        <v>9519028240</v>
      </c>
      <c r="E235" s="1">
        <v>1</v>
      </c>
      <c r="F235" s="1" t="s">
        <v>805</v>
      </c>
      <c r="G235" s="1" t="s">
        <v>393</v>
      </c>
      <c r="H235" s="1" t="s">
        <v>21</v>
      </c>
      <c r="I235" s="1" t="s">
        <v>969</v>
      </c>
      <c r="K235" s="1" t="s">
        <v>969</v>
      </c>
      <c r="L235" s="1" t="str">
        <f t="shared" si="89"/>
        <v>IPP</v>
      </c>
      <c r="M235" s="1" t="s">
        <v>1229</v>
      </c>
      <c r="N235" s="1" t="s">
        <v>73</v>
      </c>
      <c r="O235" s="1" t="s">
        <v>74</v>
      </c>
      <c r="P235" s="1">
        <v>186001</v>
      </c>
      <c r="Q235" s="1" t="s">
        <v>452</v>
      </c>
      <c r="R235" s="1">
        <v>3867646</v>
      </c>
      <c r="S235" s="1" t="s">
        <v>341</v>
      </c>
      <c r="T235" s="1" t="s">
        <v>28</v>
      </c>
      <c r="U235" s="1" t="s">
        <v>29</v>
      </c>
      <c r="V235" s="1" t="s">
        <v>126</v>
      </c>
      <c r="W235" s="1">
        <v>0.6</v>
      </c>
      <c r="X235" s="1">
        <v>900</v>
      </c>
      <c r="Y235" s="1">
        <v>0</v>
      </c>
      <c r="Z235" s="3">
        <v>126</v>
      </c>
      <c r="AA235" s="3">
        <v>0</v>
      </c>
      <c r="AB235" s="3">
        <v>126</v>
      </c>
      <c r="AC235" s="3">
        <v>0</v>
      </c>
      <c r="AD235" s="3">
        <f t="shared" si="83"/>
        <v>126</v>
      </c>
      <c r="AE235" s="3">
        <v>0</v>
      </c>
      <c r="AF235" s="3">
        <v>0</v>
      </c>
      <c r="AG235" s="3">
        <v>126</v>
      </c>
      <c r="AH235" s="3">
        <v>0</v>
      </c>
      <c r="AI235" s="3">
        <v>0</v>
      </c>
      <c r="AJ235" s="3">
        <f t="shared" si="84"/>
        <v>126</v>
      </c>
      <c r="AK235" s="1">
        <v>0</v>
      </c>
      <c r="AL235" s="1">
        <v>0</v>
      </c>
      <c r="AM235" s="1">
        <v>0</v>
      </c>
      <c r="AN235" s="3">
        <f>AG235</f>
        <v>126</v>
      </c>
      <c r="AO235" s="1">
        <v>0</v>
      </c>
      <c r="AP235" s="3">
        <f t="shared" si="74"/>
        <v>0</v>
      </c>
      <c r="AQ235" s="1" t="s">
        <v>452</v>
      </c>
    </row>
    <row r="236" spans="1:43" x14ac:dyDescent="0.35">
      <c r="A236" s="1">
        <v>742</v>
      </c>
      <c r="B236" s="2">
        <v>45856</v>
      </c>
      <c r="C236" s="1" t="s">
        <v>64</v>
      </c>
      <c r="D236" s="1">
        <v>9518939588</v>
      </c>
      <c r="E236" s="1">
        <v>4</v>
      </c>
      <c r="F236" s="1" t="s">
        <v>806</v>
      </c>
      <c r="G236" s="1" t="s">
        <v>1155</v>
      </c>
      <c r="H236" s="1" t="s">
        <v>21</v>
      </c>
      <c r="I236" s="1" t="s">
        <v>22</v>
      </c>
      <c r="K236" s="1" t="s">
        <v>970</v>
      </c>
      <c r="L236" s="1" t="str">
        <f t="shared" si="89"/>
        <v>BPRS</v>
      </c>
      <c r="M236" s="1" t="s">
        <v>1228</v>
      </c>
      <c r="N236" s="1" t="s">
        <v>37</v>
      </c>
      <c r="O236" s="1" t="s">
        <v>145</v>
      </c>
      <c r="P236" s="1">
        <v>101499</v>
      </c>
      <c r="Q236" s="1" t="s">
        <v>135</v>
      </c>
      <c r="R236" s="1">
        <v>1801290</v>
      </c>
      <c r="S236" s="1" t="s">
        <v>273</v>
      </c>
      <c r="T236" s="1" t="s">
        <v>28</v>
      </c>
      <c r="U236" s="1" t="s">
        <v>29</v>
      </c>
      <c r="V236" s="1" t="s">
        <v>30</v>
      </c>
      <c r="W236" s="1">
        <v>0.6</v>
      </c>
      <c r="X236" s="1">
        <v>1250</v>
      </c>
      <c r="Y236" s="1">
        <v>0</v>
      </c>
      <c r="Z236" s="3">
        <v>29</v>
      </c>
      <c r="AA236" s="3">
        <v>0</v>
      </c>
      <c r="AB236" s="3">
        <v>29</v>
      </c>
      <c r="AC236" s="3">
        <v>0</v>
      </c>
      <c r="AD236" s="3">
        <f t="shared" si="83"/>
        <v>29</v>
      </c>
      <c r="AE236" s="3">
        <v>0</v>
      </c>
      <c r="AF236" s="3">
        <v>29</v>
      </c>
      <c r="AG236" s="3">
        <v>0</v>
      </c>
      <c r="AH236" s="3">
        <v>0</v>
      </c>
      <c r="AI236" s="3">
        <v>0</v>
      </c>
      <c r="AJ236" s="3">
        <f t="shared" si="84"/>
        <v>29</v>
      </c>
      <c r="AK236" s="1">
        <v>0</v>
      </c>
      <c r="AL236" s="3">
        <f>AE236</f>
        <v>0</v>
      </c>
      <c r="AM236" s="3">
        <f>AF236</f>
        <v>29</v>
      </c>
      <c r="AN236" s="3">
        <f>AG236</f>
        <v>0</v>
      </c>
      <c r="AO236" s="3">
        <f>AH236</f>
        <v>0</v>
      </c>
      <c r="AP236" s="3">
        <f t="shared" si="74"/>
        <v>0</v>
      </c>
      <c r="AQ236" s="1" t="s">
        <v>135</v>
      </c>
    </row>
    <row r="237" spans="1:43" x14ac:dyDescent="0.35">
      <c r="A237" s="1">
        <v>742</v>
      </c>
      <c r="B237" s="2">
        <v>45887</v>
      </c>
      <c r="C237" s="1" t="s">
        <v>64</v>
      </c>
      <c r="D237" s="1">
        <v>9519024305</v>
      </c>
      <c r="E237" s="1">
        <v>3</v>
      </c>
      <c r="F237" s="1" t="s">
        <v>807</v>
      </c>
      <c r="G237" s="1" t="s">
        <v>1155</v>
      </c>
      <c r="H237" s="1" t="s">
        <v>21</v>
      </c>
      <c r="I237" s="1" t="s">
        <v>71</v>
      </c>
      <c r="K237" s="1" t="s">
        <v>970</v>
      </c>
      <c r="L237" s="1" t="str">
        <f t="shared" si="89"/>
        <v>BPRS</v>
      </c>
      <c r="M237" s="1" t="s">
        <v>1230</v>
      </c>
      <c r="N237" s="1" t="s">
        <v>308</v>
      </c>
      <c r="O237" s="1" t="s">
        <v>151</v>
      </c>
      <c r="P237" s="1">
        <v>925093</v>
      </c>
      <c r="Q237" s="1" t="s">
        <v>307</v>
      </c>
      <c r="R237" s="1">
        <v>3239548</v>
      </c>
      <c r="S237" s="1" t="s">
        <v>306</v>
      </c>
      <c r="T237" s="1" t="s">
        <v>75</v>
      </c>
      <c r="U237" s="1" t="s">
        <v>122</v>
      </c>
      <c r="V237" s="1" t="s">
        <v>123</v>
      </c>
      <c r="W237" s="1">
        <v>0.4</v>
      </c>
      <c r="X237" s="1">
        <v>900</v>
      </c>
      <c r="Y237" s="1">
        <v>2500</v>
      </c>
      <c r="Z237" s="3">
        <v>63</v>
      </c>
      <c r="AA237" s="3">
        <v>18.545000000000002</v>
      </c>
      <c r="AB237" s="3">
        <v>44.454999999999998</v>
      </c>
      <c r="AC237" s="3">
        <v>8.8000000000000007</v>
      </c>
      <c r="AD237" s="3">
        <f t="shared" si="83"/>
        <v>44.454999999999998</v>
      </c>
      <c r="AE237" s="3">
        <v>0</v>
      </c>
      <c r="AF237" s="3">
        <v>44.454999999999998</v>
      </c>
      <c r="AG237" s="3">
        <v>0</v>
      </c>
      <c r="AH237" s="3">
        <v>0</v>
      </c>
      <c r="AI237" s="3">
        <v>0</v>
      </c>
      <c r="AJ237" s="3">
        <f t="shared" si="84"/>
        <v>53.254999999999995</v>
      </c>
      <c r="AK237" s="1">
        <v>0</v>
      </c>
      <c r="AL237" s="1">
        <v>0</v>
      </c>
      <c r="AM237" s="3">
        <f>AF237+AC237</f>
        <v>53.254999999999995</v>
      </c>
      <c r="AN237" s="1">
        <v>0</v>
      </c>
      <c r="AO237" s="1">
        <v>0</v>
      </c>
      <c r="AP237" s="3">
        <f t="shared" si="74"/>
        <v>0</v>
      </c>
      <c r="AQ237" s="1" t="s">
        <v>307</v>
      </c>
    </row>
    <row r="238" spans="1:43" x14ac:dyDescent="0.35">
      <c r="A238" s="1">
        <v>742</v>
      </c>
      <c r="B238" s="2">
        <v>45887</v>
      </c>
      <c r="C238" s="1" t="s">
        <v>64</v>
      </c>
      <c r="D238" s="1">
        <v>9519024914</v>
      </c>
      <c r="E238" s="1">
        <v>7</v>
      </c>
      <c r="F238" s="1" t="s">
        <v>808</v>
      </c>
      <c r="G238" s="1" t="s">
        <v>1155</v>
      </c>
      <c r="H238" s="1" t="s">
        <v>21</v>
      </c>
      <c r="I238" s="1" t="s">
        <v>71</v>
      </c>
      <c r="K238" s="1" t="s">
        <v>970</v>
      </c>
      <c r="L238" s="1" t="str">
        <f t="shared" si="89"/>
        <v>BPRS</v>
      </c>
      <c r="M238" s="1" t="s">
        <v>1229</v>
      </c>
      <c r="N238" s="1" t="s">
        <v>137</v>
      </c>
      <c r="O238" s="1" t="s">
        <v>58</v>
      </c>
      <c r="P238" s="1">
        <v>116465</v>
      </c>
      <c r="Q238" s="1" t="s">
        <v>364</v>
      </c>
      <c r="R238" s="1">
        <v>3239557</v>
      </c>
      <c r="S238" s="1" t="s">
        <v>158</v>
      </c>
      <c r="T238" s="1" t="s">
        <v>75</v>
      </c>
      <c r="U238" s="1" t="s">
        <v>122</v>
      </c>
      <c r="V238" s="1" t="s">
        <v>123</v>
      </c>
      <c r="W238" s="1">
        <v>0.4</v>
      </c>
      <c r="X238" s="1">
        <v>1250</v>
      </c>
      <c r="Y238" s="1">
        <v>2500</v>
      </c>
      <c r="Z238" s="3">
        <v>29</v>
      </c>
      <c r="AA238" s="3">
        <v>0</v>
      </c>
      <c r="AB238" s="3">
        <v>29</v>
      </c>
      <c r="AC238" s="3">
        <v>0</v>
      </c>
      <c r="AD238" s="3">
        <f t="shared" si="83"/>
        <v>29</v>
      </c>
      <c r="AE238" s="3">
        <v>0</v>
      </c>
      <c r="AF238" s="3">
        <v>0</v>
      </c>
      <c r="AG238" s="3">
        <v>0</v>
      </c>
      <c r="AH238" s="3">
        <v>0</v>
      </c>
      <c r="AI238" s="3">
        <v>29</v>
      </c>
      <c r="AJ238" s="3">
        <f t="shared" si="84"/>
        <v>0</v>
      </c>
      <c r="AK238" s="1">
        <v>0</v>
      </c>
      <c r="AL238" s="3">
        <f t="shared" ref="AL238:AL239" si="94">AE238</f>
        <v>0</v>
      </c>
      <c r="AM238" s="3">
        <f t="shared" ref="AM238:AM239" si="95">AF238</f>
        <v>0</v>
      </c>
      <c r="AN238" s="3">
        <f t="shared" ref="AN238:AN239" si="96">AG238</f>
        <v>0</v>
      </c>
      <c r="AO238" s="3">
        <f t="shared" ref="AO238:AO239" si="97">AH238</f>
        <v>0</v>
      </c>
      <c r="AP238" s="3">
        <f t="shared" si="74"/>
        <v>29</v>
      </c>
      <c r="AQ238" s="1" t="s">
        <v>364</v>
      </c>
    </row>
    <row r="239" spans="1:43" x14ac:dyDescent="0.35">
      <c r="A239" s="1">
        <v>742</v>
      </c>
      <c r="B239" s="2">
        <v>45889</v>
      </c>
      <c r="C239" s="1" t="s">
        <v>64</v>
      </c>
      <c r="D239" s="1">
        <v>9519031476</v>
      </c>
      <c r="E239" s="1">
        <v>2</v>
      </c>
      <c r="F239" s="1" t="s">
        <v>809</v>
      </c>
      <c r="G239" s="1" t="s">
        <v>1155</v>
      </c>
      <c r="H239" s="1" t="s">
        <v>21</v>
      </c>
      <c r="I239" s="1" t="s">
        <v>71</v>
      </c>
      <c r="K239" s="1" t="s">
        <v>970</v>
      </c>
      <c r="L239" s="1" t="str">
        <f t="shared" si="89"/>
        <v>BPRS</v>
      </c>
      <c r="M239" s="1" t="s">
        <v>1230</v>
      </c>
      <c r="N239" s="1" t="s">
        <v>92</v>
      </c>
      <c r="O239" s="1" t="s">
        <v>93</v>
      </c>
      <c r="P239" s="1">
        <v>117061</v>
      </c>
      <c r="Q239" s="1" t="s">
        <v>91</v>
      </c>
      <c r="R239" s="1">
        <v>3239554</v>
      </c>
      <c r="S239" s="1" t="s">
        <v>305</v>
      </c>
      <c r="T239" s="1" t="s">
        <v>75</v>
      </c>
      <c r="U239" s="1" t="s">
        <v>122</v>
      </c>
      <c r="V239" s="1" t="s">
        <v>123</v>
      </c>
      <c r="W239" s="1">
        <v>0.4</v>
      </c>
      <c r="X239" s="1">
        <v>1000</v>
      </c>
      <c r="Y239" s="1">
        <v>2500</v>
      </c>
      <c r="Z239" s="3">
        <v>69</v>
      </c>
      <c r="AA239" s="3">
        <v>0</v>
      </c>
      <c r="AB239" s="3">
        <v>69</v>
      </c>
      <c r="AC239" s="3">
        <v>0</v>
      </c>
      <c r="AD239" s="3">
        <f t="shared" si="83"/>
        <v>69</v>
      </c>
      <c r="AE239" s="3">
        <v>0</v>
      </c>
      <c r="AF239" s="3">
        <v>0</v>
      </c>
      <c r="AG239" s="3">
        <v>0</v>
      </c>
      <c r="AH239" s="3">
        <v>69</v>
      </c>
      <c r="AI239" s="3">
        <v>0</v>
      </c>
      <c r="AJ239" s="3">
        <f t="shared" si="84"/>
        <v>69</v>
      </c>
      <c r="AK239" s="1">
        <v>0</v>
      </c>
      <c r="AL239" s="3">
        <f t="shared" si="94"/>
        <v>0</v>
      </c>
      <c r="AM239" s="3">
        <f t="shared" si="95"/>
        <v>0</v>
      </c>
      <c r="AN239" s="3">
        <f t="shared" si="96"/>
        <v>0</v>
      </c>
      <c r="AO239" s="3">
        <f t="shared" si="97"/>
        <v>69</v>
      </c>
      <c r="AP239" s="3">
        <f t="shared" si="74"/>
        <v>0</v>
      </c>
      <c r="AQ239" s="1" t="s">
        <v>91</v>
      </c>
    </row>
    <row r="240" spans="1:43" x14ac:dyDescent="0.35">
      <c r="A240" s="1">
        <v>742</v>
      </c>
      <c r="B240" s="2">
        <v>45890</v>
      </c>
      <c r="C240" s="1" t="s">
        <v>64</v>
      </c>
      <c r="D240" s="1">
        <v>9519036272</v>
      </c>
      <c r="E240" s="1">
        <v>5</v>
      </c>
      <c r="F240" s="1" t="s">
        <v>810</v>
      </c>
      <c r="G240" s="1" t="s">
        <v>1155</v>
      </c>
      <c r="H240" s="1" t="s">
        <v>21</v>
      </c>
      <c r="I240" s="1" t="s">
        <v>71</v>
      </c>
      <c r="K240" s="1" t="s">
        <v>970</v>
      </c>
      <c r="L240" s="1" t="str">
        <f t="shared" si="89"/>
        <v>BPRS</v>
      </c>
      <c r="M240" s="1" t="s">
        <v>1230</v>
      </c>
      <c r="N240" s="1" t="s">
        <v>220</v>
      </c>
      <c r="O240" s="1" t="s">
        <v>120</v>
      </c>
      <c r="P240" s="1">
        <v>185794</v>
      </c>
      <c r="Q240" s="1" t="s">
        <v>219</v>
      </c>
      <c r="R240" s="1">
        <v>3239554</v>
      </c>
      <c r="S240" s="1" t="s">
        <v>305</v>
      </c>
      <c r="T240" s="1" t="s">
        <v>75</v>
      </c>
      <c r="U240" s="1" t="s">
        <v>122</v>
      </c>
      <c r="V240" s="1" t="s">
        <v>123</v>
      </c>
      <c r="W240" s="1">
        <v>0.4</v>
      </c>
      <c r="X240" s="1">
        <v>1000</v>
      </c>
      <c r="Y240" s="1">
        <v>2500</v>
      </c>
      <c r="Z240" s="3">
        <v>92</v>
      </c>
      <c r="AA240" s="3">
        <v>40.44</v>
      </c>
      <c r="AB240" s="3">
        <v>51.56</v>
      </c>
      <c r="AC240" s="3">
        <v>0</v>
      </c>
      <c r="AD240" s="3">
        <f t="shared" si="83"/>
        <v>51.56</v>
      </c>
      <c r="AE240" s="3">
        <v>0</v>
      </c>
      <c r="AF240" s="3">
        <v>0</v>
      </c>
      <c r="AG240" s="3">
        <v>0</v>
      </c>
      <c r="AH240" s="3">
        <v>51.56</v>
      </c>
      <c r="AI240" s="3">
        <v>0</v>
      </c>
      <c r="AJ240" s="3">
        <f t="shared" si="84"/>
        <v>51.56</v>
      </c>
      <c r="AK240" s="1">
        <v>0</v>
      </c>
      <c r="AL240" s="3">
        <f>AE240</f>
        <v>0</v>
      </c>
      <c r="AM240" s="3">
        <f>AF240</f>
        <v>0</v>
      </c>
      <c r="AN240" s="3">
        <f>AG240</f>
        <v>0</v>
      </c>
      <c r="AO240" s="3">
        <f>AH240</f>
        <v>51.56</v>
      </c>
      <c r="AP240" s="3">
        <f t="shared" si="74"/>
        <v>0</v>
      </c>
      <c r="AQ240" s="1" t="s">
        <v>219</v>
      </c>
    </row>
    <row r="241" spans="1:43" x14ac:dyDescent="0.35">
      <c r="A241" s="1">
        <v>743</v>
      </c>
      <c r="B241" s="2">
        <v>45857</v>
      </c>
      <c r="C241" s="1" t="s">
        <v>64</v>
      </c>
      <c r="D241" s="1">
        <v>9518941556</v>
      </c>
      <c r="E241" s="1">
        <v>1</v>
      </c>
      <c r="F241" s="1" t="s">
        <v>811</v>
      </c>
      <c r="G241" s="1" t="s">
        <v>393</v>
      </c>
      <c r="H241" s="1" t="s">
        <v>63</v>
      </c>
      <c r="I241" s="1" t="s">
        <v>1404</v>
      </c>
      <c r="K241" s="1" t="s">
        <v>970</v>
      </c>
      <c r="L241" s="1" t="str">
        <f t="shared" si="89"/>
        <v>BPRS</v>
      </c>
      <c r="M241" s="1" t="s">
        <v>1230</v>
      </c>
      <c r="N241" s="1" t="s">
        <v>220</v>
      </c>
      <c r="O241" s="1" t="s">
        <v>120</v>
      </c>
      <c r="P241" s="1">
        <v>185794</v>
      </c>
      <c r="Q241" s="1" t="s">
        <v>219</v>
      </c>
      <c r="R241" s="1">
        <v>1191955</v>
      </c>
      <c r="S241" s="1" t="s">
        <v>225</v>
      </c>
      <c r="T241" s="1" t="s">
        <v>139</v>
      </c>
      <c r="U241" s="1" t="s">
        <v>140</v>
      </c>
      <c r="V241" s="1" t="s">
        <v>150</v>
      </c>
      <c r="W241" s="1">
        <v>0.3</v>
      </c>
      <c r="X241" s="1">
        <v>900</v>
      </c>
      <c r="Y241" s="1">
        <v>0</v>
      </c>
      <c r="Z241" s="3">
        <v>210</v>
      </c>
      <c r="AA241" s="3">
        <v>7.97</v>
      </c>
      <c r="AB241" s="3">
        <v>202.03</v>
      </c>
      <c r="AC241" s="3">
        <v>7.97</v>
      </c>
      <c r="AD241" s="3">
        <f t="shared" si="83"/>
        <v>202.03</v>
      </c>
      <c r="AE241" s="3">
        <v>0</v>
      </c>
      <c r="AF241" s="3">
        <v>0</v>
      </c>
      <c r="AG241" s="3">
        <v>0</v>
      </c>
      <c r="AH241" s="3">
        <v>202.03</v>
      </c>
      <c r="AI241" s="3">
        <v>0</v>
      </c>
      <c r="AJ241" s="3">
        <f t="shared" si="84"/>
        <v>210</v>
      </c>
      <c r="AK241" s="1">
        <v>0</v>
      </c>
      <c r="AL241" s="1">
        <v>0</v>
      </c>
      <c r="AM241" s="1">
        <v>0</v>
      </c>
      <c r="AN241" s="1">
        <v>0</v>
      </c>
      <c r="AO241" s="3">
        <f>AH241+AC241</f>
        <v>210</v>
      </c>
      <c r="AP241" s="3">
        <f t="shared" si="74"/>
        <v>0</v>
      </c>
      <c r="AQ241" s="1" t="s">
        <v>219</v>
      </c>
    </row>
    <row r="242" spans="1:43" x14ac:dyDescent="0.35">
      <c r="A242" s="1">
        <v>742</v>
      </c>
      <c r="B242" s="2">
        <v>45858</v>
      </c>
      <c r="C242" s="1" t="s">
        <v>64</v>
      </c>
      <c r="D242" s="1">
        <v>9518944236</v>
      </c>
      <c r="E242" s="1">
        <v>1</v>
      </c>
      <c r="F242" s="1" t="s">
        <v>812</v>
      </c>
      <c r="G242" s="1" t="s">
        <v>393</v>
      </c>
      <c r="H242" s="1" t="s">
        <v>21</v>
      </c>
      <c r="I242" s="1" t="s">
        <v>71</v>
      </c>
      <c r="K242" s="1" t="s">
        <v>970</v>
      </c>
      <c r="L242" s="1" t="str">
        <f t="shared" si="89"/>
        <v>BPRS</v>
      </c>
      <c r="M242" s="1" t="s">
        <v>1229</v>
      </c>
      <c r="N242" s="1" t="s">
        <v>73</v>
      </c>
      <c r="O242" s="1" t="s">
        <v>74</v>
      </c>
      <c r="P242" s="1">
        <v>946077</v>
      </c>
      <c r="Q242" s="1" t="s">
        <v>72</v>
      </c>
      <c r="R242" s="1">
        <v>3239535</v>
      </c>
      <c r="S242" s="1" t="s">
        <v>210</v>
      </c>
      <c r="T242" s="1" t="s">
        <v>75</v>
      </c>
      <c r="U242" s="1" t="s">
        <v>122</v>
      </c>
      <c r="V242" s="1" t="s">
        <v>123</v>
      </c>
      <c r="W242" s="1">
        <v>0.35</v>
      </c>
      <c r="X242" s="1">
        <v>900</v>
      </c>
      <c r="Y242" s="1">
        <v>2440</v>
      </c>
      <c r="Z242" s="3">
        <v>41.999000000000002</v>
      </c>
      <c r="AA242" s="3">
        <v>38.145000000000003</v>
      </c>
      <c r="AB242" s="3">
        <v>3.8540000000000001</v>
      </c>
      <c r="AC242" s="3">
        <v>5.4050000000000002</v>
      </c>
      <c r="AD242" s="3">
        <f t="shared" si="83"/>
        <v>3.8540000000000001</v>
      </c>
      <c r="AE242" s="3">
        <v>0</v>
      </c>
      <c r="AF242" s="3">
        <v>0</v>
      </c>
      <c r="AG242" s="3">
        <v>0</v>
      </c>
      <c r="AH242" s="3">
        <v>0</v>
      </c>
      <c r="AI242" s="3">
        <v>3.8540000000000001</v>
      </c>
      <c r="AJ242" s="3">
        <f t="shared" si="84"/>
        <v>9.2590000000000003</v>
      </c>
      <c r="AK242" s="1">
        <v>0</v>
      </c>
      <c r="AL242" s="1">
        <v>0</v>
      </c>
      <c r="AM242" s="1">
        <v>0</v>
      </c>
      <c r="AN242" s="1">
        <v>0</v>
      </c>
      <c r="AO242" s="3">
        <f>AI242+AC242</f>
        <v>9.2590000000000003</v>
      </c>
      <c r="AP242" s="3">
        <f t="shared" si="74"/>
        <v>0</v>
      </c>
      <c r="AQ242" s="1" t="s">
        <v>72</v>
      </c>
    </row>
    <row r="243" spans="1:43" x14ac:dyDescent="0.35">
      <c r="A243" s="1">
        <v>742</v>
      </c>
      <c r="B243" s="2">
        <v>45858</v>
      </c>
      <c r="C243" s="1" t="s">
        <v>64</v>
      </c>
      <c r="D243" s="1">
        <v>9518944236</v>
      </c>
      <c r="E243" s="1">
        <v>5</v>
      </c>
      <c r="F243" s="1" t="s">
        <v>813</v>
      </c>
      <c r="G243" s="1" t="s">
        <v>1367</v>
      </c>
      <c r="H243" s="1" t="s">
        <v>21</v>
      </c>
      <c r="I243" s="1" t="s">
        <v>71</v>
      </c>
      <c r="K243" s="1" t="s">
        <v>970</v>
      </c>
      <c r="L243" s="1" t="str">
        <f t="shared" si="89"/>
        <v>BPRS</v>
      </c>
      <c r="M243" s="1" t="s">
        <v>1229</v>
      </c>
      <c r="N243" s="1" t="s">
        <v>73</v>
      </c>
      <c r="O243" s="1" t="s">
        <v>74</v>
      </c>
      <c r="P243" s="1">
        <v>946077</v>
      </c>
      <c r="Q243" s="1" t="s">
        <v>72</v>
      </c>
      <c r="R243" s="1">
        <v>3240759</v>
      </c>
      <c r="S243" s="1" t="s">
        <v>434</v>
      </c>
      <c r="T243" s="1" t="s">
        <v>75</v>
      </c>
      <c r="U243" s="1" t="s">
        <v>76</v>
      </c>
      <c r="V243" s="1" t="s">
        <v>77</v>
      </c>
      <c r="W243" s="1">
        <v>0.5</v>
      </c>
      <c r="X243" s="1">
        <v>1000</v>
      </c>
      <c r="Y243" s="1">
        <v>2440</v>
      </c>
      <c r="Z243" s="3">
        <v>23.998999999999999</v>
      </c>
      <c r="AA243" s="3">
        <v>12.54</v>
      </c>
      <c r="AB243" s="3">
        <v>11.459</v>
      </c>
      <c r="AC243" s="3">
        <v>7.1549999999999994</v>
      </c>
      <c r="AD243" s="3">
        <f t="shared" si="83"/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f t="shared" si="84"/>
        <v>7.1549999999999994</v>
      </c>
      <c r="AK243" s="3">
        <f>AC243</f>
        <v>7.1549999999999994</v>
      </c>
      <c r="AL243" s="1">
        <v>0</v>
      </c>
      <c r="AM243" s="1">
        <v>0</v>
      </c>
      <c r="AN243" s="1">
        <v>0</v>
      </c>
      <c r="AO243" s="1">
        <v>0</v>
      </c>
      <c r="AP243" s="3">
        <f t="shared" si="74"/>
        <v>0</v>
      </c>
      <c r="AQ243" s="1" t="s">
        <v>72</v>
      </c>
    </row>
    <row r="244" spans="1:43" x14ac:dyDescent="0.35">
      <c r="A244" s="1">
        <v>742</v>
      </c>
      <c r="B244" s="2">
        <v>45887</v>
      </c>
      <c r="C244" s="1" t="s">
        <v>64</v>
      </c>
      <c r="D244" s="1">
        <v>9519024914</v>
      </c>
      <c r="E244" s="1">
        <v>3</v>
      </c>
      <c r="F244" s="1" t="s">
        <v>814</v>
      </c>
      <c r="G244" s="1" t="s">
        <v>1155</v>
      </c>
      <c r="H244" s="1" t="s">
        <v>21</v>
      </c>
      <c r="I244" s="1" t="s">
        <v>71</v>
      </c>
      <c r="K244" s="1" t="s">
        <v>970</v>
      </c>
      <c r="L244" s="1" t="str">
        <f t="shared" si="89"/>
        <v>BPRS</v>
      </c>
      <c r="M244" s="1" t="s">
        <v>1229</v>
      </c>
      <c r="N244" s="1" t="s">
        <v>137</v>
      </c>
      <c r="O244" s="1" t="s">
        <v>58</v>
      </c>
      <c r="P244" s="1">
        <v>116465</v>
      </c>
      <c r="Q244" s="1" t="s">
        <v>364</v>
      </c>
      <c r="R244" s="1">
        <v>3239408</v>
      </c>
      <c r="S244" s="1" t="s">
        <v>121</v>
      </c>
      <c r="T244" s="1" t="s">
        <v>75</v>
      </c>
      <c r="U244" s="1" t="s">
        <v>122</v>
      </c>
      <c r="V244" s="1" t="s">
        <v>123</v>
      </c>
      <c r="W244" s="1">
        <v>0.3</v>
      </c>
      <c r="X244" s="1">
        <v>900</v>
      </c>
      <c r="Y244" s="1">
        <v>2500</v>
      </c>
      <c r="Z244" s="3">
        <v>21</v>
      </c>
      <c r="AA244" s="3">
        <v>0</v>
      </c>
      <c r="AB244" s="3">
        <v>21</v>
      </c>
      <c r="AC244" s="3">
        <v>0</v>
      </c>
      <c r="AD244" s="3">
        <f t="shared" si="83"/>
        <v>21</v>
      </c>
      <c r="AE244" s="3">
        <v>0</v>
      </c>
      <c r="AF244" s="3">
        <v>0</v>
      </c>
      <c r="AG244" s="3">
        <v>0</v>
      </c>
      <c r="AH244" s="3">
        <v>21</v>
      </c>
      <c r="AI244" s="3">
        <v>0</v>
      </c>
      <c r="AJ244" s="3">
        <f t="shared" si="84"/>
        <v>21</v>
      </c>
      <c r="AK244" s="1">
        <v>0</v>
      </c>
      <c r="AL244" s="3">
        <f>AE244</f>
        <v>0</v>
      </c>
      <c r="AM244" s="3">
        <f>AF244</f>
        <v>0</v>
      </c>
      <c r="AN244" s="3">
        <f>AG244</f>
        <v>0</v>
      </c>
      <c r="AO244" s="3">
        <f>AH244</f>
        <v>21</v>
      </c>
      <c r="AP244" s="3">
        <f t="shared" si="74"/>
        <v>0</v>
      </c>
      <c r="AQ244" s="1" t="s">
        <v>364</v>
      </c>
    </row>
    <row r="245" spans="1:43" x14ac:dyDescent="0.35">
      <c r="A245" s="1">
        <v>742</v>
      </c>
      <c r="B245" s="2">
        <v>45848</v>
      </c>
      <c r="C245" s="1" t="s">
        <v>64</v>
      </c>
      <c r="D245" s="1">
        <v>9518920175</v>
      </c>
      <c r="E245" s="1">
        <v>1</v>
      </c>
      <c r="F245" s="1" t="s">
        <v>815</v>
      </c>
      <c r="G245" s="1" t="s">
        <v>1155</v>
      </c>
      <c r="H245" s="1" t="s">
        <v>21</v>
      </c>
      <c r="I245" s="1" t="s">
        <v>975</v>
      </c>
      <c r="K245" s="1" t="s">
        <v>970</v>
      </c>
      <c r="L245" s="1" t="str">
        <f t="shared" si="89"/>
        <v>BPRS</v>
      </c>
      <c r="M245" s="1" t="s">
        <v>1231</v>
      </c>
      <c r="N245" s="1" t="s">
        <v>25</v>
      </c>
      <c r="O245" s="1" t="s">
        <v>26</v>
      </c>
      <c r="P245" s="1">
        <v>116735</v>
      </c>
      <c r="Q245" s="1" t="s">
        <v>436</v>
      </c>
      <c r="R245" s="1">
        <v>2420508</v>
      </c>
      <c r="S245" s="1" t="s">
        <v>454</v>
      </c>
      <c r="T245" s="1" t="s">
        <v>28</v>
      </c>
      <c r="U245" s="1" t="s">
        <v>29</v>
      </c>
      <c r="V245" s="1" t="s">
        <v>287</v>
      </c>
      <c r="W245" s="1">
        <v>0.5</v>
      </c>
      <c r="X245" s="1">
        <v>1250</v>
      </c>
      <c r="Y245" s="1">
        <v>0</v>
      </c>
      <c r="Z245" s="3">
        <v>58</v>
      </c>
      <c r="AA245" s="3">
        <v>53.55</v>
      </c>
      <c r="AB245" s="3">
        <v>4.45</v>
      </c>
      <c r="AC245" s="3">
        <v>35.004999999999995</v>
      </c>
      <c r="AD245" s="3">
        <f t="shared" si="83"/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f t="shared" si="84"/>
        <v>35.004999999999995</v>
      </c>
      <c r="AK245" s="3">
        <f>AC245</f>
        <v>35.004999999999995</v>
      </c>
      <c r="AL245" s="1">
        <v>0</v>
      </c>
      <c r="AM245" s="1">
        <v>0</v>
      </c>
      <c r="AN245" s="1">
        <v>0</v>
      </c>
      <c r="AO245" s="1">
        <v>0</v>
      </c>
      <c r="AP245" s="3">
        <f t="shared" si="74"/>
        <v>0</v>
      </c>
      <c r="AQ245" s="1" t="s">
        <v>436</v>
      </c>
    </row>
    <row r="246" spans="1:43" x14ac:dyDescent="0.35">
      <c r="A246" s="1">
        <v>743</v>
      </c>
      <c r="B246" s="2">
        <v>45902</v>
      </c>
      <c r="C246" s="1" t="s">
        <v>64</v>
      </c>
      <c r="D246" s="1">
        <v>9519072526</v>
      </c>
      <c r="E246" s="1">
        <v>2</v>
      </c>
      <c r="F246" s="1" t="s">
        <v>816</v>
      </c>
      <c r="G246" s="1" t="s">
        <v>1367</v>
      </c>
      <c r="H246" s="1" t="s">
        <v>63</v>
      </c>
      <c r="I246" s="1" t="s">
        <v>1291</v>
      </c>
      <c r="K246" s="1" t="s">
        <v>970</v>
      </c>
      <c r="L246" s="1" t="str">
        <f t="shared" si="89"/>
        <v>BPRS</v>
      </c>
      <c r="M246" s="1" t="s">
        <v>1230</v>
      </c>
      <c r="N246" s="1" t="s">
        <v>318</v>
      </c>
      <c r="O246" s="1" t="s">
        <v>157</v>
      </c>
      <c r="P246" s="1">
        <v>931671</v>
      </c>
      <c r="Q246" s="1" t="s">
        <v>155</v>
      </c>
      <c r="R246" s="1">
        <v>3907468</v>
      </c>
      <c r="S246" s="1" t="s">
        <v>323</v>
      </c>
      <c r="T246" s="1" t="s">
        <v>68</v>
      </c>
      <c r="U246" s="1" t="s">
        <v>140</v>
      </c>
      <c r="V246" s="1" t="s">
        <v>70</v>
      </c>
      <c r="W246" s="1">
        <v>0.35</v>
      </c>
      <c r="X246" s="1">
        <v>1350</v>
      </c>
      <c r="Y246" s="1">
        <v>0</v>
      </c>
      <c r="Z246" s="3">
        <v>62</v>
      </c>
      <c r="AA246" s="3">
        <v>9.02</v>
      </c>
      <c r="AB246" s="3">
        <v>0</v>
      </c>
      <c r="AC246" s="3">
        <v>9.02</v>
      </c>
      <c r="AD246" s="3">
        <f t="shared" si="83"/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f t="shared" si="84"/>
        <v>9.02</v>
      </c>
      <c r="AK246" s="3">
        <f>AC246</f>
        <v>9.02</v>
      </c>
      <c r="AL246" s="1">
        <v>0</v>
      </c>
      <c r="AM246" s="1">
        <v>0</v>
      </c>
      <c r="AN246" s="1">
        <v>0</v>
      </c>
      <c r="AO246" s="1">
        <v>0</v>
      </c>
      <c r="AP246" s="3">
        <f t="shared" si="74"/>
        <v>0</v>
      </c>
      <c r="AQ246" s="1" t="s">
        <v>155</v>
      </c>
    </row>
    <row r="247" spans="1:43" x14ac:dyDescent="0.35">
      <c r="A247" s="1">
        <v>743</v>
      </c>
      <c r="B247" s="2">
        <v>45902</v>
      </c>
      <c r="C247" s="1" t="s">
        <v>64</v>
      </c>
      <c r="D247" s="1">
        <v>9519072526</v>
      </c>
      <c r="E247" s="1">
        <v>3</v>
      </c>
      <c r="F247" s="1" t="s">
        <v>817</v>
      </c>
      <c r="G247" s="1" t="s">
        <v>1155</v>
      </c>
      <c r="H247" s="1" t="s">
        <v>63</v>
      </c>
      <c r="I247" s="1" t="s">
        <v>1291</v>
      </c>
      <c r="K247" s="1" t="s">
        <v>970</v>
      </c>
      <c r="L247" s="1" t="str">
        <f t="shared" si="89"/>
        <v>BPRS</v>
      </c>
      <c r="M247" s="1" t="s">
        <v>1230</v>
      </c>
      <c r="N247" s="1" t="s">
        <v>318</v>
      </c>
      <c r="O247" s="1" t="s">
        <v>157</v>
      </c>
      <c r="P247" s="1">
        <v>931671</v>
      </c>
      <c r="Q247" s="1" t="s">
        <v>155</v>
      </c>
      <c r="R247" s="1">
        <v>3767014</v>
      </c>
      <c r="S247" s="1" t="s">
        <v>200</v>
      </c>
      <c r="T247" s="1" t="s">
        <v>68</v>
      </c>
      <c r="U247" s="1" t="s">
        <v>69</v>
      </c>
      <c r="V247" s="1" t="s">
        <v>70</v>
      </c>
      <c r="W247" s="1">
        <v>0.4</v>
      </c>
      <c r="X247" s="1">
        <v>1350</v>
      </c>
      <c r="Y247" s="1">
        <v>0</v>
      </c>
      <c r="Z247" s="3">
        <v>93</v>
      </c>
      <c r="AA247" s="3">
        <v>0</v>
      </c>
      <c r="AB247" s="3">
        <v>93</v>
      </c>
      <c r="AC247" s="3">
        <v>0</v>
      </c>
      <c r="AD247" s="3">
        <f t="shared" si="83"/>
        <v>93</v>
      </c>
      <c r="AE247" s="3">
        <v>93</v>
      </c>
      <c r="AF247" s="3">
        <v>0</v>
      </c>
      <c r="AG247" s="3">
        <v>0</v>
      </c>
      <c r="AH247" s="3">
        <v>0</v>
      </c>
      <c r="AI247" s="3">
        <v>0</v>
      </c>
      <c r="AJ247" s="3">
        <f t="shared" si="84"/>
        <v>93</v>
      </c>
      <c r="AK247" s="1">
        <v>0</v>
      </c>
      <c r="AL247" s="3">
        <f>AE247</f>
        <v>93</v>
      </c>
      <c r="AM247" s="1">
        <v>0</v>
      </c>
      <c r="AN247" s="1">
        <v>0</v>
      </c>
      <c r="AO247" s="1">
        <v>0</v>
      </c>
      <c r="AP247" s="3">
        <f t="shared" si="74"/>
        <v>0</v>
      </c>
      <c r="AQ247" s="1" t="s">
        <v>155</v>
      </c>
    </row>
    <row r="248" spans="1:43" x14ac:dyDescent="0.35">
      <c r="A248" s="1">
        <v>743</v>
      </c>
      <c r="B248" s="2">
        <v>45912</v>
      </c>
      <c r="C248" s="1" t="s">
        <v>64</v>
      </c>
      <c r="D248" s="1">
        <v>9519099563</v>
      </c>
      <c r="E248" s="1">
        <v>5</v>
      </c>
      <c r="F248" s="1" t="s">
        <v>818</v>
      </c>
      <c r="G248" s="1" t="s">
        <v>1155</v>
      </c>
      <c r="H248" s="1" t="s">
        <v>63</v>
      </c>
      <c r="I248" s="1" t="s">
        <v>1404</v>
      </c>
      <c r="K248" s="1" t="s">
        <v>970</v>
      </c>
      <c r="L248" s="1" t="str">
        <f t="shared" si="89"/>
        <v>BPRS</v>
      </c>
      <c r="M248" s="1" t="s">
        <v>1230</v>
      </c>
      <c r="N248" s="1" t="s">
        <v>220</v>
      </c>
      <c r="O248" s="1" t="s">
        <v>120</v>
      </c>
      <c r="P248" s="1">
        <v>185794</v>
      </c>
      <c r="Q248" s="1" t="s">
        <v>219</v>
      </c>
      <c r="R248" s="1">
        <v>1191956</v>
      </c>
      <c r="S248" s="1" t="s">
        <v>254</v>
      </c>
      <c r="T248" s="1" t="s">
        <v>139</v>
      </c>
      <c r="U248" s="1" t="s">
        <v>140</v>
      </c>
      <c r="V248" s="1" t="s">
        <v>150</v>
      </c>
      <c r="W248" s="1">
        <v>0.35</v>
      </c>
      <c r="X248" s="1">
        <v>900</v>
      </c>
      <c r="Y248" s="1">
        <v>0</v>
      </c>
      <c r="Z248" s="3">
        <v>126</v>
      </c>
      <c r="AA248" s="3">
        <v>0</v>
      </c>
      <c r="AB248" s="3">
        <v>126</v>
      </c>
      <c r="AC248" s="3">
        <v>0</v>
      </c>
      <c r="AD248" s="3">
        <f t="shared" si="83"/>
        <v>126</v>
      </c>
      <c r="AE248" s="3">
        <v>0</v>
      </c>
      <c r="AF248" s="3">
        <v>0</v>
      </c>
      <c r="AG248" s="3">
        <v>126</v>
      </c>
      <c r="AH248" s="3">
        <v>0</v>
      </c>
      <c r="AI248" s="3">
        <v>0</v>
      </c>
      <c r="AJ248" s="3">
        <f t="shared" si="84"/>
        <v>126</v>
      </c>
      <c r="AK248" s="1">
        <v>0</v>
      </c>
      <c r="AL248" s="1">
        <v>0</v>
      </c>
      <c r="AM248" s="3">
        <f>AG248</f>
        <v>126</v>
      </c>
      <c r="AN248" s="1">
        <v>0</v>
      </c>
      <c r="AO248" s="1">
        <v>0</v>
      </c>
      <c r="AP248" s="3">
        <f t="shared" si="74"/>
        <v>0</v>
      </c>
      <c r="AQ248" s="1" t="s">
        <v>219</v>
      </c>
    </row>
    <row r="249" spans="1:43" x14ac:dyDescent="0.35">
      <c r="A249" s="1">
        <v>743</v>
      </c>
      <c r="B249" s="2">
        <v>45912</v>
      </c>
      <c r="C249" s="1" t="s">
        <v>64</v>
      </c>
      <c r="D249" s="1">
        <v>9519099563</v>
      </c>
      <c r="E249" s="1">
        <v>10</v>
      </c>
      <c r="F249" s="1" t="s">
        <v>819</v>
      </c>
      <c r="G249" s="1" t="s">
        <v>1155</v>
      </c>
      <c r="H249" s="1" t="s">
        <v>63</v>
      </c>
      <c r="I249" s="1" t="s">
        <v>1404</v>
      </c>
      <c r="K249" s="1" t="s">
        <v>970</v>
      </c>
      <c r="L249" s="1" t="str">
        <f t="shared" si="89"/>
        <v>BPRS</v>
      </c>
      <c r="M249" s="1" t="s">
        <v>1230</v>
      </c>
      <c r="N249" s="1" t="s">
        <v>220</v>
      </c>
      <c r="O249" s="1" t="s">
        <v>120</v>
      </c>
      <c r="P249" s="1">
        <v>185794</v>
      </c>
      <c r="Q249" s="1" t="s">
        <v>219</v>
      </c>
      <c r="R249" s="1">
        <v>1178439</v>
      </c>
      <c r="S249" s="1" t="s">
        <v>202</v>
      </c>
      <c r="T249" s="1" t="s">
        <v>139</v>
      </c>
      <c r="U249" s="1" t="s">
        <v>140</v>
      </c>
      <c r="V249" s="1" t="s">
        <v>150</v>
      </c>
      <c r="W249" s="1">
        <v>0.4</v>
      </c>
      <c r="X249" s="1">
        <v>900</v>
      </c>
      <c r="Y249" s="1">
        <v>0</v>
      </c>
      <c r="Z249" s="3">
        <v>105</v>
      </c>
      <c r="AA249" s="3">
        <v>0</v>
      </c>
      <c r="AB249" s="3">
        <v>105</v>
      </c>
      <c r="AC249" s="3">
        <v>0</v>
      </c>
      <c r="AD249" s="3">
        <f t="shared" si="83"/>
        <v>105</v>
      </c>
      <c r="AE249" s="3">
        <v>0</v>
      </c>
      <c r="AF249" s="3">
        <v>0</v>
      </c>
      <c r="AG249" s="3">
        <v>0</v>
      </c>
      <c r="AH249" s="3">
        <v>105</v>
      </c>
      <c r="AI249" s="3">
        <v>0</v>
      </c>
      <c r="AJ249" s="3">
        <f t="shared" si="84"/>
        <v>105</v>
      </c>
      <c r="AK249" s="1">
        <v>0</v>
      </c>
      <c r="AL249" s="1">
        <v>0</v>
      </c>
      <c r="AM249" s="1">
        <v>0</v>
      </c>
      <c r="AN249" s="3">
        <f t="shared" ref="AN249:AN250" si="98">AH249</f>
        <v>105</v>
      </c>
      <c r="AO249" s="1">
        <v>0</v>
      </c>
      <c r="AP249" s="3">
        <f t="shared" si="74"/>
        <v>0</v>
      </c>
      <c r="AQ249" s="1" t="s">
        <v>219</v>
      </c>
    </row>
    <row r="250" spans="1:43" x14ac:dyDescent="0.35">
      <c r="A250" s="1">
        <v>743</v>
      </c>
      <c r="B250" s="2">
        <v>45912</v>
      </c>
      <c r="C250" s="1" t="s">
        <v>64</v>
      </c>
      <c r="D250" s="1">
        <v>9519099563</v>
      </c>
      <c r="E250" s="1">
        <v>11</v>
      </c>
      <c r="F250" s="1" t="s">
        <v>820</v>
      </c>
      <c r="G250" s="1" t="s">
        <v>1155</v>
      </c>
      <c r="H250" s="1" t="s">
        <v>63</v>
      </c>
      <c r="I250" s="1" t="s">
        <v>1404</v>
      </c>
      <c r="K250" s="1" t="s">
        <v>970</v>
      </c>
      <c r="L250" s="1" t="str">
        <f t="shared" si="89"/>
        <v>BPRS</v>
      </c>
      <c r="M250" s="1" t="s">
        <v>1230</v>
      </c>
      <c r="N250" s="1" t="s">
        <v>220</v>
      </c>
      <c r="O250" s="1" t="s">
        <v>120</v>
      </c>
      <c r="P250" s="1">
        <v>185794</v>
      </c>
      <c r="Q250" s="1" t="s">
        <v>219</v>
      </c>
      <c r="R250" s="1">
        <v>1854413</v>
      </c>
      <c r="S250" s="1" t="s">
        <v>203</v>
      </c>
      <c r="T250" s="1" t="s">
        <v>139</v>
      </c>
      <c r="U250" s="1" t="s">
        <v>140</v>
      </c>
      <c r="V250" s="1" t="s">
        <v>150</v>
      </c>
      <c r="W250" s="1">
        <v>0.45</v>
      </c>
      <c r="X250" s="1">
        <v>900</v>
      </c>
      <c r="Y250" s="1">
        <v>0</v>
      </c>
      <c r="Z250" s="3">
        <v>42</v>
      </c>
      <c r="AA250" s="3">
        <v>0</v>
      </c>
      <c r="AB250" s="3">
        <v>42</v>
      </c>
      <c r="AC250" s="3">
        <v>0</v>
      </c>
      <c r="AD250" s="3">
        <f t="shared" si="83"/>
        <v>42</v>
      </c>
      <c r="AE250" s="3">
        <v>0</v>
      </c>
      <c r="AF250" s="3">
        <v>0</v>
      </c>
      <c r="AG250" s="3">
        <v>0</v>
      </c>
      <c r="AH250" s="3">
        <v>42</v>
      </c>
      <c r="AI250" s="3">
        <v>0</v>
      </c>
      <c r="AJ250" s="3">
        <f t="shared" si="84"/>
        <v>42</v>
      </c>
      <c r="AK250" s="1">
        <v>0</v>
      </c>
      <c r="AL250" s="1">
        <v>0</v>
      </c>
      <c r="AM250" s="1">
        <v>0</v>
      </c>
      <c r="AN250" s="3">
        <f t="shared" si="98"/>
        <v>42</v>
      </c>
      <c r="AO250" s="1">
        <v>0</v>
      </c>
      <c r="AP250" s="3">
        <f t="shared" si="74"/>
        <v>0</v>
      </c>
      <c r="AQ250" s="1" t="s">
        <v>219</v>
      </c>
    </row>
    <row r="251" spans="1:43" x14ac:dyDescent="0.35">
      <c r="A251" s="1">
        <v>744</v>
      </c>
      <c r="B251" s="2">
        <v>45916</v>
      </c>
      <c r="C251" s="1" t="s">
        <v>64</v>
      </c>
      <c r="D251" s="1">
        <v>9519107996</v>
      </c>
      <c r="E251" s="1">
        <v>1</v>
      </c>
      <c r="F251" s="1" t="s">
        <v>821</v>
      </c>
      <c r="G251" s="1" t="s">
        <v>1155</v>
      </c>
      <c r="H251" s="1" t="s">
        <v>86</v>
      </c>
      <c r="I251" s="1" t="s">
        <v>968</v>
      </c>
      <c r="K251" s="1" t="s">
        <v>969</v>
      </c>
      <c r="L251" s="1" t="str">
        <f t="shared" si="89"/>
        <v>IPP</v>
      </c>
      <c r="M251" s="1" t="s">
        <v>1232</v>
      </c>
      <c r="N251" s="1" t="s">
        <v>108</v>
      </c>
      <c r="O251" s="1" t="s">
        <v>54</v>
      </c>
      <c r="P251" s="1">
        <v>940016</v>
      </c>
      <c r="Q251" s="1" t="s">
        <v>107</v>
      </c>
      <c r="R251" s="1">
        <v>3996225</v>
      </c>
      <c r="S251" s="1" t="s">
        <v>361</v>
      </c>
      <c r="T251" s="1" t="s">
        <v>88</v>
      </c>
      <c r="U251" s="1" t="s">
        <v>89</v>
      </c>
      <c r="V251" s="1" t="s">
        <v>218</v>
      </c>
      <c r="W251" s="1">
        <v>0.4</v>
      </c>
      <c r="X251" s="1">
        <v>1220</v>
      </c>
      <c r="Y251" s="1">
        <v>0</v>
      </c>
      <c r="Z251" s="3">
        <v>252</v>
      </c>
      <c r="AA251" s="3">
        <v>0</v>
      </c>
      <c r="AB251" s="3">
        <v>252</v>
      </c>
      <c r="AC251" s="3">
        <v>0</v>
      </c>
      <c r="AD251" s="3">
        <f t="shared" si="83"/>
        <v>252</v>
      </c>
      <c r="AE251" s="3">
        <v>0</v>
      </c>
      <c r="AF251" s="3">
        <v>0</v>
      </c>
      <c r="AG251" s="3">
        <v>252</v>
      </c>
      <c r="AH251" s="3">
        <v>0</v>
      </c>
      <c r="AI251" s="3">
        <v>0</v>
      </c>
      <c r="AJ251" s="3">
        <f t="shared" si="84"/>
        <v>252</v>
      </c>
      <c r="AK251" s="1">
        <v>0</v>
      </c>
      <c r="AL251" s="1">
        <v>0</v>
      </c>
      <c r="AM251" s="3">
        <v>0</v>
      </c>
      <c r="AN251" s="1">
        <v>0</v>
      </c>
      <c r="AO251" s="3">
        <f>AG251</f>
        <v>252</v>
      </c>
      <c r="AP251" s="3">
        <f t="shared" si="74"/>
        <v>0</v>
      </c>
      <c r="AQ251" s="1" t="s">
        <v>107</v>
      </c>
    </row>
    <row r="252" spans="1:43" x14ac:dyDescent="0.35">
      <c r="A252" s="1">
        <v>742</v>
      </c>
      <c r="B252" s="2">
        <v>45848</v>
      </c>
      <c r="C252" s="1" t="s">
        <v>64</v>
      </c>
      <c r="D252" s="1">
        <v>9518920185</v>
      </c>
      <c r="E252" s="1">
        <v>1</v>
      </c>
      <c r="F252" s="1" t="s">
        <v>822</v>
      </c>
      <c r="G252" s="1" t="s">
        <v>1155</v>
      </c>
      <c r="H252" s="1" t="s">
        <v>21</v>
      </c>
      <c r="I252" s="1" t="s">
        <v>975</v>
      </c>
      <c r="K252" s="1" t="s">
        <v>970</v>
      </c>
      <c r="L252" s="1" t="str">
        <f t="shared" si="89"/>
        <v>BPRS</v>
      </c>
      <c r="M252" s="1" t="s">
        <v>1231</v>
      </c>
      <c r="N252" s="1" t="s">
        <v>25</v>
      </c>
      <c r="O252" s="1" t="s">
        <v>26</v>
      </c>
      <c r="P252" s="1">
        <v>116735</v>
      </c>
      <c r="Q252" s="1" t="s">
        <v>436</v>
      </c>
      <c r="R252" s="1">
        <v>2420510</v>
      </c>
      <c r="S252" s="1" t="s">
        <v>333</v>
      </c>
      <c r="T252" s="1" t="s">
        <v>28</v>
      </c>
      <c r="U252" s="1" t="s">
        <v>29</v>
      </c>
      <c r="V252" s="1" t="s">
        <v>287</v>
      </c>
      <c r="W252" s="1">
        <v>0.6</v>
      </c>
      <c r="X252" s="1">
        <v>1250</v>
      </c>
      <c r="Y252" s="1">
        <v>0</v>
      </c>
      <c r="Z252" s="3">
        <v>58</v>
      </c>
      <c r="AA252" s="3">
        <v>49.75</v>
      </c>
      <c r="AB252" s="3">
        <v>8.25</v>
      </c>
      <c r="AC252" s="3">
        <v>24.22</v>
      </c>
      <c r="AD252" s="3">
        <f t="shared" si="83"/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f t="shared" si="84"/>
        <v>24.22</v>
      </c>
      <c r="AK252" s="3">
        <f>AC252</f>
        <v>24.22</v>
      </c>
      <c r="AL252" s="1">
        <v>0</v>
      </c>
      <c r="AM252" s="1">
        <v>0</v>
      </c>
      <c r="AN252" s="1">
        <v>0</v>
      </c>
      <c r="AO252" s="1">
        <v>0</v>
      </c>
      <c r="AP252" s="3">
        <f t="shared" si="74"/>
        <v>0</v>
      </c>
      <c r="AQ252" s="1" t="s">
        <v>436</v>
      </c>
    </row>
    <row r="253" spans="1:43" x14ac:dyDescent="0.35">
      <c r="A253" s="1">
        <v>742</v>
      </c>
      <c r="B253" s="2">
        <v>45888</v>
      </c>
      <c r="C253" s="1" t="s">
        <v>64</v>
      </c>
      <c r="D253" s="1">
        <v>9519028090</v>
      </c>
      <c r="E253" s="1">
        <v>3</v>
      </c>
      <c r="F253" s="1" t="s">
        <v>823</v>
      </c>
      <c r="G253" s="1" t="s">
        <v>1155</v>
      </c>
      <c r="H253" s="1" t="s">
        <v>21</v>
      </c>
      <c r="I253" s="1" t="s">
        <v>975</v>
      </c>
      <c r="K253" s="1" t="s">
        <v>970</v>
      </c>
      <c r="L253" s="1" t="str">
        <f t="shared" si="89"/>
        <v>BPRS</v>
      </c>
      <c r="M253" s="1" t="s">
        <v>1230</v>
      </c>
      <c r="N253" s="1" t="s">
        <v>356</v>
      </c>
      <c r="O253" s="1" t="s">
        <v>151</v>
      </c>
      <c r="P253" s="1">
        <v>155536</v>
      </c>
      <c r="Q253" s="1" t="s">
        <v>24</v>
      </c>
      <c r="R253" s="1">
        <v>2420609</v>
      </c>
      <c r="S253" s="1" t="s">
        <v>455</v>
      </c>
      <c r="T253" s="1" t="s">
        <v>28</v>
      </c>
      <c r="U253" s="1" t="s">
        <v>29</v>
      </c>
      <c r="V253" s="1" t="s">
        <v>287</v>
      </c>
      <c r="W253" s="1">
        <v>1.9</v>
      </c>
      <c r="X253" s="1">
        <v>1250</v>
      </c>
      <c r="Y253" s="1">
        <v>0</v>
      </c>
      <c r="Z253" s="3">
        <v>58</v>
      </c>
      <c r="AA253" s="3">
        <v>0</v>
      </c>
      <c r="AB253" s="3">
        <v>58</v>
      </c>
      <c r="AC253" s="3">
        <v>0</v>
      </c>
      <c r="AD253" s="3">
        <f t="shared" si="83"/>
        <v>58</v>
      </c>
      <c r="AE253" s="3">
        <v>58</v>
      </c>
      <c r="AF253" s="3">
        <v>0</v>
      </c>
      <c r="AG253" s="3">
        <v>0</v>
      </c>
      <c r="AH253" s="3">
        <v>0</v>
      </c>
      <c r="AI253" s="3">
        <v>0</v>
      </c>
      <c r="AJ253" s="3">
        <f t="shared" si="84"/>
        <v>58</v>
      </c>
      <c r="AK253" s="1">
        <v>0</v>
      </c>
      <c r="AL253" s="3">
        <f>AE253</f>
        <v>58</v>
      </c>
      <c r="AM253" s="3">
        <f>AF253</f>
        <v>0</v>
      </c>
      <c r="AN253" s="3">
        <f>AG253</f>
        <v>0</v>
      </c>
      <c r="AO253" s="3">
        <f>AH253</f>
        <v>0</v>
      </c>
      <c r="AP253" s="3">
        <f t="shared" si="74"/>
        <v>0</v>
      </c>
      <c r="AQ253" s="1" t="s">
        <v>24</v>
      </c>
    </row>
    <row r="254" spans="1:43" x14ac:dyDescent="0.35">
      <c r="A254" s="1">
        <v>742</v>
      </c>
      <c r="B254" s="2">
        <v>45875</v>
      </c>
      <c r="C254" s="1" t="s">
        <v>64</v>
      </c>
      <c r="D254" s="1">
        <v>9518997362</v>
      </c>
      <c r="E254" s="1">
        <v>3</v>
      </c>
      <c r="F254" s="1" t="s">
        <v>824</v>
      </c>
      <c r="G254" s="1" t="s">
        <v>393</v>
      </c>
      <c r="H254" s="1" t="s">
        <v>21</v>
      </c>
      <c r="I254" s="1" t="s">
        <v>22</v>
      </c>
      <c r="K254" s="1" t="s">
        <v>970</v>
      </c>
      <c r="L254" s="1" t="str">
        <f t="shared" si="89"/>
        <v>BPRS</v>
      </c>
      <c r="M254" s="1" t="s">
        <v>1231</v>
      </c>
      <c r="N254" s="1" t="s">
        <v>353</v>
      </c>
      <c r="O254" s="1" t="s">
        <v>74</v>
      </c>
      <c r="P254" s="1">
        <v>949570</v>
      </c>
      <c r="Q254" s="1" t="s">
        <v>84</v>
      </c>
      <c r="R254" s="1">
        <v>189861</v>
      </c>
      <c r="S254" s="1" t="s">
        <v>456</v>
      </c>
      <c r="T254" s="1" t="s">
        <v>28</v>
      </c>
      <c r="U254" s="1" t="s">
        <v>29</v>
      </c>
      <c r="V254" s="1" t="s">
        <v>30</v>
      </c>
      <c r="W254" s="1">
        <v>1.1499999999999999</v>
      </c>
      <c r="X254" s="1">
        <v>1250</v>
      </c>
      <c r="Y254" s="1">
        <v>0</v>
      </c>
      <c r="Z254" s="3">
        <v>57.999000000000002</v>
      </c>
      <c r="AA254" s="3">
        <v>37.795000000000002</v>
      </c>
      <c r="AB254" s="3">
        <v>20.202999999999999</v>
      </c>
      <c r="AC254" s="3">
        <v>12.17</v>
      </c>
      <c r="AD254" s="3">
        <f t="shared" si="83"/>
        <v>20.202999999999999</v>
      </c>
      <c r="AE254" s="3">
        <v>0</v>
      </c>
      <c r="AF254" s="3">
        <v>0</v>
      </c>
      <c r="AG254" s="3">
        <v>20.202999999999999</v>
      </c>
      <c r="AH254" s="3">
        <v>0</v>
      </c>
      <c r="AI254" s="3">
        <v>0</v>
      </c>
      <c r="AJ254" s="3">
        <f t="shared" si="84"/>
        <v>32.372999999999998</v>
      </c>
      <c r="AK254" s="1">
        <v>0</v>
      </c>
      <c r="AL254" s="1">
        <v>0</v>
      </c>
      <c r="AM254" s="1">
        <v>0</v>
      </c>
      <c r="AN254" s="3">
        <f>AG254+AC254</f>
        <v>32.372999999999998</v>
      </c>
      <c r="AO254" s="1">
        <v>0</v>
      </c>
      <c r="AP254" s="3">
        <f t="shared" si="74"/>
        <v>0</v>
      </c>
      <c r="AQ254" s="1" t="s">
        <v>84</v>
      </c>
    </row>
    <row r="255" spans="1:43" x14ac:dyDescent="0.35">
      <c r="A255" s="1">
        <v>743</v>
      </c>
      <c r="B255" s="2">
        <v>45890</v>
      </c>
      <c r="C255" s="1" t="s">
        <v>64</v>
      </c>
      <c r="D255" s="1">
        <v>9519035728</v>
      </c>
      <c r="E255" s="1">
        <v>1</v>
      </c>
      <c r="F255" s="1" t="s">
        <v>826</v>
      </c>
      <c r="G255" s="1" t="s">
        <v>1155</v>
      </c>
      <c r="H255" s="1" t="s">
        <v>56</v>
      </c>
      <c r="I255" s="1" t="s">
        <v>968</v>
      </c>
      <c r="K255" s="1" t="s">
        <v>969</v>
      </c>
      <c r="L255" s="1" t="str">
        <f t="shared" si="89"/>
        <v>IPP</v>
      </c>
      <c r="M255" s="1" t="s">
        <v>1232</v>
      </c>
      <c r="N255" s="1" t="s">
        <v>187</v>
      </c>
      <c r="O255" s="1" t="s">
        <v>54</v>
      </c>
      <c r="P255" s="1">
        <v>942284</v>
      </c>
      <c r="Q255" s="1" t="s">
        <v>87</v>
      </c>
      <c r="R255" s="1">
        <v>3856036</v>
      </c>
      <c r="S255" s="1" t="s">
        <v>362</v>
      </c>
      <c r="T255" s="1" t="s">
        <v>60</v>
      </c>
      <c r="U255" s="1" t="s">
        <v>61</v>
      </c>
      <c r="V255" s="1" t="s">
        <v>313</v>
      </c>
      <c r="W255" s="1">
        <v>0.3</v>
      </c>
      <c r="X255" s="1">
        <v>900</v>
      </c>
      <c r="Y255" s="1">
        <v>0</v>
      </c>
      <c r="Z255" s="3">
        <v>147</v>
      </c>
      <c r="AA255" s="3">
        <v>3.68</v>
      </c>
      <c r="AB255" s="3">
        <v>143.32</v>
      </c>
      <c r="AC255" s="3">
        <v>3.68</v>
      </c>
      <c r="AD255" s="3">
        <f t="shared" si="83"/>
        <v>143.32</v>
      </c>
      <c r="AE255" s="3">
        <v>0</v>
      </c>
      <c r="AF255" s="3">
        <v>0</v>
      </c>
      <c r="AG255" s="3">
        <v>0</v>
      </c>
      <c r="AH255" s="3">
        <v>0</v>
      </c>
      <c r="AI255" s="3">
        <v>143.32</v>
      </c>
      <c r="AJ255" s="3">
        <f t="shared" si="84"/>
        <v>0</v>
      </c>
      <c r="AK255" s="1">
        <v>0</v>
      </c>
      <c r="AL255" s="1">
        <v>0</v>
      </c>
      <c r="AM255" s="1">
        <v>0</v>
      </c>
      <c r="AN255" s="1">
        <v>0</v>
      </c>
      <c r="AO255" s="3">
        <v>0</v>
      </c>
      <c r="AP255" s="3">
        <f t="shared" si="74"/>
        <v>147</v>
      </c>
      <c r="AQ255" s="1" t="s">
        <v>87</v>
      </c>
    </row>
    <row r="256" spans="1:43" x14ac:dyDescent="0.35">
      <c r="A256" s="1">
        <v>744</v>
      </c>
      <c r="B256" s="2">
        <v>45890</v>
      </c>
      <c r="C256" s="1" t="s">
        <v>64</v>
      </c>
      <c r="D256" s="1">
        <v>9519035613</v>
      </c>
      <c r="E256" s="1">
        <v>1</v>
      </c>
      <c r="F256" s="1" t="s">
        <v>827</v>
      </c>
      <c r="G256" s="1" t="s">
        <v>393</v>
      </c>
      <c r="H256" s="1" t="s">
        <v>86</v>
      </c>
      <c r="I256" s="1" t="s">
        <v>968</v>
      </c>
      <c r="K256" s="1" t="s">
        <v>969</v>
      </c>
      <c r="L256" s="1" t="str">
        <f t="shared" si="89"/>
        <v>IPP</v>
      </c>
      <c r="M256" s="1" t="s">
        <v>1232</v>
      </c>
      <c r="N256" s="1" t="s">
        <v>108</v>
      </c>
      <c r="O256" s="1" t="s">
        <v>54</v>
      </c>
      <c r="P256" s="1">
        <v>940016</v>
      </c>
      <c r="Q256" s="1" t="s">
        <v>107</v>
      </c>
      <c r="R256" s="1">
        <v>3522241</v>
      </c>
      <c r="S256" s="1" t="s">
        <v>216</v>
      </c>
      <c r="T256" s="1" t="s">
        <v>88</v>
      </c>
      <c r="U256" s="1" t="s">
        <v>89</v>
      </c>
      <c r="V256" s="1" t="s">
        <v>217</v>
      </c>
      <c r="W256" s="1">
        <v>0.43</v>
      </c>
      <c r="X256" s="1">
        <v>1220</v>
      </c>
      <c r="Y256" s="1">
        <v>0</v>
      </c>
      <c r="Z256" s="3">
        <v>280</v>
      </c>
      <c r="AA256" s="3">
        <v>248.19</v>
      </c>
      <c r="AB256" s="3">
        <v>31.809000000000001</v>
      </c>
      <c r="AC256" s="3">
        <v>229.68000000000004</v>
      </c>
      <c r="AD256" s="3">
        <f t="shared" si="83"/>
        <v>31.809000000000001</v>
      </c>
      <c r="AE256" s="3">
        <v>31.809000000000001</v>
      </c>
      <c r="AF256" s="3">
        <v>0</v>
      </c>
      <c r="AG256" s="3">
        <v>0</v>
      </c>
      <c r="AH256" s="3">
        <v>0</v>
      </c>
      <c r="AI256" s="3">
        <v>0</v>
      </c>
      <c r="AJ256" s="3">
        <f t="shared" si="84"/>
        <v>261.48900000000003</v>
      </c>
      <c r="AK256" s="1">
        <v>0</v>
      </c>
      <c r="AL256" s="3">
        <v>0</v>
      </c>
      <c r="AM256" s="3">
        <f>AE256+AC256</f>
        <v>261.48900000000003</v>
      </c>
      <c r="AN256" s="1">
        <v>0</v>
      </c>
      <c r="AO256" s="3">
        <f>AG256</f>
        <v>0</v>
      </c>
      <c r="AP256" s="3">
        <f t="shared" si="74"/>
        <v>0</v>
      </c>
      <c r="AQ256" s="1" t="s">
        <v>107</v>
      </c>
    </row>
    <row r="257" spans="1:43" x14ac:dyDescent="0.35">
      <c r="A257" s="1">
        <v>742</v>
      </c>
      <c r="B257" s="2">
        <v>45889</v>
      </c>
      <c r="C257" s="1" t="s">
        <v>64</v>
      </c>
      <c r="D257" s="1">
        <v>9519031476</v>
      </c>
      <c r="E257" s="1">
        <v>5</v>
      </c>
      <c r="F257" s="1" t="s">
        <v>829</v>
      </c>
      <c r="G257" s="1" t="s">
        <v>1155</v>
      </c>
      <c r="H257" s="1" t="s">
        <v>21</v>
      </c>
      <c r="I257" s="1" t="s">
        <v>71</v>
      </c>
      <c r="K257" s="1" t="s">
        <v>970</v>
      </c>
      <c r="L257" s="1" t="str">
        <f t="shared" si="89"/>
        <v>BPRS</v>
      </c>
      <c r="M257" s="1" t="s">
        <v>1230</v>
      </c>
      <c r="N257" s="1" t="s">
        <v>92</v>
      </c>
      <c r="O257" s="1" t="s">
        <v>93</v>
      </c>
      <c r="P257" s="1">
        <v>117061</v>
      </c>
      <c r="Q257" s="1" t="s">
        <v>91</v>
      </c>
      <c r="R257" s="1">
        <v>3240790</v>
      </c>
      <c r="S257" s="1" t="s">
        <v>355</v>
      </c>
      <c r="T257" s="1" t="s">
        <v>75</v>
      </c>
      <c r="U257" s="1" t="s">
        <v>76</v>
      </c>
      <c r="V257" s="1" t="s">
        <v>77</v>
      </c>
      <c r="W257" s="1">
        <v>0.7</v>
      </c>
      <c r="X257" s="1">
        <v>1000</v>
      </c>
      <c r="Y257" s="1">
        <v>2500</v>
      </c>
      <c r="Z257" s="3">
        <v>23</v>
      </c>
      <c r="AA257" s="3">
        <v>0</v>
      </c>
      <c r="AB257" s="3">
        <v>23</v>
      </c>
      <c r="AC257" s="3">
        <v>0</v>
      </c>
      <c r="AD257" s="3">
        <f t="shared" si="83"/>
        <v>23</v>
      </c>
      <c r="AE257" s="3">
        <v>23</v>
      </c>
      <c r="AF257" s="3">
        <v>0</v>
      </c>
      <c r="AG257" s="3">
        <v>0</v>
      </c>
      <c r="AH257" s="3">
        <v>0</v>
      </c>
      <c r="AI257" s="3">
        <v>0</v>
      </c>
      <c r="AJ257" s="3">
        <f t="shared" si="84"/>
        <v>23</v>
      </c>
      <c r="AK257" s="1">
        <v>0</v>
      </c>
      <c r="AL257" s="3">
        <f>AE257</f>
        <v>23</v>
      </c>
      <c r="AM257" s="3">
        <f>AF257</f>
        <v>0</v>
      </c>
      <c r="AN257" s="3">
        <f>AG257</f>
        <v>0</v>
      </c>
      <c r="AO257" s="3">
        <f>AH257</f>
        <v>0</v>
      </c>
      <c r="AP257" s="3">
        <f t="shared" ref="AP257:AP320" si="99">(AC257+AD257)-AJ257</f>
        <v>0</v>
      </c>
      <c r="AQ257" s="1" t="s">
        <v>91</v>
      </c>
    </row>
    <row r="258" spans="1:43" x14ac:dyDescent="0.35">
      <c r="A258" s="1">
        <v>742</v>
      </c>
      <c r="B258" s="2">
        <v>45889</v>
      </c>
      <c r="C258" s="1" t="s">
        <v>64</v>
      </c>
      <c r="D258" s="1">
        <v>9519031476</v>
      </c>
      <c r="E258" s="1">
        <v>6</v>
      </c>
      <c r="F258" s="1" t="s">
        <v>830</v>
      </c>
      <c r="G258" s="1" t="s">
        <v>1367</v>
      </c>
      <c r="H258" s="1" t="s">
        <v>21</v>
      </c>
      <c r="I258" s="1" t="s">
        <v>71</v>
      </c>
      <c r="K258" s="1" t="s">
        <v>970</v>
      </c>
      <c r="L258" s="1" t="str">
        <f t="shared" si="89"/>
        <v>BPRS</v>
      </c>
      <c r="M258" s="1" t="s">
        <v>1230</v>
      </c>
      <c r="N258" s="1" t="s">
        <v>92</v>
      </c>
      <c r="O258" s="1" t="s">
        <v>93</v>
      </c>
      <c r="P258" s="1">
        <v>117061</v>
      </c>
      <c r="Q258" s="1" t="s">
        <v>91</v>
      </c>
      <c r="R258" s="1">
        <v>3240799</v>
      </c>
      <c r="S258" s="1" t="s">
        <v>376</v>
      </c>
      <c r="T258" s="1" t="s">
        <v>75</v>
      </c>
      <c r="U258" s="1" t="s">
        <v>76</v>
      </c>
      <c r="V258" s="1" t="s">
        <v>77</v>
      </c>
      <c r="W258" s="1">
        <v>0.75</v>
      </c>
      <c r="X258" s="1">
        <v>1250</v>
      </c>
      <c r="Y258" s="1">
        <v>2500</v>
      </c>
      <c r="Z258" s="3">
        <v>29</v>
      </c>
      <c r="AA258" s="3">
        <v>7.96</v>
      </c>
      <c r="AB258" s="3">
        <v>21.04</v>
      </c>
      <c r="AC258" s="3">
        <v>5.18</v>
      </c>
      <c r="AD258" s="3">
        <f t="shared" si="83"/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f t="shared" si="84"/>
        <v>5.18</v>
      </c>
      <c r="AK258" s="3">
        <f>AC258</f>
        <v>5.18</v>
      </c>
      <c r="AL258" s="1">
        <v>0</v>
      </c>
      <c r="AM258" s="1">
        <v>0</v>
      </c>
      <c r="AN258" s="1">
        <v>0</v>
      </c>
      <c r="AO258" s="1">
        <v>0</v>
      </c>
      <c r="AP258" s="3">
        <f t="shared" si="99"/>
        <v>0</v>
      </c>
      <c r="AQ258" s="1" t="s">
        <v>91</v>
      </c>
    </row>
    <row r="259" spans="1:43" x14ac:dyDescent="0.35">
      <c r="A259" s="1">
        <v>743</v>
      </c>
      <c r="B259" s="2">
        <v>45902</v>
      </c>
      <c r="C259" s="1" t="s">
        <v>64</v>
      </c>
      <c r="D259" s="1">
        <v>9519072913</v>
      </c>
      <c r="E259" s="1">
        <v>3</v>
      </c>
      <c r="F259" s="1" t="s">
        <v>831</v>
      </c>
      <c r="G259" s="1" t="s">
        <v>393</v>
      </c>
      <c r="H259" s="1" t="s">
        <v>63</v>
      </c>
      <c r="I259" s="1" t="s">
        <v>1404</v>
      </c>
      <c r="K259" s="1" t="s">
        <v>970</v>
      </c>
      <c r="L259" s="1" t="str">
        <f t="shared" si="89"/>
        <v>BPRS</v>
      </c>
      <c r="M259" s="1" t="s">
        <v>1230</v>
      </c>
      <c r="N259" s="1" t="s">
        <v>1135</v>
      </c>
      <c r="O259" s="1" t="s">
        <v>120</v>
      </c>
      <c r="P259" s="1">
        <v>121328</v>
      </c>
      <c r="Q259" s="1" t="s">
        <v>119</v>
      </c>
      <c r="R259" s="1">
        <v>1178439</v>
      </c>
      <c r="S259" s="1" t="s">
        <v>202</v>
      </c>
      <c r="T259" s="1" t="s">
        <v>139</v>
      </c>
      <c r="U259" s="1" t="s">
        <v>140</v>
      </c>
      <c r="V259" s="1" t="s">
        <v>150</v>
      </c>
      <c r="W259" s="1">
        <v>0.4</v>
      </c>
      <c r="X259" s="1">
        <v>900</v>
      </c>
      <c r="Y259" s="1">
        <v>0</v>
      </c>
      <c r="Z259" s="3">
        <v>126</v>
      </c>
      <c r="AA259" s="3">
        <v>0</v>
      </c>
      <c r="AB259" s="3">
        <v>126</v>
      </c>
      <c r="AC259" s="3">
        <v>0</v>
      </c>
      <c r="AD259" s="3">
        <f t="shared" ref="AD259:AD306" si="100">SUM(AE259:AI259)</f>
        <v>126</v>
      </c>
      <c r="AE259" s="3">
        <v>0</v>
      </c>
      <c r="AF259" s="3">
        <v>0</v>
      </c>
      <c r="AG259" s="3">
        <v>126</v>
      </c>
      <c r="AH259" s="3">
        <v>0</v>
      </c>
      <c r="AI259" s="3">
        <v>0</v>
      </c>
      <c r="AJ259" s="3">
        <f t="shared" ref="AJ259:AJ306" si="101">SUM(AK259:AO259)</f>
        <v>126</v>
      </c>
      <c r="AK259" s="1">
        <v>0</v>
      </c>
      <c r="AL259" s="1">
        <v>0</v>
      </c>
      <c r="AM259" s="1">
        <v>0</v>
      </c>
      <c r="AN259" s="3">
        <f>AG259</f>
        <v>126</v>
      </c>
      <c r="AO259" s="1">
        <v>0</v>
      </c>
      <c r="AP259" s="3">
        <f t="shared" si="99"/>
        <v>0</v>
      </c>
      <c r="AQ259" s="1" t="s">
        <v>119</v>
      </c>
    </row>
    <row r="260" spans="1:43" x14ac:dyDescent="0.35">
      <c r="A260" s="1">
        <v>743</v>
      </c>
      <c r="B260" s="2">
        <v>45902</v>
      </c>
      <c r="C260" s="1" t="s">
        <v>64</v>
      </c>
      <c r="D260" s="1">
        <v>9519072913</v>
      </c>
      <c r="E260" s="1">
        <v>5</v>
      </c>
      <c r="F260" s="1" t="s">
        <v>832</v>
      </c>
      <c r="G260" s="1" t="s">
        <v>393</v>
      </c>
      <c r="H260" s="1" t="s">
        <v>63</v>
      </c>
      <c r="I260" s="1" t="s">
        <v>1404</v>
      </c>
      <c r="K260" s="1" t="s">
        <v>970</v>
      </c>
      <c r="L260" s="1" t="str">
        <f t="shared" si="89"/>
        <v>BPRS</v>
      </c>
      <c r="M260" s="1" t="s">
        <v>1230</v>
      </c>
      <c r="N260" s="1" t="s">
        <v>1135</v>
      </c>
      <c r="O260" s="1" t="s">
        <v>120</v>
      </c>
      <c r="P260" s="1">
        <v>121328</v>
      </c>
      <c r="Q260" s="1" t="s">
        <v>119</v>
      </c>
      <c r="R260" s="1">
        <v>1854418</v>
      </c>
      <c r="S260" s="1" t="s">
        <v>176</v>
      </c>
      <c r="T260" s="1" t="s">
        <v>139</v>
      </c>
      <c r="U260" s="1" t="s">
        <v>140</v>
      </c>
      <c r="V260" s="1" t="s">
        <v>150</v>
      </c>
      <c r="W260" s="1">
        <v>0.5</v>
      </c>
      <c r="X260" s="1">
        <v>900</v>
      </c>
      <c r="Y260" s="1">
        <v>0</v>
      </c>
      <c r="Z260" s="3">
        <v>126</v>
      </c>
      <c r="AA260" s="3">
        <v>0</v>
      </c>
      <c r="AB260" s="3">
        <v>126</v>
      </c>
      <c r="AC260" s="3">
        <v>0</v>
      </c>
      <c r="AD260" s="3">
        <f t="shared" si="100"/>
        <v>126</v>
      </c>
      <c r="AE260" s="3">
        <v>0</v>
      </c>
      <c r="AF260" s="3">
        <v>0</v>
      </c>
      <c r="AG260" s="3">
        <v>126</v>
      </c>
      <c r="AH260" s="3">
        <v>0</v>
      </c>
      <c r="AI260" s="3">
        <v>0</v>
      </c>
      <c r="AJ260" s="3">
        <f t="shared" si="101"/>
        <v>126</v>
      </c>
      <c r="AK260" s="1">
        <v>0</v>
      </c>
      <c r="AL260" s="1">
        <v>0</v>
      </c>
      <c r="AM260" s="1">
        <v>0</v>
      </c>
      <c r="AN260" s="3">
        <f t="shared" ref="AN260" si="102">AG260</f>
        <v>126</v>
      </c>
      <c r="AO260" s="1">
        <v>0</v>
      </c>
      <c r="AP260" s="3">
        <f t="shared" si="99"/>
        <v>0</v>
      </c>
      <c r="AQ260" s="1" t="s">
        <v>119</v>
      </c>
    </row>
    <row r="261" spans="1:43" x14ac:dyDescent="0.35">
      <c r="A261" s="1">
        <v>742</v>
      </c>
      <c r="B261" s="2">
        <v>45911</v>
      </c>
      <c r="C261" s="1" t="s">
        <v>64</v>
      </c>
      <c r="D261" s="1">
        <v>9519094552</v>
      </c>
      <c r="E261" s="1">
        <v>6</v>
      </c>
      <c r="F261" s="1" t="s">
        <v>833</v>
      </c>
      <c r="G261" s="1" t="s">
        <v>1155</v>
      </c>
      <c r="H261" s="1" t="s">
        <v>21</v>
      </c>
      <c r="I261" s="1" t="s">
        <v>71</v>
      </c>
      <c r="K261" s="1" t="s">
        <v>970</v>
      </c>
      <c r="L261" s="1" t="str">
        <f t="shared" si="89"/>
        <v>BPRS</v>
      </c>
      <c r="M261" s="1" t="s">
        <v>1230</v>
      </c>
      <c r="N261" s="1" t="s">
        <v>170</v>
      </c>
      <c r="O261" s="1" t="s">
        <v>80</v>
      </c>
      <c r="P261" s="1">
        <v>948783</v>
      </c>
      <c r="Q261" s="1" t="s">
        <v>78</v>
      </c>
      <c r="R261" s="1">
        <v>3240753</v>
      </c>
      <c r="S261" s="1" t="s">
        <v>309</v>
      </c>
      <c r="T261" s="1" t="s">
        <v>75</v>
      </c>
      <c r="U261" s="1" t="s">
        <v>76</v>
      </c>
      <c r="V261" s="1" t="s">
        <v>77</v>
      </c>
      <c r="W261" s="1">
        <v>0.5</v>
      </c>
      <c r="X261" s="1">
        <v>900</v>
      </c>
      <c r="Y261" s="1">
        <v>2500</v>
      </c>
      <c r="Z261" s="3">
        <v>21</v>
      </c>
      <c r="AA261" s="3">
        <v>0</v>
      </c>
      <c r="AB261" s="3">
        <v>21</v>
      </c>
      <c r="AC261" s="3">
        <v>0</v>
      </c>
      <c r="AD261" s="3">
        <f t="shared" si="100"/>
        <v>21</v>
      </c>
      <c r="AE261" s="3">
        <v>0</v>
      </c>
      <c r="AF261" s="3">
        <v>0</v>
      </c>
      <c r="AG261" s="3">
        <v>21</v>
      </c>
      <c r="AH261" s="3">
        <v>0</v>
      </c>
      <c r="AI261" s="3">
        <v>0</v>
      </c>
      <c r="AJ261" s="3">
        <f t="shared" si="101"/>
        <v>21</v>
      </c>
      <c r="AK261" s="1">
        <v>0</v>
      </c>
      <c r="AL261" s="3">
        <f t="shared" ref="AL261" si="103">AE261</f>
        <v>0</v>
      </c>
      <c r="AM261" s="3">
        <f t="shared" ref="AM261" si="104">AF261</f>
        <v>0</v>
      </c>
      <c r="AN261" s="3">
        <f t="shared" ref="AN261:AN262" si="105">AG261</f>
        <v>21</v>
      </c>
      <c r="AO261" s="3">
        <f t="shared" ref="AO261:AO262" si="106">AH261</f>
        <v>0</v>
      </c>
      <c r="AP261" s="3">
        <f t="shared" si="99"/>
        <v>0</v>
      </c>
      <c r="AQ261" s="1" t="s">
        <v>78</v>
      </c>
    </row>
    <row r="262" spans="1:43" x14ac:dyDescent="0.35">
      <c r="A262" s="1">
        <v>742</v>
      </c>
      <c r="B262" s="2">
        <v>45898</v>
      </c>
      <c r="C262" s="1" t="s">
        <v>64</v>
      </c>
      <c r="D262" s="1">
        <v>9519062631</v>
      </c>
      <c r="E262" s="1">
        <v>12</v>
      </c>
      <c r="F262" s="1" t="s">
        <v>834</v>
      </c>
      <c r="G262" s="1" t="s">
        <v>1155</v>
      </c>
      <c r="H262" s="1" t="s">
        <v>21</v>
      </c>
      <c r="I262" s="1" t="s">
        <v>71</v>
      </c>
      <c r="K262" s="1" t="s">
        <v>970</v>
      </c>
      <c r="L262" s="1" t="str">
        <f t="shared" si="89"/>
        <v>BPRS</v>
      </c>
      <c r="M262" s="1" t="s">
        <v>1231</v>
      </c>
      <c r="N262" s="1" t="s">
        <v>214</v>
      </c>
      <c r="O262" s="1" t="s">
        <v>26</v>
      </c>
      <c r="P262" s="1">
        <v>931525</v>
      </c>
      <c r="Q262" s="1" t="s">
        <v>213</v>
      </c>
      <c r="R262" s="1">
        <v>3240863</v>
      </c>
      <c r="S262" s="1" t="s">
        <v>459</v>
      </c>
      <c r="T262" s="1" t="s">
        <v>75</v>
      </c>
      <c r="U262" s="1" t="s">
        <v>76</v>
      </c>
      <c r="V262" s="1" t="s">
        <v>77</v>
      </c>
      <c r="W262" s="1">
        <v>1.5</v>
      </c>
      <c r="X262" s="1">
        <v>1250</v>
      </c>
      <c r="Y262" s="1">
        <v>2500</v>
      </c>
      <c r="Z262" s="3">
        <v>29</v>
      </c>
      <c r="AA262" s="3">
        <v>0</v>
      </c>
      <c r="AB262" s="3">
        <v>29</v>
      </c>
      <c r="AC262" s="3">
        <v>0</v>
      </c>
      <c r="AD262" s="3">
        <f t="shared" si="100"/>
        <v>29</v>
      </c>
      <c r="AE262" s="3">
        <v>0</v>
      </c>
      <c r="AF262" s="3">
        <v>29</v>
      </c>
      <c r="AG262" s="3">
        <v>0</v>
      </c>
      <c r="AH262" s="3">
        <v>0</v>
      </c>
      <c r="AI262" s="3">
        <v>0</v>
      </c>
      <c r="AJ262" s="3">
        <f t="shared" si="101"/>
        <v>29</v>
      </c>
      <c r="AK262" s="1">
        <v>0</v>
      </c>
      <c r="AL262" s="3">
        <f>AF262</f>
        <v>29</v>
      </c>
      <c r="AM262" s="3">
        <v>0</v>
      </c>
      <c r="AN262" s="3">
        <f t="shared" si="105"/>
        <v>0</v>
      </c>
      <c r="AO262" s="3">
        <f t="shared" si="106"/>
        <v>0</v>
      </c>
      <c r="AP262" s="3">
        <f t="shared" si="99"/>
        <v>0</v>
      </c>
      <c r="AQ262" s="1" t="s">
        <v>213</v>
      </c>
    </row>
    <row r="263" spans="1:43" x14ac:dyDescent="0.35">
      <c r="A263" s="1">
        <v>742</v>
      </c>
      <c r="B263" s="2">
        <v>45909</v>
      </c>
      <c r="C263" s="1" t="s">
        <v>460</v>
      </c>
      <c r="D263" s="1">
        <v>9519088402</v>
      </c>
      <c r="E263" s="1">
        <v>1</v>
      </c>
      <c r="F263" s="1" t="s">
        <v>835</v>
      </c>
      <c r="G263" s="1" t="s">
        <v>1155</v>
      </c>
      <c r="H263" s="1" t="s">
        <v>21</v>
      </c>
      <c r="I263" s="1" t="s">
        <v>104</v>
      </c>
      <c r="K263" s="1" t="s">
        <v>970</v>
      </c>
      <c r="L263" s="1" t="str">
        <f>K263</f>
        <v>BPRS</v>
      </c>
      <c r="M263" s="1" t="s">
        <v>1229</v>
      </c>
      <c r="N263" s="1" t="s">
        <v>73</v>
      </c>
      <c r="O263" s="1" t="s">
        <v>462</v>
      </c>
      <c r="P263" s="1">
        <v>189881</v>
      </c>
      <c r="Q263" s="1" t="s">
        <v>461</v>
      </c>
      <c r="R263" s="1">
        <v>3532124</v>
      </c>
      <c r="S263" s="1" t="s">
        <v>463</v>
      </c>
      <c r="T263" s="1" t="s">
        <v>75</v>
      </c>
      <c r="U263" s="1" t="s">
        <v>122</v>
      </c>
      <c r="V263" s="1" t="s">
        <v>464</v>
      </c>
      <c r="W263" s="1">
        <v>0.3</v>
      </c>
      <c r="X263" s="1">
        <v>1219</v>
      </c>
      <c r="Y263" s="1">
        <v>2438</v>
      </c>
      <c r="Z263" s="3">
        <v>26</v>
      </c>
      <c r="AA263" s="3">
        <v>0</v>
      </c>
      <c r="AB263" s="3">
        <v>26</v>
      </c>
      <c r="AC263" s="3">
        <v>0</v>
      </c>
      <c r="AD263" s="3">
        <f t="shared" si="100"/>
        <v>26</v>
      </c>
      <c r="AE263" s="3">
        <v>26</v>
      </c>
      <c r="AF263" s="3">
        <v>0</v>
      </c>
      <c r="AG263" s="3">
        <v>0</v>
      </c>
      <c r="AH263" s="3">
        <v>0</v>
      </c>
      <c r="AI263" s="3">
        <v>0</v>
      </c>
      <c r="AJ263" s="3">
        <f t="shared" si="101"/>
        <v>26</v>
      </c>
      <c r="AK263" s="1">
        <v>0</v>
      </c>
      <c r="AL263" s="1">
        <v>0</v>
      </c>
      <c r="AM263" s="3">
        <f>AD263</f>
        <v>26</v>
      </c>
      <c r="AN263" s="1">
        <v>0</v>
      </c>
      <c r="AO263" s="1">
        <v>0</v>
      </c>
      <c r="AP263" s="3">
        <f t="shared" si="99"/>
        <v>0</v>
      </c>
      <c r="AQ263" s="1" t="s">
        <v>232</v>
      </c>
    </row>
    <row r="264" spans="1:43" x14ac:dyDescent="0.35">
      <c r="A264" s="1">
        <v>742</v>
      </c>
      <c r="B264" s="2">
        <v>45909</v>
      </c>
      <c r="C264" s="1" t="s">
        <v>460</v>
      </c>
      <c r="D264" s="1">
        <v>9519088402</v>
      </c>
      <c r="E264" s="1">
        <v>2</v>
      </c>
      <c r="F264" s="1" t="s">
        <v>836</v>
      </c>
      <c r="G264" s="1" t="s">
        <v>1155</v>
      </c>
      <c r="H264" s="1" t="s">
        <v>21</v>
      </c>
      <c r="I264" s="1" t="s">
        <v>104</v>
      </c>
      <c r="K264" s="1" t="s">
        <v>970</v>
      </c>
      <c r="L264" s="1" t="str">
        <f t="shared" ref="L264" si="107">K264</f>
        <v>BPRS</v>
      </c>
      <c r="M264" s="1" t="s">
        <v>1229</v>
      </c>
      <c r="N264" s="1" t="s">
        <v>73</v>
      </c>
      <c r="O264" s="1" t="s">
        <v>462</v>
      </c>
      <c r="P264" s="1">
        <v>189881</v>
      </c>
      <c r="Q264" s="1" t="s">
        <v>461</v>
      </c>
      <c r="R264" s="1">
        <v>3532126</v>
      </c>
      <c r="S264" s="1" t="s">
        <v>465</v>
      </c>
      <c r="T264" s="1" t="s">
        <v>75</v>
      </c>
      <c r="U264" s="1" t="s">
        <v>122</v>
      </c>
      <c r="V264" s="1" t="s">
        <v>464</v>
      </c>
      <c r="W264" s="1">
        <v>0.35</v>
      </c>
      <c r="X264" s="1">
        <v>1219</v>
      </c>
      <c r="Y264" s="1">
        <v>2438</v>
      </c>
      <c r="Z264" s="3">
        <v>26</v>
      </c>
      <c r="AA264" s="3">
        <v>0</v>
      </c>
      <c r="AB264" s="3">
        <v>26</v>
      </c>
      <c r="AC264" s="3">
        <v>0</v>
      </c>
      <c r="AD264" s="3">
        <f t="shared" si="100"/>
        <v>26</v>
      </c>
      <c r="AE264" s="3">
        <v>0</v>
      </c>
      <c r="AF264" s="3">
        <v>26</v>
      </c>
      <c r="AG264" s="3">
        <v>0</v>
      </c>
      <c r="AH264" s="3">
        <v>0</v>
      </c>
      <c r="AI264" s="3">
        <v>0</v>
      </c>
      <c r="AJ264" s="3">
        <f t="shared" si="101"/>
        <v>26</v>
      </c>
      <c r="AK264" s="1">
        <v>0</v>
      </c>
      <c r="AL264" s="1">
        <v>0</v>
      </c>
      <c r="AM264" s="3">
        <f t="shared" ref="AM264" si="108">AD264</f>
        <v>26</v>
      </c>
      <c r="AN264" s="1">
        <v>0</v>
      </c>
      <c r="AO264" s="1">
        <v>0</v>
      </c>
      <c r="AP264" s="3">
        <f t="shared" si="99"/>
        <v>0</v>
      </c>
      <c r="AQ264" s="1" t="s">
        <v>232</v>
      </c>
    </row>
    <row r="265" spans="1:43" x14ac:dyDescent="0.35">
      <c r="A265" s="1">
        <v>742</v>
      </c>
      <c r="B265" s="2">
        <v>45895</v>
      </c>
      <c r="C265" s="1" t="s">
        <v>64</v>
      </c>
      <c r="D265" s="1">
        <v>9519051309</v>
      </c>
      <c r="E265" s="1">
        <v>1</v>
      </c>
      <c r="F265" s="1" t="s">
        <v>837</v>
      </c>
      <c r="G265" s="1" t="s">
        <v>1155</v>
      </c>
      <c r="H265" s="1" t="s">
        <v>21</v>
      </c>
      <c r="I265" s="1" t="s">
        <v>71</v>
      </c>
      <c r="K265" s="1" t="s">
        <v>970</v>
      </c>
      <c r="L265" s="1" t="str">
        <f t="shared" ref="L265:L268" si="109">K265</f>
        <v>BPRS</v>
      </c>
      <c r="M265" s="1" t="s">
        <v>1230</v>
      </c>
      <c r="N265" s="1" t="s">
        <v>170</v>
      </c>
      <c r="O265" s="1" t="s">
        <v>80</v>
      </c>
      <c r="P265" s="1">
        <v>948783</v>
      </c>
      <c r="Q265" s="1" t="s">
        <v>78</v>
      </c>
      <c r="R265" s="1">
        <v>3240778</v>
      </c>
      <c r="S265" s="1" t="s">
        <v>303</v>
      </c>
      <c r="T265" s="1" t="s">
        <v>75</v>
      </c>
      <c r="U265" s="1" t="s">
        <v>76</v>
      </c>
      <c r="V265" s="1" t="s">
        <v>77</v>
      </c>
      <c r="W265" s="1">
        <v>0.6</v>
      </c>
      <c r="X265" s="1">
        <v>1000</v>
      </c>
      <c r="Y265" s="1">
        <v>2500</v>
      </c>
      <c r="Z265" s="3">
        <v>22.98</v>
      </c>
      <c r="AA265" s="3">
        <v>0</v>
      </c>
      <c r="AB265" s="3">
        <v>22.98</v>
      </c>
      <c r="AC265" s="3">
        <v>0</v>
      </c>
      <c r="AD265" s="3">
        <f t="shared" si="100"/>
        <v>22.98</v>
      </c>
      <c r="AE265" s="3">
        <v>0</v>
      </c>
      <c r="AF265" s="3">
        <v>0</v>
      </c>
      <c r="AG265" s="3">
        <v>0</v>
      </c>
      <c r="AH265" s="3">
        <v>22.98</v>
      </c>
      <c r="AI265" s="3">
        <v>0</v>
      </c>
      <c r="AJ265" s="3">
        <f t="shared" si="101"/>
        <v>22.98</v>
      </c>
      <c r="AK265" s="1">
        <v>0</v>
      </c>
      <c r="AL265" s="3">
        <f>AE265</f>
        <v>0</v>
      </c>
      <c r="AM265" s="3">
        <f>AF265</f>
        <v>0</v>
      </c>
      <c r="AN265" s="3">
        <f>AG265</f>
        <v>0</v>
      </c>
      <c r="AO265" s="3">
        <f>AH265</f>
        <v>22.98</v>
      </c>
      <c r="AP265" s="3">
        <f t="shared" si="99"/>
        <v>0</v>
      </c>
      <c r="AQ265" s="1" t="s">
        <v>78</v>
      </c>
    </row>
    <row r="266" spans="1:43" x14ac:dyDescent="0.35">
      <c r="A266" s="1">
        <v>744</v>
      </c>
      <c r="B266" s="2">
        <v>45899</v>
      </c>
      <c r="C266" s="1" t="s">
        <v>64</v>
      </c>
      <c r="D266" s="1">
        <v>9519065717</v>
      </c>
      <c r="E266" s="1">
        <v>3</v>
      </c>
      <c r="F266" s="1" t="s">
        <v>838</v>
      </c>
      <c r="G266" s="1" t="s">
        <v>393</v>
      </c>
      <c r="H266" s="1" t="s">
        <v>86</v>
      </c>
      <c r="I266" s="1" t="s">
        <v>968</v>
      </c>
      <c r="K266" s="1" t="s">
        <v>969</v>
      </c>
      <c r="L266" s="1" t="str">
        <f t="shared" si="109"/>
        <v>IPP</v>
      </c>
      <c r="M266" s="1" t="s">
        <v>1232</v>
      </c>
      <c r="N266" s="1" t="s">
        <v>108</v>
      </c>
      <c r="O266" s="1" t="s">
        <v>54</v>
      </c>
      <c r="P266" s="1">
        <v>940016</v>
      </c>
      <c r="Q266" s="1" t="s">
        <v>107</v>
      </c>
      <c r="R266" s="1">
        <v>3521300</v>
      </c>
      <c r="S266" s="1" t="s">
        <v>417</v>
      </c>
      <c r="T266" s="1" t="s">
        <v>88</v>
      </c>
      <c r="U266" s="1" t="s">
        <v>89</v>
      </c>
      <c r="V266" s="1" t="s">
        <v>217</v>
      </c>
      <c r="W266" s="1">
        <v>0.4</v>
      </c>
      <c r="X266" s="1">
        <v>1220</v>
      </c>
      <c r="Y266" s="1">
        <v>0</v>
      </c>
      <c r="Z266" s="3">
        <v>280</v>
      </c>
      <c r="AA266" s="3">
        <v>226.54499999999999</v>
      </c>
      <c r="AB266" s="3">
        <v>53.454999999999998</v>
      </c>
      <c r="AC266" s="3">
        <v>163.56000000000003</v>
      </c>
      <c r="AD266" s="3">
        <f t="shared" si="100"/>
        <v>73.290000000000006</v>
      </c>
      <c r="AE266" s="3">
        <v>73.290000000000006</v>
      </c>
      <c r="AF266" s="3">
        <v>0</v>
      </c>
      <c r="AG266" s="3">
        <v>0</v>
      </c>
      <c r="AH266" s="3">
        <v>0</v>
      </c>
      <c r="AI266" s="3">
        <v>0</v>
      </c>
      <c r="AJ266" s="3">
        <f t="shared" si="101"/>
        <v>236.85000000000002</v>
      </c>
      <c r="AK266" s="1">
        <v>0</v>
      </c>
      <c r="AL266" s="3">
        <v>0</v>
      </c>
      <c r="AM266" s="3">
        <f>AE266+AC266</f>
        <v>236.85000000000002</v>
      </c>
      <c r="AN266" s="1">
        <v>0</v>
      </c>
      <c r="AO266" s="3">
        <f t="shared" ref="AO266:AO267" si="110">AG266</f>
        <v>0</v>
      </c>
      <c r="AP266" s="3">
        <f t="shared" si="99"/>
        <v>0</v>
      </c>
      <c r="AQ266" s="1" t="s">
        <v>107</v>
      </c>
    </row>
    <row r="267" spans="1:43" x14ac:dyDescent="0.35">
      <c r="A267" s="1">
        <v>744</v>
      </c>
      <c r="B267" s="2">
        <v>45899</v>
      </c>
      <c r="C267" s="1" t="s">
        <v>64</v>
      </c>
      <c r="D267" s="1">
        <v>9519065717</v>
      </c>
      <c r="E267" s="1">
        <v>4</v>
      </c>
      <c r="F267" s="1" t="s">
        <v>839</v>
      </c>
      <c r="G267" s="1" t="s">
        <v>393</v>
      </c>
      <c r="H267" s="1" t="s">
        <v>86</v>
      </c>
      <c r="I267" s="1" t="s">
        <v>968</v>
      </c>
      <c r="K267" s="1" t="s">
        <v>969</v>
      </c>
      <c r="L267" s="1" t="str">
        <f t="shared" si="109"/>
        <v>IPP</v>
      </c>
      <c r="M267" s="1" t="s">
        <v>1232</v>
      </c>
      <c r="N267" s="1" t="s">
        <v>108</v>
      </c>
      <c r="O267" s="1" t="s">
        <v>54</v>
      </c>
      <c r="P267" s="1">
        <v>940016</v>
      </c>
      <c r="Q267" s="1" t="s">
        <v>107</v>
      </c>
      <c r="R267" s="1">
        <v>3521300</v>
      </c>
      <c r="S267" s="1" t="s">
        <v>417</v>
      </c>
      <c r="T267" s="1" t="s">
        <v>88</v>
      </c>
      <c r="U267" s="1" t="s">
        <v>89</v>
      </c>
      <c r="V267" s="1" t="s">
        <v>217</v>
      </c>
      <c r="W267" s="1">
        <v>0.4</v>
      </c>
      <c r="X267" s="1">
        <v>1220</v>
      </c>
      <c r="Y267" s="1">
        <v>0</v>
      </c>
      <c r="Z267" s="3">
        <v>224</v>
      </c>
      <c r="AA267" s="3">
        <v>82.53</v>
      </c>
      <c r="AB267" s="3">
        <v>141.47</v>
      </c>
      <c r="AC267" s="3">
        <v>22.28</v>
      </c>
      <c r="AD267" s="3">
        <f t="shared" si="100"/>
        <v>171.41499999999999</v>
      </c>
      <c r="AE267" s="3">
        <v>171.41499999999999</v>
      </c>
      <c r="AF267" s="3">
        <v>0</v>
      </c>
      <c r="AG267" s="3">
        <v>0</v>
      </c>
      <c r="AH267" s="3">
        <v>0</v>
      </c>
      <c r="AI267" s="3">
        <v>0</v>
      </c>
      <c r="AJ267" s="3">
        <f t="shared" si="101"/>
        <v>193.69499999999999</v>
      </c>
      <c r="AK267" s="1">
        <v>0</v>
      </c>
      <c r="AL267" s="1">
        <v>0</v>
      </c>
      <c r="AM267" s="3">
        <f>AD267+AC267</f>
        <v>193.69499999999999</v>
      </c>
      <c r="AN267" s="1">
        <v>0</v>
      </c>
      <c r="AO267" s="3">
        <f t="shared" si="110"/>
        <v>0</v>
      </c>
      <c r="AP267" s="3">
        <f t="shared" si="99"/>
        <v>0</v>
      </c>
      <c r="AQ267" s="1" t="s">
        <v>107</v>
      </c>
    </row>
    <row r="268" spans="1:43" x14ac:dyDescent="0.35">
      <c r="A268" s="1">
        <v>742</v>
      </c>
      <c r="B268" s="2">
        <v>45887</v>
      </c>
      <c r="C268" s="1" t="s">
        <v>64</v>
      </c>
      <c r="D268" s="1">
        <v>9519025273</v>
      </c>
      <c r="E268" s="1">
        <v>8</v>
      </c>
      <c r="F268" s="1" t="s">
        <v>840</v>
      </c>
      <c r="G268" s="1" t="s">
        <v>1155</v>
      </c>
      <c r="H268" s="1" t="s">
        <v>21</v>
      </c>
      <c r="I268" s="1" t="s">
        <v>71</v>
      </c>
      <c r="K268" s="1" t="s">
        <v>970</v>
      </c>
      <c r="L268" s="1" t="str">
        <f t="shared" si="109"/>
        <v>BPRS</v>
      </c>
      <c r="M268" s="1" t="s">
        <v>1230</v>
      </c>
      <c r="N268" s="1" t="s">
        <v>308</v>
      </c>
      <c r="O268" s="1" t="s">
        <v>151</v>
      </c>
      <c r="P268" s="1">
        <v>925093</v>
      </c>
      <c r="Q268" s="1" t="s">
        <v>307</v>
      </c>
      <c r="R268" s="1">
        <v>3240772</v>
      </c>
      <c r="S268" s="1" t="s">
        <v>310</v>
      </c>
      <c r="T268" s="1" t="s">
        <v>75</v>
      </c>
      <c r="U268" s="1" t="s">
        <v>76</v>
      </c>
      <c r="V268" s="1" t="s">
        <v>77</v>
      </c>
      <c r="W268" s="1">
        <v>0.6</v>
      </c>
      <c r="X268" s="1">
        <v>900</v>
      </c>
      <c r="Y268" s="1">
        <v>2500</v>
      </c>
      <c r="Z268" s="3">
        <v>21</v>
      </c>
      <c r="AA268" s="3">
        <v>0</v>
      </c>
      <c r="AB268" s="3">
        <v>21</v>
      </c>
      <c r="AC268" s="3">
        <v>0</v>
      </c>
      <c r="AD268" s="3">
        <f t="shared" si="100"/>
        <v>21</v>
      </c>
      <c r="AE268" s="3">
        <v>0</v>
      </c>
      <c r="AF268" s="3">
        <v>0</v>
      </c>
      <c r="AG268" s="3">
        <v>21</v>
      </c>
      <c r="AH268" s="3">
        <v>0</v>
      </c>
      <c r="AI268" s="3">
        <v>0</v>
      </c>
      <c r="AJ268" s="3">
        <f t="shared" si="101"/>
        <v>21</v>
      </c>
      <c r="AK268" s="1">
        <v>0</v>
      </c>
      <c r="AL268" s="3">
        <f>AE268</f>
        <v>0</v>
      </c>
      <c r="AM268" s="3">
        <f>AF268</f>
        <v>0</v>
      </c>
      <c r="AN268" s="3">
        <f>AG268</f>
        <v>21</v>
      </c>
      <c r="AO268" s="3">
        <f>AH268</f>
        <v>0</v>
      </c>
      <c r="AP268" s="3">
        <f t="shared" si="99"/>
        <v>0</v>
      </c>
      <c r="AQ268" s="1" t="s">
        <v>307</v>
      </c>
    </row>
    <row r="269" spans="1:43" x14ac:dyDescent="0.35">
      <c r="A269" s="1">
        <v>742</v>
      </c>
      <c r="B269" s="2">
        <v>45882</v>
      </c>
      <c r="C269" s="1" t="s">
        <v>46</v>
      </c>
      <c r="D269" s="1">
        <v>9519013589</v>
      </c>
      <c r="E269" s="1">
        <v>1</v>
      </c>
      <c r="F269" s="1" t="s">
        <v>841</v>
      </c>
      <c r="G269" s="1" t="s">
        <v>1367</v>
      </c>
      <c r="H269" s="1" t="s">
        <v>21</v>
      </c>
      <c r="I269" s="1" t="s">
        <v>971</v>
      </c>
      <c r="K269" s="1" t="s">
        <v>971</v>
      </c>
      <c r="L269" s="1" t="s">
        <v>971</v>
      </c>
      <c r="M269" s="1" t="s">
        <v>1229</v>
      </c>
      <c r="N269" s="1" t="s">
        <v>35</v>
      </c>
      <c r="O269" s="1" t="s">
        <v>342</v>
      </c>
      <c r="P269" s="1">
        <v>760004</v>
      </c>
      <c r="Q269" s="1" t="s">
        <v>466</v>
      </c>
      <c r="R269" s="1">
        <v>2279476</v>
      </c>
      <c r="S269" s="1" t="s">
        <v>467</v>
      </c>
      <c r="T269" s="1" t="s">
        <v>28</v>
      </c>
      <c r="U269" s="1" t="s">
        <v>189</v>
      </c>
      <c r="V269" s="1" t="s">
        <v>468</v>
      </c>
      <c r="W269" s="1">
        <v>1.4</v>
      </c>
      <c r="X269" s="1">
        <v>1270</v>
      </c>
      <c r="Y269" s="1">
        <v>0</v>
      </c>
      <c r="Z269" s="3">
        <v>280</v>
      </c>
      <c r="AA269" s="3">
        <v>173.935</v>
      </c>
      <c r="AB269" s="3">
        <v>106.065</v>
      </c>
      <c r="AC269" s="3">
        <v>26.574999999999999</v>
      </c>
      <c r="AD269" s="3">
        <f t="shared" si="100"/>
        <v>106.065</v>
      </c>
      <c r="AE269" s="3">
        <v>106.065</v>
      </c>
      <c r="AF269" s="3">
        <v>0</v>
      </c>
      <c r="AG269" s="3">
        <v>0</v>
      </c>
      <c r="AH269" s="3">
        <v>0</v>
      </c>
      <c r="AI269" s="3">
        <v>0</v>
      </c>
      <c r="AJ269" s="3">
        <f t="shared" si="101"/>
        <v>132.63999999999999</v>
      </c>
      <c r="AK269" s="1">
        <v>0</v>
      </c>
      <c r="AL269" s="3">
        <f>AE269+AC269</f>
        <v>132.63999999999999</v>
      </c>
      <c r="AM269" s="1">
        <v>0</v>
      </c>
      <c r="AN269" s="1">
        <v>0</v>
      </c>
      <c r="AO269" s="1">
        <v>0</v>
      </c>
      <c r="AP269" s="3">
        <f t="shared" si="99"/>
        <v>0</v>
      </c>
      <c r="AQ269" s="1" t="s">
        <v>466</v>
      </c>
    </row>
    <row r="270" spans="1:43" x14ac:dyDescent="0.35">
      <c r="A270" s="1">
        <v>742</v>
      </c>
      <c r="B270" s="2">
        <v>45882</v>
      </c>
      <c r="C270" s="1" t="s">
        <v>46</v>
      </c>
      <c r="D270" s="1">
        <v>9519013589</v>
      </c>
      <c r="E270" s="1">
        <v>2</v>
      </c>
      <c r="F270" s="1" t="s">
        <v>842</v>
      </c>
      <c r="G270" s="1" t="s">
        <v>1155</v>
      </c>
      <c r="H270" s="1" t="s">
        <v>21</v>
      </c>
      <c r="I270" s="1" t="s">
        <v>971</v>
      </c>
      <c r="K270" s="1" t="s">
        <v>971</v>
      </c>
      <c r="L270" s="1" t="s">
        <v>971</v>
      </c>
      <c r="M270" s="1" t="s">
        <v>1229</v>
      </c>
      <c r="N270" s="1" t="s">
        <v>35</v>
      </c>
      <c r="O270" s="1" t="s">
        <v>342</v>
      </c>
      <c r="P270" s="1">
        <v>760004</v>
      </c>
      <c r="Q270" s="1" t="s">
        <v>466</v>
      </c>
      <c r="R270" s="1">
        <v>2279503</v>
      </c>
      <c r="S270" s="1" t="s">
        <v>469</v>
      </c>
      <c r="T270" s="1" t="s">
        <v>28</v>
      </c>
      <c r="U270" s="1" t="s">
        <v>189</v>
      </c>
      <c r="V270" s="1" t="s">
        <v>468</v>
      </c>
      <c r="W270" s="1">
        <v>1.6</v>
      </c>
      <c r="X270" s="1">
        <v>1270</v>
      </c>
      <c r="Y270" s="1">
        <v>0</v>
      </c>
      <c r="Z270" s="3">
        <v>280</v>
      </c>
      <c r="AA270" s="3">
        <v>233.04499999999999</v>
      </c>
      <c r="AB270" s="3">
        <v>46.954999999999998</v>
      </c>
      <c r="AC270" s="3">
        <v>0</v>
      </c>
      <c r="AD270" s="3">
        <f t="shared" si="100"/>
        <v>46.954999999999998</v>
      </c>
      <c r="AE270" s="3">
        <v>46.954999999999998</v>
      </c>
      <c r="AF270" s="3">
        <v>0</v>
      </c>
      <c r="AG270" s="3">
        <v>0</v>
      </c>
      <c r="AH270" s="3">
        <v>0</v>
      </c>
      <c r="AI270" s="3">
        <v>0</v>
      </c>
      <c r="AJ270" s="3">
        <f t="shared" si="101"/>
        <v>46.954999999999998</v>
      </c>
      <c r="AK270" s="3">
        <f>AE270</f>
        <v>46.954999999999998</v>
      </c>
      <c r="AL270" s="1">
        <v>0</v>
      </c>
      <c r="AM270" s="1">
        <v>0</v>
      </c>
      <c r="AN270" s="1">
        <v>0</v>
      </c>
      <c r="AO270" s="1">
        <v>0</v>
      </c>
      <c r="AP270" s="3">
        <f t="shared" si="99"/>
        <v>0</v>
      </c>
      <c r="AQ270" s="1" t="s">
        <v>466</v>
      </c>
    </row>
    <row r="271" spans="1:43" x14ac:dyDescent="0.35">
      <c r="A271" s="1">
        <v>742</v>
      </c>
      <c r="B271" s="2">
        <v>45882</v>
      </c>
      <c r="C271" s="1" t="s">
        <v>46</v>
      </c>
      <c r="D271" s="1">
        <v>9519013589</v>
      </c>
      <c r="E271" s="1">
        <v>3</v>
      </c>
      <c r="F271" s="1" t="s">
        <v>843</v>
      </c>
      <c r="G271" s="1" t="s">
        <v>1155</v>
      </c>
      <c r="H271" s="1" t="s">
        <v>21</v>
      </c>
      <c r="I271" s="1" t="s">
        <v>971</v>
      </c>
      <c r="K271" s="1" t="s">
        <v>971</v>
      </c>
      <c r="L271" s="1" t="s">
        <v>971</v>
      </c>
      <c r="M271" s="1" t="s">
        <v>1229</v>
      </c>
      <c r="N271" s="1" t="s">
        <v>35</v>
      </c>
      <c r="O271" s="1" t="s">
        <v>342</v>
      </c>
      <c r="P271" s="1">
        <v>760004</v>
      </c>
      <c r="Q271" s="1" t="s">
        <v>466</v>
      </c>
      <c r="R271" s="1">
        <v>2150940</v>
      </c>
      <c r="S271" s="1" t="s">
        <v>343</v>
      </c>
      <c r="T271" s="1" t="s">
        <v>28</v>
      </c>
      <c r="U271" s="1" t="s">
        <v>344</v>
      </c>
      <c r="V271" s="1" t="s">
        <v>345</v>
      </c>
      <c r="W271" s="1">
        <v>1.2</v>
      </c>
      <c r="X271" s="1">
        <v>1250</v>
      </c>
      <c r="Y271" s="1">
        <v>0</v>
      </c>
      <c r="Z271" s="3">
        <v>203</v>
      </c>
      <c r="AA271" s="3">
        <v>13.69</v>
      </c>
      <c r="AB271" s="3">
        <v>189.31</v>
      </c>
      <c r="AC271" s="3">
        <v>0</v>
      </c>
      <c r="AD271" s="3">
        <f t="shared" si="100"/>
        <v>189.31</v>
      </c>
      <c r="AE271" s="3">
        <v>0</v>
      </c>
      <c r="AF271" s="3">
        <v>0</v>
      </c>
      <c r="AG271" s="3">
        <v>189.31</v>
      </c>
      <c r="AH271" s="3">
        <v>0</v>
      </c>
      <c r="AI271" s="3">
        <v>0</v>
      </c>
      <c r="AJ271" s="3">
        <f t="shared" si="101"/>
        <v>189.31</v>
      </c>
      <c r="AK271" s="1">
        <v>0</v>
      </c>
      <c r="AL271" s="1">
        <v>0</v>
      </c>
      <c r="AM271" s="1">
        <v>0</v>
      </c>
      <c r="AN271" s="3">
        <f>AG271</f>
        <v>189.31</v>
      </c>
      <c r="AO271" s="1">
        <v>0</v>
      </c>
      <c r="AP271" s="3">
        <f t="shared" si="99"/>
        <v>0</v>
      </c>
      <c r="AQ271" s="1" t="s">
        <v>466</v>
      </c>
    </row>
    <row r="272" spans="1:43" x14ac:dyDescent="0.35">
      <c r="A272" s="1">
        <v>742</v>
      </c>
      <c r="B272" s="2">
        <v>45882</v>
      </c>
      <c r="C272" s="1" t="s">
        <v>46</v>
      </c>
      <c r="D272" s="1">
        <v>9519013589</v>
      </c>
      <c r="E272" s="1">
        <v>5</v>
      </c>
      <c r="F272" s="1" t="s">
        <v>844</v>
      </c>
      <c r="G272" s="1" t="s">
        <v>1155</v>
      </c>
      <c r="H272" s="1" t="s">
        <v>21</v>
      </c>
      <c r="I272" s="1" t="s">
        <v>971</v>
      </c>
      <c r="K272" s="1" t="s">
        <v>971</v>
      </c>
      <c r="L272" s="1" t="s">
        <v>971</v>
      </c>
      <c r="M272" s="1" t="s">
        <v>1229</v>
      </c>
      <c r="N272" s="1" t="s">
        <v>35</v>
      </c>
      <c r="O272" s="1" t="s">
        <v>342</v>
      </c>
      <c r="P272" s="1">
        <v>760004</v>
      </c>
      <c r="Q272" s="1" t="s">
        <v>466</v>
      </c>
      <c r="R272" s="1">
        <v>2150942</v>
      </c>
      <c r="S272" s="1" t="s">
        <v>470</v>
      </c>
      <c r="T272" s="1" t="s">
        <v>28</v>
      </c>
      <c r="U272" s="1" t="s">
        <v>344</v>
      </c>
      <c r="V272" s="1" t="s">
        <v>345</v>
      </c>
      <c r="W272" s="1">
        <v>1.6</v>
      </c>
      <c r="X272" s="1">
        <v>1250</v>
      </c>
      <c r="Y272" s="1">
        <v>0</v>
      </c>
      <c r="Z272" s="3">
        <v>174</v>
      </c>
      <c r="AA272" s="3">
        <v>0</v>
      </c>
      <c r="AB272" s="3">
        <v>174</v>
      </c>
      <c r="AC272" s="3">
        <v>0</v>
      </c>
      <c r="AD272" s="3">
        <f t="shared" si="100"/>
        <v>174</v>
      </c>
      <c r="AE272" s="3">
        <v>0</v>
      </c>
      <c r="AF272" s="3">
        <v>0</v>
      </c>
      <c r="AG272" s="3">
        <v>174</v>
      </c>
      <c r="AH272" s="3">
        <v>0</v>
      </c>
      <c r="AI272" s="3">
        <v>0</v>
      </c>
      <c r="AJ272" s="3">
        <f t="shared" si="101"/>
        <v>174</v>
      </c>
      <c r="AK272" s="1">
        <v>0</v>
      </c>
      <c r="AL272" s="1">
        <v>0</v>
      </c>
      <c r="AM272" s="3">
        <f>AG272</f>
        <v>174</v>
      </c>
      <c r="AN272" s="1">
        <v>0</v>
      </c>
      <c r="AO272" s="1">
        <v>0</v>
      </c>
      <c r="AP272" s="3">
        <f t="shared" si="99"/>
        <v>0</v>
      </c>
      <c r="AQ272" s="1" t="s">
        <v>466</v>
      </c>
    </row>
    <row r="273" spans="1:43" x14ac:dyDescent="0.35">
      <c r="A273" s="1">
        <v>743</v>
      </c>
      <c r="B273" s="2">
        <v>45890</v>
      </c>
      <c r="C273" s="1" t="s">
        <v>64</v>
      </c>
      <c r="D273" s="1">
        <v>9519035790</v>
      </c>
      <c r="E273" s="1">
        <v>4</v>
      </c>
      <c r="F273" s="1" t="s">
        <v>845</v>
      </c>
      <c r="G273" s="1" t="s">
        <v>1367</v>
      </c>
      <c r="H273" s="1" t="s">
        <v>63</v>
      </c>
      <c r="I273" s="1" t="s">
        <v>1404</v>
      </c>
      <c r="K273" s="1" t="s">
        <v>970</v>
      </c>
      <c r="L273" s="1" t="str">
        <f t="shared" ref="L273:L286" si="111">K273</f>
        <v>BPRS</v>
      </c>
      <c r="M273" s="1" t="s">
        <v>1230</v>
      </c>
      <c r="N273" s="1" t="s">
        <v>1135</v>
      </c>
      <c r="O273" s="1" t="s">
        <v>120</v>
      </c>
      <c r="P273" s="1">
        <v>121328</v>
      </c>
      <c r="Q273" s="1" t="s">
        <v>119</v>
      </c>
      <c r="R273" s="1">
        <v>1178439</v>
      </c>
      <c r="S273" s="1" t="s">
        <v>202</v>
      </c>
      <c r="T273" s="1" t="s">
        <v>139</v>
      </c>
      <c r="U273" s="1" t="s">
        <v>140</v>
      </c>
      <c r="V273" s="1" t="s">
        <v>150</v>
      </c>
      <c r="W273" s="1">
        <v>0.4</v>
      </c>
      <c r="X273" s="1">
        <v>900</v>
      </c>
      <c r="Y273" s="1">
        <v>0</v>
      </c>
      <c r="Z273" s="3">
        <v>168</v>
      </c>
      <c r="AA273" s="3">
        <v>143.465</v>
      </c>
      <c r="AB273" s="3">
        <v>24.535</v>
      </c>
      <c r="AC273" s="3">
        <v>20.299999999999997</v>
      </c>
      <c r="AD273" s="3">
        <f t="shared" si="100"/>
        <v>24.535</v>
      </c>
      <c r="AE273" s="3">
        <v>24.535</v>
      </c>
      <c r="AF273" s="3">
        <v>0</v>
      </c>
      <c r="AG273" s="3">
        <v>0</v>
      </c>
      <c r="AH273" s="3">
        <v>0</v>
      </c>
      <c r="AI273" s="3">
        <v>0</v>
      </c>
      <c r="AJ273" s="3">
        <f t="shared" si="101"/>
        <v>44.834999999999994</v>
      </c>
      <c r="AK273" s="1">
        <v>0</v>
      </c>
      <c r="AL273" s="3">
        <f>AE273+AC273</f>
        <v>44.834999999999994</v>
      </c>
      <c r="AM273" s="1">
        <v>0</v>
      </c>
      <c r="AN273" s="1">
        <v>0</v>
      </c>
      <c r="AO273" s="1">
        <v>0</v>
      </c>
      <c r="AP273" s="3">
        <f t="shared" si="99"/>
        <v>0</v>
      </c>
      <c r="AQ273" s="1" t="s">
        <v>119</v>
      </c>
    </row>
    <row r="274" spans="1:43" x14ac:dyDescent="0.35">
      <c r="A274" s="1">
        <v>743</v>
      </c>
      <c r="B274" s="2">
        <v>45890</v>
      </c>
      <c r="C274" s="1" t="s">
        <v>64</v>
      </c>
      <c r="D274" s="1">
        <v>9519035790</v>
      </c>
      <c r="E274" s="1">
        <v>5</v>
      </c>
      <c r="F274" s="1" t="s">
        <v>846</v>
      </c>
      <c r="G274" s="1" t="s">
        <v>1367</v>
      </c>
      <c r="H274" s="1" t="s">
        <v>63</v>
      </c>
      <c r="I274" s="1" t="s">
        <v>1404</v>
      </c>
      <c r="K274" s="1" t="s">
        <v>970</v>
      </c>
      <c r="L274" s="1" t="str">
        <f t="shared" si="111"/>
        <v>BPRS</v>
      </c>
      <c r="M274" s="1" t="s">
        <v>1230</v>
      </c>
      <c r="N274" s="1" t="s">
        <v>1135</v>
      </c>
      <c r="O274" s="1" t="s">
        <v>120</v>
      </c>
      <c r="P274" s="1">
        <v>121328</v>
      </c>
      <c r="Q274" s="1" t="s">
        <v>119</v>
      </c>
      <c r="R274" s="1">
        <v>1854418</v>
      </c>
      <c r="S274" s="1" t="s">
        <v>176</v>
      </c>
      <c r="T274" s="1" t="s">
        <v>139</v>
      </c>
      <c r="U274" s="1" t="s">
        <v>140</v>
      </c>
      <c r="V274" s="1" t="s">
        <v>150</v>
      </c>
      <c r="W274" s="1">
        <v>0.5</v>
      </c>
      <c r="X274" s="1">
        <v>900</v>
      </c>
      <c r="Y274" s="1">
        <v>0</v>
      </c>
      <c r="Z274" s="3">
        <v>168</v>
      </c>
      <c r="AA274" s="3">
        <v>158.9</v>
      </c>
      <c r="AB274" s="3">
        <v>9.1</v>
      </c>
      <c r="AC274" s="3">
        <v>34.005000000000003</v>
      </c>
      <c r="AD274" s="3">
        <f t="shared" si="100"/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f t="shared" si="101"/>
        <v>34.005000000000003</v>
      </c>
      <c r="AK274" s="3">
        <f>AC274</f>
        <v>34.005000000000003</v>
      </c>
      <c r="AL274" s="1">
        <v>0</v>
      </c>
      <c r="AM274" s="1">
        <v>0</v>
      </c>
      <c r="AN274" s="1">
        <v>0</v>
      </c>
      <c r="AO274" s="1">
        <v>0</v>
      </c>
      <c r="AP274" s="3">
        <f t="shared" si="99"/>
        <v>0</v>
      </c>
      <c r="AQ274" s="1" t="s">
        <v>119</v>
      </c>
    </row>
    <row r="275" spans="1:43" x14ac:dyDescent="0.35">
      <c r="A275" s="1">
        <v>742</v>
      </c>
      <c r="B275" s="2">
        <v>45896</v>
      </c>
      <c r="C275" s="1" t="s">
        <v>64</v>
      </c>
      <c r="D275" s="1">
        <v>9519054316</v>
      </c>
      <c r="E275" s="1">
        <v>1</v>
      </c>
      <c r="F275" s="1" t="s">
        <v>847</v>
      </c>
      <c r="G275" s="1" t="s">
        <v>1155</v>
      </c>
      <c r="H275" s="1" t="s">
        <v>21</v>
      </c>
      <c r="I275" s="1" t="s">
        <v>970</v>
      </c>
      <c r="K275" s="1" t="s">
        <v>970</v>
      </c>
      <c r="L275" s="1" t="str">
        <f t="shared" si="111"/>
        <v>BPRS</v>
      </c>
      <c r="M275" s="1" t="s">
        <v>1230</v>
      </c>
      <c r="N275" s="1" t="s">
        <v>187</v>
      </c>
      <c r="O275" s="1" t="s">
        <v>120</v>
      </c>
      <c r="P275" s="1">
        <v>165053</v>
      </c>
      <c r="Q275" s="1" t="s">
        <v>186</v>
      </c>
      <c r="R275" s="1">
        <v>4026169</v>
      </c>
      <c r="S275" s="1" t="s">
        <v>471</v>
      </c>
      <c r="T275" s="1" t="s">
        <v>28</v>
      </c>
      <c r="U275" s="1" t="s">
        <v>189</v>
      </c>
      <c r="V275" s="1" t="s">
        <v>190</v>
      </c>
      <c r="W275" s="1">
        <v>0.9</v>
      </c>
      <c r="X275" s="1">
        <v>1250</v>
      </c>
      <c r="Y275" s="1">
        <v>0</v>
      </c>
      <c r="Z275" s="3">
        <v>116</v>
      </c>
      <c r="AA275" s="3">
        <v>0</v>
      </c>
      <c r="AB275" s="3">
        <v>115.999</v>
      </c>
      <c r="AC275" s="3">
        <v>0</v>
      </c>
      <c r="AD275" s="3">
        <f t="shared" si="100"/>
        <v>115.999</v>
      </c>
      <c r="AE275" s="3">
        <v>0</v>
      </c>
      <c r="AF275" s="3">
        <v>0</v>
      </c>
      <c r="AG275" s="3">
        <v>0</v>
      </c>
      <c r="AH275" s="3">
        <v>0</v>
      </c>
      <c r="AI275" s="3">
        <v>115.999</v>
      </c>
      <c r="AJ275" s="3">
        <f t="shared" si="101"/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3">
        <f t="shared" si="99"/>
        <v>115.999</v>
      </c>
      <c r="AQ275" s="1" t="s">
        <v>186</v>
      </c>
    </row>
    <row r="276" spans="1:43" x14ac:dyDescent="0.35">
      <c r="A276" s="1">
        <v>743</v>
      </c>
      <c r="B276" s="2">
        <v>45882</v>
      </c>
      <c r="C276" s="1" t="s">
        <v>64</v>
      </c>
      <c r="D276" s="1">
        <v>9519013396</v>
      </c>
      <c r="E276" s="1">
        <v>1</v>
      </c>
      <c r="F276" s="1" t="s">
        <v>848</v>
      </c>
      <c r="G276" s="1" t="s">
        <v>393</v>
      </c>
      <c r="H276" s="1" t="s">
        <v>63</v>
      </c>
      <c r="I276" s="1" t="s">
        <v>1404</v>
      </c>
      <c r="K276" s="1" t="s">
        <v>970</v>
      </c>
      <c r="L276" s="1" t="str">
        <f t="shared" si="111"/>
        <v>BPRS</v>
      </c>
      <c r="M276" s="1" t="s">
        <v>1230</v>
      </c>
      <c r="N276" s="1" t="s">
        <v>44</v>
      </c>
      <c r="O276" s="1" t="s">
        <v>151</v>
      </c>
      <c r="P276" s="1">
        <v>100922</v>
      </c>
      <c r="Q276" s="1" t="s">
        <v>334</v>
      </c>
      <c r="R276" s="1">
        <v>1851065</v>
      </c>
      <c r="S276" s="1" t="s">
        <v>322</v>
      </c>
      <c r="T276" s="1" t="s">
        <v>139</v>
      </c>
      <c r="U276" s="1" t="s">
        <v>140</v>
      </c>
      <c r="V276" s="1" t="s">
        <v>150</v>
      </c>
      <c r="W276" s="1">
        <v>0.25</v>
      </c>
      <c r="X276" s="1">
        <v>900</v>
      </c>
      <c r="Y276" s="1">
        <v>0</v>
      </c>
      <c r="Z276" s="3">
        <v>42</v>
      </c>
      <c r="AA276" s="3">
        <v>0</v>
      </c>
      <c r="AB276" s="3">
        <v>42</v>
      </c>
      <c r="AC276" s="3">
        <v>0</v>
      </c>
      <c r="AD276" s="3">
        <f t="shared" si="100"/>
        <v>42</v>
      </c>
      <c r="AE276" s="3">
        <v>0</v>
      </c>
      <c r="AF276" s="3">
        <v>0</v>
      </c>
      <c r="AG276" s="3">
        <v>0</v>
      </c>
      <c r="AH276" s="3">
        <v>0</v>
      </c>
      <c r="AI276" s="3">
        <v>42</v>
      </c>
      <c r="AJ276" s="3">
        <f t="shared" si="101"/>
        <v>42</v>
      </c>
      <c r="AK276" s="1">
        <v>0</v>
      </c>
      <c r="AL276" s="1">
        <v>0</v>
      </c>
      <c r="AM276" s="1">
        <v>0</v>
      </c>
      <c r="AN276" s="1">
        <v>0</v>
      </c>
      <c r="AO276" s="3">
        <f>AI276</f>
        <v>42</v>
      </c>
      <c r="AP276" s="3">
        <f t="shared" si="99"/>
        <v>0</v>
      </c>
      <c r="AQ276" s="1" t="s">
        <v>334</v>
      </c>
    </row>
    <row r="277" spans="1:43" x14ac:dyDescent="0.35">
      <c r="A277" s="1">
        <v>743</v>
      </c>
      <c r="B277" s="2">
        <v>45882</v>
      </c>
      <c r="C277" s="1" t="s">
        <v>64</v>
      </c>
      <c r="D277" s="1">
        <v>9519013396</v>
      </c>
      <c r="E277" s="1">
        <v>2</v>
      </c>
      <c r="F277" s="1" t="s">
        <v>849</v>
      </c>
      <c r="G277" s="1" t="s">
        <v>393</v>
      </c>
      <c r="H277" s="1" t="s">
        <v>63</v>
      </c>
      <c r="I277" s="1" t="s">
        <v>1404</v>
      </c>
      <c r="K277" s="1" t="s">
        <v>970</v>
      </c>
      <c r="L277" s="1" t="str">
        <f t="shared" si="111"/>
        <v>BPRS</v>
      </c>
      <c r="M277" s="1" t="s">
        <v>1230</v>
      </c>
      <c r="N277" s="1" t="s">
        <v>44</v>
      </c>
      <c r="O277" s="1" t="s">
        <v>151</v>
      </c>
      <c r="P277" s="1">
        <v>100922</v>
      </c>
      <c r="Q277" s="1" t="s">
        <v>334</v>
      </c>
      <c r="R277" s="1">
        <v>2438894</v>
      </c>
      <c r="S277" s="1" t="s">
        <v>472</v>
      </c>
      <c r="T277" s="1" t="s">
        <v>139</v>
      </c>
      <c r="U277" s="1" t="s">
        <v>140</v>
      </c>
      <c r="V277" s="1" t="s">
        <v>150</v>
      </c>
      <c r="W277" s="1">
        <v>0.28000000000000003</v>
      </c>
      <c r="X277" s="1">
        <v>900</v>
      </c>
      <c r="Y277" s="1">
        <v>0</v>
      </c>
      <c r="Z277" s="3">
        <v>42</v>
      </c>
      <c r="AA277" s="3">
        <v>0</v>
      </c>
      <c r="AB277" s="3">
        <v>42</v>
      </c>
      <c r="AC277" s="3">
        <v>0</v>
      </c>
      <c r="AD277" s="3">
        <f t="shared" si="100"/>
        <v>42</v>
      </c>
      <c r="AE277" s="3">
        <v>0</v>
      </c>
      <c r="AF277" s="3">
        <v>0</v>
      </c>
      <c r="AG277" s="3">
        <v>0</v>
      </c>
      <c r="AH277" s="3">
        <v>0</v>
      </c>
      <c r="AI277" s="3">
        <v>42</v>
      </c>
      <c r="AJ277" s="3">
        <f t="shared" si="101"/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3">
        <f t="shared" si="99"/>
        <v>42</v>
      </c>
      <c r="AQ277" s="1" t="s">
        <v>334</v>
      </c>
    </row>
    <row r="278" spans="1:43" x14ac:dyDescent="0.35">
      <c r="A278" s="1">
        <v>742</v>
      </c>
      <c r="B278" s="2">
        <v>45890</v>
      </c>
      <c r="C278" s="1" t="s">
        <v>64</v>
      </c>
      <c r="D278" s="1">
        <v>9519036272</v>
      </c>
      <c r="E278" s="1">
        <v>1</v>
      </c>
      <c r="F278" s="1" t="s">
        <v>850</v>
      </c>
      <c r="G278" s="1" t="s">
        <v>1155</v>
      </c>
      <c r="H278" s="1" t="s">
        <v>21</v>
      </c>
      <c r="I278" s="1" t="s">
        <v>71</v>
      </c>
      <c r="K278" s="1" t="s">
        <v>970</v>
      </c>
      <c r="L278" s="1" t="str">
        <f t="shared" si="111"/>
        <v>BPRS</v>
      </c>
      <c r="M278" s="1" t="s">
        <v>1230</v>
      </c>
      <c r="N278" s="1" t="s">
        <v>220</v>
      </c>
      <c r="O278" s="1" t="s">
        <v>120</v>
      </c>
      <c r="P278" s="1">
        <v>185794</v>
      </c>
      <c r="Q278" s="1" t="s">
        <v>219</v>
      </c>
      <c r="R278" s="1">
        <v>2440959</v>
      </c>
      <c r="S278" s="1" t="s">
        <v>339</v>
      </c>
      <c r="T278" s="1" t="s">
        <v>75</v>
      </c>
      <c r="U278" s="1" t="s">
        <v>122</v>
      </c>
      <c r="V278" s="1" t="s">
        <v>123</v>
      </c>
      <c r="W278" s="1">
        <v>0.33</v>
      </c>
      <c r="X278" s="1">
        <v>900</v>
      </c>
      <c r="Y278" s="1">
        <v>2500</v>
      </c>
      <c r="Z278" s="3">
        <v>63</v>
      </c>
      <c r="AA278" s="3">
        <v>21.45</v>
      </c>
      <c r="AB278" s="3">
        <v>41.55</v>
      </c>
      <c r="AC278" s="3">
        <v>0</v>
      </c>
      <c r="AD278" s="3">
        <f t="shared" si="100"/>
        <v>41.55</v>
      </c>
      <c r="AE278" s="3">
        <v>41.55</v>
      </c>
      <c r="AF278" s="3">
        <v>0</v>
      </c>
      <c r="AG278" s="3">
        <v>0</v>
      </c>
      <c r="AH278" s="3">
        <v>0</v>
      </c>
      <c r="AI278" s="3">
        <v>0</v>
      </c>
      <c r="AJ278" s="3">
        <f t="shared" si="101"/>
        <v>41.55</v>
      </c>
      <c r="AK278" s="1">
        <v>0</v>
      </c>
      <c r="AL278" s="3">
        <f>AE278</f>
        <v>41.55</v>
      </c>
      <c r="AM278" s="3">
        <f>AF278</f>
        <v>0</v>
      </c>
      <c r="AN278" s="3">
        <f>AG278</f>
        <v>0</v>
      </c>
      <c r="AO278" s="3">
        <f>AH278</f>
        <v>0</v>
      </c>
      <c r="AP278" s="3">
        <f t="shared" si="99"/>
        <v>0</v>
      </c>
      <c r="AQ278" s="1" t="s">
        <v>219</v>
      </c>
    </row>
    <row r="279" spans="1:43" x14ac:dyDescent="0.35">
      <c r="A279" s="1">
        <v>743</v>
      </c>
      <c r="B279" s="2">
        <v>45890</v>
      </c>
      <c r="C279" s="1" t="s">
        <v>64</v>
      </c>
      <c r="D279" s="1">
        <v>9519036143</v>
      </c>
      <c r="E279" s="1">
        <v>5</v>
      </c>
      <c r="F279" s="1" t="s">
        <v>851</v>
      </c>
      <c r="G279" s="1" t="s">
        <v>1155</v>
      </c>
      <c r="H279" s="1" t="s">
        <v>63</v>
      </c>
      <c r="I279" s="1" t="s">
        <v>1404</v>
      </c>
      <c r="K279" s="1" t="s">
        <v>970</v>
      </c>
      <c r="L279" s="1" t="str">
        <f t="shared" si="111"/>
        <v>BPRS</v>
      </c>
      <c r="M279" s="1" t="s">
        <v>1230</v>
      </c>
      <c r="N279" s="1" t="s">
        <v>220</v>
      </c>
      <c r="O279" s="1" t="s">
        <v>120</v>
      </c>
      <c r="P279" s="1">
        <v>185794</v>
      </c>
      <c r="Q279" s="1" t="s">
        <v>219</v>
      </c>
      <c r="R279" s="1">
        <v>1191956</v>
      </c>
      <c r="S279" s="1" t="s">
        <v>254</v>
      </c>
      <c r="T279" s="1" t="s">
        <v>139</v>
      </c>
      <c r="U279" s="1" t="s">
        <v>140</v>
      </c>
      <c r="V279" s="1" t="s">
        <v>150</v>
      </c>
      <c r="W279" s="1">
        <v>0.35</v>
      </c>
      <c r="X279" s="1">
        <v>900</v>
      </c>
      <c r="Y279" s="1">
        <v>0</v>
      </c>
      <c r="Z279" s="3">
        <v>105</v>
      </c>
      <c r="AA279" s="3">
        <v>45.07</v>
      </c>
      <c r="AB279" s="3">
        <v>59.93</v>
      </c>
      <c r="AC279" s="3">
        <v>7.48</v>
      </c>
      <c r="AD279" s="3">
        <f t="shared" si="100"/>
        <v>59.93</v>
      </c>
      <c r="AE279" s="3">
        <v>0</v>
      </c>
      <c r="AF279" s="3">
        <v>0</v>
      </c>
      <c r="AG279" s="3">
        <v>0</v>
      </c>
      <c r="AH279" s="3">
        <v>59.93</v>
      </c>
      <c r="AI279" s="3">
        <v>0</v>
      </c>
      <c r="AJ279" s="3">
        <f t="shared" si="101"/>
        <v>67.41</v>
      </c>
      <c r="AK279" s="1">
        <v>0</v>
      </c>
      <c r="AL279" s="1">
        <v>0</v>
      </c>
      <c r="AM279" s="1">
        <v>0</v>
      </c>
      <c r="AN279" s="1">
        <v>0</v>
      </c>
      <c r="AO279" s="3">
        <f>AH279+AC279</f>
        <v>67.41</v>
      </c>
      <c r="AP279" s="3">
        <f t="shared" si="99"/>
        <v>0</v>
      </c>
      <c r="AQ279" s="1" t="s">
        <v>219</v>
      </c>
    </row>
    <row r="280" spans="1:43" x14ac:dyDescent="0.35">
      <c r="A280" s="1">
        <v>744</v>
      </c>
      <c r="B280" s="2">
        <v>45890</v>
      </c>
      <c r="C280" s="1" t="s">
        <v>64</v>
      </c>
      <c r="D280" s="1">
        <v>9519035613</v>
      </c>
      <c r="E280" s="1">
        <v>6</v>
      </c>
      <c r="F280" s="1" t="s">
        <v>852</v>
      </c>
      <c r="G280" s="1" t="s">
        <v>393</v>
      </c>
      <c r="H280" s="1" t="s">
        <v>86</v>
      </c>
      <c r="I280" s="1" t="s">
        <v>968</v>
      </c>
      <c r="K280" s="1" t="s">
        <v>969</v>
      </c>
      <c r="L280" s="1" t="str">
        <f t="shared" si="111"/>
        <v>IPP</v>
      </c>
      <c r="M280" s="1" t="s">
        <v>1232</v>
      </c>
      <c r="N280" s="1" t="s">
        <v>108</v>
      </c>
      <c r="O280" s="1" t="s">
        <v>54</v>
      </c>
      <c r="P280" s="1">
        <v>940016</v>
      </c>
      <c r="Q280" s="1" t="s">
        <v>107</v>
      </c>
      <c r="R280" s="1">
        <v>3522241</v>
      </c>
      <c r="S280" s="1" t="s">
        <v>216</v>
      </c>
      <c r="T280" s="1" t="s">
        <v>88</v>
      </c>
      <c r="U280" s="1" t="s">
        <v>89</v>
      </c>
      <c r="V280" s="1" t="s">
        <v>217</v>
      </c>
      <c r="W280" s="1">
        <v>0.43</v>
      </c>
      <c r="X280" s="1">
        <v>1220</v>
      </c>
      <c r="Y280" s="1">
        <v>0</v>
      </c>
      <c r="Z280" s="3">
        <v>168</v>
      </c>
      <c r="AA280" s="3">
        <v>165.42500000000001</v>
      </c>
      <c r="AB280" s="3">
        <v>2.5739999999999998</v>
      </c>
      <c r="AC280" s="3">
        <v>152.42500000000001</v>
      </c>
      <c r="AD280" s="3">
        <f t="shared" si="100"/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f t="shared" si="101"/>
        <v>152.42500000000001</v>
      </c>
      <c r="AK280" s="3">
        <f>AC280</f>
        <v>152.42500000000001</v>
      </c>
      <c r="AL280" s="1">
        <v>0</v>
      </c>
      <c r="AM280" s="1">
        <v>0</v>
      </c>
      <c r="AN280" s="1">
        <v>0</v>
      </c>
      <c r="AO280" s="1">
        <v>0</v>
      </c>
      <c r="AP280" s="3">
        <f t="shared" si="99"/>
        <v>0</v>
      </c>
      <c r="AQ280" s="1" t="s">
        <v>107</v>
      </c>
    </row>
    <row r="281" spans="1:43" x14ac:dyDescent="0.35">
      <c r="A281" s="1">
        <v>742</v>
      </c>
      <c r="B281" s="2">
        <v>45862</v>
      </c>
      <c r="C281" s="1" t="s">
        <v>64</v>
      </c>
      <c r="D281" s="1">
        <v>9518956389</v>
      </c>
      <c r="E281" s="1">
        <v>15</v>
      </c>
      <c r="F281" s="1" t="s">
        <v>853</v>
      </c>
      <c r="G281" s="1" t="s">
        <v>1155</v>
      </c>
      <c r="H281" s="1" t="s">
        <v>21</v>
      </c>
      <c r="I281" s="1" t="s">
        <v>22</v>
      </c>
      <c r="K281" s="1" t="s">
        <v>970</v>
      </c>
      <c r="L281" s="1" t="str">
        <f t="shared" si="111"/>
        <v>BPRS</v>
      </c>
      <c r="M281" s="1" t="s">
        <v>1229</v>
      </c>
      <c r="N281" s="1" t="s">
        <v>35</v>
      </c>
      <c r="O281" s="1" t="s">
        <v>32</v>
      </c>
      <c r="P281" s="1">
        <v>932244</v>
      </c>
      <c r="Q281" s="1" t="s">
        <v>270</v>
      </c>
      <c r="R281" s="1">
        <v>1884117</v>
      </c>
      <c r="S281" s="1" t="s">
        <v>336</v>
      </c>
      <c r="T281" s="1" t="s">
        <v>28</v>
      </c>
      <c r="U281" s="1" t="s">
        <v>29</v>
      </c>
      <c r="V281" s="1" t="s">
        <v>30</v>
      </c>
      <c r="W281" s="1">
        <v>2</v>
      </c>
      <c r="X281" s="1">
        <v>1250</v>
      </c>
      <c r="Y281" s="1">
        <v>0</v>
      </c>
      <c r="Z281" s="3">
        <v>202.999</v>
      </c>
      <c r="AA281" s="3">
        <v>162.08000000000001</v>
      </c>
      <c r="AB281" s="3">
        <v>40.918999999999997</v>
      </c>
      <c r="AC281" s="3">
        <v>0</v>
      </c>
      <c r="AD281" s="3">
        <f t="shared" si="100"/>
        <v>40.918999999999997</v>
      </c>
      <c r="AE281" s="3">
        <v>40.918999999999997</v>
      </c>
      <c r="AF281" s="3">
        <v>0</v>
      </c>
      <c r="AG281" s="3">
        <v>0</v>
      </c>
      <c r="AH281" s="3">
        <v>0</v>
      </c>
      <c r="AI281" s="3">
        <v>0</v>
      </c>
      <c r="AJ281" s="3">
        <f t="shared" si="101"/>
        <v>40.918999999999997</v>
      </c>
      <c r="AK281" s="1">
        <v>0</v>
      </c>
      <c r="AL281" s="3">
        <f t="shared" ref="AL281:AL282" si="112">AE281</f>
        <v>40.918999999999997</v>
      </c>
      <c r="AM281" s="3">
        <f t="shared" ref="AM281:AM282" si="113">AF281</f>
        <v>0</v>
      </c>
      <c r="AN281" s="3">
        <f t="shared" ref="AN281:AN282" si="114">AG281</f>
        <v>0</v>
      </c>
      <c r="AO281" s="3">
        <f t="shared" ref="AO281:AO282" si="115">AH281</f>
        <v>0</v>
      </c>
      <c r="AP281" s="3">
        <f t="shared" si="99"/>
        <v>0</v>
      </c>
      <c r="AQ281" s="1" t="s">
        <v>270</v>
      </c>
    </row>
    <row r="282" spans="1:43" x14ac:dyDescent="0.35">
      <c r="A282" s="1">
        <v>742</v>
      </c>
      <c r="B282" s="2">
        <v>45896</v>
      </c>
      <c r="C282" s="1" t="s">
        <v>64</v>
      </c>
      <c r="D282" s="1">
        <v>9519054690</v>
      </c>
      <c r="E282" s="1">
        <v>1</v>
      </c>
      <c r="F282" s="1" t="s">
        <v>854</v>
      </c>
      <c r="G282" s="1" t="s">
        <v>1155</v>
      </c>
      <c r="H282" s="1" t="s">
        <v>21</v>
      </c>
      <c r="I282" s="1" t="s">
        <v>975</v>
      </c>
      <c r="K282" s="1" t="s">
        <v>970</v>
      </c>
      <c r="L282" s="1" t="str">
        <f t="shared" si="111"/>
        <v>BPRS</v>
      </c>
      <c r="M282" s="1" t="s">
        <v>1228</v>
      </c>
      <c r="N282" s="1" t="s">
        <v>370</v>
      </c>
      <c r="O282" s="1" t="s">
        <v>66</v>
      </c>
      <c r="P282" s="1">
        <v>940707</v>
      </c>
      <c r="Q282" s="1" t="s">
        <v>473</v>
      </c>
      <c r="R282" s="1">
        <v>2420508</v>
      </c>
      <c r="S282" s="1" t="s">
        <v>454</v>
      </c>
      <c r="T282" s="1" t="s">
        <v>28</v>
      </c>
      <c r="U282" s="1" t="s">
        <v>29</v>
      </c>
      <c r="V282" s="1" t="s">
        <v>287</v>
      </c>
      <c r="W282" s="1">
        <v>0.5</v>
      </c>
      <c r="X282" s="1">
        <v>1250</v>
      </c>
      <c r="Y282" s="1">
        <v>0</v>
      </c>
      <c r="Z282" s="3">
        <v>116</v>
      </c>
      <c r="AA282" s="3">
        <v>0</v>
      </c>
      <c r="AB282" s="3">
        <v>116</v>
      </c>
      <c r="AC282" s="3">
        <v>0</v>
      </c>
      <c r="AD282" s="3">
        <f t="shared" si="100"/>
        <v>116</v>
      </c>
      <c r="AE282" s="3">
        <v>116</v>
      </c>
      <c r="AF282" s="3">
        <v>0</v>
      </c>
      <c r="AG282" s="3">
        <v>0</v>
      </c>
      <c r="AH282" s="3">
        <v>0</v>
      </c>
      <c r="AI282" s="3">
        <v>0</v>
      </c>
      <c r="AJ282" s="3">
        <f t="shared" si="101"/>
        <v>116</v>
      </c>
      <c r="AK282" s="1">
        <v>0</v>
      </c>
      <c r="AL282" s="3">
        <f t="shared" si="112"/>
        <v>116</v>
      </c>
      <c r="AM282" s="3">
        <f t="shared" si="113"/>
        <v>0</v>
      </c>
      <c r="AN282" s="3">
        <f t="shared" si="114"/>
        <v>0</v>
      </c>
      <c r="AO282" s="3">
        <f t="shared" si="115"/>
        <v>0</v>
      </c>
      <c r="AP282" s="3">
        <f t="shared" si="99"/>
        <v>0</v>
      </c>
      <c r="AQ282" s="1" t="s">
        <v>473</v>
      </c>
    </row>
    <row r="283" spans="1:43" x14ac:dyDescent="0.35">
      <c r="A283" s="1">
        <v>743</v>
      </c>
      <c r="B283" s="2">
        <v>45891</v>
      </c>
      <c r="C283" s="1" t="s">
        <v>64</v>
      </c>
      <c r="D283" s="1">
        <v>9519038643</v>
      </c>
      <c r="E283" s="1">
        <v>3</v>
      </c>
      <c r="F283" s="1" t="s">
        <v>855</v>
      </c>
      <c r="G283" s="1" t="s">
        <v>1155</v>
      </c>
      <c r="H283" s="1" t="s">
        <v>63</v>
      </c>
      <c r="I283" s="1" t="s">
        <v>1404</v>
      </c>
      <c r="K283" s="1" t="s">
        <v>970</v>
      </c>
      <c r="L283" s="1" t="str">
        <f t="shared" si="111"/>
        <v>BPRS</v>
      </c>
      <c r="M283" s="1" t="s">
        <v>1230</v>
      </c>
      <c r="N283" s="1" t="s">
        <v>384</v>
      </c>
      <c r="O283" s="1" t="s">
        <v>151</v>
      </c>
      <c r="P283" s="1">
        <v>100922</v>
      </c>
      <c r="Q283" s="1" t="s">
        <v>334</v>
      </c>
      <c r="R283" s="1">
        <v>1178439</v>
      </c>
      <c r="S283" s="1" t="s">
        <v>202</v>
      </c>
      <c r="T283" s="1" t="s">
        <v>139</v>
      </c>
      <c r="U283" s="1" t="s">
        <v>140</v>
      </c>
      <c r="V283" s="1" t="s">
        <v>150</v>
      </c>
      <c r="W283" s="1">
        <v>0.4</v>
      </c>
      <c r="X283" s="1">
        <v>900</v>
      </c>
      <c r="Y283" s="1">
        <v>0</v>
      </c>
      <c r="Z283" s="3">
        <v>105</v>
      </c>
      <c r="AA283" s="3">
        <v>0</v>
      </c>
      <c r="AB283" s="3">
        <v>105</v>
      </c>
      <c r="AC283" s="3">
        <v>0</v>
      </c>
      <c r="AD283" s="3">
        <f t="shared" si="100"/>
        <v>105</v>
      </c>
      <c r="AE283" s="3">
        <v>0</v>
      </c>
      <c r="AF283" s="3">
        <v>0</v>
      </c>
      <c r="AG283" s="3">
        <v>0</v>
      </c>
      <c r="AH283" s="3">
        <v>105</v>
      </c>
      <c r="AI283" s="3">
        <v>0</v>
      </c>
      <c r="AJ283" s="3">
        <f t="shared" si="101"/>
        <v>105</v>
      </c>
      <c r="AK283" s="1">
        <v>0</v>
      </c>
      <c r="AL283" s="1">
        <v>0</v>
      </c>
      <c r="AM283" s="1">
        <v>0</v>
      </c>
      <c r="AN283" s="3">
        <f>AH283</f>
        <v>105</v>
      </c>
      <c r="AO283" s="1">
        <v>0</v>
      </c>
      <c r="AP283" s="3">
        <f t="shared" si="99"/>
        <v>0</v>
      </c>
      <c r="AQ283" s="1" t="s">
        <v>334</v>
      </c>
    </row>
    <row r="284" spans="1:43" x14ac:dyDescent="0.35">
      <c r="A284" s="1">
        <v>742</v>
      </c>
      <c r="B284" s="2">
        <v>45887</v>
      </c>
      <c r="C284" s="1" t="s">
        <v>64</v>
      </c>
      <c r="D284" s="1">
        <v>9519025273</v>
      </c>
      <c r="E284" s="1">
        <v>9</v>
      </c>
      <c r="F284" s="1" t="s">
        <v>856</v>
      </c>
      <c r="G284" s="1" t="s">
        <v>1155</v>
      </c>
      <c r="H284" s="1" t="s">
        <v>21</v>
      </c>
      <c r="I284" s="1" t="s">
        <v>71</v>
      </c>
      <c r="K284" s="1" t="s">
        <v>970</v>
      </c>
      <c r="L284" s="1" t="str">
        <f t="shared" si="111"/>
        <v>BPRS</v>
      </c>
      <c r="M284" s="1" t="s">
        <v>1230</v>
      </c>
      <c r="N284" s="1" t="s">
        <v>308</v>
      </c>
      <c r="O284" s="1" t="s">
        <v>151</v>
      </c>
      <c r="P284" s="1">
        <v>925093</v>
      </c>
      <c r="Q284" s="1" t="s">
        <v>307</v>
      </c>
      <c r="R284" s="1">
        <v>3402254</v>
      </c>
      <c r="S284" s="1" t="s">
        <v>321</v>
      </c>
      <c r="T284" s="1" t="s">
        <v>75</v>
      </c>
      <c r="U284" s="1" t="s">
        <v>76</v>
      </c>
      <c r="V284" s="1" t="s">
        <v>77</v>
      </c>
      <c r="W284" s="1">
        <v>0.6</v>
      </c>
      <c r="X284" s="1">
        <v>1000</v>
      </c>
      <c r="Y284" s="1">
        <v>2000</v>
      </c>
      <c r="Z284" s="3">
        <v>23</v>
      </c>
      <c r="AA284" s="3">
        <v>0</v>
      </c>
      <c r="AB284" s="3">
        <v>23</v>
      </c>
      <c r="AC284" s="3">
        <v>0</v>
      </c>
      <c r="AD284" s="3">
        <f t="shared" si="100"/>
        <v>23</v>
      </c>
      <c r="AE284" s="3">
        <v>0</v>
      </c>
      <c r="AF284" s="3">
        <v>0</v>
      </c>
      <c r="AG284" s="3">
        <v>0</v>
      </c>
      <c r="AH284" s="3">
        <v>23</v>
      </c>
      <c r="AI284" s="3">
        <v>0</v>
      </c>
      <c r="AJ284" s="3">
        <f t="shared" si="101"/>
        <v>23</v>
      </c>
      <c r="AK284" s="1">
        <v>0</v>
      </c>
      <c r="AL284" s="3">
        <f>AE284</f>
        <v>0</v>
      </c>
      <c r="AM284" s="3">
        <f>AF284</f>
        <v>0</v>
      </c>
      <c r="AN284" s="3">
        <f>AG284</f>
        <v>0</v>
      </c>
      <c r="AO284" s="3">
        <f>AH284</f>
        <v>23</v>
      </c>
      <c r="AP284" s="3">
        <f t="shared" si="99"/>
        <v>0</v>
      </c>
      <c r="AQ284" s="1" t="s">
        <v>307</v>
      </c>
    </row>
    <row r="285" spans="1:43" x14ac:dyDescent="0.35">
      <c r="A285" s="1">
        <v>743</v>
      </c>
      <c r="B285" s="2">
        <v>45890</v>
      </c>
      <c r="C285" s="1" t="s">
        <v>64</v>
      </c>
      <c r="D285" s="1">
        <v>9519036143</v>
      </c>
      <c r="E285" s="1">
        <v>7</v>
      </c>
      <c r="F285" s="1" t="s">
        <v>857</v>
      </c>
      <c r="G285" s="1" t="s">
        <v>1155</v>
      </c>
      <c r="H285" s="1" t="s">
        <v>63</v>
      </c>
      <c r="I285" s="1" t="s">
        <v>1404</v>
      </c>
      <c r="K285" s="1" t="s">
        <v>970</v>
      </c>
      <c r="L285" s="1" t="str">
        <f t="shared" si="111"/>
        <v>BPRS</v>
      </c>
      <c r="M285" s="1" t="s">
        <v>1230</v>
      </c>
      <c r="N285" s="1" t="s">
        <v>220</v>
      </c>
      <c r="O285" s="1" t="s">
        <v>120</v>
      </c>
      <c r="P285" s="1">
        <v>185794</v>
      </c>
      <c r="Q285" s="1" t="s">
        <v>219</v>
      </c>
      <c r="R285" s="1">
        <v>1178439</v>
      </c>
      <c r="S285" s="1" t="s">
        <v>202</v>
      </c>
      <c r="T285" s="1" t="s">
        <v>139</v>
      </c>
      <c r="U285" s="1" t="s">
        <v>140</v>
      </c>
      <c r="V285" s="1" t="s">
        <v>150</v>
      </c>
      <c r="W285" s="1">
        <v>0.4</v>
      </c>
      <c r="X285" s="1">
        <v>900</v>
      </c>
      <c r="Y285" s="1">
        <v>0</v>
      </c>
      <c r="Z285" s="3">
        <v>126</v>
      </c>
      <c r="AA285" s="3">
        <v>0</v>
      </c>
      <c r="AB285" s="3">
        <v>126</v>
      </c>
      <c r="AC285" s="3">
        <v>0</v>
      </c>
      <c r="AD285" s="3">
        <f t="shared" si="100"/>
        <v>126</v>
      </c>
      <c r="AE285" s="3">
        <v>0</v>
      </c>
      <c r="AF285" s="3">
        <v>0</v>
      </c>
      <c r="AG285" s="3">
        <v>0</v>
      </c>
      <c r="AH285" s="3">
        <v>126</v>
      </c>
      <c r="AI285" s="3">
        <v>0</v>
      </c>
      <c r="AJ285" s="3">
        <f t="shared" si="101"/>
        <v>126</v>
      </c>
      <c r="AK285" s="1">
        <v>0</v>
      </c>
      <c r="AL285" s="1">
        <v>0</v>
      </c>
      <c r="AM285" s="1">
        <v>0</v>
      </c>
      <c r="AN285" s="3">
        <f>AH285</f>
        <v>126</v>
      </c>
      <c r="AO285" s="1">
        <v>0</v>
      </c>
      <c r="AP285" s="3">
        <f t="shared" si="99"/>
        <v>0</v>
      </c>
      <c r="AQ285" s="1" t="s">
        <v>219</v>
      </c>
    </row>
    <row r="286" spans="1:43" x14ac:dyDescent="0.35">
      <c r="A286" s="1">
        <v>743</v>
      </c>
      <c r="B286" s="2">
        <v>45890</v>
      </c>
      <c r="C286" s="1" t="s">
        <v>64</v>
      </c>
      <c r="D286" s="1">
        <v>9519036143</v>
      </c>
      <c r="E286" s="1">
        <v>8</v>
      </c>
      <c r="F286" s="1" t="s">
        <v>858</v>
      </c>
      <c r="G286" s="1" t="s">
        <v>393</v>
      </c>
      <c r="H286" s="1" t="s">
        <v>63</v>
      </c>
      <c r="I286" s="1" t="s">
        <v>1404</v>
      </c>
      <c r="K286" s="1" t="s">
        <v>970</v>
      </c>
      <c r="L286" s="1" t="str">
        <f t="shared" si="111"/>
        <v>BPRS</v>
      </c>
      <c r="M286" s="1" t="s">
        <v>1230</v>
      </c>
      <c r="N286" s="1" t="s">
        <v>220</v>
      </c>
      <c r="O286" s="1" t="s">
        <v>120</v>
      </c>
      <c r="P286" s="1">
        <v>185794</v>
      </c>
      <c r="Q286" s="1" t="s">
        <v>219</v>
      </c>
      <c r="R286" s="1">
        <v>1854418</v>
      </c>
      <c r="S286" s="1" t="s">
        <v>176</v>
      </c>
      <c r="T286" s="1" t="s">
        <v>139</v>
      </c>
      <c r="U286" s="1" t="s">
        <v>140</v>
      </c>
      <c r="V286" s="1" t="s">
        <v>150</v>
      </c>
      <c r="W286" s="1">
        <v>0.5</v>
      </c>
      <c r="X286" s="1">
        <v>900</v>
      </c>
      <c r="Y286" s="1">
        <v>0</v>
      </c>
      <c r="Z286" s="3">
        <v>126</v>
      </c>
      <c r="AA286" s="3">
        <v>116.795</v>
      </c>
      <c r="AB286" s="3">
        <v>9.2050000000000001</v>
      </c>
      <c r="AC286" s="3">
        <v>29.715000000000003</v>
      </c>
      <c r="AD286" s="3">
        <f t="shared" si="100"/>
        <v>9.2050000000000001</v>
      </c>
      <c r="AE286" s="3">
        <v>9.2050000000000001</v>
      </c>
      <c r="AF286" s="3">
        <v>0</v>
      </c>
      <c r="AG286" s="3">
        <v>0</v>
      </c>
      <c r="AH286" s="3">
        <v>0</v>
      </c>
      <c r="AI286" s="3">
        <v>0</v>
      </c>
      <c r="AJ286" s="3">
        <f t="shared" si="101"/>
        <v>38.92</v>
      </c>
      <c r="AK286" s="1">
        <v>0</v>
      </c>
      <c r="AL286" s="3">
        <f>AE286+AC286</f>
        <v>38.92</v>
      </c>
      <c r="AM286" s="1">
        <v>0</v>
      </c>
      <c r="AN286" s="1">
        <v>0</v>
      </c>
      <c r="AO286" s="1">
        <v>0</v>
      </c>
      <c r="AP286" s="3">
        <f t="shared" si="99"/>
        <v>0</v>
      </c>
      <c r="AQ286" s="1" t="s">
        <v>219</v>
      </c>
    </row>
    <row r="287" spans="1:43" x14ac:dyDescent="0.35">
      <c r="A287" s="1">
        <v>742</v>
      </c>
      <c r="B287" s="2">
        <v>45883</v>
      </c>
      <c r="C287" s="1" t="s">
        <v>46</v>
      </c>
      <c r="D287" s="1">
        <v>9519016025</v>
      </c>
      <c r="E287" s="1">
        <v>1</v>
      </c>
      <c r="F287" s="1" t="s">
        <v>859</v>
      </c>
      <c r="G287" s="1" t="s">
        <v>1367</v>
      </c>
      <c r="H287" s="1" t="s">
        <v>21</v>
      </c>
      <c r="I287" s="1" t="s">
        <v>971</v>
      </c>
      <c r="K287" s="1" t="s">
        <v>971</v>
      </c>
      <c r="L287" s="1" t="s">
        <v>971</v>
      </c>
      <c r="M287" s="1" t="s">
        <v>1230</v>
      </c>
      <c r="N287" s="1" t="s">
        <v>356</v>
      </c>
      <c r="O287" s="1" t="s">
        <v>342</v>
      </c>
      <c r="P287" s="1">
        <v>760004</v>
      </c>
      <c r="Q287" s="1" t="s">
        <v>466</v>
      </c>
      <c r="R287" s="1">
        <v>2279476</v>
      </c>
      <c r="S287" s="1" t="s">
        <v>467</v>
      </c>
      <c r="T287" s="1" t="s">
        <v>28</v>
      </c>
      <c r="U287" s="1" t="s">
        <v>189</v>
      </c>
      <c r="V287" s="1" t="s">
        <v>468</v>
      </c>
      <c r="W287" s="1">
        <v>1.4</v>
      </c>
      <c r="X287" s="1">
        <v>1270</v>
      </c>
      <c r="Y287" s="1">
        <v>0</v>
      </c>
      <c r="Z287" s="3">
        <v>192.99</v>
      </c>
      <c r="AA287" s="3">
        <v>147.72</v>
      </c>
      <c r="AB287" s="3">
        <v>45.27</v>
      </c>
      <c r="AC287" s="3">
        <v>106.10000000000001</v>
      </c>
      <c r="AD287" s="3">
        <f t="shared" si="100"/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f t="shared" si="101"/>
        <v>106.10000000000001</v>
      </c>
      <c r="AK287" s="3">
        <f>AC287</f>
        <v>106.10000000000001</v>
      </c>
      <c r="AL287" s="1">
        <v>0</v>
      </c>
      <c r="AM287" s="1">
        <v>0</v>
      </c>
      <c r="AN287" s="1">
        <v>0</v>
      </c>
      <c r="AO287" s="1">
        <v>0</v>
      </c>
      <c r="AP287" s="3">
        <f t="shared" si="99"/>
        <v>0</v>
      </c>
      <c r="AQ287" s="1" t="s">
        <v>466</v>
      </c>
    </row>
    <row r="288" spans="1:43" x14ac:dyDescent="0.35">
      <c r="A288" s="1">
        <v>743</v>
      </c>
      <c r="B288" s="2">
        <v>45909</v>
      </c>
      <c r="C288" s="1" t="s">
        <v>64</v>
      </c>
      <c r="D288" s="1">
        <v>9519090170</v>
      </c>
      <c r="E288" s="1">
        <v>1</v>
      </c>
      <c r="F288" s="1" t="s">
        <v>861</v>
      </c>
      <c r="G288" s="1" t="s">
        <v>1155</v>
      </c>
      <c r="H288" s="1" t="s">
        <v>56</v>
      </c>
      <c r="I288" s="1" t="s">
        <v>968</v>
      </c>
      <c r="J288" s="1">
        <v>2500</v>
      </c>
      <c r="K288" s="1" t="s">
        <v>969</v>
      </c>
      <c r="L288" s="1" t="str">
        <f t="shared" ref="L288:L302" si="116">K288</f>
        <v>IPP</v>
      </c>
      <c r="M288" s="1" t="s">
        <v>1232</v>
      </c>
      <c r="N288" s="1" t="s">
        <v>187</v>
      </c>
      <c r="O288" s="1" t="s">
        <v>54</v>
      </c>
      <c r="P288" s="1">
        <v>942284</v>
      </c>
      <c r="Q288" s="1" t="s">
        <v>87</v>
      </c>
      <c r="R288" s="1">
        <v>3774721</v>
      </c>
      <c r="S288" s="1" t="s">
        <v>474</v>
      </c>
      <c r="T288" s="1" t="s">
        <v>60</v>
      </c>
      <c r="U288" s="1" t="s">
        <v>61</v>
      </c>
      <c r="V288" s="1" t="s">
        <v>313</v>
      </c>
      <c r="W288" s="1">
        <v>0.33</v>
      </c>
      <c r="X288" s="1">
        <v>900</v>
      </c>
      <c r="Y288" s="1">
        <v>0</v>
      </c>
      <c r="Z288" s="3">
        <v>231</v>
      </c>
      <c r="AA288" s="3">
        <v>0</v>
      </c>
      <c r="AB288" s="3">
        <v>231</v>
      </c>
      <c r="AC288" s="3">
        <v>0</v>
      </c>
      <c r="AD288" s="3">
        <f t="shared" si="100"/>
        <v>231</v>
      </c>
      <c r="AE288" s="3">
        <v>0</v>
      </c>
      <c r="AF288" s="3">
        <v>231</v>
      </c>
      <c r="AG288" s="3">
        <v>0</v>
      </c>
      <c r="AH288" s="3">
        <v>0</v>
      </c>
      <c r="AI288" s="3">
        <v>0</v>
      </c>
      <c r="AJ288" s="3">
        <f t="shared" si="101"/>
        <v>231</v>
      </c>
      <c r="AK288" s="1">
        <v>0</v>
      </c>
      <c r="AL288" s="3">
        <f t="shared" ref="AL288:AL289" si="117">AF288</f>
        <v>231</v>
      </c>
      <c r="AM288" s="1">
        <v>0</v>
      </c>
      <c r="AN288" s="1">
        <v>0</v>
      </c>
      <c r="AO288" s="1">
        <v>0</v>
      </c>
      <c r="AP288" s="3">
        <f t="shared" si="99"/>
        <v>0</v>
      </c>
      <c r="AQ288" s="1" t="s">
        <v>87</v>
      </c>
    </row>
    <row r="289" spans="1:43" x14ac:dyDescent="0.35">
      <c r="A289" s="1">
        <v>743</v>
      </c>
      <c r="B289" s="2">
        <v>45909</v>
      </c>
      <c r="C289" s="1" t="s">
        <v>64</v>
      </c>
      <c r="D289" s="1">
        <v>9519090170</v>
      </c>
      <c r="E289" s="1">
        <v>2</v>
      </c>
      <c r="F289" s="1" t="s">
        <v>862</v>
      </c>
      <c r="G289" s="1" t="s">
        <v>1155</v>
      </c>
      <c r="H289" s="1" t="s">
        <v>56</v>
      </c>
      <c r="I289" s="1" t="s">
        <v>968</v>
      </c>
      <c r="K289" s="1" t="s">
        <v>969</v>
      </c>
      <c r="L289" s="1" t="str">
        <f t="shared" si="116"/>
        <v>IPP</v>
      </c>
      <c r="M289" s="1" t="s">
        <v>1232</v>
      </c>
      <c r="N289" s="1" t="s">
        <v>187</v>
      </c>
      <c r="O289" s="1" t="s">
        <v>54</v>
      </c>
      <c r="P289" s="1">
        <v>942284</v>
      </c>
      <c r="Q289" s="1" t="s">
        <v>87</v>
      </c>
      <c r="R289" s="1">
        <v>3775011</v>
      </c>
      <c r="S289" s="1" t="s">
        <v>475</v>
      </c>
      <c r="T289" s="1" t="s">
        <v>60</v>
      </c>
      <c r="U289" s="1" t="s">
        <v>61</v>
      </c>
      <c r="V289" s="1" t="s">
        <v>313</v>
      </c>
      <c r="W289" s="1">
        <v>0.38</v>
      </c>
      <c r="X289" s="1">
        <v>900</v>
      </c>
      <c r="Y289" s="1">
        <v>0</v>
      </c>
      <c r="Z289" s="3">
        <v>147</v>
      </c>
      <c r="AA289" s="3">
        <v>0</v>
      </c>
      <c r="AB289" s="3">
        <v>147</v>
      </c>
      <c r="AC289" s="3">
        <v>0</v>
      </c>
      <c r="AD289" s="3">
        <f t="shared" si="100"/>
        <v>147</v>
      </c>
      <c r="AE289" s="3">
        <v>0</v>
      </c>
      <c r="AF289" s="3">
        <v>147</v>
      </c>
      <c r="AG289" s="3">
        <v>0</v>
      </c>
      <c r="AH289" s="3">
        <v>0</v>
      </c>
      <c r="AI289" s="3">
        <v>0</v>
      </c>
      <c r="AJ289" s="3">
        <f t="shared" si="101"/>
        <v>147</v>
      </c>
      <c r="AK289" s="1">
        <v>0</v>
      </c>
      <c r="AL289" s="3">
        <f t="shared" si="117"/>
        <v>147</v>
      </c>
      <c r="AM289" s="1">
        <v>0</v>
      </c>
      <c r="AN289" s="1">
        <v>0</v>
      </c>
      <c r="AO289" s="1">
        <v>0</v>
      </c>
      <c r="AP289" s="3">
        <f t="shared" si="99"/>
        <v>0</v>
      </c>
      <c r="AQ289" s="1" t="s">
        <v>87</v>
      </c>
    </row>
    <row r="290" spans="1:43" x14ac:dyDescent="0.35">
      <c r="A290" s="1">
        <v>742</v>
      </c>
      <c r="B290" s="2">
        <v>45867</v>
      </c>
      <c r="C290" s="1" t="s">
        <v>64</v>
      </c>
      <c r="D290" s="1">
        <v>9518970422</v>
      </c>
      <c r="E290" s="1">
        <v>1</v>
      </c>
      <c r="F290" s="1" t="s">
        <v>863</v>
      </c>
      <c r="G290" s="1" t="s">
        <v>1367</v>
      </c>
      <c r="H290" s="1" t="s">
        <v>21</v>
      </c>
      <c r="I290" s="1" t="s">
        <v>71</v>
      </c>
      <c r="K290" s="1" t="s">
        <v>970</v>
      </c>
      <c r="L290" s="1" t="str">
        <f t="shared" si="116"/>
        <v>BPRS</v>
      </c>
      <c r="M290" s="1" t="s">
        <v>1228</v>
      </c>
      <c r="N290" s="1" t="s">
        <v>172</v>
      </c>
      <c r="O290" s="1" t="s">
        <v>173</v>
      </c>
      <c r="P290" s="1">
        <v>103092</v>
      </c>
      <c r="Q290" s="1" t="s">
        <v>171</v>
      </c>
      <c r="R290" s="1">
        <v>3240765</v>
      </c>
      <c r="S290" s="1" t="s">
        <v>381</v>
      </c>
      <c r="T290" s="1" t="s">
        <v>75</v>
      </c>
      <c r="U290" s="1" t="s">
        <v>76</v>
      </c>
      <c r="V290" s="1" t="s">
        <v>77</v>
      </c>
      <c r="W290" s="1">
        <v>0.5</v>
      </c>
      <c r="X290" s="1">
        <v>1250</v>
      </c>
      <c r="Y290" s="1">
        <v>2500</v>
      </c>
      <c r="Z290" s="3">
        <v>57.997999999999998</v>
      </c>
      <c r="AA290" s="3">
        <v>26.27</v>
      </c>
      <c r="AB290" s="3">
        <v>31.728000000000002</v>
      </c>
      <c r="AC290" s="3">
        <v>3.01</v>
      </c>
      <c r="AD290" s="3">
        <f t="shared" si="100"/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f t="shared" si="101"/>
        <v>3.01</v>
      </c>
      <c r="AK290" s="3">
        <f>AC290</f>
        <v>3.01</v>
      </c>
      <c r="AL290" s="1">
        <v>0</v>
      </c>
      <c r="AM290" s="1">
        <v>0</v>
      </c>
      <c r="AN290" s="1">
        <v>0</v>
      </c>
      <c r="AO290" s="1">
        <v>0</v>
      </c>
      <c r="AP290" s="3">
        <f t="shared" si="99"/>
        <v>0</v>
      </c>
      <c r="AQ290" s="1" t="s">
        <v>171</v>
      </c>
    </row>
    <row r="291" spans="1:43" x14ac:dyDescent="0.35">
      <c r="A291" s="1">
        <v>742</v>
      </c>
      <c r="B291" s="2">
        <v>45888</v>
      </c>
      <c r="C291" s="1" t="s">
        <v>64</v>
      </c>
      <c r="D291" s="1">
        <v>9519029782</v>
      </c>
      <c r="E291" s="1">
        <v>9</v>
      </c>
      <c r="F291" s="1" t="s">
        <v>864</v>
      </c>
      <c r="G291" s="1" t="s">
        <v>1155</v>
      </c>
      <c r="H291" s="1" t="s">
        <v>21</v>
      </c>
      <c r="I291" s="1" t="s">
        <v>71</v>
      </c>
      <c r="K291" s="1" t="s">
        <v>970</v>
      </c>
      <c r="L291" s="1" t="str">
        <f t="shared" si="116"/>
        <v>BPRS</v>
      </c>
      <c r="M291" s="1" t="s">
        <v>1230</v>
      </c>
      <c r="N291" s="1" t="s">
        <v>156</v>
      </c>
      <c r="O291" s="1" t="s">
        <v>157</v>
      </c>
      <c r="P291" s="1">
        <v>103227</v>
      </c>
      <c r="Q291" s="1" t="s">
        <v>155</v>
      </c>
      <c r="R291" s="1">
        <v>3240778</v>
      </c>
      <c r="S291" s="1" t="s">
        <v>303</v>
      </c>
      <c r="T291" s="1" t="s">
        <v>75</v>
      </c>
      <c r="U291" s="1" t="s">
        <v>76</v>
      </c>
      <c r="V291" s="1" t="s">
        <v>77</v>
      </c>
      <c r="W291" s="1">
        <v>0.6</v>
      </c>
      <c r="X291" s="1">
        <v>1000</v>
      </c>
      <c r="Y291" s="1">
        <v>2500</v>
      </c>
      <c r="Z291" s="3">
        <v>23</v>
      </c>
      <c r="AA291" s="3">
        <v>0</v>
      </c>
      <c r="AB291" s="3">
        <v>23</v>
      </c>
      <c r="AC291" s="3">
        <v>0</v>
      </c>
      <c r="AD291" s="3">
        <f t="shared" si="100"/>
        <v>23</v>
      </c>
      <c r="AE291" s="3">
        <v>0</v>
      </c>
      <c r="AF291" s="3">
        <v>0</v>
      </c>
      <c r="AG291" s="3">
        <v>0</v>
      </c>
      <c r="AH291" s="3">
        <v>23</v>
      </c>
      <c r="AI291" s="3">
        <v>0</v>
      </c>
      <c r="AJ291" s="3">
        <f t="shared" si="101"/>
        <v>23</v>
      </c>
      <c r="AK291" s="1">
        <v>0</v>
      </c>
      <c r="AL291" s="3">
        <f t="shared" ref="AL291:AL292" si="118">AE291</f>
        <v>0</v>
      </c>
      <c r="AM291" s="3">
        <f t="shared" ref="AM291:AM292" si="119">AF291</f>
        <v>0</v>
      </c>
      <c r="AN291" s="3">
        <f t="shared" ref="AN291:AN292" si="120">AG291</f>
        <v>0</v>
      </c>
      <c r="AO291" s="3">
        <f t="shared" ref="AO291:AO292" si="121">AH291</f>
        <v>23</v>
      </c>
      <c r="AP291" s="3">
        <f t="shared" si="99"/>
        <v>0</v>
      </c>
      <c r="AQ291" s="1" t="s">
        <v>155</v>
      </c>
    </row>
    <row r="292" spans="1:43" x14ac:dyDescent="0.35">
      <c r="A292" s="1">
        <v>742</v>
      </c>
      <c r="B292" s="2">
        <v>45888</v>
      </c>
      <c r="C292" s="1" t="s">
        <v>64</v>
      </c>
      <c r="D292" s="1">
        <v>9519029782</v>
      </c>
      <c r="E292" s="1">
        <v>11</v>
      </c>
      <c r="F292" s="1" t="s">
        <v>865</v>
      </c>
      <c r="G292" s="1" t="s">
        <v>1155</v>
      </c>
      <c r="H292" s="1" t="s">
        <v>21</v>
      </c>
      <c r="I292" s="1" t="s">
        <v>71</v>
      </c>
      <c r="K292" s="1" t="s">
        <v>970</v>
      </c>
      <c r="L292" s="1" t="str">
        <f t="shared" si="116"/>
        <v>BPRS</v>
      </c>
      <c r="M292" s="1" t="s">
        <v>1230</v>
      </c>
      <c r="N292" s="1" t="s">
        <v>156</v>
      </c>
      <c r="O292" s="1" t="s">
        <v>157</v>
      </c>
      <c r="P292" s="1">
        <v>103227</v>
      </c>
      <c r="Q292" s="1" t="s">
        <v>155</v>
      </c>
      <c r="R292" s="1">
        <v>3240842</v>
      </c>
      <c r="S292" s="1" t="s">
        <v>297</v>
      </c>
      <c r="T292" s="1" t="s">
        <v>75</v>
      </c>
      <c r="U292" s="1" t="s">
        <v>76</v>
      </c>
      <c r="V292" s="1" t="s">
        <v>77</v>
      </c>
      <c r="W292" s="1">
        <v>1</v>
      </c>
      <c r="X292" s="1">
        <v>1250</v>
      </c>
      <c r="Y292" s="1">
        <v>2500</v>
      </c>
      <c r="Z292" s="3">
        <v>28.998999999999999</v>
      </c>
      <c r="AA292" s="3">
        <v>0</v>
      </c>
      <c r="AB292" s="3">
        <v>28.998999999999999</v>
      </c>
      <c r="AC292" s="3">
        <v>0</v>
      </c>
      <c r="AD292" s="3">
        <f t="shared" si="100"/>
        <v>28.998999999999999</v>
      </c>
      <c r="AE292" s="3">
        <v>28.998999999999999</v>
      </c>
      <c r="AF292" s="3">
        <v>0</v>
      </c>
      <c r="AG292" s="3">
        <v>0</v>
      </c>
      <c r="AH292" s="3">
        <v>0</v>
      </c>
      <c r="AI292" s="3">
        <v>0</v>
      </c>
      <c r="AJ292" s="3">
        <f t="shared" si="101"/>
        <v>28.998999999999999</v>
      </c>
      <c r="AK292" s="1">
        <v>0</v>
      </c>
      <c r="AL292" s="3">
        <f t="shared" si="118"/>
        <v>28.998999999999999</v>
      </c>
      <c r="AM292" s="3">
        <f t="shared" si="119"/>
        <v>0</v>
      </c>
      <c r="AN292" s="3">
        <f t="shared" si="120"/>
        <v>0</v>
      </c>
      <c r="AO292" s="3">
        <f t="shared" si="121"/>
        <v>0</v>
      </c>
      <c r="AP292" s="3">
        <f t="shared" si="99"/>
        <v>0</v>
      </c>
      <c r="AQ292" s="1" t="s">
        <v>155</v>
      </c>
    </row>
    <row r="293" spans="1:43" x14ac:dyDescent="0.35">
      <c r="A293" s="1">
        <v>743</v>
      </c>
      <c r="B293" s="2">
        <v>45912</v>
      </c>
      <c r="C293" s="1" t="s">
        <v>64</v>
      </c>
      <c r="D293" s="1">
        <v>9519099563</v>
      </c>
      <c r="E293" s="1">
        <v>6</v>
      </c>
      <c r="F293" s="1" t="s">
        <v>866</v>
      </c>
      <c r="G293" s="1" t="s">
        <v>1155</v>
      </c>
      <c r="H293" s="1" t="s">
        <v>63</v>
      </c>
      <c r="I293" s="1" t="s">
        <v>1404</v>
      </c>
      <c r="K293" s="1" t="s">
        <v>970</v>
      </c>
      <c r="L293" s="1" t="str">
        <f t="shared" si="116"/>
        <v>BPRS</v>
      </c>
      <c r="M293" s="1" t="s">
        <v>1230</v>
      </c>
      <c r="N293" s="1" t="s">
        <v>220</v>
      </c>
      <c r="O293" s="1" t="s">
        <v>120</v>
      </c>
      <c r="P293" s="1">
        <v>185794</v>
      </c>
      <c r="Q293" s="1" t="s">
        <v>219</v>
      </c>
      <c r="R293" s="1">
        <v>1191956</v>
      </c>
      <c r="S293" s="1" t="s">
        <v>254</v>
      </c>
      <c r="T293" s="1" t="s">
        <v>139</v>
      </c>
      <c r="U293" s="1" t="s">
        <v>140</v>
      </c>
      <c r="V293" s="1" t="s">
        <v>150</v>
      </c>
      <c r="W293" s="1">
        <v>0.35</v>
      </c>
      <c r="X293" s="1">
        <v>900</v>
      </c>
      <c r="Y293" s="1">
        <v>0</v>
      </c>
      <c r="Z293" s="3">
        <v>126</v>
      </c>
      <c r="AA293" s="3">
        <v>0</v>
      </c>
      <c r="AB293" s="3">
        <v>126</v>
      </c>
      <c r="AC293" s="3">
        <v>0</v>
      </c>
      <c r="AD293" s="3">
        <f t="shared" si="100"/>
        <v>126</v>
      </c>
      <c r="AE293" s="3">
        <v>0</v>
      </c>
      <c r="AF293" s="3">
        <v>0</v>
      </c>
      <c r="AG293" s="3">
        <v>0</v>
      </c>
      <c r="AH293" s="3">
        <v>126</v>
      </c>
      <c r="AI293" s="3">
        <v>0</v>
      </c>
      <c r="AJ293" s="3">
        <f t="shared" si="101"/>
        <v>126</v>
      </c>
      <c r="AK293" s="1">
        <v>0</v>
      </c>
      <c r="AL293" s="1">
        <v>0</v>
      </c>
      <c r="AM293" s="1">
        <v>0</v>
      </c>
      <c r="AN293" s="3">
        <f>AH293</f>
        <v>126</v>
      </c>
      <c r="AO293" s="1">
        <v>0</v>
      </c>
      <c r="AP293" s="3">
        <f t="shared" si="99"/>
        <v>0</v>
      </c>
      <c r="AQ293" s="1" t="s">
        <v>219</v>
      </c>
    </row>
    <row r="294" spans="1:43" x14ac:dyDescent="0.35">
      <c r="A294" s="1">
        <v>743</v>
      </c>
      <c r="B294" s="2">
        <v>45915</v>
      </c>
      <c r="C294" s="1" t="s">
        <v>64</v>
      </c>
      <c r="D294" s="1">
        <v>9519104694</v>
      </c>
      <c r="E294" s="1">
        <v>3</v>
      </c>
      <c r="F294" s="1" t="s">
        <v>867</v>
      </c>
      <c r="G294" s="1" t="s">
        <v>1155</v>
      </c>
      <c r="H294" s="1" t="s">
        <v>63</v>
      </c>
      <c r="I294" s="1" t="s">
        <v>1404</v>
      </c>
      <c r="K294" s="1" t="s">
        <v>970</v>
      </c>
      <c r="L294" s="1" t="str">
        <f t="shared" si="116"/>
        <v>BPRS</v>
      </c>
      <c r="M294" s="1" t="s">
        <v>1230</v>
      </c>
      <c r="N294" s="1" t="s">
        <v>1135</v>
      </c>
      <c r="O294" s="1" t="s">
        <v>120</v>
      </c>
      <c r="P294" s="1">
        <v>121328</v>
      </c>
      <c r="Q294" s="1" t="s">
        <v>119</v>
      </c>
      <c r="R294" s="1">
        <v>1191956</v>
      </c>
      <c r="S294" s="1" t="s">
        <v>254</v>
      </c>
      <c r="T294" s="1" t="s">
        <v>139</v>
      </c>
      <c r="U294" s="1" t="s">
        <v>140</v>
      </c>
      <c r="V294" s="1" t="s">
        <v>150</v>
      </c>
      <c r="W294" s="1">
        <v>0.35</v>
      </c>
      <c r="X294" s="1">
        <v>900</v>
      </c>
      <c r="Y294" s="1">
        <v>0</v>
      </c>
      <c r="Z294" s="3">
        <v>168</v>
      </c>
      <c r="AA294" s="3">
        <v>0</v>
      </c>
      <c r="AB294" s="3">
        <v>168</v>
      </c>
      <c r="AC294" s="3">
        <v>0</v>
      </c>
      <c r="AD294" s="3">
        <f t="shared" si="100"/>
        <v>168</v>
      </c>
      <c r="AE294" s="3">
        <v>0</v>
      </c>
      <c r="AF294" s="3">
        <v>168</v>
      </c>
      <c r="AG294" s="3">
        <v>0</v>
      </c>
      <c r="AH294" s="3">
        <v>0</v>
      </c>
      <c r="AI294" s="3">
        <v>0</v>
      </c>
      <c r="AJ294" s="3">
        <f t="shared" si="101"/>
        <v>168</v>
      </c>
      <c r="AK294" s="1">
        <v>0</v>
      </c>
      <c r="AL294" s="1">
        <v>0</v>
      </c>
      <c r="AM294" s="3">
        <f>AF294</f>
        <v>168</v>
      </c>
      <c r="AN294" s="1">
        <v>0</v>
      </c>
      <c r="AO294" s="1">
        <v>0</v>
      </c>
      <c r="AP294" s="3">
        <f t="shared" si="99"/>
        <v>0</v>
      </c>
      <c r="AQ294" s="1" t="s">
        <v>119</v>
      </c>
    </row>
    <row r="295" spans="1:43" x14ac:dyDescent="0.35">
      <c r="A295" s="1">
        <v>743</v>
      </c>
      <c r="B295" s="2">
        <v>45912</v>
      </c>
      <c r="C295" s="1" t="s">
        <v>64</v>
      </c>
      <c r="D295" s="1">
        <v>9519099563</v>
      </c>
      <c r="E295" s="1">
        <v>12</v>
      </c>
      <c r="F295" s="1" t="s">
        <v>868</v>
      </c>
      <c r="G295" s="1" t="s">
        <v>1155</v>
      </c>
      <c r="H295" s="1" t="s">
        <v>63</v>
      </c>
      <c r="I295" s="1" t="s">
        <v>1404</v>
      </c>
      <c r="K295" s="1" t="s">
        <v>970</v>
      </c>
      <c r="L295" s="1" t="str">
        <f t="shared" si="116"/>
        <v>BPRS</v>
      </c>
      <c r="M295" s="1" t="s">
        <v>1230</v>
      </c>
      <c r="N295" s="1" t="s">
        <v>220</v>
      </c>
      <c r="O295" s="1" t="s">
        <v>120</v>
      </c>
      <c r="P295" s="1">
        <v>185794</v>
      </c>
      <c r="Q295" s="1" t="s">
        <v>219</v>
      </c>
      <c r="R295" s="1">
        <v>1854418</v>
      </c>
      <c r="S295" s="1" t="s">
        <v>176</v>
      </c>
      <c r="T295" s="1" t="s">
        <v>139</v>
      </c>
      <c r="U295" s="1" t="s">
        <v>140</v>
      </c>
      <c r="V295" s="1" t="s">
        <v>150</v>
      </c>
      <c r="W295" s="1">
        <v>0.5</v>
      </c>
      <c r="X295" s="1">
        <v>900</v>
      </c>
      <c r="Y295" s="1">
        <v>0</v>
      </c>
      <c r="Z295" s="3">
        <v>126</v>
      </c>
      <c r="AA295" s="3">
        <v>0</v>
      </c>
      <c r="AB295" s="3">
        <v>126</v>
      </c>
      <c r="AC295" s="3">
        <v>0</v>
      </c>
      <c r="AD295" s="3">
        <f t="shared" si="100"/>
        <v>126</v>
      </c>
      <c r="AE295" s="3">
        <v>0</v>
      </c>
      <c r="AF295" s="3">
        <v>0</v>
      </c>
      <c r="AG295" s="3">
        <v>126</v>
      </c>
      <c r="AH295" s="3">
        <v>0</v>
      </c>
      <c r="AI295" s="3">
        <v>0</v>
      </c>
      <c r="AJ295" s="3">
        <f t="shared" si="101"/>
        <v>126</v>
      </c>
      <c r="AK295" s="1">
        <v>0</v>
      </c>
      <c r="AL295" s="1">
        <v>0</v>
      </c>
      <c r="AM295" s="1">
        <v>0</v>
      </c>
      <c r="AN295" s="3">
        <f>AG295</f>
        <v>126</v>
      </c>
      <c r="AO295" s="1">
        <v>0</v>
      </c>
      <c r="AP295" s="3">
        <f t="shared" si="99"/>
        <v>0</v>
      </c>
      <c r="AQ295" s="1" t="s">
        <v>219</v>
      </c>
    </row>
    <row r="296" spans="1:43" x14ac:dyDescent="0.35">
      <c r="A296" s="1">
        <v>742</v>
      </c>
      <c r="B296" s="2">
        <v>45888</v>
      </c>
      <c r="C296" s="1" t="s">
        <v>64</v>
      </c>
      <c r="D296" s="1">
        <v>9519029800</v>
      </c>
      <c r="E296" s="1">
        <v>8</v>
      </c>
      <c r="F296" s="1" t="s">
        <v>869</v>
      </c>
      <c r="G296" s="1" t="s">
        <v>1367</v>
      </c>
      <c r="H296" s="1" t="s">
        <v>21</v>
      </c>
      <c r="I296" s="1" t="s">
        <v>71</v>
      </c>
      <c r="K296" s="1" t="s">
        <v>970</v>
      </c>
      <c r="L296" s="1" t="str">
        <f t="shared" si="116"/>
        <v>BPRS</v>
      </c>
      <c r="M296" s="1" t="s">
        <v>1230</v>
      </c>
      <c r="N296" s="1" t="s">
        <v>318</v>
      </c>
      <c r="O296" s="1" t="s">
        <v>157</v>
      </c>
      <c r="P296" s="1">
        <v>103227</v>
      </c>
      <c r="Q296" s="1" t="s">
        <v>155</v>
      </c>
      <c r="R296" s="1">
        <v>3240765</v>
      </c>
      <c r="S296" s="1" t="s">
        <v>381</v>
      </c>
      <c r="T296" s="1" t="s">
        <v>75</v>
      </c>
      <c r="U296" s="1" t="s">
        <v>76</v>
      </c>
      <c r="V296" s="1" t="s">
        <v>77</v>
      </c>
      <c r="W296" s="1">
        <v>0.5</v>
      </c>
      <c r="X296" s="1">
        <v>1250</v>
      </c>
      <c r="Y296" s="1">
        <v>2500</v>
      </c>
      <c r="Z296" s="3">
        <v>57.997999999999998</v>
      </c>
      <c r="AA296" s="3">
        <v>29.76</v>
      </c>
      <c r="AB296" s="3">
        <v>28.238</v>
      </c>
      <c r="AC296" s="3">
        <v>6.0350000000000001</v>
      </c>
      <c r="AD296" s="3">
        <f t="shared" si="100"/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f t="shared" si="101"/>
        <v>6.0350000000000001</v>
      </c>
      <c r="AK296" s="3">
        <f>AC296</f>
        <v>6.0350000000000001</v>
      </c>
      <c r="AL296" s="1">
        <v>0</v>
      </c>
      <c r="AM296" s="1">
        <v>0</v>
      </c>
      <c r="AN296" s="1">
        <v>0</v>
      </c>
      <c r="AO296" s="1">
        <v>0</v>
      </c>
      <c r="AP296" s="3">
        <f t="shared" si="99"/>
        <v>0</v>
      </c>
      <c r="AQ296" s="1" t="s">
        <v>155</v>
      </c>
    </row>
    <row r="297" spans="1:43" x14ac:dyDescent="0.35">
      <c r="A297" s="1">
        <v>742</v>
      </c>
      <c r="B297" s="2">
        <v>45888</v>
      </c>
      <c r="C297" s="1" t="s">
        <v>64</v>
      </c>
      <c r="D297" s="1">
        <v>9519029800</v>
      </c>
      <c r="E297" s="1">
        <v>9</v>
      </c>
      <c r="F297" s="1" t="s">
        <v>870</v>
      </c>
      <c r="G297" s="1" t="s">
        <v>1155</v>
      </c>
      <c r="H297" s="1" t="s">
        <v>21</v>
      </c>
      <c r="I297" s="1" t="s">
        <v>71</v>
      </c>
      <c r="K297" s="1" t="s">
        <v>970</v>
      </c>
      <c r="L297" s="1" t="str">
        <f t="shared" si="116"/>
        <v>BPRS</v>
      </c>
      <c r="M297" s="1" t="s">
        <v>1230</v>
      </c>
      <c r="N297" s="1" t="s">
        <v>318</v>
      </c>
      <c r="O297" s="1" t="s">
        <v>157</v>
      </c>
      <c r="P297" s="1">
        <v>103227</v>
      </c>
      <c r="Q297" s="1" t="s">
        <v>155</v>
      </c>
      <c r="R297" s="1">
        <v>3240778</v>
      </c>
      <c r="S297" s="1" t="s">
        <v>303</v>
      </c>
      <c r="T297" s="1" t="s">
        <v>75</v>
      </c>
      <c r="U297" s="1" t="s">
        <v>76</v>
      </c>
      <c r="V297" s="1" t="s">
        <v>77</v>
      </c>
      <c r="W297" s="1">
        <v>0.6</v>
      </c>
      <c r="X297" s="1">
        <v>1000</v>
      </c>
      <c r="Y297" s="1">
        <v>2500</v>
      </c>
      <c r="Z297" s="3">
        <v>23</v>
      </c>
      <c r="AA297" s="3">
        <v>0</v>
      </c>
      <c r="AB297" s="3">
        <v>23</v>
      </c>
      <c r="AC297" s="3">
        <v>0</v>
      </c>
      <c r="AD297" s="3">
        <f t="shared" si="100"/>
        <v>23</v>
      </c>
      <c r="AE297" s="3">
        <v>0</v>
      </c>
      <c r="AF297" s="3">
        <v>0</v>
      </c>
      <c r="AG297" s="3">
        <v>0</v>
      </c>
      <c r="AH297" s="3">
        <v>23</v>
      </c>
      <c r="AI297" s="3">
        <v>0</v>
      </c>
      <c r="AJ297" s="3">
        <f t="shared" si="101"/>
        <v>23</v>
      </c>
      <c r="AK297" s="1">
        <v>0</v>
      </c>
      <c r="AL297" s="3">
        <f>AE297</f>
        <v>0</v>
      </c>
      <c r="AM297" s="3">
        <f>AF297</f>
        <v>0</v>
      </c>
      <c r="AN297" s="3">
        <f>AG297</f>
        <v>0</v>
      </c>
      <c r="AO297" s="3">
        <f>AH297</f>
        <v>23</v>
      </c>
      <c r="AP297" s="3">
        <f t="shared" si="99"/>
        <v>0</v>
      </c>
      <c r="AQ297" s="1" t="s">
        <v>155</v>
      </c>
    </row>
    <row r="298" spans="1:43" x14ac:dyDescent="0.35">
      <c r="A298" s="1">
        <v>742</v>
      </c>
      <c r="B298" s="2">
        <v>45888</v>
      </c>
      <c r="C298" s="1" t="s">
        <v>64</v>
      </c>
      <c r="D298" s="1">
        <v>9519029800</v>
      </c>
      <c r="E298" s="1">
        <v>11</v>
      </c>
      <c r="F298" s="1" t="s">
        <v>871</v>
      </c>
      <c r="G298" s="1" t="s">
        <v>1367</v>
      </c>
      <c r="H298" s="1" t="s">
        <v>21</v>
      </c>
      <c r="I298" s="1" t="s">
        <v>71</v>
      </c>
      <c r="K298" s="1" t="s">
        <v>970</v>
      </c>
      <c r="L298" s="1" t="str">
        <f t="shared" si="116"/>
        <v>BPRS</v>
      </c>
      <c r="M298" s="1" t="s">
        <v>1230</v>
      </c>
      <c r="N298" s="1" t="s">
        <v>318</v>
      </c>
      <c r="O298" s="1" t="s">
        <v>157</v>
      </c>
      <c r="P298" s="1">
        <v>103227</v>
      </c>
      <c r="Q298" s="1" t="s">
        <v>155</v>
      </c>
      <c r="R298" s="1">
        <v>3240842</v>
      </c>
      <c r="S298" s="1" t="s">
        <v>297</v>
      </c>
      <c r="T298" s="1" t="s">
        <v>75</v>
      </c>
      <c r="U298" s="1" t="s">
        <v>76</v>
      </c>
      <c r="V298" s="1" t="s">
        <v>77</v>
      </c>
      <c r="W298" s="1">
        <v>1</v>
      </c>
      <c r="X298" s="1">
        <v>1250</v>
      </c>
      <c r="Y298" s="1">
        <v>2500</v>
      </c>
      <c r="Z298" s="3">
        <v>28.998999999999999</v>
      </c>
      <c r="AA298" s="3">
        <v>8.7550000000000008</v>
      </c>
      <c r="AB298" s="3">
        <v>20.244</v>
      </c>
      <c r="AC298" s="3">
        <v>8.754999999999999</v>
      </c>
      <c r="AD298" s="3">
        <f t="shared" si="100"/>
        <v>20.244</v>
      </c>
      <c r="AE298" s="3">
        <v>0</v>
      </c>
      <c r="AF298" s="3">
        <v>0</v>
      </c>
      <c r="AG298" s="3">
        <v>0</v>
      </c>
      <c r="AH298" s="3">
        <v>20.244</v>
      </c>
      <c r="AI298" s="3">
        <v>0</v>
      </c>
      <c r="AJ298" s="3">
        <f t="shared" si="101"/>
        <v>28.998999999999999</v>
      </c>
      <c r="AK298" s="1">
        <v>0</v>
      </c>
      <c r="AL298" s="1">
        <v>0</v>
      </c>
      <c r="AM298" s="1">
        <v>0</v>
      </c>
      <c r="AN298" s="1">
        <v>0</v>
      </c>
      <c r="AO298" s="3">
        <f>AH298+AC298</f>
        <v>28.998999999999999</v>
      </c>
      <c r="AP298" s="3">
        <f t="shared" si="99"/>
        <v>0</v>
      </c>
      <c r="AQ298" s="1" t="s">
        <v>155</v>
      </c>
    </row>
    <row r="299" spans="1:43" x14ac:dyDescent="0.35">
      <c r="A299" s="1">
        <v>742</v>
      </c>
      <c r="B299" s="2">
        <v>45887</v>
      </c>
      <c r="C299" s="1" t="s">
        <v>64</v>
      </c>
      <c r="D299" s="1">
        <v>9519025430</v>
      </c>
      <c r="E299" s="1">
        <v>6</v>
      </c>
      <c r="F299" s="1" t="s">
        <v>872</v>
      </c>
      <c r="G299" s="1" t="s">
        <v>393</v>
      </c>
      <c r="H299" s="1" t="s">
        <v>21</v>
      </c>
      <c r="I299" s="1" t="s">
        <v>71</v>
      </c>
      <c r="K299" s="1" t="s">
        <v>970</v>
      </c>
      <c r="L299" s="1" t="str">
        <f t="shared" si="116"/>
        <v>BPRS</v>
      </c>
      <c r="M299" s="1" t="s">
        <v>1229</v>
      </c>
      <c r="N299" s="1" t="s">
        <v>433</v>
      </c>
      <c r="O299" s="1" t="s">
        <v>58</v>
      </c>
      <c r="P299" s="1">
        <v>116465</v>
      </c>
      <c r="Q299" s="1" t="s">
        <v>364</v>
      </c>
      <c r="R299" s="1">
        <v>3239543</v>
      </c>
      <c r="S299" s="1" t="s">
        <v>421</v>
      </c>
      <c r="T299" s="1" t="s">
        <v>75</v>
      </c>
      <c r="U299" s="1" t="s">
        <v>122</v>
      </c>
      <c r="V299" s="1" t="s">
        <v>123</v>
      </c>
      <c r="W299" s="1">
        <v>0.35</v>
      </c>
      <c r="X299" s="1">
        <v>1250</v>
      </c>
      <c r="Y299" s="1">
        <v>2500</v>
      </c>
      <c r="Z299" s="3">
        <v>29</v>
      </c>
      <c r="AA299" s="3">
        <v>0</v>
      </c>
      <c r="AB299" s="3">
        <v>29</v>
      </c>
      <c r="AC299" s="3">
        <v>0</v>
      </c>
      <c r="AD299" s="3">
        <f t="shared" si="100"/>
        <v>29</v>
      </c>
      <c r="AE299" s="3">
        <v>0</v>
      </c>
      <c r="AF299" s="3">
        <v>0</v>
      </c>
      <c r="AG299" s="3">
        <v>0</v>
      </c>
      <c r="AH299" s="3">
        <v>0</v>
      </c>
      <c r="AI299" s="3">
        <v>29</v>
      </c>
      <c r="AJ299" s="3">
        <f t="shared" si="101"/>
        <v>0</v>
      </c>
      <c r="AK299" s="1">
        <v>0</v>
      </c>
      <c r="AL299" s="3">
        <f>AE299</f>
        <v>0</v>
      </c>
      <c r="AM299" s="3">
        <f>AF299</f>
        <v>0</v>
      </c>
      <c r="AN299" s="3">
        <f>AG299</f>
        <v>0</v>
      </c>
      <c r="AO299" s="3">
        <f>AH299</f>
        <v>0</v>
      </c>
      <c r="AP299" s="3">
        <f t="shared" si="99"/>
        <v>29</v>
      </c>
      <c r="AQ299" s="1" t="s">
        <v>364</v>
      </c>
    </row>
    <row r="300" spans="1:43" x14ac:dyDescent="0.35">
      <c r="A300" s="1">
        <v>742</v>
      </c>
      <c r="B300" s="2">
        <v>45888</v>
      </c>
      <c r="C300" s="1" t="s">
        <v>64</v>
      </c>
      <c r="D300" s="1">
        <v>9519028231</v>
      </c>
      <c r="E300" s="1">
        <v>3</v>
      </c>
      <c r="F300" s="1" t="s">
        <v>873</v>
      </c>
      <c r="G300" s="1" t="s">
        <v>1155</v>
      </c>
      <c r="H300" s="1" t="s">
        <v>21</v>
      </c>
      <c r="I300" s="1" t="s">
        <v>22</v>
      </c>
      <c r="K300" s="1" t="s">
        <v>970</v>
      </c>
      <c r="L300" s="1" t="str">
        <f t="shared" si="116"/>
        <v>BPRS</v>
      </c>
      <c r="M300" s="1" t="s">
        <v>1229</v>
      </c>
      <c r="N300" s="1" t="s">
        <v>137</v>
      </c>
      <c r="O300" s="1" t="s">
        <v>58</v>
      </c>
      <c r="P300" s="1">
        <v>938550</v>
      </c>
      <c r="Q300" s="1" t="s">
        <v>221</v>
      </c>
      <c r="R300" s="1">
        <v>1801290</v>
      </c>
      <c r="S300" s="1" t="s">
        <v>273</v>
      </c>
      <c r="T300" s="1" t="s">
        <v>28</v>
      </c>
      <c r="U300" s="1" t="s">
        <v>29</v>
      </c>
      <c r="V300" s="1" t="s">
        <v>30</v>
      </c>
      <c r="W300" s="1">
        <v>0.6</v>
      </c>
      <c r="X300" s="1">
        <v>1250</v>
      </c>
      <c r="Y300" s="1">
        <v>0</v>
      </c>
      <c r="Z300" s="3">
        <v>58</v>
      </c>
      <c r="AA300" s="3">
        <v>0</v>
      </c>
      <c r="AB300" s="3">
        <v>58</v>
      </c>
      <c r="AC300" s="3">
        <v>0</v>
      </c>
      <c r="AD300" s="3">
        <f t="shared" si="100"/>
        <v>58</v>
      </c>
      <c r="AE300" s="3">
        <v>0</v>
      </c>
      <c r="AF300" s="3">
        <v>0</v>
      </c>
      <c r="AG300" s="3">
        <v>0</v>
      </c>
      <c r="AH300" s="3">
        <v>58</v>
      </c>
      <c r="AI300" s="3">
        <v>0</v>
      </c>
      <c r="AJ300" s="3">
        <f t="shared" si="101"/>
        <v>58</v>
      </c>
      <c r="AK300" s="1">
        <v>0</v>
      </c>
      <c r="AL300" s="3">
        <f t="shared" ref="AL300:AL302" si="122">AE300</f>
        <v>0</v>
      </c>
      <c r="AM300" s="3">
        <f t="shared" ref="AM300:AM302" si="123">AF300</f>
        <v>0</v>
      </c>
      <c r="AN300" s="3">
        <f t="shared" ref="AN300:AN302" si="124">AG300</f>
        <v>0</v>
      </c>
      <c r="AO300" s="3">
        <f t="shared" ref="AO300:AO302" si="125">AH300</f>
        <v>58</v>
      </c>
      <c r="AP300" s="3">
        <f t="shared" si="99"/>
        <v>0</v>
      </c>
      <c r="AQ300" s="1" t="s">
        <v>221</v>
      </c>
    </row>
    <row r="301" spans="1:43" x14ac:dyDescent="0.35">
      <c r="A301" s="1">
        <v>742</v>
      </c>
      <c r="B301" s="2">
        <v>45888</v>
      </c>
      <c r="C301" s="1" t="s">
        <v>64</v>
      </c>
      <c r="D301" s="1">
        <v>9519028231</v>
      </c>
      <c r="E301" s="1">
        <v>5</v>
      </c>
      <c r="F301" s="1" t="s">
        <v>874</v>
      </c>
      <c r="G301" s="1" t="s">
        <v>1155</v>
      </c>
      <c r="H301" s="1" t="s">
        <v>21</v>
      </c>
      <c r="I301" s="1" t="s">
        <v>22</v>
      </c>
      <c r="K301" s="1" t="s">
        <v>970</v>
      </c>
      <c r="L301" s="1" t="str">
        <f t="shared" si="116"/>
        <v>BPRS</v>
      </c>
      <c r="M301" s="1" t="s">
        <v>1229</v>
      </c>
      <c r="N301" s="1" t="s">
        <v>137</v>
      </c>
      <c r="O301" s="1" t="s">
        <v>58</v>
      </c>
      <c r="P301" s="1">
        <v>938550</v>
      </c>
      <c r="Q301" s="1" t="s">
        <v>221</v>
      </c>
      <c r="R301" s="1">
        <v>1804814</v>
      </c>
      <c r="S301" s="1" t="s">
        <v>222</v>
      </c>
      <c r="T301" s="1" t="s">
        <v>28</v>
      </c>
      <c r="U301" s="1" t="s">
        <v>29</v>
      </c>
      <c r="V301" s="1" t="s">
        <v>30</v>
      </c>
      <c r="W301" s="1">
        <v>0.8</v>
      </c>
      <c r="X301" s="1">
        <v>1250</v>
      </c>
      <c r="Y301" s="1">
        <v>0</v>
      </c>
      <c r="Z301" s="3">
        <v>116</v>
      </c>
      <c r="AA301" s="3">
        <v>24.97</v>
      </c>
      <c r="AB301" s="3">
        <v>91.03</v>
      </c>
      <c r="AC301" s="3">
        <v>0</v>
      </c>
      <c r="AD301" s="3">
        <f t="shared" si="100"/>
        <v>91.03</v>
      </c>
      <c r="AE301" s="3">
        <v>0</v>
      </c>
      <c r="AF301" s="3">
        <v>0</v>
      </c>
      <c r="AG301" s="3">
        <v>0</v>
      </c>
      <c r="AH301" s="3">
        <v>91.03</v>
      </c>
      <c r="AI301" s="3">
        <v>0</v>
      </c>
      <c r="AJ301" s="3">
        <f t="shared" si="101"/>
        <v>91.03</v>
      </c>
      <c r="AK301" s="1">
        <v>0</v>
      </c>
      <c r="AL301" s="3">
        <f t="shared" si="122"/>
        <v>0</v>
      </c>
      <c r="AM301" s="3">
        <f t="shared" si="123"/>
        <v>0</v>
      </c>
      <c r="AN301" s="3">
        <f t="shared" si="124"/>
        <v>0</v>
      </c>
      <c r="AO301" s="3">
        <f t="shared" si="125"/>
        <v>91.03</v>
      </c>
      <c r="AP301" s="3">
        <f t="shared" si="99"/>
        <v>0</v>
      </c>
      <c r="AQ301" s="1" t="s">
        <v>221</v>
      </c>
    </row>
    <row r="302" spans="1:43" x14ac:dyDescent="0.35">
      <c r="A302" s="1">
        <v>742</v>
      </c>
      <c r="B302" s="2">
        <v>45888</v>
      </c>
      <c r="C302" s="1" t="s">
        <v>64</v>
      </c>
      <c r="D302" s="1">
        <v>9519028231</v>
      </c>
      <c r="E302" s="1">
        <v>6</v>
      </c>
      <c r="F302" s="1" t="s">
        <v>875</v>
      </c>
      <c r="G302" s="1" t="s">
        <v>1155</v>
      </c>
      <c r="H302" s="1" t="s">
        <v>21</v>
      </c>
      <c r="I302" s="1" t="s">
        <v>22</v>
      </c>
      <c r="K302" s="1" t="s">
        <v>970</v>
      </c>
      <c r="L302" s="1" t="str">
        <f t="shared" si="116"/>
        <v>BPRS</v>
      </c>
      <c r="M302" s="1" t="s">
        <v>1229</v>
      </c>
      <c r="N302" s="1" t="s">
        <v>137</v>
      </c>
      <c r="O302" s="1" t="s">
        <v>58</v>
      </c>
      <c r="P302" s="1">
        <v>938550</v>
      </c>
      <c r="Q302" s="1" t="s">
        <v>221</v>
      </c>
      <c r="R302" s="1">
        <v>2334995</v>
      </c>
      <c r="S302" s="1" t="s">
        <v>283</v>
      </c>
      <c r="T302" s="1" t="s">
        <v>28</v>
      </c>
      <c r="U302" s="1" t="s">
        <v>29</v>
      </c>
      <c r="V302" s="1" t="s">
        <v>30</v>
      </c>
      <c r="W302" s="1">
        <v>1.5</v>
      </c>
      <c r="X302" s="1">
        <v>1250</v>
      </c>
      <c r="Y302" s="1">
        <v>0</v>
      </c>
      <c r="Z302" s="3">
        <v>58</v>
      </c>
      <c r="AA302" s="3">
        <v>0</v>
      </c>
      <c r="AB302" s="3">
        <v>58</v>
      </c>
      <c r="AC302" s="3">
        <v>0</v>
      </c>
      <c r="AD302" s="3">
        <f t="shared" si="100"/>
        <v>58</v>
      </c>
      <c r="AE302" s="3">
        <v>0</v>
      </c>
      <c r="AF302" s="3">
        <v>0</v>
      </c>
      <c r="AG302" s="3">
        <v>58</v>
      </c>
      <c r="AH302" s="3">
        <v>0</v>
      </c>
      <c r="AI302" s="3">
        <v>0</v>
      </c>
      <c r="AJ302" s="3">
        <f t="shared" si="101"/>
        <v>58</v>
      </c>
      <c r="AK302" s="1">
        <v>0</v>
      </c>
      <c r="AL302" s="3">
        <f t="shared" si="122"/>
        <v>0</v>
      </c>
      <c r="AM302" s="3">
        <f t="shared" si="123"/>
        <v>0</v>
      </c>
      <c r="AN302" s="3">
        <f t="shared" si="124"/>
        <v>58</v>
      </c>
      <c r="AO302" s="3">
        <f t="shared" si="125"/>
        <v>0</v>
      </c>
      <c r="AP302" s="3">
        <f t="shared" si="99"/>
        <v>0</v>
      </c>
      <c r="AQ302" s="1" t="s">
        <v>221</v>
      </c>
    </row>
    <row r="303" spans="1:43" x14ac:dyDescent="0.35">
      <c r="A303" s="1">
        <v>742</v>
      </c>
      <c r="B303" s="2">
        <v>45889</v>
      </c>
      <c r="C303" s="1" t="s">
        <v>46</v>
      </c>
      <c r="D303" s="1">
        <v>9519030952</v>
      </c>
      <c r="E303" s="1">
        <v>1</v>
      </c>
      <c r="F303" s="1" t="s">
        <v>876</v>
      </c>
      <c r="G303" s="1" t="s">
        <v>1155</v>
      </c>
      <c r="H303" s="1" t="s">
        <v>21</v>
      </c>
      <c r="I303" s="1" t="s">
        <v>974</v>
      </c>
      <c r="K303" s="1" t="s">
        <v>969</v>
      </c>
      <c r="L303" s="1" t="s">
        <v>1421</v>
      </c>
      <c r="M303" s="1" t="s">
        <v>1230</v>
      </c>
      <c r="N303" s="1" t="s">
        <v>100</v>
      </c>
      <c r="O303" s="1" t="s">
        <v>145</v>
      </c>
      <c r="P303" s="1">
        <v>600250</v>
      </c>
      <c r="Q303" s="1" t="s">
        <v>43</v>
      </c>
      <c r="R303" s="1">
        <v>2439203</v>
      </c>
      <c r="S303" s="1" t="s">
        <v>146</v>
      </c>
      <c r="T303" s="1" t="s">
        <v>28</v>
      </c>
      <c r="U303" s="1" t="s">
        <v>117</v>
      </c>
      <c r="V303" s="1" t="s">
        <v>118</v>
      </c>
      <c r="W303" s="1">
        <v>0.5</v>
      </c>
      <c r="X303" s="1">
        <v>1160</v>
      </c>
      <c r="Y303" s="1">
        <v>0</v>
      </c>
      <c r="Z303" s="3">
        <v>297</v>
      </c>
      <c r="AA303" s="3">
        <v>24.78</v>
      </c>
      <c r="AB303" s="3">
        <v>272.22000000000003</v>
      </c>
      <c r="AC303" s="3">
        <v>24.78</v>
      </c>
      <c r="AD303" s="3">
        <f t="shared" si="100"/>
        <v>272.22000000000003</v>
      </c>
      <c r="AE303" s="3">
        <v>0</v>
      </c>
      <c r="AF303" s="3">
        <v>0</v>
      </c>
      <c r="AG303" s="3">
        <v>272.22000000000003</v>
      </c>
      <c r="AH303" s="3">
        <v>0</v>
      </c>
      <c r="AI303" s="3">
        <v>0</v>
      </c>
      <c r="AJ303" s="3">
        <f t="shared" si="101"/>
        <v>297</v>
      </c>
      <c r="AK303" s="1">
        <v>0</v>
      </c>
      <c r="AL303" s="1">
        <v>0</v>
      </c>
      <c r="AM303" s="1">
        <v>0</v>
      </c>
      <c r="AN303" s="3">
        <f>AG303+AC303</f>
        <v>297</v>
      </c>
      <c r="AO303" s="1">
        <v>0</v>
      </c>
      <c r="AP303" s="3">
        <f t="shared" si="99"/>
        <v>0</v>
      </c>
      <c r="AQ303" s="1" t="s">
        <v>43</v>
      </c>
    </row>
    <row r="304" spans="1:43" x14ac:dyDescent="0.35">
      <c r="A304" s="1">
        <v>742</v>
      </c>
      <c r="B304" s="2">
        <v>45889</v>
      </c>
      <c r="C304" s="1" t="s">
        <v>46</v>
      </c>
      <c r="D304" s="1">
        <v>9519030952</v>
      </c>
      <c r="E304" s="1">
        <v>2</v>
      </c>
      <c r="F304" s="1" t="s">
        <v>877</v>
      </c>
      <c r="G304" s="1" t="s">
        <v>393</v>
      </c>
      <c r="H304" s="1" t="s">
        <v>21</v>
      </c>
      <c r="I304" s="1" t="s">
        <v>974</v>
      </c>
      <c r="K304" s="1" t="s">
        <v>969</v>
      </c>
      <c r="L304" s="1" t="s">
        <v>1421</v>
      </c>
      <c r="M304" s="1" t="s">
        <v>1230</v>
      </c>
      <c r="N304" s="1" t="s">
        <v>100</v>
      </c>
      <c r="O304" s="1" t="s">
        <v>145</v>
      </c>
      <c r="P304" s="1">
        <v>600250</v>
      </c>
      <c r="Q304" s="1" t="s">
        <v>43</v>
      </c>
      <c r="R304" s="1">
        <v>2439203</v>
      </c>
      <c r="S304" s="1" t="s">
        <v>146</v>
      </c>
      <c r="T304" s="1" t="s">
        <v>28</v>
      </c>
      <c r="U304" s="1" t="s">
        <v>117</v>
      </c>
      <c r="V304" s="1" t="s">
        <v>118</v>
      </c>
      <c r="W304" s="1">
        <v>0.5</v>
      </c>
      <c r="X304" s="1">
        <v>1160</v>
      </c>
      <c r="Y304" s="1">
        <v>0</v>
      </c>
      <c r="Z304" s="3">
        <v>297</v>
      </c>
      <c r="AA304" s="3">
        <v>24.495000000000001</v>
      </c>
      <c r="AB304" s="3">
        <v>272.505</v>
      </c>
      <c r="AC304" s="3">
        <v>0</v>
      </c>
      <c r="AD304" s="3">
        <f t="shared" si="100"/>
        <v>272.505</v>
      </c>
      <c r="AE304" s="3">
        <v>0</v>
      </c>
      <c r="AF304" s="3">
        <v>0</v>
      </c>
      <c r="AG304" s="3">
        <v>272.505</v>
      </c>
      <c r="AH304" s="3">
        <v>0</v>
      </c>
      <c r="AI304" s="3">
        <v>0</v>
      </c>
      <c r="AJ304" s="3">
        <f t="shared" si="101"/>
        <v>272.505</v>
      </c>
      <c r="AK304" s="1">
        <v>0</v>
      </c>
      <c r="AL304" s="3">
        <f t="shared" ref="AL304:AO305" si="126">AE304</f>
        <v>0</v>
      </c>
      <c r="AM304" s="3">
        <f t="shared" si="126"/>
        <v>0</v>
      </c>
      <c r="AN304" s="3">
        <f t="shared" si="126"/>
        <v>272.505</v>
      </c>
      <c r="AO304" s="3">
        <f t="shared" si="126"/>
        <v>0</v>
      </c>
      <c r="AP304" s="3">
        <f t="shared" si="99"/>
        <v>0</v>
      </c>
      <c r="AQ304" s="1" t="s">
        <v>43</v>
      </c>
    </row>
    <row r="305" spans="1:43" x14ac:dyDescent="0.35">
      <c r="A305" s="1">
        <v>742</v>
      </c>
      <c r="B305" s="2">
        <v>45856</v>
      </c>
      <c r="C305" s="1" t="s">
        <v>64</v>
      </c>
      <c r="D305" s="1">
        <v>9518939588</v>
      </c>
      <c r="E305" s="1">
        <v>11</v>
      </c>
      <c r="F305" s="1" t="s">
        <v>880</v>
      </c>
      <c r="G305" s="1" t="s">
        <v>1155</v>
      </c>
      <c r="H305" s="1" t="s">
        <v>21</v>
      </c>
      <c r="I305" s="1" t="s">
        <v>22</v>
      </c>
      <c r="K305" s="1" t="s">
        <v>970</v>
      </c>
      <c r="L305" s="1" t="str">
        <f t="shared" ref="L305:L345" si="127">K305</f>
        <v>BPRS</v>
      </c>
      <c r="M305" s="1" t="s">
        <v>1228</v>
      </c>
      <c r="N305" s="1" t="s">
        <v>37</v>
      </c>
      <c r="O305" s="1" t="s">
        <v>145</v>
      </c>
      <c r="P305" s="1">
        <v>101499</v>
      </c>
      <c r="Q305" s="1" t="s">
        <v>135</v>
      </c>
      <c r="R305" s="1">
        <v>1884117</v>
      </c>
      <c r="S305" s="1" t="s">
        <v>336</v>
      </c>
      <c r="T305" s="1" t="s">
        <v>28</v>
      </c>
      <c r="U305" s="1" t="s">
        <v>29</v>
      </c>
      <c r="V305" s="1" t="s">
        <v>30</v>
      </c>
      <c r="W305" s="1">
        <v>2</v>
      </c>
      <c r="X305" s="1">
        <v>1250</v>
      </c>
      <c r="Y305" s="1">
        <v>0</v>
      </c>
      <c r="Z305" s="3">
        <v>29</v>
      </c>
      <c r="AA305" s="3">
        <v>0</v>
      </c>
      <c r="AB305" s="3">
        <v>29</v>
      </c>
      <c r="AC305" s="3">
        <v>0</v>
      </c>
      <c r="AD305" s="3">
        <f t="shared" si="100"/>
        <v>29</v>
      </c>
      <c r="AE305" s="3">
        <v>29</v>
      </c>
      <c r="AF305" s="3">
        <v>0</v>
      </c>
      <c r="AG305" s="3">
        <v>0</v>
      </c>
      <c r="AH305" s="3">
        <v>0</v>
      </c>
      <c r="AI305" s="3">
        <v>0</v>
      </c>
      <c r="AJ305" s="3">
        <f t="shared" si="101"/>
        <v>29</v>
      </c>
      <c r="AK305" s="1">
        <v>0</v>
      </c>
      <c r="AL305" s="3">
        <f t="shared" si="126"/>
        <v>29</v>
      </c>
      <c r="AM305" s="3">
        <f t="shared" si="126"/>
        <v>0</v>
      </c>
      <c r="AN305" s="3">
        <f t="shared" si="126"/>
        <v>0</v>
      </c>
      <c r="AO305" s="3">
        <f t="shared" si="126"/>
        <v>0</v>
      </c>
      <c r="AP305" s="3">
        <f t="shared" si="99"/>
        <v>0</v>
      </c>
      <c r="AQ305" s="1" t="s">
        <v>135</v>
      </c>
    </row>
    <row r="306" spans="1:43" x14ac:dyDescent="0.35">
      <c r="A306" s="1">
        <v>742</v>
      </c>
      <c r="B306" s="2">
        <v>45911</v>
      </c>
      <c r="C306" s="1" t="s">
        <v>64</v>
      </c>
      <c r="D306" s="1">
        <v>9519096071</v>
      </c>
      <c r="E306" s="1">
        <v>1</v>
      </c>
      <c r="F306" s="1" t="s">
        <v>881</v>
      </c>
      <c r="G306" s="1" t="s">
        <v>1155</v>
      </c>
      <c r="H306" s="1" t="s">
        <v>21</v>
      </c>
      <c r="I306" s="1" t="s">
        <v>71</v>
      </c>
      <c r="K306" s="1" t="s">
        <v>970</v>
      </c>
      <c r="L306" s="1" t="str">
        <f t="shared" si="127"/>
        <v>BPRS</v>
      </c>
      <c r="M306" s="1" t="s">
        <v>1230</v>
      </c>
      <c r="N306" s="1" t="s">
        <v>1135</v>
      </c>
      <c r="O306" s="1" t="s">
        <v>120</v>
      </c>
      <c r="P306" s="1">
        <v>121328</v>
      </c>
      <c r="Q306" s="1" t="s">
        <v>119</v>
      </c>
      <c r="R306" s="1">
        <v>3239548</v>
      </c>
      <c r="S306" s="1" t="s">
        <v>306</v>
      </c>
      <c r="T306" s="1" t="s">
        <v>75</v>
      </c>
      <c r="U306" s="1" t="s">
        <v>122</v>
      </c>
      <c r="V306" s="1" t="s">
        <v>123</v>
      </c>
      <c r="W306" s="1">
        <v>0.4</v>
      </c>
      <c r="X306" s="1">
        <v>900</v>
      </c>
      <c r="Y306" s="1">
        <v>2500</v>
      </c>
      <c r="Z306" s="3">
        <v>21</v>
      </c>
      <c r="AA306" s="3">
        <v>0</v>
      </c>
      <c r="AB306" s="3">
        <v>21</v>
      </c>
      <c r="AC306" s="3">
        <v>0</v>
      </c>
      <c r="AD306" s="3">
        <f t="shared" si="100"/>
        <v>21</v>
      </c>
      <c r="AE306" s="3">
        <v>0</v>
      </c>
      <c r="AF306" s="3">
        <v>0</v>
      </c>
      <c r="AG306" s="3">
        <v>0</v>
      </c>
      <c r="AH306" s="3">
        <v>21</v>
      </c>
      <c r="AI306" s="3">
        <v>0</v>
      </c>
      <c r="AJ306" s="3">
        <f t="shared" si="101"/>
        <v>21</v>
      </c>
      <c r="AK306" s="1">
        <v>0</v>
      </c>
      <c r="AL306" s="3">
        <f t="shared" ref="AL306:AL307" si="128">AE306</f>
        <v>0</v>
      </c>
      <c r="AM306" s="3">
        <f t="shared" ref="AM306:AM307" si="129">AF306</f>
        <v>0</v>
      </c>
      <c r="AN306" s="3">
        <f t="shared" ref="AN306:AN307" si="130">AG306</f>
        <v>0</v>
      </c>
      <c r="AO306" s="3">
        <f t="shared" ref="AO306:AO307" si="131">AH306</f>
        <v>21</v>
      </c>
      <c r="AP306" s="3">
        <f t="shared" si="99"/>
        <v>0</v>
      </c>
      <c r="AQ306" s="1" t="s">
        <v>119</v>
      </c>
    </row>
    <row r="307" spans="1:43" x14ac:dyDescent="0.35">
      <c r="A307" s="1">
        <v>742</v>
      </c>
      <c r="B307" s="2">
        <v>45911</v>
      </c>
      <c r="C307" s="1" t="s">
        <v>64</v>
      </c>
      <c r="D307" s="1">
        <v>9519096071</v>
      </c>
      <c r="E307" s="1">
        <v>3</v>
      </c>
      <c r="F307" s="1" t="s">
        <v>882</v>
      </c>
      <c r="G307" s="1" t="s">
        <v>1155</v>
      </c>
      <c r="H307" s="1" t="s">
        <v>21</v>
      </c>
      <c r="I307" s="1" t="s">
        <v>71</v>
      </c>
      <c r="K307" s="1" t="s">
        <v>970</v>
      </c>
      <c r="L307" s="1" t="str">
        <f t="shared" si="127"/>
        <v>BPRS</v>
      </c>
      <c r="M307" s="1" t="s">
        <v>1230</v>
      </c>
      <c r="N307" s="1" t="s">
        <v>1135</v>
      </c>
      <c r="O307" s="1" t="s">
        <v>120</v>
      </c>
      <c r="P307" s="1">
        <v>121328</v>
      </c>
      <c r="Q307" s="1" t="s">
        <v>119</v>
      </c>
      <c r="R307" s="1">
        <v>2441004</v>
      </c>
      <c r="S307" s="1" t="s">
        <v>477</v>
      </c>
      <c r="T307" s="1" t="s">
        <v>75</v>
      </c>
      <c r="U307" s="1" t="s">
        <v>122</v>
      </c>
      <c r="V307" s="1" t="s">
        <v>123</v>
      </c>
      <c r="W307" s="1">
        <v>0.43</v>
      </c>
      <c r="X307" s="1">
        <v>1250</v>
      </c>
      <c r="Y307" s="1">
        <v>2500</v>
      </c>
      <c r="Z307" s="3">
        <v>29</v>
      </c>
      <c r="AA307" s="3">
        <v>0</v>
      </c>
      <c r="AB307" s="3">
        <v>29</v>
      </c>
      <c r="AC307" s="3">
        <v>0</v>
      </c>
      <c r="AD307" s="3">
        <f t="shared" ref="AD307:AD356" si="132">SUM(AE307:AI307)</f>
        <v>29</v>
      </c>
      <c r="AE307" s="3">
        <v>29</v>
      </c>
      <c r="AF307" s="3">
        <v>0</v>
      </c>
      <c r="AG307" s="3">
        <v>0</v>
      </c>
      <c r="AH307" s="3">
        <v>0</v>
      </c>
      <c r="AI307" s="3">
        <v>0</v>
      </c>
      <c r="AJ307" s="3">
        <f t="shared" ref="AJ307:AJ356" si="133">SUM(AK307:AO307)</f>
        <v>29</v>
      </c>
      <c r="AK307" s="1">
        <v>0</v>
      </c>
      <c r="AL307" s="3">
        <f t="shared" si="128"/>
        <v>29</v>
      </c>
      <c r="AM307" s="3">
        <f t="shared" si="129"/>
        <v>0</v>
      </c>
      <c r="AN307" s="3">
        <f t="shared" si="130"/>
        <v>0</v>
      </c>
      <c r="AO307" s="3">
        <f t="shared" si="131"/>
        <v>0</v>
      </c>
      <c r="AP307" s="3">
        <f t="shared" si="99"/>
        <v>0</v>
      </c>
      <c r="AQ307" s="1" t="s">
        <v>119</v>
      </c>
    </row>
    <row r="308" spans="1:43" x14ac:dyDescent="0.35">
      <c r="A308" s="1">
        <v>742</v>
      </c>
      <c r="B308" s="2">
        <v>45889</v>
      </c>
      <c r="C308" s="1" t="s">
        <v>64</v>
      </c>
      <c r="D308" s="1">
        <v>9519032653</v>
      </c>
      <c r="E308" s="1">
        <v>1</v>
      </c>
      <c r="F308" s="1" t="s">
        <v>883</v>
      </c>
      <c r="G308" s="1" t="s">
        <v>1367</v>
      </c>
      <c r="H308" s="1" t="s">
        <v>21</v>
      </c>
      <c r="I308" s="1" t="s">
        <v>969</v>
      </c>
      <c r="K308" s="1" t="s">
        <v>969</v>
      </c>
      <c r="L308" s="1" t="str">
        <f t="shared" si="127"/>
        <v>IPP</v>
      </c>
      <c r="M308" s="1" t="s">
        <v>1228</v>
      </c>
      <c r="N308" s="1" t="s">
        <v>328</v>
      </c>
      <c r="O308" s="1" t="s">
        <v>173</v>
      </c>
      <c r="P308" s="1">
        <v>189405</v>
      </c>
      <c r="Q308" s="1" t="s">
        <v>327</v>
      </c>
      <c r="R308" s="1">
        <v>2164800</v>
      </c>
      <c r="S308" s="1" t="s">
        <v>325</v>
      </c>
      <c r="T308" s="1" t="s">
        <v>28</v>
      </c>
      <c r="U308" s="1" t="s">
        <v>29</v>
      </c>
      <c r="V308" s="1" t="s">
        <v>101</v>
      </c>
      <c r="W308" s="1">
        <v>0.97</v>
      </c>
      <c r="X308" s="1">
        <v>913</v>
      </c>
      <c r="Y308" s="1">
        <v>0</v>
      </c>
      <c r="Z308" s="3">
        <v>105</v>
      </c>
      <c r="AA308" s="3">
        <v>102.99</v>
      </c>
      <c r="AB308" s="3">
        <v>2.0099999999999998</v>
      </c>
      <c r="AC308" s="3">
        <v>15.190000000000001</v>
      </c>
      <c r="AD308" s="3">
        <f t="shared" si="132"/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f t="shared" si="133"/>
        <v>15.190000000000001</v>
      </c>
      <c r="AK308" s="3">
        <f>AC308</f>
        <v>15.190000000000001</v>
      </c>
      <c r="AL308" s="1">
        <v>0</v>
      </c>
      <c r="AM308" s="1">
        <v>0</v>
      </c>
      <c r="AN308" s="1">
        <v>0</v>
      </c>
      <c r="AO308" s="1">
        <v>0</v>
      </c>
      <c r="AP308" s="3">
        <f t="shared" si="99"/>
        <v>0</v>
      </c>
      <c r="AQ308" s="1" t="s">
        <v>327</v>
      </c>
    </row>
    <row r="309" spans="1:43" x14ac:dyDescent="0.35">
      <c r="A309" s="1">
        <v>742</v>
      </c>
      <c r="B309" s="2">
        <v>45890</v>
      </c>
      <c r="C309" s="1" t="s">
        <v>64</v>
      </c>
      <c r="D309" s="1">
        <v>9519036272</v>
      </c>
      <c r="E309" s="1">
        <v>9</v>
      </c>
      <c r="F309" s="1" t="s">
        <v>884</v>
      </c>
      <c r="G309" s="1" t="s">
        <v>1155</v>
      </c>
      <c r="H309" s="1" t="s">
        <v>21</v>
      </c>
      <c r="I309" s="1" t="s">
        <v>71</v>
      </c>
      <c r="K309" s="1" t="s">
        <v>970</v>
      </c>
      <c r="L309" s="1" t="str">
        <f t="shared" si="127"/>
        <v>BPRS</v>
      </c>
      <c r="M309" s="1" t="s">
        <v>1230</v>
      </c>
      <c r="N309" s="1" t="s">
        <v>220</v>
      </c>
      <c r="O309" s="1" t="s">
        <v>120</v>
      </c>
      <c r="P309" s="1">
        <v>185794</v>
      </c>
      <c r="Q309" s="1" t="s">
        <v>219</v>
      </c>
      <c r="R309" s="1">
        <v>3240778</v>
      </c>
      <c r="S309" s="1" t="s">
        <v>303</v>
      </c>
      <c r="T309" s="1" t="s">
        <v>75</v>
      </c>
      <c r="U309" s="1" t="s">
        <v>76</v>
      </c>
      <c r="V309" s="1" t="s">
        <v>77</v>
      </c>
      <c r="W309" s="1">
        <v>0.6</v>
      </c>
      <c r="X309" s="1">
        <v>1000</v>
      </c>
      <c r="Y309" s="1">
        <v>2500</v>
      </c>
      <c r="Z309" s="3">
        <v>92</v>
      </c>
      <c r="AA309" s="3">
        <v>0</v>
      </c>
      <c r="AB309" s="3">
        <v>92</v>
      </c>
      <c r="AC309" s="3">
        <v>0</v>
      </c>
      <c r="AD309" s="3">
        <f t="shared" si="132"/>
        <v>92</v>
      </c>
      <c r="AE309" s="3">
        <v>0</v>
      </c>
      <c r="AF309" s="3">
        <v>0</v>
      </c>
      <c r="AG309" s="3">
        <v>0</v>
      </c>
      <c r="AH309" s="3">
        <v>92</v>
      </c>
      <c r="AI309" s="3">
        <v>0</v>
      </c>
      <c r="AJ309" s="3">
        <f t="shared" si="133"/>
        <v>92</v>
      </c>
      <c r="AK309" s="1">
        <v>0</v>
      </c>
      <c r="AL309" s="3">
        <f>AE309</f>
        <v>0</v>
      </c>
      <c r="AM309" s="3">
        <f>AF309</f>
        <v>0</v>
      </c>
      <c r="AN309" s="3">
        <f>AG309</f>
        <v>0</v>
      </c>
      <c r="AO309" s="3">
        <f>AH309</f>
        <v>92</v>
      </c>
      <c r="AP309" s="3">
        <f t="shared" si="99"/>
        <v>0</v>
      </c>
      <c r="AQ309" s="1" t="s">
        <v>219</v>
      </c>
    </row>
    <row r="310" spans="1:43" x14ac:dyDescent="0.35">
      <c r="A310" s="1">
        <v>743</v>
      </c>
      <c r="B310" s="2">
        <v>45902</v>
      </c>
      <c r="C310" s="1" t="s">
        <v>64</v>
      </c>
      <c r="D310" s="1">
        <v>9519072913</v>
      </c>
      <c r="E310" s="1">
        <v>1</v>
      </c>
      <c r="F310" s="1" t="s">
        <v>885</v>
      </c>
      <c r="G310" s="1" t="s">
        <v>1155</v>
      </c>
      <c r="H310" s="1" t="s">
        <v>63</v>
      </c>
      <c r="I310" s="1" t="s">
        <v>1404</v>
      </c>
      <c r="K310" s="1" t="s">
        <v>970</v>
      </c>
      <c r="L310" s="1" t="str">
        <f t="shared" si="127"/>
        <v>BPRS</v>
      </c>
      <c r="M310" s="1" t="s">
        <v>1230</v>
      </c>
      <c r="N310" s="1" t="s">
        <v>1135</v>
      </c>
      <c r="O310" s="1" t="s">
        <v>120</v>
      </c>
      <c r="P310" s="1">
        <v>121328</v>
      </c>
      <c r="Q310" s="1" t="s">
        <v>119</v>
      </c>
      <c r="R310" s="1">
        <v>1191955</v>
      </c>
      <c r="S310" s="1" t="s">
        <v>225</v>
      </c>
      <c r="T310" s="1" t="s">
        <v>139</v>
      </c>
      <c r="U310" s="1" t="s">
        <v>140</v>
      </c>
      <c r="V310" s="1" t="s">
        <v>150</v>
      </c>
      <c r="W310" s="1">
        <v>0.3</v>
      </c>
      <c r="X310" s="1">
        <v>900</v>
      </c>
      <c r="Y310" s="1">
        <v>0</v>
      </c>
      <c r="Z310" s="3">
        <v>105</v>
      </c>
      <c r="AA310" s="3">
        <v>9.3000000000000007</v>
      </c>
      <c r="AB310" s="3">
        <v>95.7</v>
      </c>
      <c r="AC310" s="3">
        <v>0</v>
      </c>
      <c r="AD310" s="3">
        <f t="shared" si="132"/>
        <v>95.7</v>
      </c>
      <c r="AE310" s="3">
        <v>0</v>
      </c>
      <c r="AF310" s="3">
        <v>95.7</v>
      </c>
      <c r="AG310" s="3">
        <v>0</v>
      </c>
      <c r="AH310" s="3">
        <v>0</v>
      </c>
      <c r="AI310" s="3">
        <v>0</v>
      </c>
      <c r="AJ310" s="3">
        <f t="shared" si="133"/>
        <v>95.7</v>
      </c>
      <c r="AK310" s="1">
        <v>0</v>
      </c>
      <c r="AL310" s="1">
        <v>0</v>
      </c>
      <c r="AM310" s="3">
        <f>AF310</f>
        <v>95.7</v>
      </c>
      <c r="AN310" s="1">
        <v>0</v>
      </c>
      <c r="AO310" s="1">
        <v>0</v>
      </c>
      <c r="AP310" s="3">
        <f t="shared" si="99"/>
        <v>0</v>
      </c>
      <c r="AQ310" s="1" t="s">
        <v>119</v>
      </c>
    </row>
    <row r="311" spans="1:43" x14ac:dyDescent="0.35">
      <c r="A311" s="1">
        <v>743</v>
      </c>
      <c r="B311" s="2">
        <v>45912</v>
      </c>
      <c r="C311" s="1" t="s">
        <v>64</v>
      </c>
      <c r="D311" s="1">
        <v>9519099563</v>
      </c>
      <c r="E311" s="1">
        <v>7</v>
      </c>
      <c r="F311" s="1" t="s">
        <v>886</v>
      </c>
      <c r="G311" s="1" t="s">
        <v>1155</v>
      </c>
      <c r="H311" s="1" t="s">
        <v>63</v>
      </c>
      <c r="I311" s="1" t="s">
        <v>1404</v>
      </c>
      <c r="K311" s="1" t="s">
        <v>970</v>
      </c>
      <c r="L311" s="1" t="str">
        <f t="shared" si="127"/>
        <v>BPRS</v>
      </c>
      <c r="M311" s="1" t="s">
        <v>1230</v>
      </c>
      <c r="N311" s="1" t="s">
        <v>220</v>
      </c>
      <c r="O311" s="1" t="s">
        <v>120</v>
      </c>
      <c r="P311" s="1">
        <v>185794</v>
      </c>
      <c r="Q311" s="1" t="s">
        <v>219</v>
      </c>
      <c r="R311" s="1">
        <v>1191956</v>
      </c>
      <c r="S311" s="1" t="s">
        <v>254</v>
      </c>
      <c r="T311" s="1" t="s">
        <v>139</v>
      </c>
      <c r="U311" s="1" t="s">
        <v>140</v>
      </c>
      <c r="V311" s="1" t="s">
        <v>150</v>
      </c>
      <c r="W311" s="1">
        <v>0.35</v>
      </c>
      <c r="X311" s="1">
        <v>900</v>
      </c>
      <c r="Y311" s="1">
        <v>0</v>
      </c>
      <c r="Z311" s="3">
        <v>105</v>
      </c>
      <c r="AA311" s="3">
        <v>0</v>
      </c>
      <c r="AB311" s="3">
        <v>105</v>
      </c>
      <c r="AC311" s="3">
        <v>0</v>
      </c>
      <c r="AD311" s="3">
        <f t="shared" si="132"/>
        <v>105</v>
      </c>
      <c r="AE311" s="3">
        <v>0</v>
      </c>
      <c r="AF311" s="3">
        <v>0</v>
      </c>
      <c r="AG311" s="3">
        <v>0</v>
      </c>
      <c r="AH311" s="3">
        <v>105</v>
      </c>
      <c r="AI311" s="3">
        <v>0</v>
      </c>
      <c r="AJ311" s="3">
        <f t="shared" si="133"/>
        <v>105</v>
      </c>
      <c r="AK311" s="1">
        <v>0</v>
      </c>
      <c r="AL311" s="1">
        <v>0</v>
      </c>
      <c r="AM311" s="1">
        <v>0</v>
      </c>
      <c r="AN311" s="3">
        <f>AH311</f>
        <v>105</v>
      </c>
      <c r="AO311" s="1">
        <v>0</v>
      </c>
      <c r="AP311" s="3">
        <f t="shared" si="99"/>
        <v>0</v>
      </c>
      <c r="AQ311" s="1" t="s">
        <v>219</v>
      </c>
    </row>
    <row r="312" spans="1:43" x14ac:dyDescent="0.35">
      <c r="A312" s="1">
        <v>742</v>
      </c>
      <c r="B312" s="2">
        <v>45912</v>
      </c>
      <c r="C312" s="1" t="s">
        <v>64</v>
      </c>
      <c r="D312" s="1">
        <v>9519097437</v>
      </c>
      <c r="E312" s="1">
        <v>6</v>
      </c>
      <c r="F312" s="1" t="s">
        <v>887</v>
      </c>
      <c r="G312" s="1" t="s">
        <v>1155</v>
      </c>
      <c r="H312" s="1" t="s">
        <v>21</v>
      </c>
      <c r="I312" s="1" t="s">
        <v>71</v>
      </c>
      <c r="K312" s="1" t="s">
        <v>970</v>
      </c>
      <c r="L312" s="1" t="str">
        <f t="shared" si="127"/>
        <v>BPRS</v>
      </c>
      <c r="M312" s="1" t="s">
        <v>1230</v>
      </c>
      <c r="N312" s="1" t="s">
        <v>220</v>
      </c>
      <c r="O312" s="1" t="s">
        <v>120</v>
      </c>
      <c r="P312" s="1">
        <v>185794</v>
      </c>
      <c r="Q312" s="1" t="s">
        <v>219</v>
      </c>
      <c r="R312" s="1">
        <v>3239548</v>
      </c>
      <c r="S312" s="1" t="s">
        <v>306</v>
      </c>
      <c r="T312" s="1" t="s">
        <v>75</v>
      </c>
      <c r="U312" s="1" t="s">
        <v>122</v>
      </c>
      <c r="V312" s="1" t="s">
        <v>123</v>
      </c>
      <c r="W312" s="1">
        <v>0.4</v>
      </c>
      <c r="X312" s="1">
        <v>900</v>
      </c>
      <c r="Y312" s="1">
        <v>2500</v>
      </c>
      <c r="Z312" s="3">
        <v>21</v>
      </c>
      <c r="AA312" s="3">
        <v>0</v>
      </c>
      <c r="AB312" s="3">
        <v>21</v>
      </c>
      <c r="AC312" s="3">
        <v>0</v>
      </c>
      <c r="AD312" s="3">
        <f t="shared" si="132"/>
        <v>21</v>
      </c>
      <c r="AE312" s="3">
        <v>0</v>
      </c>
      <c r="AF312" s="3">
        <v>0</v>
      </c>
      <c r="AG312" s="3">
        <v>0</v>
      </c>
      <c r="AH312" s="3">
        <v>21</v>
      </c>
      <c r="AI312" s="3">
        <v>0</v>
      </c>
      <c r="AJ312" s="3">
        <f t="shared" si="133"/>
        <v>21</v>
      </c>
      <c r="AK312" s="1">
        <v>0</v>
      </c>
      <c r="AL312" s="3">
        <f>AE312</f>
        <v>0</v>
      </c>
      <c r="AM312" s="3">
        <f>AF312</f>
        <v>0</v>
      </c>
      <c r="AN312" s="3">
        <f>AG312</f>
        <v>0</v>
      </c>
      <c r="AO312" s="3">
        <f>AH312</f>
        <v>21</v>
      </c>
      <c r="AP312" s="3">
        <f t="shared" si="99"/>
        <v>0</v>
      </c>
      <c r="AQ312" s="1" t="s">
        <v>219</v>
      </c>
    </row>
    <row r="313" spans="1:43" x14ac:dyDescent="0.35">
      <c r="A313" s="1">
        <v>743</v>
      </c>
      <c r="B313" s="2">
        <v>45916</v>
      </c>
      <c r="C313" s="1" t="s">
        <v>64</v>
      </c>
      <c r="D313" s="1">
        <v>9519107089</v>
      </c>
      <c r="E313" s="1">
        <v>3</v>
      </c>
      <c r="F313" s="1" t="s">
        <v>888</v>
      </c>
      <c r="G313" s="1" t="s">
        <v>1155</v>
      </c>
      <c r="H313" s="1" t="s">
        <v>63</v>
      </c>
      <c r="I313" s="1" t="s">
        <v>1404</v>
      </c>
      <c r="K313" s="1" t="s">
        <v>970</v>
      </c>
      <c r="L313" s="1" t="str">
        <f t="shared" si="127"/>
        <v>BPRS</v>
      </c>
      <c r="M313" s="1" t="s">
        <v>1230</v>
      </c>
      <c r="N313" s="1" t="s">
        <v>179</v>
      </c>
      <c r="O313" s="1" t="s">
        <v>180</v>
      </c>
      <c r="P313" s="1">
        <v>139336</v>
      </c>
      <c r="Q313" s="1" t="s">
        <v>178</v>
      </c>
      <c r="R313" s="1">
        <v>1854413</v>
      </c>
      <c r="S313" s="1" t="s">
        <v>203</v>
      </c>
      <c r="T313" s="1" t="s">
        <v>139</v>
      </c>
      <c r="U313" s="1" t="s">
        <v>140</v>
      </c>
      <c r="V313" s="1" t="s">
        <v>150</v>
      </c>
      <c r="W313" s="1">
        <v>0.45</v>
      </c>
      <c r="X313" s="1">
        <v>900</v>
      </c>
      <c r="Y313" s="1">
        <v>0</v>
      </c>
      <c r="Z313" s="3">
        <v>21</v>
      </c>
      <c r="AA313" s="3">
        <v>0</v>
      </c>
      <c r="AB313" s="3">
        <v>21</v>
      </c>
      <c r="AC313" s="3">
        <v>0</v>
      </c>
      <c r="AD313" s="3">
        <f t="shared" si="132"/>
        <v>21</v>
      </c>
      <c r="AE313" s="3">
        <v>0</v>
      </c>
      <c r="AF313" s="3">
        <v>0</v>
      </c>
      <c r="AG313" s="3">
        <v>0</v>
      </c>
      <c r="AH313" s="3">
        <v>0</v>
      </c>
      <c r="AI313" s="3">
        <v>21</v>
      </c>
      <c r="AJ313" s="3">
        <f t="shared" si="133"/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3">
        <f t="shared" si="99"/>
        <v>21</v>
      </c>
      <c r="AQ313" s="1" t="s">
        <v>178</v>
      </c>
    </row>
    <row r="314" spans="1:43" x14ac:dyDescent="0.35">
      <c r="A314" s="1">
        <v>743</v>
      </c>
      <c r="B314" s="2">
        <v>45915</v>
      </c>
      <c r="C314" s="1" t="s">
        <v>64</v>
      </c>
      <c r="D314" s="1">
        <v>9519104694</v>
      </c>
      <c r="E314" s="1">
        <v>4</v>
      </c>
      <c r="F314" s="1" t="s">
        <v>889</v>
      </c>
      <c r="G314" s="1" t="s">
        <v>1155</v>
      </c>
      <c r="H314" s="1" t="s">
        <v>63</v>
      </c>
      <c r="I314" s="1" t="s">
        <v>1404</v>
      </c>
      <c r="K314" s="1" t="s">
        <v>970</v>
      </c>
      <c r="L314" s="1" t="str">
        <f t="shared" si="127"/>
        <v>BPRS</v>
      </c>
      <c r="M314" s="1" t="s">
        <v>1230</v>
      </c>
      <c r="N314" s="1" t="s">
        <v>1135</v>
      </c>
      <c r="O314" s="1" t="s">
        <v>120</v>
      </c>
      <c r="P314" s="1">
        <v>121328</v>
      </c>
      <c r="Q314" s="1" t="s">
        <v>119</v>
      </c>
      <c r="R314" s="1">
        <v>1178439</v>
      </c>
      <c r="S314" s="1" t="s">
        <v>202</v>
      </c>
      <c r="T314" s="1" t="s">
        <v>139</v>
      </c>
      <c r="U314" s="1" t="s">
        <v>140</v>
      </c>
      <c r="V314" s="1" t="s">
        <v>150</v>
      </c>
      <c r="W314" s="1">
        <v>0.4</v>
      </c>
      <c r="X314" s="1">
        <v>900</v>
      </c>
      <c r="Y314" s="1">
        <v>0</v>
      </c>
      <c r="Z314" s="3">
        <v>168</v>
      </c>
      <c r="AA314" s="3">
        <v>0</v>
      </c>
      <c r="AB314" s="3">
        <v>168</v>
      </c>
      <c r="AC314" s="3">
        <v>0</v>
      </c>
      <c r="AD314" s="3">
        <f t="shared" si="132"/>
        <v>168</v>
      </c>
      <c r="AE314" s="3">
        <v>0</v>
      </c>
      <c r="AF314" s="3">
        <v>168</v>
      </c>
      <c r="AG314" s="3">
        <v>0</v>
      </c>
      <c r="AH314" s="3">
        <v>0</v>
      </c>
      <c r="AI314" s="3">
        <v>0</v>
      </c>
      <c r="AJ314" s="3">
        <f t="shared" si="133"/>
        <v>168</v>
      </c>
      <c r="AK314" s="1">
        <v>0</v>
      </c>
      <c r="AL314" s="1">
        <v>0</v>
      </c>
      <c r="AM314" s="3">
        <f>AF314</f>
        <v>168</v>
      </c>
      <c r="AN314" s="1">
        <v>0</v>
      </c>
      <c r="AO314" s="1">
        <v>0</v>
      </c>
      <c r="AP314" s="3">
        <f t="shared" si="99"/>
        <v>0</v>
      </c>
      <c r="AQ314" s="1" t="s">
        <v>119</v>
      </c>
    </row>
    <row r="315" spans="1:43" x14ac:dyDescent="0.35">
      <c r="A315" s="1">
        <v>743</v>
      </c>
      <c r="B315" s="2">
        <v>45915</v>
      </c>
      <c r="C315" s="1" t="s">
        <v>64</v>
      </c>
      <c r="D315" s="1">
        <v>9519104694</v>
      </c>
      <c r="E315" s="1">
        <v>5</v>
      </c>
      <c r="F315" s="1" t="s">
        <v>890</v>
      </c>
      <c r="G315" s="1" t="s">
        <v>1155</v>
      </c>
      <c r="H315" s="1" t="s">
        <v>63</v>
      </c>
      <c r="I315" s="1" t="s">
        <v>1404</v>
      </c>
      <c r="K315" s="1" t="s">
        <v>970</v>
      </c>
      <c r="L315" s="1" t="str">
        <f t="shared" si="127"/>
        <v>BPRS</v>
      </c>
      <c r="M315" s="1" t="s">
        <v>1230</v>
      </c>
      <c r="N315" s="1" t="s">
        <v>1135</v>
      </c>
      <c r="O315" s="1" t="s">
        <v>120</v>
      </c>
      <c r="P315" s="1">
        <v>121328</v>
      </c>
      <c r="Q315" s="1" t="s">
        <v>119</v>
      </c>
      <c r="R315" s="1">
        <v>1854418</v>
      </c>
      <c r="S315" s="1" t="s">
        <v>176</v>
      </c>
      <c r="T315" s="1" t="s">
        <v>139</v>
      </c>
      <c r="U315" s="1" t="s">
        <v>140</v>
      </c>
      <c r="V315" s="1" t="s">
        <v>150</v>
      </c>
      <c r="W315" s="1">
        <v>0.5</v>
      </c>
      <c r="X315" s="1">
        <v>900</v>
      </c>
      <c r="Y315" s="1">
        <v>0</v>
      </c>
      <c r="Z315" s="3">
        <v>168</v>
      </c>
      <c r="AA315" s="3">
        <v>0</v>
      </c>
      <c r="AB315" s="3">
        <v>168</v>
      </c>
      <c r="AC315" s="3">
        <v>0</v>
      </c>
      <c r="AD315" s="3">
        <f t="shared" si="132"/>
        <v>168</v>
      </c>
      <c r="AE315" s="3">
        <v>168</v>
      </c>
      <c r="AF315" s="3">
        <v>0</v>
      </c>
      <c r="AG315" s="3">
        <v>0</v>
      </c>
      <c r="AH315" s="3">
        <v>0</v>
      </c>
      <c r="AI315" s="3">
        <v>0</v>
      </c>
      <c r="AJ315" s="3">
        <f t="shared" si="133"/>
        <v>168</v>
      </c>
      <c r="AK315" s="1">
        <v>0</v>
      </c>
      <c r="AL315" s="3">
        <f>AE315</f>
        <v>168</v>
      </c>
      <c r="AM315" s="1">
        <v>0</v>
      </c>
      <c r="AN315" s="1">
        <v>0</v>
      </c>
      <c r="AO315" s="1">
        <v>0</v>
      </c>
      <c r="AP315" s="3">
        <f t="shared" si="99"/>
        <v>0</v>
      </c>
      <c r="AQ315" s="1" t="s">
        <v>119</v>
      </c>
    </row>
    <row r="316" spans="1:43" x14ac:dyDescent="0.35">
      <c r="A316" s="1">
        <v>743</v>
      </c>
      <c r="B316" s="2">
        <v>45912</v>
      </c>
      <c r="C316" s="1" t="s">
        <v>64</v>
      </c>
      <c r="D316" s="1">
        <v>9519099563</v>
      </c>
      <c r="E316" s="1">
        <v>13</v>
      </c>
      <c r="F316" s="1" t="s">
        <v>891</v>
      </c>
      <c r="G316" s="1" t="s">
        <v>1155</v>
      </c>
      <c r="H316" s="1" t="s">
        <v>63</v>
      </c>
      <c r="I316" s="1" t="s">
        <v>1404</v>
      </c>
      <c r="K316" s="1" t="s">
        <v>970</v>
      </c>
      <c r="L316" s="1" t="str">
        <f t="shared" si="127"/>
        <v>BPRS</v>
      </c>
      <c r="M316" s="1" t="s">
        <v>1230</v>
      </c>
      <c r="N316" s="1" t="s">
        <v>220</v>
      </c>
      <c r="O316" s="1" t="s">
        <v>120</v>
      </c>
      <c r="P316" s="1">
        <v>185794</v>
      </c>
      <c r="Q316" s="1" t="s">
        <v>219</v>
      </c>
      <c r="R316" s="1">
        <v>1854418</v>
      </c>
      <c r="S316" s="1" t="s">
        <v>176</v>
      </c>
      <c r="T316" s="1" t="s">
        <v>139</v>
      </c>
      <c r="U316" s="1" t="s">
        <v>140</v>
      </c>
      <c r="V316" s="1" t="s">
        <v>150</v>
      </c>
      <c r="W316" s="1">
        <v>0.5</v>
      </c>
      <c r="X316" s="1">
        <v>900</v>
      </c>
      <c r="Y316" s="1">
        <v>0</v>
      </c>
      <c r="Z316" s="3">
        <v>126</v>
      </c>
      <c r="AA316" s="3">
        <v>0</v>
      </c>
      <c r="AB316" s="3">
        <v>126</v>
      </c>
      <c r="AC316" s="3">
        <v>0</v>
      </c>
      <c r="AD316" s="3">
        <f t="shared" si="132"/>
        <v>126</v>
      </c>
      <c r="AE316" s="3">
        <v>0</v>
      </c>
      <c r="AF316" s="3">
        <v>0</v>
      </c>
      <c r="AG316" s="3">
        <v>0</v>
      </c>
      <c r="AH316" s="3">
        <v>126</v>
      </c>
      <c r="AI316" s="3">
        <v>0</v>
      </c>
      <c r="AJ316" s="3">
        <f t="shared" si="133"/>
        <v>126</v>
      </c>
      <c r="AK316" s="1">
        <v>0</v>
      </c>
      <c r="AL316" s="1">
        <v>0</v>
      </c>
      <c r="AM316" s="1">
        <v>0</v>
      </c>
      <c r="AN316" s="3">
        <f t="shared" ref="AN316:AN317" si="134">AH316</f>
        <v>126</v>
      </c>
      <c r="AO316" s="1">
        <v>0</v>
      </c>
      <c r="AP316" s="3">
        <f t="shared" si="99"/>
        <v>0</v>
      </c>
      <c r="AQ316" s="1" t="s">
        <v>219</v>
      </c>
    </row>
    <row r="317" spans="1:43" x14ac:dyDescent="0.35">
      <c r="A317" s="1">
        <v>743</v>
      </c>
      <c r="B317" s="2">
        <v>45912</v>
      </c>
      <c r="C317" s="1" t="s">
        <v>64</v>
      </c>
      <c r="D317" s="1">
        <v>9519099563</v>
      </c>
      <c r="E317" s="1">
        <v>14</v>
      </c>
      <c r="F317" s="1" t="s">
        <v>892</v>
      </c>
      <c r="G317" s="1" t="s">
        <v>1155</v>
      </c>
      <c r="H317" s="1" t="s">
        <v>63</v>
      </c>
      <c r="I317" s="1" t="s">
        <v>1404</v>
      </c>
      <c r="K317" s="1" t="s">
        <v>970</v>
      </c>
      <c r="L317" s="1" t="str">
        <f t="shared" si="127"/>
        <v>BPRS</v>
      </c>
      <c r="M317" s="1" t="s">
        <v>1230</v>
      </c>
      <c r="N317" s="1" t="s">
        <v>220</v>
      </c>
      <c r="O317" s="1" t="s">
        <v>120</v>
      </c>
      <c r="P317" s="1">
        <v>185794</v>
      </c>
      <c r="Q317" s="1" t="s">
        <v>219</v>
      </c>
      <c r="R317" s="1">
        <v>1854424</v>
      </c>
      <c r="S317" s="1" t="s">
        <v>249</v>
      </c>
      <c r="T317" s="1" t="s">
        <v>139</v>
      </c>
      <c r="U317" s="1" t="s">
        <v>140</v>
      </c>
      <c r="V317" s="1" t="s">
        <v>150</v>
      </c>
      <c r="W317" s="1">
        <v>0.6</v>
      </c>
      <c r="X317" s="1">
        <v>900</v>
      </c>
      <c r="Y317" s="1">
        <v>0</v>
      </c>
      <c r="Z317" s="3">
        <v>126</v>
      </c>
      <c r="AA317" s="3">
        <v>0</v>
      </c>
      <c r="AB317" s="3">
        <v>126</v>
      </c>
      <c r="AC317" s="3">
        <v>0</v>
      </c>
      <c r="AD317" s="3">
        <f t="shared" si="132"/>
        <v>126</v>
      </c>
      <c r="AE317" s="3">
        <v>0</v>
      </c>
      <c r="AF317" s="3">
        <v>0</v>
      </c>
      <c r="AG317" s="3">
        <v>0</v>
      </c>
      <c r="AH317" s="3">
        <v>126</v>
      </c>
      <c r="AI317" s="3">
        <v>0</v>
      </c>
      <c r="AJ317" s="3">
        <f t="shared" si="133"/>
        <v>126</v>
      </c>
      <c r="AK317" s="1">
        <v>0</v>
      </c>
      <c r="AL317" s="1">
        <v>0</v>
      </c>
      <c r="AM317" s="1">
        <v>0</v>
      </c>
      <c r="AN317" s="3">
        <f t="shared" si="134"/>
        <v>126</v>
      </c>
      <c r="AO317" s="1">
        <v>0</v>
      </c>
      <c r="AP317" s="3">
        <f t="shared" si="99"/>
        <v>0</v>
      </c>
      <c r="AQ317" s="1" t="s">
        <v>219</v>
      </c>
    </row>
    <row r="318" spans="1:43" x14ac:dyDescent="0.35">
      <c r="A318" s="1">
        <v>743</v>
      </c>
      <c r="B318" s="2">
        <v>45916</v>
      </c>
      <c r="C318" s="1" t="s">
        <v>64</v>
      </c>
      <c r="D318" s="1">
        <v>9519107089</v>
      </c>
      <c r="E318" s="1">
        <v>1</v>
      </c>
      <c r="F318" s="1" t="s">
        <v>893</v>
      </c>
      <c r="G318" s="1" t="s">
        <v>1155</v>
      </c>
      <c r="H318" s="1" t="s">
        <v>63</v>
      </c>
      <c r="I318" s="1" t="s">
        <v>1404</v>
      </c>
      <c r="K318" s="1" t="s">
        <v>970</v>
      </c>
      <c r="L318" s="1" t="str">
        <f t="shared" si="127"/>
        <v>BPRS</v>
      </c>
      <c r="M318" s="1" t="s">
        <v>1230</v>
      </c>
      <c r="N318" s="1" t="s">
        <v>179</v>
      </c>
      <c r="O318" s="1" t="s">
        <v>180</v>
      </c>
      <c r="P318" s="1">
        <v>139336</v>
      </c>
      <c r="Q318" s="1" t="s">
        <v>178</v>
      </c>
      <c r="R318" s="1">
        <v>1191956</v>
      </c>
      <c r="S318" s="1" t="s">
        <v>254</v>
      </c>
      <c r="T318" s="1" t="s">
        <v>139</v>
      </c>
      <c r="U318" s="1" t="s">
        <v>140</v>
      </c>
      <c r="V318" s="1" t="s">
        <v>150</v>
      </c>
      <c r="W318" s="1">
        <v>0.35</v>
      </c>
      <c r="X318" s="1">
        <v>900</v>
      </c>
      <c r="Y318" s="1">
        <v>0</v>
      </c>
      <c r="Z318" s="3">
        <v>21</v>
      </c>
      <c r="AA318" s="3">
        <v>0</v>
      </c>
      <c r="AB318" s="3">
        <v>21</v>
      </c>
      <c r="AC318" s="3">
        <v>0</v>
      </c>
      <c r="AD318" s="3">
        <f t="shared" si="132"/>
        <v>21</v>
      </c>
      <c r="AE318" s="3">
        <v>0</v>
      </c>
      <c r="AF318" s="3">
        <v>0</v>
      </c>
      <c r="AG318" s="3">
        <v>0</v>
      </c>
      <c r="AH318" s="3">
        <v>0</v>
      </c>
      <c r="AI318" s="3">
        <v>21</v>
      </c>
      <c r="AJ318" s="3">
        <f t="shared" si="133"/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3">
        <f t="shared" si="99"/>
        <v>21</v>
      </c>
      <c r="AQ318" s="1" t="s">
        <v>178</v>
      </c>
    </row>
    <row r="319" spans="1:43" x14ac:dyDescent="0.35">
      <c r="A319" s="1">
        <v>742</v>
      </c>
      <c r="B319" s="2">
        <v>45856</v>
      </c>
      <c r="C319" s="1" t="s">
        <v>64</v>
      </c>
      <c r="D319" s="1">
        <v>9518939680</v>
      </c>
      <c r="E319" s="1">
        <v>29</v>
      </c>
      <c r="F319" s="1" t="s">
        <v>894</v>
      </c>
      <c r="G319" s="1" t="s">
        <v>1155</v>
      </c>
      <c r="H319" s="1" t="s">
        <v>21</v>
      </c>
      <c r="I319" s="1" t="s">
        <v>22</v>
      </c>
      <c r="K319" s="1" t="s">
        <v>970</v>
      </c>
      <c r="L319" s="1" t="str">
        <f t="shared" si="127"/>
        <v>BPRS</v>
      </c>
      <c r="M319" s="1" t="s">
        <v>1229</v>
      </c>
      <c r="N319" s="1" t="s">
        <v>137</v>
      </c>
      <c r="O319" s="1" t="s">
        <v>58</v>
      </c>
      <c r="P319" s="1">
        <v>938550</v>
      </c>
      <c r="Q319" s="1" t="s">
        <v>221</v>
      </c>
      <c r="R319" s="1">
        <v>1884117</v>
      </c>
      <c r="S319" s="1" t="s">
        <v>336</v>
      </c>
      <c r="T319" s="1" t="s">
        <v>28</v>
      </c>
      <c r="U319" s="1" t="s">
        <v>29</v>
      </c>
      <c r="V319" s="1" t="s">
        <v>30</v>
      </c>
      <c r="W319" s="1">
        <v>2</v>
      </c>
      <c r="X319" s="1">
        <v>1250</v>
      </c>
      <c r="Y319" s="1">
        <v>0</v>
      </c>
      <c r="Z319" s="3">
        <v>58</v>
      </c>
      <c r="AA319" s="3">
        <v>0</v>
      </c>
      <c r="AB319" s="3">
        <v>58</v>
      </c>
      <c r="AC319" s="3">
        <v>0</v>
      </c>
      <c r="AD319" s="3">
        <f t="shared" si="132"/>
        <v>58</v>
      </c>
      <c r="AE319" s="3">
        <v>0</v>
      </c>
      <c r="AF319" s="3">
        <v>0</v>
      </c>
      <c r="AG319" s="3">
        <v>0</v>
      </c>
      <c r="AH319" s="3">
        <v>58</v>
      </c>
      <c r="AI319" s="3">
        <v>0</v>
      </c>
      <c r="AJ319" s="3">
        <f t="shared" si="133"/>
        <v>58</v>
      </c>
      <c r="AK319" s="1">
        <v>0</v>
      </c>
      <c r="AL319" s="3">
        <f t="shared" ref="AL319:AL320" si="135">AE319</f>
        <v>0</v>
      </c>
      <c r="AM319" s="3">
        <f t="shared" ref="AM319:AM320" si="136">AF319</f>
        <v>0</v>
      </c>
      <c r="AN319" s="3">
        <f t="shared" ref="AN319:AN320" si="137">AG319</f>
        <v>0</v>
      </c>
      <c r="AO319" s="3">
        <f t="shared" ref="AO319:AO320" si="138">AH319</f>
        <v>58</v>
      </c>
      <c r="AP319" s="3">
        <f t="shared" si="99"/>
        <v>0</v>
      </c>
      <c r="AQ319" s="1" t="s">
        <v>221</v>
      </c>
    </row>
    <row r="320" spans="1:43" x14ac:dyDescent="0.35">
      <c r="A320" s="1">
        <v>742</v>
      </c>
      <c r="B320" s="2">
        <v>45835</v>
      </c>
      <c r="C320" s="1" t="s">
        <v>64</v>
      </c>
      <c r="D320" s="1">
        <v>9518886012</v>
      </c>
      <c r="E320" s="1">
        <v>3</v>
      </c>
      <c r="F320" s="1" t="s">
        <v>895</v>
      </c>
      <c r="G320" s="1" t="s">
        <v>1155</v>
      </c>
      <c r="H320" s="1" t="s">
        <v>21</v>
      </c>
      <c r="I320" s="1" t="s">
        <v>22</v>
      </c>
      <c r="K320" s="1" t="s">
        <v>970</v>
      </c>
      <c r="L320" s="1" t="str">
        <f t="shared" si="127"/>
        <v>BPRS</v>
      </c>
      <c r="M320" s="1" t="s">
        <v>1230</v>
      </c>
      <c r="N320" s="1" t="s">
        <v>356</v>
      </c>
      <c r="O320" s="1" t="s">
        <v>151</v>
      </c>
      <c r="P320" s="1">
        <v>155536</v>
      </c>
      <c r="Q320" s="1" t="s">
        <v>24</v>
      </c>
      <c r="R320" s="1">
        <v>187574</v>
      </c>
      <c r="S320" s="1" t="s">
        <v>478</v>
      </c>
      <c r="T320" s="1" t="s">
        <v>28</v>
      </c>
      <c r="U320" s="1" t="s">
        <v>29</v>
      </c>
      <c r="V320" s="1" t="s">
        <v>30</v>
      </c>
      <c r="W320" s="1">
        <v>2.5</v>
      </c>
      <c r="X320" s="1">
        <v>1250</v>
      </c>
      <c r="Y320" s="1">
        <v>0</v>
      </c>
      <c r="Z320" s="3">
        <v>116</v>
      </c>
      <c r="AA320" s="3">
        <v>66.784999999999997</v>
      </c>
      <c r="AB320" s="3">
        <v>49.215000000000003</v>
      </c>
      <c r="AC320" s="3">
        <v>0</v>
      </c>
      <c r="AD320" s="3">
        <f t="shared" si="132"/>
        <v>49.215000000000003</v>
      </c>
      <c r="AE320" s="3">
        <v>0</v>
      </c>
      <c r="AF320" s="3">
        <v>49.215000000000003</v>
      </c>
      <c r="AG320" s="3">
        <v>0</v>
      </c>
      <c r="AH320" s="3">
        <v>0</v>
      </c>
      <c r="AI320" s="3">
        <v>0</v>
      </c>
      <c r="AJ320" s="3">
        <f t="shared" si="133"/>
        <v>49.215000000000003</v>
      </c>
      <c r="AK320" s="1">
        <v>0</v>
      </c>
      <c r="AL320" s="3">
        <f t="shared" si="135"/>
        <v>0</v>
      </c>
      <c r="AM320" s="3">
        <f t="shared" si="136"/>
        <v>49.215000000000003</v>
      </c>
      <c r="AN320" s="3">
        <f t="shared" si="137"/>
        <v>0</v>
      </c>
      <c r="AO320" s="3">
        <f t="shared" si="138"/>
        <v>0</v>
      </c>
      <c r="AP320" s="3">
        <f t="shared" si="99"/>
        <v>0</v>
      </c>
      <c r="AQ320" s="1" t="s">
        <v>24</v>
      </c>
    </row>
    <row r="321" spans="1:43" x14ac:dyDescent="0.35">
      <c r="A321" s="1">
        <v>742</v>
      </c>
      <c r="B321" s="2">
        <v>45887</v>
      </c>
      <c r="C321" s="1" t="s">
        <v>64</v>
      </c>
      <c r="D321" s="1">
        <v>9519024914</v>
      </c>
      <c r="E321" s="1">
        <v>5</v>
      </c>
      <c r="F321" s="1" t="s">
        <v>896</v>
      </c>
      <c r="G321" s="1" t="s">
        <v>393</v>
      </c>
      <c r="H321" s="1" t="s">
        <v>21</v>
      </c>
      <c r="I321" s="1" t="s">
        <v>71</v>
      </c>
      <c r="K321" s="1" t="s">
        <v>970</v>
      </c>
      <c r="L321" s="1" t="str">
        <f t="shared" si="127"/>
        <v>BPRS</v>
      </c>
      <c r="M321" s="1" t="s">
        <v>1229</v>
      </c>
      <c r="N321" s="1" t="s">
        <v>137</v>
      </c>
      <c r="O321" s="1" t="s">
        <v>58</v>
      </c>
      <c r="P321" s="1">
        <v>116465</v>
      </c>
      <c r="Q321" s="1" t="s">
        <v>364</v>
      </c>
      <c r="R321" s="1">
        <v>3239543</v>
      </c>
      <c r="S321" s="1" t="s">
        <v>421</v>
      </c>
      <c r="T321" s="1" t="s">
        <v>75</v>
      </c>
      <c r="U321" s="1" t="s">
        <v>122</v>
      </c>
      <c r="V321" s="1" t="s">
        <v>123</v>
      </c>
      <c r="W321" s="1">
        <v>0.35</v>
      </c>
      <c r="X321" s="1">
        <v>1250</v>
      </c>
      <c r="Y321" s="1">
        <v>2500</v>
      </c>
      <c r="Z321" s="3">
        <v>29</v>
      </c>
      <c r="AA321" s="3">
        <v>0</v>
      </c>
      <c r="AB321" s="3">
        <v>29</v>
      </c>
      <c r="AC321" s="3">
        <v>0</v>
      </c>
      <c r="AD321" s="3">
        <f t="shared" si="132"/>
        <v>29</v>
      </c>
      <c r="AE321" s="3">
        <v>0</v>
      </c>
      <c r="AF321" s="3">
        <v>29</v>
      </c>
      <c r="AG321" s="3">
        <v>0</v>
      </c>
      <c r="AH321" s="3">
        <v>0</v>
      </c>
      <c r="AI321" s="3">
        <v>0</v>
      </c>
      <c r="AJ321" s="3">
        <f t="shared" si="133"/>
        <v>29</v>
      </c>
      <c r="AK321" s="1">
        <v>0</v>
      </c>
      <c r="AL321" s="3">
        <f>AF321</f>
        <v>29</v>
      </c>
      <c r="AM321" s="3">
        <v>0</v>
      </c>
      <c r="AN321" s="3">
        <f>AG321</f>
        <v>0</v>
      </c>
      <c r="AO321" s="3">
        <f>AH321</f>
        <v>0</v>
      </c>
      <c r="AP321" s="3">
        <f t="shared" ref="AP321:AP384" si="139">(AC321+AD321)-AJ321</f>
        <v>0</v>
      </c>
      <c r="AQ321" s="1" t="s">
        <v>364</v>
      </c>
    </row>
    <row r="322" spans="1:43" x14ac:dyDescent="0.35">
      <c r="A322" s="1">
        <v>744</v>
      </c>
      <c r="B322" s="2">
        <v>45890</v>
      </c>
      <c r="C322" s="1" t="s">
        <v>64</v>
      </c>
      <c r="D322" s="1">
        <v>9519035613</v>
      </c>
      <c r="E322" s="1">
        <v>2</v>
      </c>
      <c r="F322" s="1" t="s">
        <v>897</v>
      </c>
      <c r="G322" s="1" t="s">
        <v>1367</v>
      </c>
      <c r="H322" s="1" t="s">
        <v>86</v>
      </c>
      <c r="I322" s="1" t="s">
        <v>968</v>
      </c>
      <c r="K322" s="1" t="s">
        <v>969</v>
      </c>
      <c r="L322" s="1" t="str">
        <f t="shared" si="127"/>
        <v>IPP</v>
      </c>
      <c r="M322" s="1" t="s">
        <v>1232</v>
      </c>
      <c r="N322" s="1" t="s">
        <v>108</v>
      </c>
      <c r="O322" s="1" t="s">
        <v>54</v>
      </c>
      <c r="P322" s="1">
        <v>940016</v>
      </c>
      <c r="Q322" s="1" t="s">
        <v>107</v>
      </c>
      <c r="R322" s="1">
        <v>3522241</v>
      </c>
      <c r="S322" s="1" t="s">
        <v>216</v>
      </c>
      <c r="T322" s="1" t="s">
        <v>88</v>
      </c>
      <c r="U322" s="1" t="s">
        <v>89</v>
      </c>
      <c r="V322" s="1" t="s">
        <v>217</v>
      </c>
      <c r="W322" s="1">
        <v>0.43</v>
      </c>
      <c r="X322" s="1">
        <v>1220</v>
      </c>
      <c r="Y322" s="1">
        <v>0</v>
      </c>
      <c r="Z322" s="3">
        <v>280</v>
      </c>
      <c r="AA322" s="3">
        <v>279.51</v>
      </c>
      <c r="AB322" s="3">
        <v>0.48899999999999999</v>
      </c>
      <c r="AC322" s="3">
        <v>279.50999999999993</v>
      </c>
      <c r="AD322" s="3">
        <f t="shared" si="132"/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f t="shared" si="133"/>
        <v>279.50999999999993</v>
      </c>
      <c r="AK322" s="3">
        <f>AC322</f>
        <v>279.50999999999993</v>
      </c>
      <c r="AL322" s="1">
        <v>0</v>
      </c>
      <c r="AM322" s="1">
        <v>0</v>
      </c>
      <c r="AN322" s="1">
        <v>0</v>
      </c>
      <c r="AO322" s="1">
        <v>0</v>
      </c>
      <c r="AP322" s="3">
        <f t="shared" si="139"/>
        <v>0</v>
      </c>
      <c r="AQ322" s="1" t="s">
        <v>107</v>
      </c>
    </row>
    <row r="323" spans="1:43" x14ac:dyDescent="0.35">
      <c r="A323" s="1">
        <v>744</v>
      </c>
      <c r="B323" s="2">
        <v>45890</v>
      </c>
      <c r="C323" s="1" t="s">
        <v>64</v>
      </c>
      <c r="D323" s="1">
        <v>9519035613</v>
      </c>
      <c r="E323" s="1">
        <v>3</v>
      </c>
      <c r="F323" s="1" t="s">
        <v>898</v>
      </c>
      <c r="G323" s="1" t="s">
        <v>1367</v>
      </c>
      <c r="H323" s="1" t="s">
        <v>86</v>
      </c>
      <c r="I323" s="1" t="s">
        <v>968</v>
      </c>
      <c r="K323" s="1" t="s">
        <v>969</v>
      </c>
      <c r="L323" s="1" t="str">
        <f t="shared" si="127"/>
        <v>IPP</v>
      </c>
      <c r="M323" s="1" t="s">
        <v>1232</v>
      </c>
      <c r="N323" s="1" t="s">
        <v>108</v>
      </c>
      <c r="O323" s="1" t="s">
        <v>54</v>
      </c>
      <c r="P323" s="1">
        <v>940016</v>
      </c>
      <c r="Q323" s="1" t="s">
        <v>107</v>
      </c>
      <c r="R323" s="1">
        <v>3522241</v>
      </c>
      <c r="S323" s="1" t="s">
        <v>216</v>
      </c>
      <c r="T323" s="1" t="s">
        <v>88</v>
      </c>
      <c r="U323" s="1" t="s">
        <v>89</v>
      </c>
      <c r="V323" s="1" t="s">
        <v>217</v>
      </c>
      <c r="W323" s="1">
        <v>0.43</v>
      </c>
      <c r="X323" s="1">
        <v>1220</v>
      </c>
      <c r="Y323" s="1">
        <v>0</v>
      </c>
      <c r="Z323" s="3">
        <v>279.99900000000002</v>
      </c>
      <c r="AA323" s="3">
        <v>279.24</v>
      </c>
      <c r="AB323" s="3">
        <v>0.75900000000000001</v>
      </c>
      <c r="AC323" s="3">
        <v>265.435</v>
      </c>
      <c r="AD323" s="3">
        <f t="shared" si="132"/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f t="shared" si="133"/>
        <v>265.435</v>
      </c>
      <c r="AK323" s="3">
        <f>AC323</f>
        <v>265.435</v>
      </c>
      <c r="AL323" s="1">
        <v>0</v>
      </c>
      <c r="AM323" s="1">
        <v>0</v>
      </c>
      <c r="AN323" s="1">
        <v>0</v>
      </c>
      <c r="AO323" s="1">
        <v>0</v>
      </c>
      <c r="AP323" s="3">
        <f t="shared" si="139"/>
        <v>0</v>
      </c>
      <c r="AQ323" s="1" t="s">
        <v>107</v>
      </c>
    </row>
    <row r="324" spans="1:43" x14ac:dyDescent="0.35">
      <c r="A324" s="1">
        <v>744</v>
      </c>
      <c r="B324" s="2">
        <v>45890</v>
      </c>
      <c r="C324" s="1" t="s">
        <v>64</v>
      </c>
      <c r="D324" s="1">
        <v>9519035613</v>
      </c>
      <c r="E324" s="1">
        <v>5</v>
      </c>
      <c r="F324" s="1" t="s">
        <v>899</v>
      </c>
      <c r="G324" s="1" t="s">
        <v>1155</v>
      </c>
      <c r="H324" s="1" t="s">
        <v>86</v>
      </c>
      <c r="I324" s="1" t="s">
        <v>968</v>
      </c>
      <c r="K324" s="1" t="s">
        <v>969</v>
      </c>
      <c r="L324" s="1" t="str">
        <f t="shared" si="127"/>
        <v>IPP</v>
      </c>
      <c r="M324" s="1" t="s">
        <v>1232</v>
      </c>
      <c r="N324" s="1" t="s">
        <v>108</v>
      </c>
      <c r="O324" s="1" t="s">
        <v>54</v>
      </c>
      <c r="P324" s="1">
        <v>940016</v>
      </c>
      <c r="Q324" s="1" t="s">
        <v>107</v>
      </c>
      <c r="R324" s="1">
        <v>3522241</v>
      </c>
      <c r="S324" s="1" t="s">
        <v>216</v>
      </c>
      <c r="T324" s="1" t="s">
        <v>88</v>
      </c>
      <c r="U324" s="1" t="s">
        <v>89</v>
      </c>
      <c r="V324" s="1" t="s">
        <v>217</v>
      </c>
      <c r="W324" s="1">
        <v>0.43</v>
      </c>
      <c r="X324" s="1">
        <v>1220</v>
      </c>
      <c r="Y324" s="1">
        <v>0</v>
      </c>
      <c r="Z324" s="3">
        <v>280</v>
      </c>
      <c r="AA324" s="3">
        <v>278.58999999999997</v>
      </c>
      <c r="AB324" s="3">
        <v>1.409</v>
      </c>
      <c r="AC324" s="3">
        <v>278.59000000000003</v>
      </c>
      <c r="AD324" s="3">
        <f t="shared" si="132"/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f t="shared" si="133"/>
        <v>278.59000000000003</v>
      </c>
      <c r="AK324" s="1">
        <v>0</v>
      </c>
      <c r="AL324" s="3">
        <v>0</v>
      </c>
      <c r="AM324" s="3">
        <f>AC324</f>
        <v>278.59000000000003</v>
      </c>
      <c r="AN324" s="1">
        <v>0</v>
      </c>
      <c r="AO324" s="1">
        <v>0</v>
      </c>
      <c r="AP324" s="3">
        <f t="shared" si="139"/>
        <v>0</v>
      </c>
      <c r="AQ324" s="1" t="s">
        <v>107</v>
      </c>
    </row>
    <row r="325" spans="1:43" x14ac:dyDescent="0.35">
      <c r="A325" s="1">
        <v>744</v>
      </c>
      <c r="B325" s="2">
        <v>45890</v>
      </c>
      <c r="C325" s="1" t="s">
        <v>64</v>
      </c>
      <c r="D325" s="1">
        <v>9519035613</v>
      </c>
      <c r="E325" s="1">
        <v>7</v>
      </c>
      <c r="F325" s="1" t="s">
        <v>900</v>
      </c>
      <c r="G325" s="1" t="s">
        <v>393</v>
      </c>
      <c r="H325" s="1" t="s">
        <v>86</v>
      </c>
      <c r="I325" s="1" t="s">
        <v>968</v>
      </c>
      <c r="K325" s="1" t="s">
        <v>969</v>
      </c>
      <c r="L325" s="1" t="str">
        <f t="shared" si="127"/>
        <v>IPP</v>
      </c>
      <c r="M325" s="1" t="s">
        <v>1232</v>
      </c>
      <c r="N325" s="1" t="s">
        <v>108</v>
      </c>
      <c r="O325" s="1" t="s">
        <v>54</v>
      </c>
      <c r="P325" s="1">
        <v>940016</v>
      </c>
      <c r="Q325" s="1" t="s">
        <v>107</v>
      </c>
      <c r="R325" s="1">
        <v>3522241</v>
      </c>
      <c r="S325" s="1" t="s">
        <v>216</v>
      </c>
      <c r="T325" s="1" t="s">
        <v>88</v>
      </c>
      <c r="U325" s="1" t="s">
        <v>89</v>
      </c>
      <c r="V325" s="1" t="s">
        <v>217</v>
      </c>
      <c r="W325" s="1">
        <v>0.43</v>
      </c>
      <c r="X325" s="1">
        <v>1220</v>
      </c>
      <c r="Y325" s="1">
        <v>0</v>
      </c>
      <c r="Z325" s="3">
        <v>168</v>
      </c>
      <c r="AA325" s="3">
        <v>167.34</v>
      </c>
      <c r="AB325" s="3">
        <v>0.65900000000000003</v>
      </c>
      <c r="AC325" s="3">
        <v>167.33999999999995</v>
      </c>
      <c r="AD325" s="3">
        <f t="shared" si="132"/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f t="shared" si="133"/>
        <v>167.33999999999995</v>
      </c>
      <c r="AK325" s="1">
        <v>0</v>
      </c>
      <c r="AL325" s="3">
        <v>0</v>
      </c>
      <c r="AM325" s="3">
        <f>AC325</f>
        <v>167.33999999999995</v>
      </c>
      <c r="AN325" s="1">
        <v>0</v>
      </c>
      <c r="AO325" s="1">
        <v>0</v>
      </c>
      <c r="AP325" s="3">
        <f t="shared" si="139"/>
        <v>0</v>
      </c>
      <c r="AQ325" s="1" t="s">
        <v>107</v>
      </c>
    </row>
    <row r="326" spans="1:43" x14ac:dyDescent="0.35">
      <c r="A326" s="1">
        <v>742</v>
      </c>
      <c r="B326" s="2">
        <v>45888</v>
      </c>
      <c r="C326" s="1" t="s">
        <v>64</v>
      </c>
      <c r="D326" s="1">
        <v>9519027787</v>
      </c>
      <c r="E326" s="1">
        <v>5</v>
      </c>
      <c r="F326" s="1" t="s">
        <v>901</v>
      </c>
      <c r="G326" s="1" t="s">
        <v>1155</v>
      </c>
      <c r="H326" s="1" t="s">
        <v>21</v>
      </c>
      <c r="I326" s="1" t="s">
        <v>71</v>
      </c>
      <c r="K326" s="1" t="s">
        <v>970</v>
      </c>
      <c r="L326" s="1" t="str">
        <f t="shared" si="127"/>
        <v>BPRS</v>
      </c>
      <c r="M326" s="1" t="s">
        <v>1229</v>
      </c>
      <c r="N326" s="1" t="s">
        <v>73</v>
      </c>
      <c r="O326" s="1" t="s">
        <v>74</v>
      </c>
      <c r="P326" s="1">
        <v>946077</v>
      </c>
      <c r="Q326" s="1" t="s">
        <v>72</v>
      </c>
      <c r="R326" s="1">
        <v>3240776</v>
      </c>
      <c r="S326" s="1" t="s">
        <v>453</v>
      </c>
      <c r="T326" s="1" t="s">
        <v>75</v>
      </c>
      <c r="U326" s="1" t="s">
        <v>76</v>
      </c>
      <c r="V326" s="1" t="s">
        <v>77</v>
      </c>
      <c r="W326" s="1">
        <v>0.6</v>
      </c>
      <c r="X326" s="1">
        <v>1000</v>
      </c>
      <c r="Y326" s="1">
        <v>2440</v>
      </c>
      <c r="Z326" s="3">
        <v>46</v>
      </c>
      <c r="AA326" s="3">
        <v>0</v>
      </c>
      <c r="AB326" s="3">
        <v>46</v>
      </c>
      <c r="AC326" s="3">
        <v>0</v>
      </c>
      <c r="AD326" s="3">
        <f t="shared" si="132"/>
        <v>46</v>
      </c>
      <c r="AE326" s="3">
        <v>0</v>
      </c>
      <c r="AF326" s="3">
        <v>0</v>
      </c>
      <c r="AG326" s="3">
        <v>0</v>
      </c>
      <c r="AH326" s="3">
        <v>0</v>
      </c>
      <c r="AI326" s="3">
        <v>46</v>
      </c>
      <c r="AJ326" s="3">
        <f t="shared" si="133"/>
        <v>0</v>
      </c>
      <c r="AK326" s="1">
        <v>0</v>
      </c>
      <c r="AL326" s="3">
        <f>AE326</f>
        <v>0</v>
      </c>
      <c r="AM326" s="3">
        <f>AF326</f>
        <v>0</v>
      </c>
      <c r="AN326" s="3">
        <f>AG326</f>
        <v>0</v>
      </c>
      <c r="AO326" s="3">
        <f>AH326</f>
        <v>0</v>
      </c>
      <c r="AP326" s="3">
        <f t="shared" si="139"/>
        <v>46</v>
      </c>
      <c r="AQ326" s="1" t="s">
        <v>72</v>
      </c>
    </row>
    <row r="327" spans="1:43" x14ac:dyDescent="0.35">
      <c r="A327" s="1">
        <v>742</v>
      </c>
      <c r="B327" s="2">
        <v>45887</v>
      </c>
      <c r="C327" s="1" t="s">
        <v>64</v>
      </c>
      <c r="D327" s="1">
        <v>9519025430</v>
      </c>
      <c r="E327" s="1">
        <v>1</v>
      </c>
      <c r="F327" s="1" t="s">
        <v>902</v>
      </c>
      <c r="G327" s="1" t="s">
        <v>1155</v>
      </c>
      <c r="H327" s="1" t="s">
        <v>21</v>
      </c>
      <c r="I327" s="1" t="s">
        <v>22</v>
      </c>
      <c r="K327" s="1" t="s">
        <v>970</v>
      </c>
      <c r="L327" s="1" t="str">
        <f t="shared" si="127"/>
        <v>BPRS</v>
      </c>
      <c r="M327" s="1" t="s">
        <v>1229</v>
      </c>
      <c r="N327" s="1" t="s">
        <v>433</v>
      </c>
      <c r="O327" s="1" t="s">
        <v>58</v>
      </c>
      <c r="P327" s="1">
        <v>116465</v>
      </c>
      <c r="Q327" s="1" t="s">
        <v>364</v>
      </c>
      <c r="R327" s="1">
        <v>185675</v>
      </c>
      <c r="S327" s="1" t="s">
        <v>272</v>
      </c>
      <c r="T327" s="1" t="s">
        <v>28</v>
      </c>
      <c r="U327" s="1" t="s">
        <v>29</v>
      </c>
      <c r="V327" s="1" t="s">
        <v>30</v>
      </c>
      <c r="W327" s="1">
        <v>0.5</v>
      </c>
      <c r="X327" s="1">
        <v>1250</v>
      </c>
      <c r="Y327" s="1">
        <v>0</v>
      </c>
      <c r="Z327" s="3">
        <v>29</v>
      </c>
      <c r="AA327" s="3">
        <v>23.85</v>
      </c>
      <c r="AB327" s="3">
        <v>5.15</v>
      </c>
      <c r="AC327" s="3">
        <v>23.85</v>
      </c>
      <c r="AD327" s="3">
        <f t="shared" si="132"/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f t="shared" si="133"/>
        <v>23.85</v>
      </c>
      <c r="AK327" s="3">
        <f>AC327</f>
        <v>23.85</v>
      </c>
      <c r="AL327" s="1">
        <v>0</v>
      </c>
      <c r="AM327" s="1">
        <v>0</v>
      </c>
      <c r="AN327" s="1">
        <v>0</v>
      </c>
      <c r="AO327" s="1">
        <v>0</v>
      </c>
      <c r="AP327" s="3">
        <f t="shared" si="139"/>
        <v>0</v>
      </c>
      <c r="AQ327" s="1" t="s">
        <v>364</v>
      </c>
    </row>
    <row r="328" spans="1:43" x14ac:dyDescent="0.35">
      <c r="A328" s="1">
        <v>742</v>
      </c>
      <c r="B328" s="2">
        <v>45887</v>
      </c>
      <c r="C328" s="1" t="s">
        <v>64</v>
      </c>
      <c r="D328" s="1">
        <v>9519025430</v>
      </c>
      <c r="E328" s="1">
        <v>2</v>
      </c>
      <c r="F328" s="1" t="s">
        <v>903</v>
      </c>
      <c r="G328" s="1" t="s">
        <v>1155</v>
      </c>
      <c r="H328" s="1" t="s">
        <v>21</v>
      </c>
      <c r="I328" s="1" t="s">
        <v>22</v>
      </c>
      <c r="K328" s="1" t="s">
        <v>970</v>
      </c>
      <c r="L328" s="1" t="str">
        <f t="shared" si="127"/>
        <v>BPRS</v>
      </c>
      <c r="M328" s="1" t="s">
        <v>1229</v>
      </c>
      <c r="N328" s="1" t="s">
        <v>433</v>
      </c>
      <c r="O328" s="1" t="s">
        <v>58</v>
      </c>
      <c r="P328" s="1">
        <v>116465</v>
      </c>
      <c r="Q328" s="1" t="s">
        <v>364</v>
      </c>
      <c r="R328" s="1">
        <v>1801290</v>
      </c>
      <c r="S328" s="1" t="s">
        <v>273</v>
      </c>
      <c r="T328" s="1" t="s">
        <v>28</v>
      </c>
      <c r="U328" s="1" t="s">
        <v>29</v>
      </c>
      <c r="V328" s="1" t="s">
        <v>30</v>
      </c>
      <c r="W328" s="1">
        <v>0.6</v>
      </c>
      <c r="X328" s="1">
        <v>1250</v>
      </c>
      <c r="Y328" s="1">
        <v>0</v>
      </c>
      <c r="Z328" s="3">
        <v>29</v>
      </c>
      <c r="AA328" s="3">
        <v>0</v>
      </c>
      <c r="AB328" s="3">
        <v>29</v>
      </c>
      <c r="AC328" s="3">
        <v>0</v>
      </c>
      <c r="AD328" s="3">
        <f t="shared" si="132"/>
        <v>29</v>
      </c>
      <c r="AE328" s="3">
        <v>0</v>
      </c>
      <c r="AF328" s="3">
        <v>29</v>
      </c>
      <c r="AG328" s="3">
        <v>0</v>
      </c>
      <c r="AH328" s="3">
        <v>0</v>
      </c>
      <c r="AI328" s="3">
        <v>0</v>
      </c>
      <c r="AJ328" s="3">
        <f t="shared" si="133"/>
        <v>29</v>
      </c>
      <c r="AK328" s="1">
        <v>0</v>
      </c>
      <c r="AL328" s="3">
        <f>AE328</f>
        <v>0</v>
      </c>
      <c r="AM328" s="3">
        <f>AF328</f>
        <v>29</v>
      </c>
      <c r="AN328" s="3">
        <f>AG328</f>
        <v>0</v>
      </c>
      <c r="AO328" s="3">
        <f>AH328</f>
        <v>0</v>
      </c>
      <c r="AP328" s="3">
        <f t="shared" si="139"/>
        <v>0</v>
      </c>
      <c r="AQ328" s="1" t="s">
        <v>364</v>
      </c>
    </row>
    <row r="329" spans="1:43" x14ac:dyDescent="0.35">
      <c r="A329" s="1">
        <v>742</v>
      </c>
      <c r="B329" s="2">
        <v>45891</v>
      </c>
      <c r="C329" s="1" t="s">
        <v>64</v>
      </c>
      <c r="D329" s="1">
        <v>9519038135</v>
      </c>
      <c r="E329" s="1">
        <v>1</v>
      </c>
      <c r="F329" s="1" t="s">
        <v>904</v>
      </c>
      <c r="G329" s="1" t="s">
        <v>1155</v>
      </c>
      <c r="H329" s="1" t="s">
        <v>21</v>
      </c>
      <c r="I329" s="1" t="s">
        <v>22</v>
      </c>
      <c r="K329" s="1" t="s">
        <v>970</v>
      </c>
      <c r="L329" s="1" t="str">
        <f t="shared" si="127"/>
        <v>BPRS</v>
      </c>
      <c r="M329" s="1" t="s">
        <v>1229</v>
      </c>
      <c r="N329" s="1" t="s">
        <v>365</v>
      </c>
      <c r="O329" s="1" t="s">
        <v>58</v>
      </c>
      <c r="P329" s="1">
        <v>116465</v>
      </c>
      <c r="Q329" s="1" t="s">
        <v>364</v>
      </c>
      <c r="R329" s="1">
        <v>185675</v>
      </c>
      <c r="S329" s="1" t="s">
        <v>272</v>
      </c>
      <c r="T329" s="1" t="s">
        <v>28</v>
      </c>
      <c r="U329" s="1" t="s">
        <v>29</v>
      </c>
      <c r="V329" s="1" t="s">
        <v>30</v>
      </c>
      <c r="W329" s="1">
        <v>0.5</v>
      </c>
      <c r="X329" s="1">
        <v>1250</v>
      </c>
      <c r="Y329" s="1">
        <v>0</v>
      </c>
      <c r="Z329" s="3">
        <v>87</v>
      </c>
      <c r="AA329" s="3">
        <v>75.635000000000005</v>
      </c>
      <c r="AB329" s="3">
        <v>11.365</v>
      </c>
      <c r="AC329" s="3">
        <v>25.39</v>
      </c>
      <c r="AD329" s="3">
        <f t="shared" si="132"/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f t="shared" si="133"/>
        <v>25.39</v>
      </c>
      <c r="AK329" s="3">
        <f>AC329</f>
        <v>25.39</v>
      </c>
      <c r="AL329" s="1">
        <v>0</v>
      </c>
      <c r="AM329" s="1">
        <v>0</v>
      </c>
      <c r="AN329" s="1">
        <v>0</v>
      </c>
      <c r="AO329" s="1">
        <v>0</v>
      </c>
      <c r="AP329" s="3">
        <f t="shared" si="139"/>
        <v>0</v>
      </c>
      <c r="AQ329" s="1" t="s">
        <v>364</v>
      </c>
    </row>
    <row r="330" spans="1:43" x14ac:dyDescent="0.35">
      <c r="A330" s="1">
        <v>742</v>
      </c>
      <c r="B330" s="2">
        <v>45890</v>
      </c>
      <c r="C330" s="1" t="s">
        <v>64</v>
      </c>
      <c r="D330" s="1">
        <v>9519036272</v>
      </c>
      <c r="E330" s="1">
        <v>4</v>
      </c>
      <c r="F330" s="1" t="s">
        <v>905</v>
      </c>
      <c r="G330" s="1" t="s">
        <v>1155</v>
      </c>
      <c r="H330" s="1" t="s">
        <v>21</v>
      </c>
      <c r="I330" s="1" t="s">
        <v>71</v>
      </c>
      <c r="K330" s="1" t="s">
        <v>970</v>
      </c>
      <c r="L330" s="1" t="str">
        <f t="shared" si="127"/>
        <v>BPRS</v>
      </c>
      <c r="M330" s="1" t="s">
        <v>1230</v>
      </c>
      <c r="N330" s="1" t="s">
        <v>220</v>
      </c>
      <c r="O330" s="1" t="s">
        <v>120</v>
      </c>
      <c r="P330" s="1">
        <v>185794</v>
      </c>
      <c r="Q330" s="1" t="s">
        <v>219</v>
      </c>
      <c r="R330" s="1">
        <v>3239548</v>
      </c>
      <c r="S330" s="1" t="s">
        <v>306</v>
      </c>
      <c r="T330" s="1" t="s">
        <v>75</v>
      </c>
      <c r="U330" s="1" t="s">
        <v>122</v>
      </c>
      <c r="V330" s="1" t="s">
        <v>123</v>
      </c>
      <c r="W330" s="1">
        <v>0.4</v>
      </c>
      <c r="X330" s="1">
        <v>900</v>
      </c>
      <c r="Y330" s="1">
        <v>2500</v>
      </c>
      <c r="Z330" s="3">
        <v>63</v>
      </c>
      <c r="AA330" s="3">
        <v>18.809999999999999</v>
      </c>
      <c r="AB330" s="3">
        <v>44.19</v>
      </c>
      <c r="AC330" s="3">
        <v>0</v>
      </c>
      <c r="AD330" s="3">
        <f t="shared" si="132"/>
        <v>44.19</v>
      </c>
      <c r="AE330" s="3">
        <v>0</v>
      </c>
      <c r="AF330" s="3">
        <v>0</v>
      </c>
      <c r="AG330" s="3">
        <v>0</v>
      </c>
      <c r="AH330" s="3">
        <v>44.19</v>
      </c>
      <c r="AI330" s="3">
        <v>0</v>
      </c>
      <c r="AJ330" s="3">
        <f t="shared" si="133"/>
        <v>44.19</v>
      </c>
      <c r="AK330" s="1">
        <v>0</v>
      </c>
      <c r="AL330" s="3">
        <f>AE330</f>
        <v>0</v>
      </c>
      <c r="AM330" s="3">
        <f>AF330</f>
        <v>0</v>
      </c>
      <c r="AN330" s="3">
        <f>AG330</f>
        <v>0</v>
      </c>
      <c r="AO330" s="3">
        <f>AH330</f>
        <v>44.19</v>
      </c>
      <c r="AP330" s="3">
        <f t="shared" si="139"/>
        <v>0</v>
      </c>
      <c r="AQ330" s="1" t="s">
        <v>219</v>
      </c>
    </row>
    <row r="331" spans="1:43" x14ac:dyDescent="0.35">
      <c r="A331" s="1">
        <v>743</v>
      </c>
      <c r="B331" s="2">
        <v>45891</v>
      </c>
      <c r="C331" s="1" t="s">
        <v>64</v>
      </c>
      <c r="D331" s="1">
        <v>9519038643</v>
      </c>
      <c r="E331" s="1">
        <v>4</v>
      </c>
      <c r="F331" s="1" t="s">
        <v>906</v>
      </c>
      <c r="G331" s="1" t="s">
        <v>1155</v>
      </c>
      <c r="H331" s="1" t="s">
        <v>63</v>
      </c>
      <c r="I331" s="1" t="s">
        <v>1404</v>
      </c>
      <c r="K331" s="1" t="s">
        <v>970</v>
      </c>
      <c r="L331" s="1" t="str">
        <f t="shared" si="127"/>
        <v>BPRS</v>
      </c>
      <c r="M331" s="1" t="s">
        <v>1230</v>
      </c>
      <c r="N331" s="1" t="s">
        <v>384</v>
      </c>
      <c r="O331" s="1" t="s">
        <v>151</v>
      </c>
      <c r="P331" s="1">
        <v>100922</v>
      </c>
      <c r="Q331" s="1" t="s">
        <v>334</v>
      </c>
      <c r="R331" s="1">
        <v>1854418</v>
      </c>
      <c r="S331" s="1" t="s">
        <v>176</v>
      </c>
      <c r="T331" s="1" t="s">
        <v>139</v>
      </c>
      <c r="U331" s="1" t="s">
        <v>140</v>
      </c>
      <c r="V331" s="1" t="s">
        <v>150</v>
      </c>
      <c r="W331" s="1">
        <v>0.5</v>
      </c>
      <c r="X331" s="1">
        <v>900</v>
      </c>
      <c r="Y331" s="1">
        <v>0</v>
      </c>
      <c r="Z331" s="3">
        <v>105</v>
      </c>
      <c r="AA331" s="3">
        <v>0</v>
      </c>
      <c r="AB331" s="3">
        <v>105</v>
      </c>
      <c r="AC331" s="3">
        <v>0</v>
      </c>
      <c r="AD331" s="3">
        <f t="shared" si="132"/>
        <v>105</v>
      </c>
      <c r="AE331" s="3">
        <v>0</v>
      </c>
      <c r="AF331" s="3">
        <v>0</v>
      </c>
      <c r="AG331" s="3">
        <v>0</v>
      </c>
      <c r="AH331" s="3">
        <v>105</v>
      </c>
      <c r="AI331" s="3">
        <v>0</v>
      </c>
      <c r="AJ331" s="3">
        <f t="shared" si="133"/>
        <v>105</v>
      </c>
      <c r="AK331" s="1">
        <v>0</v>
      </c>
      <c r="AL331" s="1">
        <v>0</v>
      </c>
      <c r="AM331" s="1">
        <v>0</v>
      </c>
      <c r="AN331" s="3">
        <v>0</v>
      </c>
      <c r="AO331" s="3">
        <f>AH331</f>
        <v>105</v>
      </c>
      <c r="AP331" s="3">
        <f t="shared" si="139"/>
        <v>0</v>
      </c>
      <c r="AQ331" s="1" t="s">
        <v>334</v>
      </c>
    </row>
    <row r="332" spans="1:43" x14ac:dyDescent="0.35">
      <c r="A332" s="1">
        <v>743</v>
      </c>
      <c r="B332" s="2">
        <v>45891</v>
      </c>
      <c r="C332" s="1" t="s">
        <v>64</v>
      </c>
      <c r="D332" s="1">
        <v>9519038643</v>
      </c>
      <c r="E332" s="1">
        <v>5</v>
      </c>
      <c r="F332" s="1" t="s">
        <v>907</v>
      </c>
      <c r="G332" s="1" t="s">
        <v>1155</v>
      </c>
      <c r="H332" s="1" t="s">
        <v>63</v>
      </c>
      <c r="I332" s="1" t="s">
        <v>1404</v>
      </c>
      <c r="K332" s="1" t="s">
        <v>970</v>
      </c>
      <c r="L332" s="1" t="str">
        <f t="shared" si="127"/>
        <v>BPRS</v>
      </c>
      <c r="M332" s="1" t="s">
        <v>1230</v>
      </c>
      <c r="N332" s="1" t="s">
        <v>384</v>
      </c>
      <c r="O332" s="1" t="s">
        <v>151</v>
      </c>
      <c r="P332" s="1">
        <v>100922</v>
      </c>
      <c r="Q332" s="1" t="s">
        <v>334</v>
      </c>
      <c r="R332" s="1">
        <v>1854424</v>
      </c>
      <c r="S332" s="1" t="s">
        <v>249</v>
      </c>
      <c r="T332" s="1" t="s">
        <v>139</v>
      </c>
      <c r="U332" s="1" t="s">
        <v>140</v>
      </c>
      <c r="V332" s="1" t="s">
        <v>150</v>
      </c>
      <c r="W332" s="1">
        <v>0.6</v>
      </c>
      <c r="X332" s="1">
        <v>900</v>
      </c>
      <c r="Y332" s="1">
        <v>0</v>
      </c>
      <c r="Z332" s="3">
        <v>42</v>
      </c>
      <c r="AA332" s="3">
        <v>0</v>
      </c>
      <c r="AB332" s="3">
        <v>42</v>
      </c>
      <c r="AC332" s="3">
        <v>0</v>
      </c>
      <c r="AD332" s="3">
        <f t="shared" si="132"/>
        <v>42</v>
      </c>
      <c r="AE332" s="3">
        <v>0</v>
      </c>
      <c r="AF332" s="3">
        <v>0</v>
      </c>
      <c r="AG332" s="3">
        <v>0</v>
      </c>
      <c r="AH332" s="3">
        <v>0</v>
      </c>
      <c r="AI332" s="3">
        <v>42</v>
      </c>
      <c r="AJ332" s="3">
        <f t="shared" si="133"/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3">
        <f t="shared" si="139"/>
        <v>42</v>
      </c>
      <c r="AQ332" s="1" t="s">
        <v>334</v>
      </c>
    </row>
    <row r="333" spans="1:43" x14ac:dyDescent="0.35">
      <c r="A333" s="1">
        <v>742</v>
      </c>
      <c r="B333" s="2">
        <v>45890</v>
      </c>
      <c r="C333" s="1" t="s">
        <v>64</v>
      </c>
      <c r="D333" s="1">
        <v>9519036388</v>
      </c>
      <c r="E333" s="1">
        <v>3</v>
      </c>
      <c r="F333" s="1" t="s">
        <v>908</v>
      </c>
      <c r="G333" s="1" t="s">
        <v>393</v>
      </c>
      <c r="H333" s="1" t="s">
        <v>21</v>
      </c>
      <c r="I333" s="1" t="s">
        <v>71</v>
      </c>
      <c r="K333" s="1" t="s">
        <v>970</v>
      </c>
      <c r="L333" s="1" t="str">
        <f t="shared" si="127"/>
        <v>BPRS</v>
      </c>
      <c r="M333" s="1" t="s">
        <v>1230</v>
      </c>
      <c r="N333" s="1" t="s">
        <v>1135</v>
      </c>
      <c r="O333" s="1" t="s">
        <v>120</v>
      </c>
      <c r="P333" s="1">
        <v>121328</v>
      </c>
      <c r="Q333" s="1" t="s">
        <v>119</v>
      </c>
      <c r="R333" s="1">
        <v>2441004</v>
      </c>
      <c r="S333" s="1" t="s">
        <v>477</v>
      </c>
      <c r="T333" s="1" t="s">
        <v>75</v>
      </c>
      <c r="U333" s="1" t="s">
        <v>122</v>
      </c>
      <c r="V333" s="1" t="s">
        <v>123</v>
      </c>
      <c r="W333" s="1">
        <v>0.43</v>
      </c>
      <c r="X333" s="1">
        <v>1250</v>
      </c>
      <c r="Y333" s="1">
        <v>2500</v>
      </c>
      <c r="Z333" s="3">
        <v>29</v>
      </c>
      <c r="AA333" s="3">
        <v>0</v>
      </c>
      <c r="AB333" s="3">
        <v>29</v>
      </c>
      <c r="AC333" s="3">
        <v>0</v>
      </c>
      <c r="AD333" s="3">
        <f t="shared" si="132"/>
        <v>29</v>
      </c>
      <c r="AE333" s="3">
        <v>29</v>
      </c>
      <c r="AF333" s="3">
        <v>0</v>
      </c>
      <c r="AG333" s="3">
        <v>0</v>
      </c>
      <c r="AH333" s="3">
        <v>0</v>
      </c>
      <c r="AI333" s="3">
        <v>0</v>
      </c>
      <c r="AJ333" s="3">
        <f t="shared" si="133"/>
        <v>29</v>
      </c>
      <c r="AK333" s="1">
        <v>0</v>
      </c>
      <c r="AL333" s="3">
        <f t="shared" ref="AL333:AO334" si="140">AE333</f>
        <v>29</v>
      </c>
      <c r="AM333" s="3">
        <f t="shared" si="140"/>
        <v>0</v>
      </c>
      <c r="AN333" s="3">
        <f t="shared" si="140"/>
        <v>0</v>
      </c>
      <c r="AO333" s="3">
        <f t="shared" si="140"/>
        <v>0</v>
      </c>
      <c r="AP333" s="3">
        <f t="shared" si="139"/>
        <v>0</v>
      </c>
      <c r="AQ333" s="1" t="s">
        <v>119</v>
      </c>
    </row>
    <row r="334" spans="1:43" x14ac:dyDescent="0.35">
      <c r="A334" s="1">
        <v>742</v>
      </c>
      <c r="B334" s="2">
        <v>45881</v>
      </c>
      <c r="C334" s="1" t="s">
        <v>64</v>
      </c>
      <c r="D334" s="1">
        <v>9519011540</v>
      </c>
      <c r="E334" s="1">
        <v>1</v>
      </c>
      <c r="F334" s="1" t="s">
        <v>909</v>
      </c>
      <c r="G334" s="1" t="s">
        <v>1155</v>
      </c>
      <c r="H334" s="1" t="s">
        <v>21</v>
      </c>
      <c r="I334" s="1" t="s">
        <v>22</v>
      </c>
      <c r="K334" s="1" t="s">
        <v>970</v>
      </c>
      <c r="L334" s="1" t="str">
        <f t="shared" si="127"/>
        <v>BPRS</v>
      </c>
      <c r="M334" s="1" t="s">
        <v>1231</v>
      </c>
      <c r="N334" s="1" t="s">
        <v>260</v>
      </c>
      <c r="O334" s="1" t="s">
        <v>97</v>
      </c>
      <c r="P334" s="1">
        <v>115841</v>
      </c>
      <c r="Q334" s="1" t="s">
        <v>240</v>
      </c>
      <c r="R334" s="1">
        <v>322578</v>
      </c>
      <c r="S334" s="1" t="s">
        <v>387</v>
      </c>
      <c r="T334" s="1" t="s">
        <v>75</v>
      </c>
      <c r="U334" s="1" t="s">
        <v>122</v>
      </c>
      <c r="V334" s="1" t="s">
        <v>192</v>
      </c>
      <c r="W334" s="1">
        <v>0.5</v>
      </c>
      <c r="X334" s="1">
        <v>1250</v>
      </c>
      <c r="Y334" s="1">
        <v>2500</v>
      </c>
      <c r="Z334" s="3">
        <v>29</v>
      </c>
      <c r="AA334" s="3">
        <v>0</v>
      </c>
      <c r="AB334" s="3">
        <v>29</v>
      </c>
      <c r="AC334" s="3">
        <v>0</v>
      </c>
      <c r="AD334" s="3">
        <f t="shared" si="132"/>
        <v>29</v>
      </c>
      <c r="AE334" s="3">
        <v>0</v>
      </c>
      <c r="AF334" s="3">
        <v>29</v>
      </c>
      <c r="AG334" s="3">
        <v>0</v>
      </c>
      <c r="AH334" s="3">
        <v>0</v>
      </c>
      <c r="AI334" s="3">
        <v>0</v>
      </c>
      <c r="AJ334" s="3">
        <f t="shared" si="133"/>
        <v>29</v>
      </c>
      <c r="AK334" s="1">
        <v>0</v>
      </c>
      <c r="AL334" s="3">
        <f t="shared" si="140"/>
        <v>0</v>
      </c>
      <c r="AM334" s="3">
        <f t="shared" si="140"/>
        <v>29</v>
      </c>
      <c r="AN334" s="3">
        <f t="shared" si="140"/>
        <v>0</v>
      </c>
      <c r="AO334" s="3">
        <f t="shared" si="140"/>
        <v>0</v>
      </c>
      <c r="AP334" s="3">
        <f t="shared" si="139"/>
        <v>0</v>
      </c>
      <c r="AQ334" s="1" t="s">
        <v>240</v>
      </c>
    </row>
    <row r="335" spans="1:43" x14ac:dyDescent="0.35">
      <c r="A335" s="1">
        <v>743</v>
      </c>
      <c r="B335" s="2">
        <v>45917</v>
      </c>
      <c r="C335" s="1" t="s">
        <v>64</v>
      </c>
      <c r="D335" s="1">
        <v>9519113387</v>
      </c>
      <c r="E335" s="1">
        <v>2</v>
      </c>
      <c r="F335" s="1" t="s">
        <v>910</v>
      </c>
      <c r="G335" s="1" t="s">
        <v>1155</v>
      </c>
      <c r="H335" s="1" t="s">
        <v>63</v>
      </c>
      <c r="I335" s="1" t="s">
        <v>1292</v>
      </c>
      <c r="K335" s="1" t="s">
        <v>970</v>
      </c>
      <c r="L335" s="1" t="str">
        <f t="shared" si="127"/>
        <v>BPRS</v>
      </c>
      <c r="M335" s="1" t="s">
        <v>1231</v>
      </c>
      <c r="N335" s="1" t="s">
        <v>331</v>
      </c>
      <c r="O335" s="1" t="s">
        <v>258</v>
      </c>
      <c r="P335" s="1">
        <v>115190</v>
      </c>
      <c r="Q335" s="1" t="s">
        <v>330</v>
      </c>
      <c r="R335" s="1">
        <v>3897429</v>
      </c>
      <c r="S335" s="1" t="s">
        <v>479</v>
      </c>
      <c r="T335" s="1" t="s">
        <v>68</v>
      </c>
      <c r="U335" s="1" t="s">
        <v>406</v>
      </c>
      <c r="V335" s="1" t="s">
        <v>407</v>
      </c>
      <c r="W335" s="1">
        <v>0.35</v>
      </c>
      <c r="X335" s="1">
        <v>900</v>
      </c>
      <c r="Y335" s="1">
        <v>0</v>
      </c>
      <c r="Z335" s="3">
        <v>42</v>
      </c>
      <c r="AA335" s="3">
        <v>0</v>
      </c>
      <c r="AB335" s="3">
        <v>42</v>
      </c>
      <c r="AC335" s="3">
        <v>0</v>
      </c>
      <c r="AD335" s="3">
        <f t="shared" si="132"/>
        <v>42</v>
      </c>
      <c r="AE335" s="3">
        <v>0</v>
      </c>
      <c r="AF335" s="3">
        <v>0</v>
      </c>
      <c r="AG335" s="3">
        <v>0</v>
      </c>
      <c r="AH335" s="3">
        <v>0</v>
      </c>
      <c r="AI335" s="3">
        <v>42</v>
      </c>
      <c r="AJ335" s="3">
        <f t="shared" si="133"/>
        <v>42</v>
      </c>
      <c r="AK335" s="1">
        <v>0</v>
      </c>
      <c r="AL335" s="1">
        <v>0</v>
      </c>
      <c r="AM335" s="1">
        <v>0</v>
      </c>
      <c r="AN335" s="1">
        <v>0</v>
      </c>
      <c r="AO335" s="3">
        <f t="shared" ref="AO335:AO337" si="141">AI335</f>
        <v>42</v>
      </c>
      <c r="AP335" s="3">
        <f t="shared" si="139"/>
        <v>0</v>
      </c>
      <c r="AQ335" s="1" t="s">
        <v>330</v>
      </c>
    </row>
    <row r="336" spans="1:43" x14ac:dyDescent="0.35">
      <c r="A336" s="1">
        <v>743</v>
      </c>
      <c r="B336" s="2">
        <v>45917</v>
      </c>
      <c r="C336" s="1" t="s">
        <v>64</v>
      </c>
      <c r="D336" s="1">
        <v>9519113387</v>
      </c>
      <c r="E336" s="1">
        <v>3</v>
      </c>
      <c r="F336" s="1" t="s">
        <v>911</v>
      </c>
      <c r="G336" s="1" t="s">
        <v>1155</v>
      </c>
      <c r="H336" s="1" t="s">
        <v>63</v>
      </c>
      <c r="I336" s="1" t="s">
        <v>1292</v>
      </c>
      <c r="K336" s="1" t="s">
        <v>970</v>
      </c>
      <c r="L336" s="1" t="str">
        <f t="shared" si="127"/>
        <v>BPRS</v>
      </c>
      <c r="M336" s="1" t="s">
        <v>1231</v>
      </c>
      <c r="N336" s="1" t="s">
        <v>331</v>
      </c>
      <c r="O336" s="1" t="s">
        <v>258</v>
      </c>
      <c r="P336" s="1">
        <v>115190</v>
      </c>
      <c r="Q336" s="1" t="s">
        <v>330</v>
      </c>
      <c r="R336" s="1">
        <v>3897430</v>
      </c>
      <c r="S336" s="1" t="s">
        <v>480</v>
      </c>
      <c r="T336" s="1" t="s">
        <v>68</v>
      </c>
      <c r="U336" s="1" t="s">
        <v>406</v>
      </c>
      <c r="V336" s="1" t="s">
        <v>407</v>
      </c>
      <c r="W336" s="1">
        <v>0.4</v>
      </c>
      <c r="X336" s="1">
        <v>900</v>
      </c>
      <c r="Y336" s="1">
        <v>0</v>
      </c>
      <c r="Z336" s="3">
        <v>21</v>
      </c>
      <c r="AA336" s="3">
        <v>0</v>
      </c>
      <c r="AB336" s="3">
        <v>21</v>
      </c>
      <c r="AC336" s="3">
        <v>0</v>
      </c>
      <c r="AD336" s="3">
        <f t="shared" si="132"/>
        <v>21</v>
      </c>
      <c r="AE336" s="3">
        <v>0</v>
      </c>
      <c r="AF336" s="3">
        <v>0</v>
      </c>
      <c r="AG336" s="3">
        <v>0</v>
      </c>
      <c r="AH336" s="3">
        <v>0</v>
      </c>
      <c r="AI336" s="3">
        <v>21</v>
      </c>
      <c r="AJ336" s="3">
        <f t="shared" si="133"/>
        <v>21</v>
      </c>
      <c r="AK336" s="1">
        <v>0</v>
      </c>
      <c r="AL336" s="1">
        <v>0</v>
      </c>
      <c r="AM336" s="1">
        <v>0</v>
      </c>
      <c r="AN336" s="1">
        <v>0</v>
      </c>
      <c r="AO336" s="3">
        <f t="shared" si="141"/>
        <v>21</v>
      </c>
      <c r="AP336" s="3">
        <f t="shared" si="139"/>
        <v>0</v>
      </c>
      <c r="AQ336" s="1" t="s">
        <v>330</v>
      </c>
    </row>
    <row r="337" spans="1:43" x14ac:dyDescent="0.35">
      <c r="A337" s="1">
        <v>743</v>
      </c>
      <c r="B337" s="2">
        <v>45917</v>
      </c>
      <c r="C337" s="1" t="s">
        <v>64</v>
      </c>
      <c r="D337" s="1">
        <v>9519113387</v>
      </c>
      <c r="E337" s="1">
        <v>4</v>
      </c>
      <c r="F337" s="1" t="s">
        <v>912</v>
      </c>
      <c r="G337" s="1" t="s">
        <v>1155</v>
      </c>
      <c r="H337" s="1" t="s">
        <v>63</v>
      </c>
      <c r="I337" s="1" t="s">
        <v>1292</v>
      </c>
      <c r="J337" s="1">
        <v>500</v>
      </c>
      <c r="K337" s="1" t="s">
        <v>970</v>
      </c>
      <c r="L337" s="1" t="str">
        <f t="shared" si="127"/>
        <v>BPRS</v>
      </c>
      <c r="M337" s="1" t="s">
        <v>1231</v>
      </c>
      <c r="N337" s="1" t="s">
        <v>331</v>
      </c>
      <c r="O337" s="1" t="s">
        <v>258</v>
      </c>
      <c r="P337" s="1">
        <v>115190</v>
      </c>
      <c r="Q337" s="1" t="s">
        <v>330</v>
      </c>
      <c r="R337" s="1">
        <v>3897501</v>
      </c>
      <c r="S337" s="1" t="s">
        <v>405</v>
      </c>
      <c r="T337" s="1" t="s">
        <v>68</v>
      </c>
      <c r="U337" s="1" t="s">
        <v>406</v>
      </c>
      <c r="V337" s="1" t="s">
        <v>407</v>
      </c>
      <c r="W337" s="1">
        <v>0.5</v>
      </c>
      <c r="X337" s="1">
        <v>900</v>
      </c>
      <c r="Y337" s="1">
        <v>0</v>
      </c>
      <c r="Z337" s="3">
        <v>126</v>
      </c>
      <c r="AA337" s="3">
        <v>0</v>
      </c>
      <c r="AB337" s="3">
        <v>126</v>
      </c>
      <c r="AC337" s="3">
        <v>0</v>
      </c>
      <c r="AD337" s="3">
        <f t="shared" si="132"/>
        <v>126</v>
      </c>
      <c r="AE337" s="3">
        <v>0</v>
      </c>
      <c r="AF337" s="3">
        <v>0</v>
      </c>
      <c r="AG337" s="3">
        <v>0</v>
      </c>
      <c r="AH337" s="3">
        <v>0</v>
      </c>
      <c r="AI337" s="3">
        <v>126</v>
      </c>
      <c r="AJ337" s="3">
        <f t="shared" si="133"/>
        <v>126</v>
      </c>
      <c r="AK337" s="1">
        <v>0</v>
      </c>
      <c r="AL337" s="1">
        <v>0</v>
      </c>
      <c r="AM337" s="1">
        <v>0</v>
      </c>
      <c r="AN337" s="1">
        <v>0</v>
      </c>
      <c r="AO337" s="3">
        <f t="shared" si="141"/>
        <v>126</v>
      </c>
      <c r="AP337" s="3">
        <f t="shared" si="139"/>
        <v>0</v>
      </c>
      <c r="AQ337" s="1" t="s">
        <v>330</v>
      </c>
    </row>
    <row r="338" spans="1:43" x14ac:dyDescent="0.35">
      <c r="A338" s="1">
        <v>742</v>
      </c>
      <c r="B338" s="2">
        <v>45892</v>
      </c>
      <c r="C338" s="1" t="s">
        <v>64</v>
      </c>
      <c r="D338" s="1">
        <v>9519041216</v>
      </c>
      <c r="E338" s="1">
        <v>1</v>
      </c>
      <c r="F338" s="1" t="s">
        <v>913</v>
      </c>
      <c r="G338" s="1" t="s">
        <v>1155</v>
      </c>
      <c r="H338" s="1" t="s">
        <v>21</v>
      </c>
      <c r="I338" s="1" t="s">
        <v>71</v>
      </c>
      <c r="K338" s="1" t="s">
        <v>970</v>
      </c>
      <c r="L338" s="1" t="str">
        <f t="shared" si="127"/>
        <v>BPRS</v>
      </c>
      <c r="M338" s="1" t="s">
        <v>1229</v>
      </c>
      <c r="N338" s="1" t="s">
        <v>73</v>
      </c>
      <c r="O338" s="1" t="s">
        <v>74</v>
      </c>
      <c r="P338" s="1">
        <v>946077</v>
      </c>
      <c r="Q338" s="1" t="s">
        <v>72</v>
      </c>
      <c r="R338" s="1">
        <v>3240776</v>
      </c>
      <c r="S338" s="1" t="s">
        <v>453</v>
      </c>
      <c r="T338" s="1" t="s">
        <v>75</v>
      </c>
      <c r="U338" s="1" t="s">
        <v>76</v>
      </c>
      <c r="V338" s="1" t="s">
        <v>77</v>
      </c>
      <c r="W338" s="1">
        <v>0.6</v>
      </c>
      <c r="X338" s="1">
        <v>1000</v>
      </c>
      <c r="Y338" s="1">
        <v>2440</v>
      </c>
      <c r="Z338" s="3">
        <v>46</v>
      </c>
      <c r="AA338" s="3">
        <v>0</v>
      </c>
      <c r="AB338" s="3">
        <v>46</v>
      </c>
      <c r="AC338" s="3">
        <v>0</v>
      </c>
      <c r="AD338" s="3">
        <f t="shared" si="132"/>
        <v>46</v>
      </c>
      <c r="AE338" s="3">
        <v>0</v>
      </c>
      <c r="AF338" s="3">
        <v>0</v>
      </c>
      <c r="AG338" s="3">
        <v>0</v>
      </c>
      <c r="AH338" s="3">
        <v>0</v>
      </c>
      <c r="AI338" s="3">
        <v>46</v>
      </c>
      <c r="AJ338" s="3">
        <f t="shared" si="133"/>
        <v>0</v>
      </c>
      <c r="AK338" s="1">
        <v>0</v>
      </c>
      <c r="AL338" s="3">
        <f t="shared" ref="AL338:AL339" si="142">AE338</f>
        <v>0</v>
      </c>
      <c r="AM338" s="3">
        <f t="shared" ref="AM338:AM339" si="143">AF338</f>
        <v>0</v>
      </c>
      <c r="AN338" s="3">
        <f t="shared" ref="AN338:AN339" si="144">AG338</f>
        <v>0</v>
      </c>
      <c r="AO338" s="3">
        <f t="shared" ref="AO338:AO339" si="145">AH338</f>
        <v>0</v>
      </c>
      <c r="AP338" s="3">
        <f t="shared" si="139"/>
        <v>46</v>
      </c>
      <c r="AQ338" s="1" t="s">
        <v>72</v>
      </c>
    </row>
    <row r="339" spans="1:43" x14ac:dyDescent="0.35">
      <c r="A339" s="1">
        <v>742</v>
      </c>
      <c r="B339" s="2">
        <v>45892</v>
      </c>
      <c r="C339" s="1" t="s">
        <v>64</v>
      </c>
      <c r="D339" s="1">
        <v>9519041216</v>
      </c>
      <c r="E339" s="1">
        <v>2</v>
      </c>
      <c r="F339" s="1" t="s">
        <v>914</v>
      </c>
      <c r="G339" s="1" t="s">
        <v>1155</v>
      </c>
      <c r="H339" s="1" t="s">
        <v>21</v>
      </c>
      <c r="I339" s="1" t="s">
        <v>71</v>
      </c>
      <c r="K339" s="1" t="s">
        <v>970</v>
      </c>
      <c r="L339" s="1" t="str">
        <f t="shared" si="127"/>
        <v>BPRS</v>
      </c>
      <c r="M339" s="1" t="s">
        <v>1229</v>
      </c>
      <c r="N339" s="1" t="s">
        <v>73</v>
      </c>
      <c r="O339" s="1" t="s">
        <v>74</v>
      </c>
      <c r="P339" s="1">
        <v>946077</v>
      </c>
      <c r="Q339" s="1" t="s">
        <v>72</v>
      </c>
      <c r="R339" s="1">
        <v>3240771</v>
      </c>
      <c r="S339" s="1" t="s">
        <v>481</v>
      </c>
      <c r="T339" s="1" t="s">
        <v>75</v>
      </c>
      <c r="U339" s="1" t="s">
        <v>76</v>
      </c>
      <c r="V339" s="1" t="s">
        <v>77</v>
      </c>
      <c r="W339" s="1">
        <v>0.6</v>
      </c>
      <c r="X339" s="1">
        <v>900</v>
      </c>
      <c r="Y339" s="1">
        <v>2440</v>
      </c>
      <c r="Z339" s="3">
        <v>42</v>
      </c>
      <c r="AA339" s="3">
        <v>0</v>
      </c>
      <c r="AB339" s="3">
        <v>42</v>
      </c>
      <c r="AC339" s="3">
        <v>0</v>
      </c>
      <c r="AD339" s="3">
        <f t="shared" si="132"/>
        <v>42</v>
      </c>
      <c r="AE339" s="3">
        <v>0</v>
      </c>
      <c r="AF339" s="3">
        <v>0</v>
      </c>
      <c r="AG339" s="3">
        <v>42</v>
      </c>
      <c r="AH339" s="3">
        <v>0</v>
      </c>
      <c r="AI339" s="3">
        <v>0</v>
      </c>
      <c r="AJ339" s="3">
        <f t="shared" si="133"/>
        <v>42</v>
      </c>
      <c r="AK339" s="1">
        <v>0</v>
      </c>
      <c r="AL339" s="3">
        <f t="shared" si="142"/>
        <v>0</v>
      </c>
      <c r="AM339" s="3">
        <f t="shared" si="143"/>
        <v>0</v>
      </c>
      <c r="AN339" s="3">
        <f t="shared" si="144"/>
        <v>42</v>
      </c>
      <c r="AO339" s="3">
        <f t="shared" si="145"/>
        <v>0</v>
      </c>
      <c r="AP339" s="3">
        <f t="shared" si="139"/>
        <v>0</v>
      </c>
      <c r="AQ339" s="1" t="s">
        <v>72</v>
      </c>
    </row>
    <row r="340" spans="1:43" x14ac:dyDescent="0.35">
      <c r="A340" s="1">
        <v>742</v>
      </c>
      <c r="B340" s="2">
        <v>45881</v>
      </c>
      <c r="C340" s="1" t="s">
        <v>64</v>
      </c>
      <c r="D340" s="1">
        <v>9519011538</v>
      </c>
      <c r="E340" s="1">
        <v>1</v>
      </c>
      <c r="F340" s="1" t="s">
        <v>915</v>
      </c>
      <c r="G340" s="1" t="s">
        <v>393</v>
      </c>
      <c r="H340" s="1" t="s">
        <v>21</v>
      </c>
      <c r="I340" s="1" t="s">
        <v>71</v>
      </c>
      <c r="K340" s="1" t="s">
        <v>970</v>
      </c>
      <c r="L340" s="1" t="str">
        <f t="shared" si="127"/>
        <v>BPRS</v>
      </c>
      <c r="M340" s="1" t="s">
        <v>1231</v>
      </c>
      <c r="N340" s="1" t="s">
        <v>214</v>
      </c>
      <c r="O340" s="1" t="s">
        <v>97</v>
      </c>
      <c r="P340" s="1">
        <v>115841</v>
      </c>
      <c r="Q340" s="1" t="s">
        <v>240</v>
      </c>
      <c r="R340" s="1">
        <v>3437524</v>
      </c>
      <c r="S340" s="1" t="s">
        <v>215</v>
      </c>
      <c r="T340" s="1" t="s">
        <v>75</v>
      </c>
      <c r="U340" s="1" t="s">
        <v>122</v>
      </c>
      <c r="V340" s="1" t="s">
        <v>123</v>
      </c>
      <c r="W340" s="1">
        <v>0.4</v>
      </c>
      <c r="X340" s="1">
        <v>1250</v>
      </c>
      <c r="Y340" s="1">
        <v>2030</v>
      </c>
      <c r="Z340" s="3">
        <v>87</v>
      </c>
      <c r="AA340" s="3">
        <v>0</v>
      </c>
      <c r="AB340" s="3">
        <v>87</v>
      </c>
      <c r="AC340" s="3">
        <v>0</v>
      </c>
      <c r="AD340" s="3">
        <f t="shared" si="132"/>
        <v>87</v>
      </c>
      <c r="AE340" s="3">
        <v>0</v>
      </c>
      <c r="AF340" s="3">
        <v>0</v>
      </c>
      <c r="AG340" s="3">
        <v>0</v>
      </c>
      <c r="AH340" s="3">
        <v>0</v>
      </c>
      <c r="AI340" s="3">
        <v>87</v>
      </c>
      <c r="AJ340" s="3">
        <f t="shared" si="133"/>
        <v>0</v>
      </c>
      <c r="AK340" s="1">
        <v>0</v>
      </c>
      <c r="AL340" s="3">
        <f>AE340</f>
        <v>0</v>
      </c>
      <c r="AM340" s="3">
        <f>AF340</f>
        <v>0</v>
      </c>
      <c r="AN340" s="3">
        <f>AG340</f>
        <v>0</v>
      </c>
      <c r="AO340" s="3">
        <f>AH340</f>
        <v>0</v>
      </c>
      <c r="AP340" s="3">
        <f t="shared" si="139"/>
        <v>87</v>
      </c>
      <c r="AQ340" s="1" t="s">
        <v>240</v>
      </c>
    </row>
    <row r="341" spans="1:43" x14ac:dyDescent="0.35">
      <c r="A341" s="1">
        <v>742</v>
      </c>
      <c r="B341" s="2">
        <v>45891</v>
      </c>
      <c r="C341" s="1" t="s">
        <v>64</v>
      </c>
      <c r="D341" s="1">
        <v>9519040469</v>
      </c>
      <c r="E341" s="1">
        <v>2</v>
      </c>
      <c r="F341" s="1" t="s">
        <v>916</v>
      </c>
      <c r="G341" s="1" t="s">
        <v>393</v>
      </c>
      <c r="H341" s="1" t="s">
        <v>21</v>
      </c>
      <c r="I341" s="1" t="s">
        <v>969</v>
      </c>
      <c r="K341" s="1" t="s">
        <v>969</v>
      </c>
      <c r="L341" s="1" t="str">
        <f t="shared" si="127"/>
        <v>IPP</v>
      </c>
      <c r="M341" s="1" t="s">
        <v>1228</v>
      </c>
      <c r="N341" s="1" t="s">
        <v>328</v>
      </c>
      <c r="O341" s="1" t="s">
        <v>173</v>
      </c>
      <c r="P341" s="1">
        <v>189405</v>
      </c>
      <c r="Q341" s="1" t="s">
        <v>327</v>
      </c>
      <c r="R341" s="1">
        <v>3655054</v>
      </c>
      <c r="S341" s="1" t="s">
        <v>482</v>
      </c>
      <c r="T341" s="1" t="s">
        <v>28</v>
      </c>
      <c r="U341" s="1" t="s">
        <v>29</v>
      </c>
      <c r="V341" s="1" t="s">
        <v>349</v>
      </c>
      <c r="W341" s="1">
        <v>1.2</v>
      </c>
      <c r="X341" s="1">
        <v>1215</v>
      </c>
      <c r="Y341" s="1">
        <v>0</v>
      </c>
      <c r="Z341" s="3">
        <v>140</v>
      </c>
      <c r="AA341" s="3">
        <v>101.11</v>
      </c>
      <c r="AB341" s="3">
        <v>38.89</v>
      </c>
      <c r="AC341" s="3">
        <v>76.085000000000008</v>
      </c>
      <c r="AD341" s="3">
        <f t="shared" si="132"/>
        <v>38.89</v>
      </c>
      <c r="AE341" s="3">
        <v>38.89</v>
      </c>
      <c r="AF341" s="3">
        <v>0</v>
      </c>
      <c r="AG341" s="3">
        <v>0</v>
      </c>
      <c r="AH341" s="3">
        <v>0</v>
      </c>
      <c r="AI341" s="3">
        <v>0</v>
      </c>
      <c r="AJ341" s="3">
        <f t="shared" si="133"/>
        <v>114.97500000000001</v>
      </c>
      <c r="AK341" s="1">
        <v>0</v>
      </c>
      <c r="AL341" s="3">
        <f>AE341+AC341</f>
        <v>114.97500000000001</v>
      </c>
      <c r="AM341" s="1">
        <v>0</v>
      </c>
      <c r="AN341" s="1">
        <v>0</v>
      </c>
      <c r="AO341" s="1">
        <v>0</v>
      </c>
      <c r="AP341" s="3">
        <f t="shared" si="139"/>
        <v>0</v>
      </c>
      <c r="AQ341" s="1" t="s">
        <v>327</v>
      </c>
    </row>
    <row r="342" spans="1:43" x14ac:dyDescent="0.35">
      <c r="A342" s="1">
        <v>742</v>
      </c>
      <c r="B342" s="2">
        <v>45905</v>
      </c>
      <c r="C342" s="1" t="s">
        <v>64</v>
      </c>
      <c r="D342" s="1">
        <v>9519080347</v>
      </c>
      <c r="E342" s="1">
        <v>1</v>
      </c>
      <c r="F342" s="1" t="s">
        <v>917</v>
      </c>
      <c r="G342" s="1" t="s">
        <v>1155</v>
      </c>
      <c r="H342" s="1" t="s">
        <v>21</v>
      </c>
      <c r="I342" s="1" t="s">
        <v>22</v>
      </c>
      <c r="K342" s="1" t="s">
        <v>970</v>
      </c>
      <c r="L342" s="1" t="str">
        <f t="shared" si="127"/>
        <v>BPRS</v>
      </c>
      <c r="M342" s="1" t="s">
        <v>1231</v>
      </c>
      <c r="N342" s="1" t="s">
        <v>25</v>
      </c>
      <c r="O342" s="1" t="s">
        <v>26</v>
      </c>
      <c r="P342" s="1">
        <v>144917</v>
      </c>
      <c r="Q342" s="1" t="s">
        <v>483</v>
      </c>
      <c r="R342" s="1">
        <v>1804772</v>
      </c>
      <c r="S342" s="1" t="s">
        <v>271</v>
      </c>
      <c r="T342" s="1" t="s">
        <v>28</v>
      </c>
      <c r="U342" s="1" t="s">
        <v>29</v>
      </c>
      <c r="V342" s="1" t="s">
        <v>30</v>
      </c>
      <c r="W342" s="1">
        <v>0.4</v>
      </c>
      <c r="X342" s="1">
        <v>1250</v>
      </c>
      <c r="Y342" s="1">
        <v>0</v>
      </c>
      <c r="Z342" s="3">
        <v>29</v>
      </c>
      <c r="AA342" s="3">
        <v>0</v>
      </c>
      <c r="AB342" s="3">
        <v>29</v>
      </c>
      <c r="AC342" s="3">
        <v>0</v>
      </c>
      <c r="AD342" s="3">
        <f t="shared" si="132"/>
        <v>29</v>
      </c>
      <c r="AE342" s="3">
        <v>0</v>
      </c>
      <c r="AF342" s="3">
        <v>0</v>
      </c>
      <c r="AG342" s="3">
        <v>29</v>
      </c>
      <c r="AH342" s="3">
        <v>0</v>
      </c>
      <c r="AI342" s="3">
        <v>0</v>
      </c>
      <c r="AJ342" s="3">
        <f t="shared" si="133"/>
        <v>29</v>
      </c>
      <c r="AK342" s="1">
        <v>0</v>
      </c>
      <c r="AL342" s="3">
        <f>AE342</f>
        <v>0</v>
      </c>
      <c r="AM342" s="3">
        <f>AF342</f>
        <v>0</v>
      </c>
      <c r="AN342" s="3">
        <f>AG342</f>
        <v>29</v>
      </c>
      <c r="AO342" s="3">
        <f>AH342</f>
        <v>0</v>
      </c>
      <c r="AP342" s="3">
        <f t="shared" si="139"/>
        <v>0</v>
      </c>
      <c r="AQ342" s="1" t="s">
        <v>483</v>
      </c>
    </row>
    <row r="343" spans="1:43" x14ac:dyDescent="0.35">
      <c r="A343" s="1">
        <v>743</v>
      </c>
      <c r="B343" s="2">
        <v>45915</v>
      </c>
      <c r="C343" s="1" t="s">
        <v>64</v>
      </c>
      <c r="D343" s="1">
        <v>9519104694</v>
      </c>
      <c r="E343" s="1">
        <v>6</v>
      </c>
      <c r="F343" s="1" t="s">
        <v>918</v>
      </c>
      <c r="G343" s="1" t="s">
        <v>1155</v>
      </c>
      <c r="H343" s="1" t="s">
        <v>63</v>
      </c>
      <c r="I343" s="1" t="s">
        <v>1404</v>
      </c>
      <c r="K343" s="1" t="s">
        <v>970</v>
      </c>
      <c r="L343" s="1" t="str">
        <f t="shared" si="127"/>
        <v>BPRS</v>
      </c>
      <c r="M343" s="1" t="s">
        <v>1230</v>
      </c>
      <c r="N343" s="1" t="s">
        <v>1135</v>
      </c>
      <c r="O343" s="1" t="s">
        <v>120</v>
      </c>
      <c r="P343" s="1">
        <v>121328</v>
      </c>
      <c r="Q343" s="1" t="s">
        <v>119</v>
      </c>
      <c r="R343" s="1">
        <v>1854424</v>
      </c>
      <c r="S343" s="1" t="s">
        <v>249</v>
      </c>
      <c r="T343" s="1" t="s">
        <v>139</v>
      </c>
      <c r="U343" s="1" t="s">
        <v>140</v>
      </c>
      <c r="V343" s="1" t="s">
        <v>150</v>
      </c>
      <c r="W343" s="1">
        <v>0.6</v>
      </c>
      <c r="X343" s="1">
        <v>900</v>
      </c>
      <c r="Y343" s="1">
        <v>0</v>
      </c>
      <c r="Z343" s="3">
        <v>126</v>
      </c>
      <c r="AA343" s="3">
        <v>0</v>
      </c>
      <c r="AB343" s="3">
        <v>126</v>
      </c>
      <c r="AC343" s="3">
        <v>0</v>
      </c>
      <c r="AD343" s="3">
        <f t="shared" si="132"/>
        <v>126</v>
      </c>
      <c r="AE343" s="3">
        <v>126</v>
      </c>
      <c r="AF343" s="3">
        <v>0</v>
      </c>
      <c r="AG343" s="3">
        <v>0</v>
      </c>
      <c r="AH343" s="3">
        <v>0</v>
      </c>
      <c r="AI343" s="3">
        <v>0</v>
      </c>
      <c r="AJ343" s="3">
        <f t="shared" si="133"/>
        <v>126</v>
      </c>
      <c r="AK343" s="1">
        <v>0</v>
      </c>
      <c r="AL343" s="3">
        <f>AE343</f>
        <v>126</v>
      </c>
      <c r="AM343" s="1">
        <v>0</v>
      </c>
      <c r="AN343" s="1">
        <v>0</v>
      </c>
      <c r="AO343" s="1">
        <v>0</v>
      </c>
      <c r="AP343" s="3">
        <f t="shared" si="139"/>
        <v>0</v>
      </c>
      <c r="AQ343" s="1" t="s">
        <v>119</v>
      </c>
    </row>
    <row r="344" spans="1:43" x14ac:dyDescent="0.35">
      <c r="A344" s="1">
        <v>742</v>
      </c>
      <c r="B344" s="2">
        <v>45859</v>
      </c>
      <c r="C344" s="1" t="s">
        <v>64</v>
      </c>
      <c r="D344" s="1">
        <v>9518945221</v>
      </c>
      <c r="E344" s="1">
        <v>3</v>
      </c>
      <c r="F344" s="1" t="s">
        <v>919</v>
      </c>
      <c r="G344" s="1" t="s">
        <v>1155</v>
      </c>
      <c r="H344" s="1" t="s">
        <v>21</v>
      </c>
      <c r="I344" s="1" t="s">
        <v>22</v>
      </c>
      <c r="K344" s="1" t="s">
        <v>970</v>
      </c>
      <c r="L344" s="1" t="str">
        <f t="shared" si="127"/>
        <v>BPRS</v>
      </c>
      <c r="M344" s="1" t="s">
        <v>1229</v>
      </c>
      <c r="N344" s="1" t="s">
        <v>114</v>
      </c>
      <c r="O344" s="1" t="s">
        <v>58</v>
      </c>
      <c r="P344" s="1">
        <v>822271</v>
      </c>
      <c r="Q344" s="1" t="s">
        <v>24</v>
      </c>
      <c r="R344" s="1">
        <v>2434555</v>
      </c>
      <c r="S344" s="1" t="s">
        <v>484</v>
      </c>
      <c r="T344" s="1" t="s">
        <v>28</v>
      </c>
      <c r="U344" s="1" t="s">
        <v>29</v>
      </c>
      <c r="V344" s="1" t="s">
        <v>30</v>
      </c>
      <c r="W344" s="1">
        <v>0.6</v>
      </c>
      <c r="X344" s="1">
        <v>1320</v>
      </c>
      <c r="Y344" s="1">
        <v>0</v>
      </c>
      <c r="Z344" s="3">
        <v>60</v>
      </c>
      <c r="AA344" s="3">
        <v>0</v>
      </c>
      <c r="AB344" s="3">
        <v>60</v>
      </c>
      <c r="AC344" s="3">
        <v>0</v>
      </c>
      <c r="AD344" s="3">
        <f t="shared" si="132"/>
        <v>60</v>
      </c>
      <c r="AE344" s="3">
        <v>0</v>
      </c>
      <c r="AF344" s="3">
        <v>0</v>
      </c>
      <c r="AG344" s="3">
        <v>0</v>
      </c>
      <c r="AH344" s="3">
        <v>0</v>
      </c>
      <c r="AI344" s="3">
        <v>60</v>
      </c>
      <c r="AJ344" s="3">
        <f t="shared" si="133"/>
        <v>0</v>
      </c>
      <c r="AK344" s="1">
        <v>0</v>
      </c>
      <c r="AL344" s="3">
        <f t="shared" ref="AL344:AL345" si="146">AE344</f>
        <v>0</v>
      </c>
      <c r="AM344" s="3">
        <f t="shared" ref="AM344:AM345" si="147">AF344</f>
        <v>0</v>
      </c>
      <c r="AN344" s="3">
        <f t="shared" ref="AN344:AN345" si="148">AG344</f>
        <v>0</v>
      </c>
      <c r="AO344" s="3">
        <f t="shared" ref="AO344:AO345" si="149">AH344</f>
        <v>0</v>
      </c>
      <c r="AP344" s="3">
        <f t="shared" si="139"/>
        <v>60</v>
      </c>
      <c r="AQ344" s="1" t="s">
        <v>24</v>
      </c>
    </row>
    <row r="345" spans="1:43" x14ac:dyDescent="0.35">
      <c r="A345" s="1">
        <v>742</v>
      </c>
      <c r="B345" s="2">
        <v>45888</v>
      </c>
      <c r="C345" s="1" t="s">
        <v>64</v>
      </c>
      <c r="D345" s="1">
        <v>9519028231</v>
      </c>
      <c r="E345" s="1">
        <v>2</v>
      </c>
      <c r="F345" s="1" t="s">
        <v>920</v>
      </c>
      <c r="G345" s="1" t="s">
        <v>1155</v>
      </c>
      <c r="H345" s="1" t="s">
        <v>21</v>
      </c>
      <c r="I345" s="1" t="s">
        <v>22</v>
      </c>
      <c r="K345" s="1" t="s">
        <v>970</v>
      </c>
      <c r="L345" s="1" t="str">
        <f t="shared" si="127"/>
        <v>BPRS</v>
      </c>
      <c r="M345" s="1" t="s">
        <v>1229</v>
      </c>
      <c r="N345" s="1" t="s">
        <v>137</v>
      </c>
      <c r="O345" s="1" t="s">
        <v>58</v>
      </c>
      <c r="P345" s="1">
        <v>938550</v>
      </c>
      <c r="Q345" s="1" t="s">
        <v>221</v>
      </c>
      <c r="R345" s="1">
        <v>185675</v>
      </c>
      <c r="S345" s="1" t="s">
        <v>272</v>
      </c>
      <c r="T345" s="1" t="s">
        <v>28</v>
      </c>
      <c r="U345" s="1" t="s">
        <v>29</v>
      </c>
      <c r="V345" s="1" t="s">
        <v>30</v>
      </c>
      <c r="W345" s="1">
        <v>0.5</v>
      </c>
      <c r="X345" s="1">
        <v>1250</v>
      </c>
      <c r="Y345" s="1">
        <v>0</v>
      </c>
      <c r="Z345" s="3">
        <v>58</v>
      </c>
      <c r="AA345" s="3">
        <v>0</v>
      </c>
      <c r="AB345" s="3">
        <v>58</v>
      </c>
      <c r="AC345" s="3">
        <v>0</v>
      </c>
      <c r="AD345" s="3">
        <f t="shared" si="132"/>
        <v>58</v>
      </c>
      <c r="AE345" s="3">
        <v>0</v>
      </c>
      <c r="AF345" s="3">
        <v>0</v>
      </c>
      <c r="AG345" s="3">
        <v>0</v>
      </c>
      <c r="AH345" s="3">
        <v>58</v>
      </c>
      <c r="AI345" s="3">
        <v>0</v>
      </c>
      <c r="AJ345" s="3">
        <f t="shared" si="133"/>
        <v>58</v>
      </c>
      <c r="AK345" s="1">
        <v>0</v>
      </c>
      <c r="AL345" s="3">
        <f t="shared" si="146"/>
        <v>0</v>
      </c>
      <c r="AM345" s="3">
        <f t="shared" si="147"/>
        <v>0</v>
      </c>
      <c r="AN345" s="3">
        <f t="shared" si="148"/>
        <v>0</v>
      </c>
      <c r="AO345" s="3">
        <f t="shared" si="149"/>
        <v>58</v>
      </c>
      <c r="AP345" s="3">
        <f t="shared" si="139"/>
        <v>0</v>
      </c>
      <c r="AQ345" s="1" t="s">
        <v>221</v>
      </c>
    </row>
    <row r="346" spans="1:43" x14ac:dyDescent="0.35">
      <c r="A346" s="1">
        <v>742</v>
      </c>
      <c r="B346" s="2">
        <v>45883</v>
      </c>
      <c r="C346" s="1" t="s">
        <v>46</v>
      </c>
      <c r="D346" s="1">
        <v>9519017114</v>
      </c>
      <c r="E346" s="1">
        <v>1</v>
      </c>
      <c r="F346" s="1" t="s">
        <v>921</v>
      </c>
      <c r="G346" s="1" t="s">
        <v>1155</v>
      </c>
      <c r="H346" s="1" t="s">
        <v>21</v>
      </c>
      <c r="I346" s="1" t="s">
        <v>974</v>
      </c>
      <c r="K346" s="1" t="s">
        <v>969</v>
      </c>
      <c r="L346" s="1" t="s">
        <v>1421</v>
      </c>
      <c r="M346" s="1" t="s">
        <v>1229</v>
      </c>
      <c r="N346" s="1" t="s">
        <v>47</v>
      </c>
      <c r="O346" s="1" t="s">
        <v>58</v>
      </c>
      <c r="P346" s="1">
        <v>600250</v>
      </c>
      <c r="Q346" s="1" t="s">
        <v>43</v>
      </c>
      <c r="R346" s="1">
        <v>3659268</v>
      </c>
      <c r="S346" s="1" t="s">
        <v>133</v>
      </c>
      <c r="T346" s="1" t="s">
        <v>28</v>
      </c>
      <c r="U346" s="1" t="s">
        <v>117</v>
      </c>
      <c r="V346" s="1" t="s">
        <v>134</v>
      </c>
      <c r="W346" s="1">
        <v>0.5</v>
      </c>
      <c r="X346" s="1">
        <v>1217</v>
      </c>
      <c r="Y346" s="1">
        <v>0</v>
      </c>
      <c r="Z346" s="3">
        <v>196</v>
      </c>
      <c r="AA346" s="3">
        <v>64.489999999999995</v>
      </c>
      <c r="AB346" s="3">
        <v>131.51</v>
      </c>
      <c r="AC346" s="3">
        <v>0</v>
      </c>
      <c r="AD346" s="3">
        <f t="shared" si="132"/>
        <v>131.51</v>
      </c>
      <c r="AE346" s="3">
        <v>0</v>
      </c>
      <c r="AF346" s="3">
        <v>131.51</v>
      </c>
      <c r="AG346" s="3">
        <v>0</v>
      </c>
      <c r="AH346" s="3">
        <v>0</v>
      </c>
      <c r="AI346" s="3">
        <v>0</v>
      </c>
      <c r="AJ346" s="3">
        <f t="shared" si="133"/>
        <v>131.51</v>
      </c>
      <c r="AK346" s="1">
        <v>0</v>
      </c>
      <c r="AL346" s="3">
        <f>AE346</f>
        <v>0</v>
      </c>
      <c r="AM346" s="3">
        <f>AF346</f>
        <v>131.51</v>
      </c>
      <c r="AN346" s="3">
        <f>AG346</f>
        <v>0</v>
      </c>
      <c r="AO346" s="3">
        <f>AH346</f>
        <v>0</v>
      </c>
      <c r="AP346" s="3">
        <f t="shared" si="139"/>
        <v>0</v>
      </c>
      <c r="AQ346" s="1" t="s">
        <v>43</v>
      </c>
    </row>
    <row r="347" spans="1:43" x14ac:dyDescent="0.35">
      <c r="A347" s="1">
        <v>743</v>
      </c>
      <c r="B347" s="2">
        <v>45909</v>
      </c>
      <c r="C347" s="1" t="s">
        <v>64</v>
      </c>
      <c r="D347" s="1">
        <v>9519090170</v>
      </c>
      <c r="E347" s="1">
        <v>3</v>
      </c>
      <c r="F347" s="1" t="s">
        <v>922</v>
      </c>
      <c r="G347" s="1" t="s">
        <v>1155</v>
      </c>
      <c r="H347" s="1" t="s">
        <v>56</v>
      </c>
      <c r="I347" s="1" t="s">
        <v>968</v>
      </c>
      <c r="K347" s="1" t="s">
        <v>969</v>
      </c>
      <c r="L347" s="1" t="str">
        <f>K347</f>
        <v>IPP</v>
      </c>
      <c r="M347" s="1" t="s">
        <v>1232</v>
      </c>
      <c r="N347" s="1" t="s">
        <v>187</v>
      </c>
      <c r="O347" s="1" t="s">
        <v>54</v>
      </c>
      <c r="P347" s="1">
        <v>942284</v>
      </c>
      <c r="Q347" s="1" t="s">
        <v>87</v>
      </c>
      <c r="R347" s="1">
        <v>3856040</v>
      </c>
      <c r="S347" s="1" t="s">
        <v>485</v>
      </c>
      <c r="T347" s="1" t="s">
        <v>60</v>
      </c>
      <c r="U347" s="1" t="s">
        <v>61</v>
      </c>
      <c r="V347" s="1" t="s">
        <v>313</v>
      </c>
      <c r="W347" s="1">
        <v>0.43</v>
      </c>
      <c r="X347" s="1">
        <v>900</v>
      </c>
      <c r="Y347" s="1">
        <v>0</v>
      </c>
      <c r="Z347" s="3">
        <v>42</v>
      </c>
      <c r="AA347" s="3">
        <v>0</v>
      </c>
      <c r="AB347" s="3">
        <v>42</v>
      </c>
      <c r="AC347" s="3">
        <v>0</v>
      </c>
      <c r="AD347" s="3">
        <f t="shared" si="132"/>
        <v>42</v>
      </c>
      <c r="AE347" s="3">
        <v>0</v>
      </c>
      <c r="AF347" s="3">
        <v>42</v>
      </c>
      <c r="AG347" s="3">
        <v>0</v>
      </c>
      <c r="AH347" s="3">
        <v>0</v>
      </c>
      <c r="AI347" s="3">
        <v>0</v>
      </c>
      <c r="AJ347" s="3">
        <f t="shared" si="133"/>
        <v>42</v>
      </c>
      <c r="AK347" s="1">
        <v>0</v>
      </c>
      <c r="AL347" s="1">
        <v>0</v>
      </c>
      <c r="AM347" s="3">
        <f>AF347</f>
        <v>42</v>
      </c>
      <c r="AN347" s="1">
        <v>0</v>
      </c>
      <c r="AO347" s="1">
        <v>0</v>
      </c>
      <c r="AP347" s="3">
        <f t="shared" si="139"/>
        <v>0</v>
      </c>
      <c r="AQ347" s="1" t="s">
        <v>87</v>
      </c>
    </row>
    <row r="348" spans="1:43" x14ac:dyDescent="0.35">
      <c r="A348" s="1">
        <v>742</v>
      </c>
      <c r="B348" s="2">
        <v>45887</v>
      </c>
      <c r="C348" s="1" t="s">
        <v>46</v>
      </c>
      <c r="D348" s="1">
        <v>9519024849</v>
      </c>
      <c r="E348" s="1">
        <v>1</v>
      </c>
      <c r="F348" s="1" t="s">
        <v>923</v>
      </c>
      <c r="G348" s="1" t="s">
        <v>393</v>
      </c>
      <c r="H348" s="1" t="s">
        <v>21</v>
      </c>
      <c r="I348" s="1" t="s">
        <v>969</v>
      </c>
      <c r="K348" s="1" t="s">
        <v>969</v>
      </c>
      <c r="L348" s="1" t="s">
        <v>1421</v>
      </c>
      <c r="M348" s="1" t="s">
        <v>1230</v>
      </c>
      <c r="N348" s="1" t="s">
        <v>100</v>
      </c>
      <c r="O348" s="1" t="s">
        <v>145</v>
      </c>
      <c r="P348" s="1">
        <v>600250</v>
      </c>
      <c r="Q348" s="1" t="s">
        <v>43</v>
      </c>
      <c r="R348" s="1">
        <v>2164800</v>
      </c>
      <c r="S348" s="1" t="s">
        <v>325</v>
      </c>
      <c r="T348" s="1" t="s">
        <v>28</v>
      </c>
      <c r="U348" s="1" t="s">
        <v>29</v>
      </c>
      <c r="V348" s="1" t="s">
        <v>101</v>
      </c>
      <c r="W348" s="1">
        <v>0.97</v>
      </c>
      <c r="X348" s="1">
        <v>913</v>
      </c>
      <c r="Y348" s="1">
        <v>0</v>
      </c>
      <c r="Z348" s="3">
        <v>147</v>
      </c>
      <c r="AA348" s="3">
        <v>0</v>
      </c>
      <c r="AB348" s="3">
        <v>147</v>
      </c>
      <c r="AC348" s="3">
        <v>0</v>
      </c>
      <c r="AD348" s="3">
        <f t="shared" si="132"/>
        <v>147</v>
      </c>
      <c r="AE348" s="3">
        <v>0</v>
      </c>
      <c r="AF348" s="3">
        <v>0</v>
      </c>
      <c r="AG348" s="3">
        <v>147</v>
      </c>
      <c r="AH348" s="3">
        <v>0</v>
      </c>
      <c r="AI348" s="3">
        <v>0</v>
      </c>
      <c r="AJ348" s="3">
        <f t="shared" si="133"/>
        <v>147</v>
      </c>
      <c r="AK348" s="1">
        <v>0</v>
      </c>
      <c r="AL348" s="1">
        <v>0</v>
      </c>
      <c r="AM348" s="1">
        <v>0</v>
      </c>
      <c r="AN348" s="3">
        <f>AG348</f>
        <v>147</v>
      </c>
      <c r="AO348" s="1">
        <v>0</v>
      </c>
      <c r="AP348" s="3">
        <f t="shared" si="139"/>
        <v>0</v>
      </c>
      <c r="AQ348" s="1" t="s">
        <v>43</v>
      </c>
    </row>
    <row r="349" spans="1:43" x14ac:dyDescent="0.35">
      <c r="A349" s="1">
        <v>742</v>
      </c>
      <c r="B349" s="2">
        <v>45887</v>
      </c>
      <c r="C349" s="1" t="s">
        <v>64</v>
      </c>
      <c r="D349" s="1">
        <v>9519025763</v>
      </c>
      <c r="E349" s="1">
        <v>1</v>
      </c>
      <c r="F349" s="1" t="s">
        <v>924</v>
      </c>
      <c r="G349" s="1" t="s">
        <v>1155</v>
      </c>
      <c r="H349" s="1" t="s">
        <v>21</v>
      </c>
      <c r="I349" s="1" t="s">
        <v>22</v>
      </c>
      <c r="K349" s="1" t="s">
        <v>970</v>
      </c>
      <c r="L349" s="1" t="str">
        <f t="shared" ref="L349:L412" si="150">K349</f>
        <v>BPRS</v>
      </c>
      <c r="M349" s="1" t="s">
        <v>1231</v>
      </c>
      <c r="N349" s="1" t="s">
        <v>260</v>
      </c>
      <c r="O349" s="1" t="s">
        <v>97</v>
      </c>
      <c r="P349" s="1">
        <v>115841</v>
      </c>
      <c r="Q349" s="1" t="s">
        <v>240</v>
      </c>
      <c r="R349" s="1">
        <v>322578</v>
      </c>
      <c r="S349" s="1" t="s">
        <v>387</v>
      </c>
      <c r="T349" s="1" t="s">
        <v>75</v>
      </c>
      <c r="U349" s="1" t="s">
        <v>122</v>
      </c>
      <c r="V349" s="1" t="s">
        <v>192</v>
      </c>
      <c r="W349" s="1">
        <v>0.5</v>
      </c>
      <c r="X349" s="1">
        <v>1250</v>
      </c>
      <c r="Y349" s="1">
        <v>2500</v>
      </c>
      <c r="Z349" s="3">
        <v>29</v>
      </c>
      <c r="AA349" s="3">
        <v>0</v>
      </c>
      <c r="AB349" s="3">
        <v>29</v>
      </c>
      <c r="AC349" s="3">
        <v>0</v>
      </c>
      <c r="AD349" s="3">
        <f t="shared" si="132"/>
        <v>29</v>
      </c>
      <c r="AE349" s="3">
        <v>0</v>
      </c>
      <c r="AF349" s="3">
        <v>29</v>
      </c>
      <c r="AG349" s="3">
        <v>0</v>
      </c>
      <c r="AH349" s="3">
        <v>0</v>
      </c>
      <c r="AI349" s="3">
        <v>0</v>
      </c>
      <c r="AJ349" s="3">
        <f t="shared" si="133"/>
        <v>29</v>
      </c>
      <c r="AK349" s="1">
        <v>0</v>
      </c>
      <c r="AL349" s="3">
        <f>AE349</f>
        <v>0</v>
      </c>
      <c r="AM349" s="3">
        <f>AF349</f>
        <v>29</v>
      </c>
      <c r="AN349" s="3">
        <f>AG349</f>
        <v>0</v>
      </c>
      <c r="AO349" s="3">
        <f>AH349</f>
        <v>0</v>
      </c>
      <c r="AP349" s="3">
        <f t="shared" si="139"/>
        <v>0</v>
      </c>
      <c r="AQ349" s="1" t="s">
        <v>240</v>
      </c>
    </row>
    <row r="350" spans="1:43" x14ac:dyDescent="0.35">
      <c r="A350" s="1">
        <v>743</v>
      </c>
      <c r="B350" s="2">
        <v>45890</v>
      </c>
      <c r="C350" s="1" t="s">
        <v>64</v>
      </c>
      <c r="D350" s="1">
        <v>9519036143</v>
      </c>
      <c r="E350" s="1">
        <v>9</v>
      </c>
      <c r="F350" s="1" t="s">
        <v>925</v>
      </c>
      <c r="G350" s="1" t="s">
        <v>393</v>
      </c>
      <c r="H350" s="1" t="s">
        <v>63</v>
      </c>
      <c r="I350" s="1" t="s">
        <v>1404</v>
      </c>
      <c r="K350" s="1" t="s">
        <v>970</v>
      </c>
      <c r="L350" s="1" t="str">
        <f t="shared" si="150"/>
        <v>BPRS</v>
      </c>
      <c r="M350" s="1" t="s">
        <v>1230</v>
      </c>
      <c r="N350" s="1" t="s">
        <v>220</v>
      </c>
      <c r="O350" s="1" t="s">
        <v>120</v>
      </c>
      <c r="P350" s="1">
        <v>185794</v>
      </c>
      <c r="Q350" s="1" t="s">
        <v>219</v>
      </c>
      <c r="R350" s="1">
        <v>1854418</v>
      </c>
      <c r="S350" s="1" t="s">
        <v>176</v>
      </c>
      <c r="T350" s="1" t="s">
        <v>139</v>
      </c>
      <c r="U350" s="1" t="s">
        <v>140</v>
      </c>
      <c r="V350" s="1" t="s">
        <v>150</v>
      </c>
      <c r="W350" s="1">
        <v>0.5</v>
      </c>
      <c r="X350" s="1">
        <v>900</v>
      </c>
      <c r="Y350" s="1">
        <v>0</v>
      </c>
      <c r="Z350" s="3">
        <v>126</v>
      </c>
      <c r="AA350" s="3">
        <v>19.03</v>
      </c>
      <c r="AB350" s="3">
        <v>106.97</v>
      </c>
      <c r="AC350" s="3">
        <v>19.03</v>
      </c>
      <c r="AD350" s="3">
        <f t="shared" si="132"/>
        <v>106.97</v>
      </c>
      <c r="AE350" s="3">
        <v>0</v>
      </c>
      <c r="AF350" s="3">
        <v>0</v>
      </c>
      <c r="AG350" s="3">
        <v>106.97</v>
      </c>
      <c r="AH350" s="3">
        <v>0</v>
      </c>
      <c r="AI350" s="3">
        <v>0</v>
      </c>
      <c r="AJ350" s="3">
        <f t="shared" si="133"/>
        <v>126</v>
      </c>
      <c r="AK350" s="1">
        <v>0</v>
      </c>
      <c r="AL350" s="1">
        <v>0</v>
      </c>
      <c r="AM350" s="1">
        <v>0</v>
      </c>
      <c r="AN350" s="3">
        <f>AG350+AC350</f>
        <v>126</v>
      </c>
      <c r="AO350" s="1">
        <v>0</v>
      </c>
      <c r="AP350" s="3">
        <f t="shared" si="139"/>
        <v>0</v>
      </c>
      <c r="AQ350" s="1" t="s">
        <v>219</v>
      </c>
    </row>
    <row r="351" spans="1:43" x14ac:dyDescent="0.35">
      <c r="A351" s="1">
        <v>742</v>
      </c>
      <c r="B351" s="2">
        <v>45887</v>
      </c>
      <c r="C351" s="1" t="s">
        <v>64</v>
      </c>
      <c r="D351" s="1">
        <v>9519025273</v>
      </c>
      <c r="E351" s="1">
        <v>1</v>
      </c>
      <c r="F351" s="1" t="s">
        <v>927</v>
      </c>
      <c r="G351" s="1" t="s">
        <v>393</v>
      </c>
      <c r="H351" s="1" t="s">
        <v>21</v>
      </c>
      <c r="I351" s="1" t="s">
        <v>71</v>
      </c>
      <c r="K351" s="1" t="s">
        <v>970</v>
      </c>
      <c r="L351" s="1" t="str">
        <f t="shared" si="150"/>
        <v>BPRS</v>
      </c>
      <c r="M351" s="1" t="s">
        <v>1230</v>
      </c>
      <c r="N351" s="1" t="s">
        <v>308</v>
      </c>
      <c r="O351" s="1" t="s">
        <v>151</v>
      </c>
      <c r="P351" s="1">
        <v>925093</v>
      </c>
      <c r="Q351" s="1" t="s">
        <v>307</v>
      </c>
      <c r="R351" s="1">
        <v>2441000</v>
      </c>
      <c r="S351" s="1" t="s">
        <v>416</v>
      </c>
      <c r="T351" s="1" t="s">
        <v>75</v>
      </c>
      <c r="U351" s="1" t="s">
        <v>122</v>
      </c>
      <c r="V351" s="1" t="s">
        <v>123</v>
      </c>
      <c r="W351" s="1">
        <v>0.33</v>
      </c>
      <c r="X351" s="1">
        <v>1250</v>
      </c>
      <c r="Y351" s="1">
        <v>2500</v>
      </c>
      <c r="Z351" s="3">
        <v>29</v>
      </c>
      <c r="AA351" s="3">
        <v>0</v>
      </c>
      <c r="AB351" s="3">
        <v>29</v>
      </c>
      <c r="AC351" s="3">
        <v>0</v>
      </c>
      <c r="AD351" s="3">
        <f t="shared" si="132"/>
        <v>29</v>
      </c>
      <c r="AE351" s="3">
        <v>0</v>
      </c>
      <c r="AF351" s="3">
        <v>29</v>
      </c>
      <c r="AG351" s="3">
        <v>0</v>
      </c>
      <c r="AH351" s="3">
        <v>0</v>
      </c>
      <c r="AI351" s="3">
        <v>0</v>
      </c>
      <c r="AJ351" s="3">
        <f t="shared" si="133"/>
        <v>29</v>
      </c>
      <c r="AK351" s="1">
        <v>0</v>
      </c>
      <c r="AL351" s="3">
        <f>AE351</f>
        <v>0</v>
      </c>
      <c r="AM351" s="3">
        <f>AF351</f>
        <v>29</v>
      </c>
      <c r="AN351" s="3">
        <f>AG351</f>
        <v>0</v>
      </c>
      <c r="AO351" s="3">
        <f>AH351</f>
        <v>0</v>
      </c>
      <c r="AP351" s="3">
        <f t="shared" si="139"/>
        <v>0</v>
      </c>
      <c r="AQ351" s="1" t="s">
        <v>307</v>
      </c>
    </row>
    <row r="352" spans="1:43" x14ac:dyDescent="0.35">
      <c r="A352" s="1">
        <v>743</v>
      </c>
      <c r="B352" s="2">
        <v>45912</v>
      </c>
      <c r="C352" s="1" t="s">
        <v>64</v>
      </c>
      <c r="D352" s="1">
        <v>9519099563</v>
      </c>
      <c r="E352" s="1">
        <v>8</v>
      </c>
      <c r="F352" s="1" t="s">
        <v>928</v>
      </c>
      <c r="G352" s="1" t="s">
        <v>1155</v>
      </c>
      <c r="H352" s="1" t="s">
        <v>63</v>
      </c>
      <c r="I352" s="1" t="s">
        <v>1404</v>
      </c>
      <c r="K352" s="1" t="s">
        <v>970</v>
      </c>
      <c r="L352" s="1" t="str">
        <f t="shared" si="150"/>
        <v>BPRS</v>
      </c>
      <c r="M352" s="1" t="s">
        <v>1230</v>
      </c>
      <c r="N352" s="1" t="s">
        <v>220</v>
      </c>
      <c r="O352" s="1" t="s">
        <v>120</v>
      </c>
      <c r="P352" s="1">
        <v>185794</v>
      </c>
      <c r="Q352" s="1" t="s">
        <v>219</v>
      </c>
      <c r="R352" s="1">
        <v>1178439</v>
      </c>
      <c r="S352" s="1" t="s">
        <v>202</v>
      </c>
      <c r="T352" s="1" t="s">
        <v>139</v>
      </c>
      <c r="U352" s="1" t="s">
        <v>140</v>
      </c>
      <c r="V352" s="1" t="s">
        <v>150</v>
      </c>
      <c r="W352" s="1">
        <v>0.4</v>
      </c>
      <c r="X352" s="1">
        <v>900</v>
      </c>
      <c r="Y352" s="1">
        <v>0</v>
      </c>
      <c r="Z352" s="3">
        <v>126</v>
      </c>
      <c r="AA352" s="3">
        <v>0</v>
      </c>
      <c r="AB352" s="3">
        <v>126</v>
      </c>
      <c r="AC352" s="3">
        <v>0</v>
      </c>
      <c r="AD352" s="3">
        <f t="shared" si="132"/>
        <v>126</v>
      </c>
      <c r="AE352" s="3">
        <v>0</v>
      </c>
      <c r="AF352" s="3">
        <v>0</v>
      </c>
      <c r="AG352" s="3">
        <v>0</v>
      </c>
      <c r="AH352" s="3">
        <v>126</v>
      </c>
      <c r="AI352" s="3">
        <v>0</v>
      </c>
      <c r="AJ352" s="3">
        <f t="shared" si="133"/>
        <v>126</v>
      </c>
      <c r="AK352" s="1">
        <v>0</v>
      </c>
      <c r="AL352" s="1">
        <v>0</v>
      </c>
      <c r="AM352" s="1">
        <v>0</v>
      </c>
      <c r="AN352" s="3">
        <v>0</v>
      </c>
      <c r="AO352" s="3">
        <f t="shared" ref="AO352:AO355" si="151">AH352</f>
        <v>126</v>
      </c>
      <c r="AP352" s="3">
        <f t="shared" si="139"/>
        <v>0</v>
      </c>
      <c r="AQ352" s="1" t="s">
        <v>219</v>
      </c>
    </row>
    <row r="353" spans="1:43" x14ac:dyDescent="0.35">
      <c r="A353" s="1">
        <v>743</v>
      </c>
      <c r="B353" s="2">
        <v>45912</v>
      </c>
      <c r="C353" s="1" t="s">
        <v>64</v>
      </c>
      <c r="D353" s="1">
        <v>9519099563</v>
      </c>
      <c r="E353" s="1">
        <v>9</v>
      </c>
      <c r="F353" s="1" t="s">
        <v>929</v>
      </c>
      <c r="G353" s="1" t="s">
        <v>1155</v>
      </c>
      <c r="H353" s="1" t="s">
        <v>63</v>
      </c>
      <c r="I353" s="1" t="s">
        <v>1404</v>
      </c>
      <c r="K353" s="1" t="s">
        <v>970</v>
      </c>
      <c r="L353" s="1" t="str">
        <f t="shared" si="150"/>
        <v>BPRS</v>
      </c>
      <c r="M353" s="1" t="s">
        <v>1230</v>
      </c>
      <c r="N353" s="1" t="s">
        <v>220</v>
      </c>
      <c r="O353" s="1" t="s">
        <v>120</v>
      </c>
      <c r="P353" s="1">
        <v>185794</v>
      </c>
      <c r="Q353" s="1" t="s">
        <v>219</v>
      </c>
      <c r="R353" s="1">
        <v>1178439</v>
      </c>
      <c r="S353" s="1" t="s">
        <v>202</v>
      </c>
      <c r="T353" s="1" t="s">
        <v>139</v>
      </c>
      <c r="U353" s="1" t="s">
        <v>140</v>
      </c>
      <c r="V353" s="1" t="s">
        <v>150</v>
      </c>
      <c r="W353" s="1">
        <v>0.4</v>
      </c>
      <c r="X353" s="1">
        <v>900</v>
      </c>
      <c r="Y353" s="1">
        <v>0</v>
      </c>
      <c r="Z353" s="3">
        <v>126</v>
      </c>
      <c r="AA353" s="3">
        <v>0</v>
      </c>
      <c r="AB353" s="3">
        <v>126</v>
      </c>
      <c r="AC353" s="3">
        <v>0</v>
      </c>
      <c r="AD353" s="3">
        <f t="shared" si="132"/>
        <v>126</v>
      </c>
      <c r="AE353" s="3">
        <v>0</v>
      </c>
      <c r="AF353" s="3">
        <v>0</v>
      </c>
      <c r="AG353" s="3">
        <v>0</v>
      </c>
      <c r="AH353" s="3">
        <v>126</v>
      </c>
      <c r="AI353" s="3">
        <v>0</v>
      </c>
      <c r="AJ353" s="3">
        <f t="shared" si="133"/>
        <v>126</v>
      </c>
      <c r="AK353" s="1">
        <v>0</v>
      </c>
      <c r="AL353" s="1">
        <v>0</v>
      </c>
      <c r="AM353" s="1">
        <v>0</v>
      </c>
      <c r="AN353" s="1">
        <v>0</v>
      </c>
      <c r="AO353" s="3">
        <f t="shared" si="151"/>
        <v>126</v>
      </c>
      <c r="AP353" s="3">
        <f t="shared" si="139"/>
        <v>0</v>
      </c>
      <c r="AQ353" s="1" t="s">
        <v>219</v>
      </c>
    </row>
    <row r="354" spans="1:43" x14ac:dyDescent="0.35">
      <c r="A354" s="1">
        <v>743</v>
      </c>
      <c r="B354" s="2">
        <v>45896</v>
      </c>
      <c r="C354" s="1" t="s">
        <v>64</v>
      </c>
      <c r="D354" s="1">
        <v>9519054625</v>
      </c>
      <c r="E354" s="1">
        <v>5</v>
      </c>
      <c r="F354" s="1" t="s">
        <v>930</v>
      </c>
      <c r="G354" s="1" t="s">
        <v>1155</v>
      </c>
      <c r="H354" s="1" t="s">
        <v>63</v>
      </c>
      <c r="I354" s="1" t="s">
        <v>1404</v>
      </c>
      <c r="K354" s="1" t="s">
        <v>970</v>
      </c>
      <c r="L354" s="1" t="str">
        <f t="shared" si="150"/>
        <v>BPRS</v>
      </c>
      <c r="M354" s="1" t="s">
        <v>1230</v>
      </c>
      <c r="N354" s="1" t="s">
        <v>79</v>
      </c>
      <c r="O354" s="1" t="s">
        <v>80</v>
      </c>
      <c r="P354" s="1">
        <v>116649</v>
      </c>
      <c r="Q354" s="1" t="s">
        <v>78</v>
      </c>
      <c r="R354" s="1">
        <v>1853143</v>
      </c>
      <c r="S354" s="1" t="s">
        <v>445</v>
      </c>
      <c r="T354" s="1" t="s">
        <v>139</v>
      </c>
      <c r="U354" s="1" t="s">
        <v>140</v>
      </c>
      <c r="V354" s="1" t="s">
        <v>141</v>
      </c>
      <c r="W354" s="1">
        <v>0.4</v>
      </c>
      <c r="X354" s="1">
        <v>900</v>
      </c>
      <c r="Y354" s="1">
        <v>0</v>
      </c>
      <c r="Z354" s="3">
        <v>42</v>
      </c>
      <c r="AA354" s="3">
        <v>20.164999999999999</v>
      </c>
      <c r="AB354" s="3">
        <v>21.835000000000001</v>
      </c>
      <c r="AC354" s="3">
        <v>0</v>
      </c>
      <c r="AD354" s="3">
        <f t="shared" si="132"/>
        <v>21.835000000000001</v>
      </c>
      <c r="AE354" s="3">
        <v>0</v>
      </c>
      <c r="AF354" s="3">
        <v>0</v>
      </c>
      <c r="AG354" s="3">
        <v>0</v>
      </c>
      <c r="AH354" s="3">
        <v>21.835000000000001</v>
      </c>
      <c r="AI354" s="3">
        <v>0</v>
      </c>
      <c r="AJ354" s="3">
        <f t="shared" si="133"/>
        <v>21.835000000000001</v>
      </c>
      <c r="AK354" s="1">
        <v>0</v>
      </c>
      <c r="AL354" s="1">
        <v>0</v>
      </c>
      <c r="AM354" s="1">
        <v>0</v>
      </c>
      <c r="AN354" s="1">
        <v>0</v>
      </c>
      <c r="AO354" s="3">
        <f t="shared" si="151"/>
        <v>21.835000000000001</v>
      </c>
      <c r="AP354" s="3">
        <f t="shared" si="139"/>
        <v>0</v>
      </c>
      <c r="AQ354" s="1" t="s">
        <v>78</v>
      </c>
    </row>
    <row r="355" spans="1:43" x14ac:dyDescent="0.35">
      <c r="A355" s="1">
        <v>743</v>
      </c>
      <c r="B355" s="2">
        <v>45896</v>
      </c>
      <c r="C355" s="1" t="s">
        <v>64</v>
      </c>
      <c r="D355" s="1">
        <v>9519054625</v>
      </c>
      <c r="E355" s="1">
        <v>6</v>
      </c>
      <c r="F355" s="1" t="s">
        <v>931</v>
      </c>
      <c r="G355" s="1" t="s">
        <v>1155</v>
      </c>
      <c r="H355" s="1" t="s">
        <v>63</v>
      </c>
      <c r="I355" s="1" t="s">
        <v>1404</v>
      </c>
      <c r="K355" s="1" t="s">
        <v>970</v>
      </c>
      <c r="L355" s="1" t="str">
        <f t="shared" si="150"/>
        <v>BPRS</v>
      </c>
      <c r="M355" s="1" t="s">
        <v>1230</v>
      </c>
      <c r="N355" s="1" t="s">
        <v>79</v>
      </c>
      <c r="O355" s="1" t="s">
        <v>80</v>
      </c>
      <c r="P355" s="1">
        <v>116649</v>
      </c>
      <c r="Q355" s="1" t="s">
        <v>78</v>
      </c>
      <c r="R355" s="1">
        <v>1142893</v>
      </c>
      <c r="S355" s="1" t="s">
        <v>439</v>
      </c>
      <c r="T355" s="1" t="s">
        <v>139</v>
      </c>
      <c r="U355" s="1" t="s">
        <v>140</v>
      </c>
      <c r="V355" s="1" t="s">
        <v>141</v>
      </c>
      <c r="W355" s="1">
        <v>0.35</v>
      </c>
      <c r="X355" s="1">
        <v>900</v>
      </c>
      <c r="Y355" s="1">
        <v>0</v>
      </c>
      <c r="Z355" s="3">
        <v>42</v>
      </c>
      <c r="AA355" s="3">
        <v>16.649999999999999</v>
      </c>
      <c r="AB355" s="3">
        <v>25.35</v>
      </c>
      <c r="AC355" s="3">
        <v>0</v>
      </c>
      <c r="AD355" s="3">
        <f t="shared" si="132"/>
        <v>25.35</v>
      </c>
      <c r="AE355" s="3">
        <v>0</v>
      </c>
      <c r="AF355" s="3">
        <v>0</v>
      </c>
      <c r="AG355" s="3">
        <v>0</v>
      </c>
      <c r="AH355" s="3">
        <v>25.35</v>
      </c>
      <c r="AI355" s="3">
        <v>0</v>
      </c>
      <c r="AJ355" s="3">
        <f t="shared" si="133"/>
        <v>25.35</v>
      </c>
      <c r="AK355" s="1">
        <v>0</v>
      </c>
      <c r="AL355" s="1">
        <v>0</v>
      </c>
      <c r="AM355" s="1">
        <v>0</v>
      </c>
      <c r="AN355" s="1">
        <v>0</v>
      </c>
      <c r="AO355" s="3">
        <f t="shared" si="151"/>
        <v>25.35</v>
      </c>
      <c r="AP355" s="3">
        <f t="shared" si="139"/>
        <v>0</v>
      </c>
      <c r="AQ355" s="1" t="s">
        <v>78</v>
      </c>
    </row>
    <row r="356" spans="1:43" x14ac:dyDescent="0.35">
      <c r="A356" s="1">
        <v>742</v>
      </c>
      <c r="B356" s="2">
        <v>45888</v>
      </c>
      <c r="C356" s="1" t="s">
        <v>64</v>
      </c>
      <c r="D356" s="1">
        <v>9519029800</v>
      </c>
      <c r="E356" s="1">
        <v>1</v>
      </c>
      <c r="F356" s="1" t="s">
        <v>932</v>
      </c>
      <c r="G356" s="1" t="s">
        <v>1155</v>
      </c>
      <c r="H356" s="1" t="s">
        <v>21</v>
      </c>
      <c r="I356" s="1" t="s">
        <v>71</v>
      </c>
      <c r="K356" s="1" t="s">
        <v>970</v>
      </c>
      <c r="L356" s="1" t="str">
        <f t="shared" si="150"/>
        <v>BPRS</v>
      </c>
      <c r="M356" s="1" t="s">
        <v>1230</v>
      </c>
      <c r="N356" s="1" t="s">
        <v>318</v>
      </c>
      <c r="O356" s="1" t="s">
        <v>157</v>
      </c>
      <c r="P356" s="1">
        <v>103227</v>
      </c>
      <c r="Q356" s="1" t="s">
        <v>155</v>
      </c>
      <c r="R356" s="1">
        <v>3239408</v>
      </c>
      <c r="S356" s="1" t="s">
        <v>121</v>
      </c>
      <c r="T356" s="1" t="s">
        <v>75</v>
      </c>
      <c r="U356" s="1" t="s">
        <v>122</v>
      </c>
      <c r="V356" s="1" t="s">
        <v>123</v>
      </c>
      <c r="W356" s="1">
        <v>0.3</v>
      </c>
      <c r="X356" s="1">
        <v>900</v>
      </c>
      <c r="Y356" s="1">
        <v>2500</v>
      </c>
      <c r="Z356" s="3">
        <v>21</v>
      </c>
      <c r="AA356" s="3">
        <v>0</v>
      </c>
      <c r="AB356" s="3">
        <v>21</v>
      </c>
      <c r="AC356" s="3">
        <v>0</v>
      </c>
      <c r="AD356" s="3">
        <f t="shared" si="132"/>
        <v>21</v>
      </c>
      <c r="AE356" s="3">
        <v>0</v>
      </c>
      <c r="AF356" s="3">
        <v>0</v>
      </c>
      <c r="AG356" s="3">
        <v>0</v>
      </c>
      <c r="AH356" s="3">
        <v>0</v>
      </c>
      <c r="AI356" s="3">
        <v>21</v>
      </c>
      <c r="AJ356" s="3">
        <f t="shared" si="133"/>
        <v>0</v>
      </c>
      <c r="AK356" s="1">
        <v>0</v>
      </c>
      <c r="AL356" s="3">
        <f t="shared" ref="AL356:AL357" si="152">AE356</f>
        <v>0</v>
      </c>
      <c r="AM356" s="3">
        <f t="shared" ref="AM356:AM357" si="153">AF356</f>
        <v>0</v>
      </c>
      <c r="AN356" s="3">
        <f t="shared" ref="AN356:AN357" si="154">AG356</f>
        <v>0</v>
      </c>
      <c r="AO356" s="3">
        <f t="shared" ref="AO356:AO357" si="155">AH356</f>
        <v>0</v>
      </c>
      <c r="AP356" s="3">
        <f t="shared" si="139"/>
        <v>21</v>
      </c>
      <c r="AQ356" s="1" t="s">
        <v>155</v>
      </c>
    </row>
    <row r="357" spans="1:43" x14ac:dyDescent="0.35">
      <c r="A357" s="1">
        <v>742</v>
      </c>
      <c r="B357" s="2">
        <v>45888</v>
      </c>
      <c r="C357" s="1" t="s">
        <v>64</v>
      </c>
      <c r="D357" s="1">
        <v>9519029800</v>
      </c>
      <c r="E357" s="1">
        <v>2</v>
      </c>
      <c r="F357" s="1" t="s">
        <v>933</v>
      </c>
      <c r="G357" s="1" t="s">
        <v>1155</v>
      </c>
      <c r="H357" s="1" t="s">
        <v>21</v>
      </c>
      <c r="I357" s="1" t="s">
        <v>71</v>
      </c>
      <c r="K357" s="1" t="s">
        <v>970</v>
      </c>
      <c r="L357" s="1" t="str">
        <f t="shared" si="150"/>
        <v>BPRS</v>
      </c>
      <c r="M357" s="1" t="s">
        <v>1230</v>
      </c>
      <c r="N357" s="1" t="s">
        <v>318</v>
      </c>
      <c r="O357" s="1" t="s">
        <v>157</v>
      </c>
      <c r="P357" s="1">
        <v>103227</v>
      </c>
      <c r="Q357" s="1" t="s">
        <v>155</v>
      </c>
      <c r="R357" s="1">
        <v>2440959</v>
      </c>
      <c r="S357" s="1" t="s">
        <v>339</v>
      </c>
      <c r="T357" s="1" t="s">
        <v>75</v>
      </c>
      <c r="U357" s="1" t="s">
        <v>122</v>
      </c>
      <c r="V357" s="1" t="s">
        <v>123</v>
      </c>
      <c r="W357" s="1">
        <v>0.33</v>
      </c>
      <c r="X357" s="1">
        <v>900</v>
      </c>
      <c r="Y357" s="1">
        <v>2500</v>
      </c>
      <c r="Z357" s="3">
        <v>21</v>
      </c>
      <c r="AA357" s="3">
        <v>0</v>
      </c>
      <c r="AB357" s="3">
        <v>21</v>
      </c>
      <c r="AC357" s="3">
        <v>0</v>
      </c>
      <c r="AD357" s="3">
        <f t="shared" ref="AD357:AD392" si="156">SUM(AE357:AI357)</f>
        <v>21</v>
      </c>
      <c r="AE357" s="3">
        <v>0</v>
      </c>
      <c r="AF357" s="3">
        <v>0</v>
      </c>
      <c r="AG357" s="3">
        <v>0</v>
      </c>
      <c r="AH357" s="3">
        <v>0</v>
      </c>
      <c r="AI357" s="3">
        <v>21</v>
      </c>
      <c r="AJ357" s="3">
        <f t="shared" ref="AJ357:AJ392" si="157">SUM(AK357:AO357)</f>
        <v>0</v>
      </c>
      <c r="AK357" s="1">
        <v>0</v>
      </c>
      <c r="AL357" s="3">
        <f t="shared" si="152"/>
        <v>0</v>
      </c>
      <c r="AM357" s="3">
        <f t="shared" si="153"/>
        <v>0</v>
      </c>
      <c r="AN357" s="3">
        <f t="shared" si="154"/>
        <v>0</v>
      </c>
      <c r="AO357" s="3">
        <f t="shared" si="155"/>
        <v>0</v>
      </c>
      <c r="AP357" s="3">
        <f t="shared" si="139"/>
        <v>21</v>
      </c>
      <c r="AQ357" s="1" t="s">
        <v>155</v>
      </c>
    </row>
    <row r="358" spans="1:43" x14ac:dyDescent="0.35">
      <c r="A358" s="1">
        <v>742</v>
      </c>
      <c r="B358" s="2">
        <v>45869</v>
      </c>
      <c r="C358" s="1" t="s">
        <v>64</v>
      </c>
      <c r="D358" s="1">
        <v>9518982165</v>
      </c>
      <c r="E358" s="1">
        <v>1</v>
      </c>
      <c r="F358" s="1" t="s">
        <v>934</v>
      </c>
      <c r="G358" s="1" t="s">
        <v>1155</v>
      </c>
      <c r="H358" s="1" t="s">
        <v>21</v>
      </c>
      <c r="I358" s="1" t="s">
        <v>22</v>
      </c>
      <c r="K358" s="1" t="s">
        <v>970</v>
      </c>
      <c r="L358" s="1" t="str">
        <f t="shared" si="150"/>
        <v>BPRS</v>
      </c>
      <c r="M358" s="1" t="s">
        <v>1231</v>
      </c>
      <c r="N358" s="1" t="s">
        <v>25</v>
      </c>
      <c r="O358" s="1" t="s">
        <v>26</v>
      </c>
      <c r="P358" s="1">
        <v>831432</v>
      </c>
      <c r="Q358" s="1" t="s">
        <v>357</v>
      </c>
      <c r="R358" s="1">
        <v>1804772</v>
      </c>
      <c r="S358" s="1" t="s">
        <v>271</v>
      </c>
      <c r="T358" s="1" t="s">
        <v>28</v>
      </c>
      <c r="U358" s="1" t="s">
        <v>29</v>
      </c>
      <c r="V358" s="1" t="s">
        <v>30</v>
      </c>
      <c r="W358" s="1">
        <v>0.4</v>
      </c>
      <c r="X358" s="1">
        <v>1250</v>
      </c>
      <c r="Y358" s="1">
        <v>0</v>
      </c>
      <c r="Z358" s="3">
        <v>58</v>
      </c>
      <c r="AA358" s="3">
        <v>0</v>
      </c>
      <c r="AB358" s="3">
        <v>58</v>
      </c>
      <c r="AC358" s="3">
        <v>0</v>
      </c>
      <c r="AD358" s="3">
        <f t="shared" si="156"/>
        <v>58</v>
      </c>
      <c r="AE358" s="3">
        <v>0</v>
      </c>
      <c r="AF358" s="3">
        <v>0</v>
      </c>
      <c r="AG358" s="3">
        <v>58</v>
      </c>
      <c r="AH358" s="3">
        <v>0</v>
      </c>
      <c r="AI358" s="3">
        <v>0</v>
      </c>
      <c r="AJ358" s="3">
        <f t="shared" si="157"/>
        <v>58</v>
      </c>
      <c r="AK358" s="1">
        <v>0</v>
      </c>
      <c r="AL358" s="3">
        <f>AE358</f>
        <v>0</v>
      </c>
      <c r="AM358" s="3">
        <f>AF358</f>
        <v>0</v>
      </c>
      <c r="AN358" s="3">
        <f>AG358</f>
        <v>58</v>
      </c>
      <c r="AO358" s="3">
        <f>AH358</f>
        <v>0</v>
      </c>
      <c r="AP358" s="3">
        <f t="shared" si="139"/>
        <v>0</v>
      </c>
      <c r="AQ358" s="1" t="s">
        <v>357</v>
      </c>
    </row>
    <row r="359" spans="1:43" x14ac:dyDescent="0.35">
      <c r="A359" s="1">
        <v>743</v>
      </c>
      <c r="B359" s="2">
        <v>45890</v>
      </c>
      <c r="C359" s="1" t="s">
        <v>64</v>
      </c>
      <c r="D359" s="1">
        <v>9519036143</v>
      </c>
      <c r="E359" s="1">
        <v>3</v>
      </c>
      <c r="F359" s="1" t="s">
        <v>935</v>
      </c>
      <c r="G359" s="1" t="s">
        <v>1155</v>
      </c>
      <c r="H359" s="1" t="s">
        <v>63</v>
      </c>
      <c r="I359" s="1" t="s">
        <v>1404</v>
      </c>
      <c r="K359" s="1" t="s">
        <v>970</v>
      </c>
      <c r="L359" s="1" t="str">
        <f t="shared" si="150"/>
        <v>BPRS</v>
      </c>
      <c r="M359" s="1" t="s">
        <v>1230</v>
      </c>
      <c r="N359" s="1" t="s">
        <v>220</v>
      </c>
      <c r="O359" s="1" t="s">
        <v>120</v>
      </c>
      <c r="P359" s="1">
        <v>185794</v>
      </c>
      <c r="Q359" s="1" t="s">
        <v>219</v>
      </c>
      <c r="R359" s="1">
        <v>1191955</v>
      </c>
      <c r="S359" s="1" t="s">
        <v>225</v>
      </c>
      <c r="T359" s="1" t="s">
        <v>139</v>
      </c>
      <c r="U359" s="1" t="s">
        <v>140</v>
      </c>
      <c r="V359" s="1" t="s">
        <v>150</v>
      </c>
      <c r="W359" s="1">
        <v>0.3</v>
      </c>
      <c r="X359" s="1">
        <v>900</v>
      </c>
      <c r="Y359" s="1">
        <v>0</v>
      </c>
      <c r="Z359" s="3">
        <v>147</v>
      </c>
      <c r="AA359" s="3">
        <v>0</v>
      </c>
      <c r="AB359" s="3">
        <v>147</v>
      </c>
      <c r="AC359" s="3">
        <v>0</v>
      </c>
      <c r="AD359" s="3">
        <f t="shared" si="156"/>
        <v>147</v>
      </c>
      <c r="AE359" s="3">
        <v>0</v>
      </c>
      <c r="AF359" s="3">
        <v>0</v>
      </c>
      <c r="AG359" s="3">
        <v>147</v>
      </c>
      <c r="AH359" s="3">
        <v>0</v>
      </c>
      <c r="AI359" s="3">
        <v>0</v>
      </c>
      <c r="AJ359" s="3">
        <f t="shared" si="157"/>
        <v>147</v>
      </c>
      <c r="AK359" s="1">
        <v>0</v>
      </c>
      <c r="AL359" s="1">
        <v>0</v>
      </c>
      <c r="AM359" s="1">
        <v>0</v>
      </c>
      <c r="AN359" s="3">
        <f>AG359</f>
        <v>147</v>
      </c>
      <c r="AO359" s="1">
        <v>0</v>
      </c>
      <c r="AP359" s="3">
        <f t="shared" si="139"/>
        <v>0</v>
      </c>
      <c r="AQ359" s="1" t="s">
        <v>219</v>
      </c>
    </row>
    <row r="360" spans="1:43" x14ac:dyDescent="0.35">
      <c r="A360" s="1">
        <v>743</v>
      </c>
      <c r="B360" s="2">
        <v>45889</v>
      </c>
      <c r="C360" s="1" t="s">
        <v>64</v>
      </c>
      <c r="D360" s="1">
        <v>9519032510</v>
      </c>
      <c r="E360" s="1">
        <v>2</v>
      </c>
      <c r="F360" s="1" t="s">
        <v>936</v>
      </c>
      <c r="G360" s="1" t="s">
        <v>1367</v>
      </c>
      <c r="H360" s="1" t="s">
        <v>63</v>
      </c>
      <c r="I360" s="1" t="s">
        <v>1404</v>
      </c>
      <c r="K360" s="1" t="s">
        <v>970</v>
      </c>
      <c r="L360" s="1" t="str">
        <f t="shared" si="150"/>
        <v>BPRS</v>
      </c>
      <c r="M360" s="1" t="s">
        <v>1230</v>
      </c>
      <c r="N360" s="1" t="s">
        <v>156</v>
      </c>
      <c r="O360" s="1" t="s">
        <v>157</v>
      </c>
      <c r="P360" s="1">
        <v>103227</v>
      </c>
      <c r="Q360" s="1" t="s">
        <v>155</v>
      </c>
      <c r="R360" s="1">
        <v>1191955</v>
      </c>
      <c r="S360" s="1" t="s">
        <v>225</v>
      </c>
      <c r="T360" s="1" t="s">
        <v>139</v>
      </c>
      <c r="U360" s="1" t="s">
        <v>140</v>
      </c>
      <c r="V360" s="1" t="s">
        <v>150</v>
      </c>
      <c r="W360" s="1">
        <v>0.3</v>
      </c>
      <c r="X360" s="1">
        <v>900</v>
      </c>
      <c r="Y360" s="1">
        <v>0</v>
      </c>
      <c r="Z360" s="3">
        <v>126</v>
      </c>
      <c r="AA360" s="3">
        <v>119.685</v>
      </c>
      <c r="AB360" s="3">
        <v>6.3150000000000004</v>
      </c>
      <c r="AC360" s="3">
        <v>69.614999999999995</v>
      </c>
      <c r="AD360" s="3">
        <f t="shared" si="156"/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f t="shared" si="157"/>
        <v>69.614999999999995</v>
      </c>
      <c r="AK360" s="3">
        <f>AC360</f>
        <v>69.614999999999995</v>
      </c>
      <c r="AL360" s="1">
        <v>0</v>
      </c>
      <c r="AM360" s="1">
        <v>0</v>
      </c>
      <c r="AN360" s="1">
        <v>0</v>
      </c>
      <c r="AO360" s="1">
        <v>0</v>
      </c>
      <c r="AP360" s="3">
        <f t="shared" si="139"/>
        <v>0</v>
      </c>
      <c r="AQ360" s="1" t="s">
        <v>155</v>
      </c>
    </row>
    <row r="361" spans="1:43" x14ac:dyDescent="0.35">
      <c r="A361" s="1">
        <v>742</v>
      </c>
      <c r="B361" s="2">
        <v>45911</v>
      </c>
      <c r="C361" s="1" t="s">
        <v>64</v>
      </c>
      <c r="D361" s="1">
        <v>9519096071</v>
      </c>
      <c r="E361" s="1">
        <v>5</v>
      </c>
      <c r="F361" s="1" t="s">
        <v>937</v>
      </c>
      <c r="G361" s="1" t="s">
        <v>1155</v>
      </c>
      <c r="H361" s="1" t="s">
        <v>21</v>
      </c>
      <c r="I361" s="1" t="s">
        <v>71</v>
      </c>
      <c r="K361" s="1" t="s">
        <v>970</v>
      </c>
      <c r="L361" s="1" t="str">
        <f t="shared" si="150"/>
        <v>BPRS</v>
      </c>
      <c r="M361" s="1" t="s">
        <v>1230</v>
      </c>
      <c r="N361" s="1" t="s">
        <v>1135</v>
      </c>
      <c r="O361" s="1" t="s">
        <v>120</v>
      </c>
      <c r="P361" s="1">
        <v>121328</v>
      </c>
      <c r="Q361" s="1" t="s">
        <v>119</v>
      </c>
      <c r="R361" s="1">
        <v>3240792</v>
      </c>
      <c r="S361" s="1" t="s">
        <v>106</v>
      </c>
      <c r="T361" s="1" t="s">
        <v>75</v>
      </c>
      <c r="U361" s="1" t="s">
        <v>76</v>
      </c>
      <c r="V361" s="1" t="s">
        <v>77</v>
      </c>
      <c r="W361" s="1">
        <v>0.6</v>
      </c>
      <c r="X361" s="1">
        <v>1250</v>
      </c>
      <c r="Y361" s="1">
        <v>2500</v>
      </c>
      <c r="Z361" s="3">
        <v>29</v>
      </c>
      <c r="AA361" s="3">
        <v>0</v>
      </c>
      <c r="AB361" s="3">
        <v>29</v>
      </c>
      <c r="AC361" s="3">
        <v>0</v>
      </c>
      <c r="AD361" s="3">
        <f t="shared" si="156"/>
        <v>29</v>
      </c>
      <c r="AE361" s="3">
        <v>0</v>
      </c>
      <c r="AF361" s="3">
        <v>0</v>
      </c>
      <c r="AG361" s="3">
        <v>0</v>
      </c>
      <c r="AH361" s="3">
        <v>0</v>
      </c>
      <c r="AI361" s="3">
        <v>29</v>
      </c>
      <c r="AJ361" s="3">
        <f t="shared" si="157"/>
        <v>0</v>
      </c>
      <c r="AK361" s="1">
        <v>0</v>
      </c>
      <c r="AL361" s="3">
        <f t="shared" ref="AL361:AL362" si="158">AE361</f>
        <v>0</v>
      </c>
      <c r="AM361" s="3">
        <f t="shared" ref="AM361:AM362" si="159">AF361</f>
        <v>0</v>
      </c>
      <c r="AN361" s="3">
        <f t="shared" ref="AN361:AN362" si="160">AG361</f>
        <v>0</v>
      </c>
      <c r="AO361" s="3">
        <f t="shared" ref="AO361:AO362" si="161">AH361</f>
        <v>0</v>
      </c>
      <c r="AP361" s="3">
        <f t="shared" si="139"/>
        <v>29</v>
      </c>
      <c r="AQ361" s="1" t="s">
        <v>119</v>
      </c>
    </row>
    <row r="362" spans="1:43" x14ac:dyDescent="0.35">
      <c r="A362" s="1">
        <v>742</v>
      </c>
      <c r="B362" s="2">
        <v>45890</v>
      </c>
      <c r="C362" s="1" t="s">
        <v>64</v>
      </c>
      <c r="D362" s="1">
        <v>9519036388</v>
      </c>
      <c r="E362" s="1">
        <v>1</v>
      </c>
      <c r="F362" s="1" t="s">
        <v>938</v>
      </c>
      <c r="G362" s="1" t="s">
        <v>1155</v>
      </c>
      <c r="H362" s="1" t="s">
        <v>21</v>
      </c>
      <c r="I362" s="1" t="s">
        <v>71</v>
      </c>
      <c r="K362" s="1" t="s">
        <v>970</v>
      </c>
      <c r="L362" s="1" t="str">
        <f t="shared" si="150"/>
        <v>BPRS</v>
      </c>
      <c r="M362" s="1" t="s">
        <v>1230</v>
      </c>
      <c r="N362" s="1" t="s">
        <v>1135</v>
      </c>
      <c r="O362" s="1" t="s">
        <v>120</v>
      </c>
      <c r="P362" s="1">
        <v>121328</v>
      </c>
      <c r="Q362" s="1" t="s">
        <v>119</v>
      </c>
      <c r="R362" s="1">
        <v>2440959</v>
      </c>
      <c r="S362" s="1" t="s">
        <v>339</v>
      </c>
      <c r="T362" s="1" t="s">
        <v>75</v>
      </c>
      <c r="U362" s="1" t="s">
        <v>122</v>
      </c>
      <c r="V362" s="1" t="s">
        <v>123</v>
      </c>
      <c r="W362" s="1">
        <v>0.33</v>
      </c>
      <c r="X362" s="1">
        <v>900</v>
      </c>
      <c r="Y362" s="1">
        <v>2500</v>
      </c>
      <c r="Z362" s="3">
        <v>63</v>
      </c>
      <c r="AA362" s="3">
        <v>0</v>
      </c>
      <c r="AB362" s="3">
        <v>63</v>
      </c>
      <c r="AC362" s="3">
        <v>0</v>
      </c>
      <c r="AD362" s="3">
        <f t="shared" si="156"/>
        <v>63</v>
      </c>
      <c r="AE362" s="3">
        <v>0</v>
      </c>
      <c r="AF362" s="3">
        <v>0</v>
      </c>
      <c r="AG362" s="3">
        <v>0</v>
      </c>
      <c r="AH362" s="3">
        <v>0</v>
      </c>
      <c r="AI362" s="3">
        <v>63</v>
      </c>
      <c r="AJ362" s="3">
        <f t="shared" si="157"/>
        <v>0</v>
      </c>
      <c r="AK362" s="1">
        <v>0</v>
      </c>
      <c r="AL362" s="3">
        <f t="shared" si="158"/>
        <v>0</v>
      </c>
      <c r="AM362" s="3">
        <f t="shared" si="159"/>
        <v>0</v>
      </c>
      <c r="AN362" s="3">
        <f t="shared" si="160"/>
        <v>0</v>
      </c>
      <c r="AO362" s="3">
        <f t="shared" si="161"/>
        <v>0</v>
      </c>
      <c r="AP362" s="3">
        <f t="shared" si="139"/>
        <v>63</v>
      </c>
      <c r="AQ362" s="1" t="s">
        <v>119</v>
      </c>
    </row>
    <row r="363" spans="1:43" x14ac:dyDescent="0.35">
      <c r="A363" s="1">
        <v>743</v>
      </c>
      <c r="B363" s="2">
        <v>45910</v>
      </c>
      <c r="C363" s="1" t="s">
        <v>64</v>
      </c>
      <c r="D363" s="1">
        <v>9519091866</v>
      </c>
      <c r="E363" s="1">
        <v>3</v>
      </c>
      <c r="F363" s="1" t="s">
        <v>939</v>
      </c>
      <c r="G363" s="1" t="s">
        <v>1155</v>
      </c>
      <c r="H363" s="1" t="s">
        <v>63</v>
      </c>
      <c r="I363" s="1" t="s">
        <v>1291</v>
      </c>
      <c r="K363" s="1" t="s">
        <v>970</v>
      </c>
      <c r="L363" s="1" t="str">
        <f t="shared" si="150"/>
        <v>BPRS</v>
      </c>
      <c r="M363" s="1" t="s">
        <v>1230</v>
      </c>
      <c r="N363" s="1" t="s">
        <v>318</v>
      </c>
      <c r="O363" s="1" t="s">
        <v>157</v>
      </c>
      <c r="P363" s="1">
        <v>931671</v>
      </c>
      <c r="Q363" s="1" t="s">
        <v>155</v>
      </c>
      <c r="R363" s="1">
        <v>3767014</v>
      </c>
      <c r="S363" s="1" t="s">
        <v>200</v>
      </c>
      <c r="T363" s="1" t="s">
        <v>68</v>
      </c>
      <c r="U363" s="1" t="s">
        <v>69</v>
      </c>
      <c r="V363" s="1" t="s">
        <v>70</v>
      </c>
      <c r="W363" s="1">
        <v>0.4</v>
      </c>
      <c r="X363" s="1">
        <v>1350</v>
      </c>
      <c r="Y363" s="1">
        <v>0</v>
      </c>
      <c r="Z363" s="3">
        <v>93</v>
      </c>
      <c r="AA363" s="3">
        <v>0</v>
      </c>
      <c r="AB363" s="3">
        <v>93</v>
      </c>
      <c r="AC363" s="3">
        <v>0</v>
      </c>
      <c r="AD363" s="3">
        <f t="shared" si="156"/>
        <v>93</v>
      </c>
      <c r="AE363" s="3">
        <v>93</v>
      </c>
      <c r="AF363" s="3">
        <v>0</v>
      </c>
      <c r="AG363" s="3">
        <v>0</v>
      </c>
      <c r="AH363" s="3">
        <v>0</v>
      </c>
      <c r="AI363" s="3">
        <v>0</v>
      </c>
      <c r="AJ363" s="3">
        <f t="shared" si="157"/>
        <v>93</v>
      </c>
      <c r="AK363" s="1">
        <v>0</v>
      </c>
      <c r="AL363" s="3">
        <f>AE363</f>
        <v>93</v>
      </c>
      <c r="AM363" s="1">
        <v>0</v>
      </c>
      <c r="AN363" s="1">
        <v>0</v>
      </c>
      <c r="AO363" s="1">
        <v>0</v>
      </c>
      <c r="AP363" s="3">
        <f t="shared" si="139"/>
        <v>0</v>
      </c>
      <c r="AQ363" s="1" t="s">
        <v>155</v>
      </c>
    </row>
    <row r="364" spans="1:43" x14ac:dyDescent="0.35">
      <c r="A364" s="1">
        <v>742</v>
      </c>
      <c r="B364" s="2">
        <v>45903</v>
      </c>
      <c r="C364" s="1" t="s">
        <v>64</v>
      </c>
      <c r="D364" s="1">
        <v>9519076414</v>
      </c>
      <c r="E364" s="1">
        <v>4</v>
      </c>
      <c r="F364" s="1" t="s">
        <v>940</v>
      </c>
      <c r="G364" s="1" t="s">
        <v>1155</v>
      </c>
      <c r="H364" s="1" t="s">
        <v>21</v>
      </c>
      <c r="I364" s="1" t="s">
        <v>71</v>
      </c>
      <c r="K364" s="1" t="s">
        <v>970</v>
      </c>
      <c r="L364" s="1" t="str">
        <f t="shared" si="150"/>
        <v>BPRS</v>
      </c>
      <c r="M364" s="1" t="s">
        <v>1231</v>
      </c>
      <c r="N364" s="1" t="s">
        <v>214</v>
      </c>
      <c r="O364" s="1" t="s">
        <v>97</v>
      </c>
      <c r="P364" s="1">
        <v>931525</v>
      </c>
      <c r="Q364" s="1" t="s">
        <v>213</v>
      </c>
      <c r="R364" s="1">
        <v>3240761</v>
      </c>
      <c r="S364" s="1" t="s">
        <v>223</v>
      </c>
      <c r="T364" s="1" t="s">
        <v>75</v>
      </c>
      <c r="U364" s="1" t="s">
        <v>76</v>
      </c>
      <c r="V364" s="1" t="s">
        <v>77</v>
      </c>
      <c r="W364" s="1">
        <v>0.5</v>
      </c>
      <c r="X364" s="1">
        <v>1250</v>
      </c>
      <c r="Y364" s="1">
        <v>2030</v>
      </c>
      <c r="Z364" s="3">
        <v>87</v>
      </c>
      <c r="AA364" s="3">
        <v>0</v>
      </c>
      <c r="AB364" s="3">
        <v>87</v>
      </c>
      <c r="AC364" s="3">
        <v>0</v>
      </c>
      <c r="AD364" s="3">
        <f t="shared" si="156"/>
        <v>87</v>
      </c>
      <c r="AE364" s="3">
        <v>0</v>
      </c>
      <c r="AF364" s="3">
        <v>0</v>
      </c>
      <c r="AG364" s="3">
        <v>87</v>
      </c>
      <c r="AH364" s="3">
        <v>0</v>
      </c>
      <c r="AI364" s="3">
        <v>0</v>
      </c>
      <c r="AJ364" s="3">
        <f t="shared" si="157"/>
        <v>87</v>
      </c>
      <c r="AK364" s="1">
        <v>0</v>
      </c>
      <c r="AL364" s="3">
        <f t="shared" ref="AL364:AL365" si="162">AE364</f>
        <v>0</v>
      </c>
      <c r="AM364" s="3">
        <f t="shared" ref="AM364:AM365" si="163">AF364</f>
        <v>0</v>
      </c>
      <c r="AN364" s="3">
        <f t="shared" ref="AN364:AN365" si="164">AG364</f>
        <v>87</v>
      </c>
      <c r="AO364" s="3">
        <f t="shared" ref="AO364:AO365" si="165">AH364</f>
        <v>0</v>
      </c>
      <c r="AP364" s="3">
        <f t="shared" si="139"/>
        <v>0</v>
      </c>
      <c r="AQ364" s="1" t="s">
        <v>213</v>
      </c>
    </row>
    <row r="365" spans="1:43" x14ac:dyDescent="0.35">
      <c r="A365" s="1">
        <v>742</v>
      </c>
      <c r="B365" s="2">
        <v>45916</v>
      </c>
      <c r="C365" s="1" t="s">
        <v>64</v>
      </c>
      <c r="D365" s="1">
        <v>9519109856</v>
      </c>
      <c r="E365" s="1">
        <v>4</v>
      </c>
      <c r="F365" s="1" t="s">
        <v>941</v>
      </c>
      <c r="G365" s="1" t="s">
        <v>1155</v>
      </c>
      <c r="H365" s="1" t="s">
        <v>21</v>
      </c>
      <c r="I365" s="1" t="s">
        <v>71</v>
      </c>
      <c r="K365" s="1" t="s">
        <v>970</v>
      </c>
      <c r="L365" s="1" t="str">
        <f t="shared" si="150"/>
        <v>BPRS</v>
      </c>
      <c r="M365" s="1" t="s">
        <v>1230</v>
      </c>
      <c r="N365" s="1" t="s">
        <v>170</v>
      </c>
      <c r="O365" s="1" t="s">
        <v>80</v>
      </c>
      <c r="P365" s="1">
        <v>948783</v>
      </c>
      <c r="Q365" s="1" t="s">
        <v>78</v>
      </c>
      <c r="R365" s="1">
        <v>3240786</v>
      </c>
      <c r="S365" s="1" t="s">
        <v>181</v>
      </c>
      <c r="T365" s="1" t="s">
        <v>75</v>
      </c>
      <c r="U365" s="1" t="s">
        <v>76</v>
      </c>
      <c r="V365" s="1" t="s">
        <v>77</v>
      </c>
      <c r="W365" s="1">
        <v>0.7</v>
      </c>
      <c r="X365" s="1">
        <v>1250</v>
      </c>
      <c r="Y365" s="1">
        <v>2500</v>
      </c>
      <c r="Z365" s="3">
        <v>29</v>
      </c>
      <c r="AA365" s="3">
        <v>0</v>
      </c>
      <c r="AB365" s="3">
        <v>29</v>
      </c>
      <c r="AC365" s="3">
        <v>0</v>
      </c>
      <c r="AD365" s="3">
        <f t="shared" si="156"/>
        <v>29</v>
      </c>
      <c r="AE365" s="3">
        <v>0</v>
      </c>
      <c r="AF365" s="3">
        <v>0</v>
      </c>
      <c r="AG365" s="3">
        <v>29</v>
      </c>
      <c r="AH365" s="3">
        <v>0</v>
      </c>
      <c r="AI365" s="3">
        <v>0</v>
      </c>
      <c r="AJ365" s="3">
        <f t="shared" si="157"/>
        <v>29</v>
      </c>
      <c r="AK365" s="1">
        <v>0</v>
      </c>
      <c r="AL365" s="3">
        <f t="shared" si="162"/>
        <v>0</v>
      </c>
      <c r="AM365" s="3">
        <f t="shared" si="163"/>
        <v>0</v>
      </c>
      <c r="AN365" s="3">
        <f t="shared" si="164"/>
        <v>29</v>
      </c>
      <c r="AO365" s="3">
        <f t="shared" si="165"/>
        <v>0</v>
      </c>
      <c r="AP365" s="3">
        <f t="shared" si="139"/>
        <v>0</v>
      </c>
      <c r="AQ365" s="1" t="s">
        <v>78</v>
      </c>
    </row>
    <row r="366" spans="1:43" x14ac:dyDescent="0.35">
      <c r="A366" s="1">
        <v>742</v>
      </c>
      <c r="B366" s="2">
        <v>45908</v>
      </c>
      <c r="C366" s="1" t="s">
        <v>64</v>
      </c>
      <c r="D366" s="1">
        <v>9519086006</v>
      </c>
      <c r="E366" s="1">
        <v>1</v>
      </c>
      <c r="F366" s="1" t="s">
        <v>942</v>
      </c>
      <c r="G366" s="1" t="s">
        <v>1155</v>
      </c>
      <c r="H366" s="1" t="s">
        <v>21</v>
      </c>
      <c r="I366" s="1" t="s">
        <v>71</v>
      </c>
      <c r="K366" s="1" t="s">
        <v>970</v>
      </c>
      <c r="L366" s="1" t="str">
        <f t="shared" si="150"/>
        <v>BPRS</v>
      </c>
      <c r="M366" s="1" t="s">
        <v>1231</v>
      </c>
      <c r="N366" s="1" t="s">
        <v>96</v>
      </c>
      <c r="O366" s="1" t="s">
        <v>97</v>
      </c>
      <c r="P366" s="1">
        <v>933952</v>
      </c>
      <c r="Q366" s="1" t="s">
        <v>95</v>
      </c>
      <c r="R366" s="1">
        <v>3240761</v>
      </c>
      <c r="S366" s="1" t="s">
        <v>223</v>
      </c>
      <c r="T366" s="1" t="s">
        <v>75</v>
      </c>
      <c r="U366" s="1" t="s">
        <v>76</v>
      </c>
      <c r="V366" s="1" t="s">
        <v>77</v>
      </c>
      <c r="W366" s="1">
        <v>0.5</v>
      </c>
      <c r="X366" s="1">
        <v>1250</v>
      </c>
      <c r="Y366" s="1">
        <v>2030</v>
      </c>
      <c r="Z366" s="3">
        <v>145</v>
      </c>
      <c r="AA366" s="3">
        <v>0</v>
      </c>
      <c r="AB366" s="3">
        <v>145</v>
      </c>
      <c r="AC366" s="3">
        <v>0</v>
      </c>
      <c r="AD366" s="3">
        <f t="shared" si="156"/>
        <v>145</v>
      </c>
      <c r="AE366" s="3">
        <v>0</v>
      </c>
      <c r="AF366" s="3">
        <v>0</v>
      </c>
      <c r="AG366" s="3">
        <v>145</v>
      </c>
      <c r="AH366" s="3">
        <v>0</v>
      </c>
      <c r="AI366" s="3">
        <v>0</v>
      </c>
      <c r="AJ366" s="3">
        <f t="shared" si="157"/>
        <v>145</v>
      </c>
      <c r="AK366" s="1">
        <v>0</v>
      </c>
      <c r="AL366" s="3">
        <f t="shared" ref="AL366:AO368" si="166">AE366</f>
        <v>0</v>
      </c>
      <c r="AM366" s="3">
        <f t="shared" si="166"/>
        <v>0</v>
      </c>
      <c r="AN366" s="3">
        <f t="shared" si="166"/>
        <v>145</v>
      </c>
      <c r="AO366" s="3">
        <f t="shared" si="166"/>
        <v>0</v>
      </c>
      <c r="AP366" s="3">
        <f t="shared" si="139"/>
        <v>0</v>
      </c>
      <c r="AQ366" s="1" t="s">
        <v>95</v>
      </c>
    </row>
    <row r="367" spans="1:43" x14ac:dyDescent="0.35">
      <c r="A367" s="1">
        <v>742</v>
      </c>
      <c r="B367" s="2">
        <v>45858</v>
      </c>
      <c r="C367" s="1" t="s">
        <v>64</v>
      </c>
      <c r="D367" s="1">
        <v>9518944236</v>
      </c>
      <c r="E367" s="1">
        <v>9</v>
      </c>
      <c r="F367" s="1" t="s">
        <v>943</v>
      </c>
      <c r="G367" s="1" t="s">
        <v>1155</v>
      </c>
      <c r="H367" s="1" t="s">
        <v>21</v>
      </c>
      <c r="I367" s="1" t="s">
        <v>22</v>
      </c>
      <c r="K367" s="1" t="s">
        <v>970</v>
      </c>
      <c r="L367" s="1" t="str">
        <f t="shared" si="150"/>
        <v>BPRS</v>
      </c>
      <c r="M367" s="1" t="s">
        <v>1229</v>
      </c>
      <c r="N367" s="1" t="s">
        <v>73</v>
      </c>
      <c r="O367" s="1" t="s">
        <v>74</v>
      </c>
      <c r="P367" s="1">
        <v>946077</v>
      </c>
      <c r="Q367" s="1" t="s">
        <v>72</v>
      </c>
      <c r="R367" s="1">
        <v>281630</v>
      </c>
      <c r="S367" s="1" t="s">
        <v>486</v>
      </c>
      <c r="T367" s="1" t="s">
        <v>75</v>
      </c>
      <c r="U367" s="1" t="s">
        <v>29</v>
      </c>
      <c r="V367" s="1" t="s">
        <v>30</v>
      </c>
      <c r="W367" s="1">
        <v>1.6</v>
      </c>
      <c r="X367" s="1">
        <v>1250</v>
      </c>
      <c r="Y367" s="1">
        <v>2500</v>
      </c>
      <c r="Z367" s="3">
        <v>58</v>
      </c>
      <c r="AA367" s="3">
        <v>0</v>
      </c>
      <c r="AB367" s="3">
        <v>58</v>
      </c>
      <c r="AC367" s="3">
        <v>0</v>
      </c>
      <c r="AD367" s="3">
        <f t="shared" si="156"/>
        <v>58</v>
      </c>
      <c r="AE367" s="3">
        <v>0</v>
      </c>
      <c r="AF367" s="3">
        <v>0</v>
      </c>
      <c r="AG367" s="3">
        <v>0</v>
      </c>
      <c r="AH367" s="3">
        <v>58</v>
      </c>
      <c r="AI367" s="3">
        <v>0</v>
      </c>
      <c r="AJ367" s="3">
        <f t="shared" si="157"/>
        <v>58</v>
      </c>
      <c r="AK367" s="1">
        <v>0</v>
      </c>
      <c r="AL367" s="3">
        <f t="shared" si="166"/>
        <v>0</v>
      </c>
      <c r="AM367" s="3">
        <f t="shared" si="166"/>
        <v>0</v>
      </c>
      <c r="AN367" s="3">
        <f t="shared" si="166"/>
        <v>0</v>
      </c>
      <c r="AO367" s="3">
        <f t="shared" si="166"/>
        <v>58</v>
      </c>
      <c r="AP367" s="3">
        <f t="shared" si="139"/>
        <v>0</v>
      </c>
      <c r="AQ367" s="1" t="s">
        <v>72</v>
      </c>
    </row>
    <row r="368" spans="1:43" x14ac:dyDescent="0.35">
      <c r="A368" s="1">
        <v>742</v>
      </c>
      <c r="B368" s="2">
        <v>45916</v>
      </c>
      <c r="C368" s="1" t="s">
        <v>64</v>
      </c>
      <c r="D368" s="1">
        <v>9519109833</v>
      </c>
      <c r="E368" s="1">
        <v>1</v>
      </c>
      <c r="F368" s="1" t="s">
        <v>944</v>
      </c>
      <c r="G368" s="1" t="s">
        <v>1155</v>
      </c>
      <c r="H368" s="1" t="s">
        <v>21</v>
      </c>
      <c r="I368" s="1" t="s">
        <v>71</v>
      </c>
      <c r="K368" s="1" t="s">
        <v>970</v>
      </c>
      <c r="L368" s="1" t="str">
        <f t="shared" si="150"/>
        <v>BPRS</v>
      </c>
      <c r="M368" s="1" t="s">
        <v>1230</v>
      </c>
      <c r="N368" s="1" t="s">
        <v>308</v>
      </c>
      <c r="O368" s="1" t="s">
        <v>151</v>
      </c>
      <c r="P368" s="1">
        <v>925093</v>
      </c>
      <c r="Q368" s="1" t="s">
        <v>307</v>
      </c>
      <c r="R368" s="1">
        <v>3240765</v>
      </c>
      <c r="S368" s="1" t="s">
        <v>381</v>
      </c>
      <c r="T368" s="1" t="s">
        <v>75</v>
      </c>
      <c r="U368" s="1" t="s">
        <v>76</v>
      </c>
      <c r="V368" s="1" t="s">
        <v>77</v>
      </c>
      <c r="W368" s="1">
        <v>0.5</v>
      </c>
      <c r="X368" s="1">
        <v>1250</v>
      </c>
      <c r="Y368" s="1">
        <v>2500</v>
      </c>
      <c r="Z368" s="3">
        <v>58</v>
      </c>
      <c r="AA368" s="3">
        <v>0</v>
      </c>
      <c r="AB368" s="3">
        <v>58</v>
      </c>
      <c r="AC368" s="3">
        <v>0</v>
      </c>
      <c r="AD368" s="3">
        <f t="shared" si="156"/>
        <v>58</v>
      </c>
      <c r="AE368" s="3">
        <v>0</v>
      </c>
      <c r="AF368" s="3">
        <v>0</v>
      </c>
      <c r="AG368" s="3">
        <v>58</v>
      </c>
      <c r="AH368" s="3">
        <v>0</v>
      </c>
      <c r="AI368" s="3">
        <v>0</v>
      </c>
      <c r="AJ368" s="3">
        <f t="shared" si="157"/>
        <v>58</v>
      </c>
      <c r="AK368" s="1">
        <v>0</v>
      </c>
      <c r="AL368" s="3">
        <f t="shared" si="166"/>
        <v>0</v>
      </c>
      <c r="AM368" s="3">
        <f t="shared" si="166"/>
        <v>0</v>
      </c>
      <c r="AN368" s="3">
        <f t="shared" si="166"/>
        <v>58</v>
      </c>
      <c r="AO368" s="3">
        <f t="shared" si="166"/>
        <v>0</v>
      </c>
      <c r="AP368" s="3">
        <f t="shared" si="139"/>
        <v>0</v>
      </c>
      <c r="AQ368" s="1" t="s">
        <v>307</v>
      </c>
    </row>
    <row r="369" spans="1:43" x14ac:dyDescent="0.35">
      <c r="A369" s="1">
        <v>742</v>
      </c>
      <c r="B369" s="2">
        <v>45888</v>
      </c>
      <c r="C369" s="1" t="s">
        <v>64</v>
      </c>
      <c r="D369" s="1">
        <v>9519028090</v>
      </c>
      <c r="E369" s="1">
        <v>4</v>
      </c>
      <c r="F369" s="1" t="s">
        <v>945</v>
      </c>
      <c r="G369" s="1" t="s">
        <v>1155</v>
      </c>
      <c r="H369" s="1" t="s">
        <v>21</v>
      </c>
      <c r="I369" s="1" t="s">
        <v>975</v>
      </c>
      <c r="K369" s="1" t="s">
        <v>970</v>
      </c>
      <c r="L369" s="1" t="str">
        <f t="shared" si="150"/>
        <v>BPRS</v>
      </c>
      <c r="M369" s="1" t="s">
        <v>1230</v>
      </c>
      <c r="N369" s="1" t="s">
        <v>356</v>
      </c>
      <c r="O369" s="1" t="s">
        <v>151</v>
      </c>
      <c r="P369" s="1">
        <v>155536</v>
      </c>
      <c r="Q369" s="1" t="s">
        <v>24</v>
      </c>
      <c r="R369" s="1">
        <v>2420525</v>
      </c>
      <c r="S369" s="1" t="s">
        <v>363</v>
      </c>
      <c r="T369" s="1" t="s">
        <v>28</v>
      </c>
      <c r="U369" s="1" t="s">
        <v>29</v>
      </c>
      <c r="V369" s="1" t="s">
        <v>287</v>
      </c>
      <c r="W369" s="1">
        <v>2</v>
      </c>
      <c r="X369" s="1">
        <v>1250</v>
      </c>
      <c r="Y369" s="1">
        <v>0</v>
      </c>
      <c r="Z369" s="3">
        <v>145</v>
      </c>
      <c r="AA369" s="3">
        <v>118.97</v>
      </c>
      <c r="AB369" s="3">
        <v>26.03</v>
      </c>
      <c r="AC369" s="3">
        <v>40.03</v>
      </c>
      <c r="AD369" s="3">
        <f t="shared" si="156"/>
        <v>26.03</v>
      </c>
      <c r="AE369" s="3">
        <v>0</v>
      </c>
      <c r="AF369" s="3">
        <v>26.03</v>
      </c>
      <c r="AG369" s="3">
        <v>0</v>
      </c>
      <c r="AH369" s="3">
        <v>0</v>
      </c>
      <c r="AI369" s="3">
        <v>0</v>
      </c>
      <c r="AJ369" s="3">
        <f t="shared" si="157"/>
        <v>66.06</v>
      </c>
      <c r="AK369" s="1">
        <v>0</v>
      </c>
      <c r="AL369" s="1">
        <v>0</v>
      </c>
      <c r="AM369" s="3">
        <f>AF369+AC369</f>
        <v>66.06</v>
      </c>
      <c r="AN369" s="1">
        <v>0</v>
      </c>
      <c r="AO369" s="1">
        <v>0</v>
      </c>
      <c r="AP369" s="3">
        <f t="shared" si="139"/>
        <v>0</v>
      </c>
      <c r="AQ369" s="1" t="s">
        <v>24</v>
      </c>
    </row>
    <row r="370" spans="1:43" x14ac:dyDescent="0.35">
      <c r="A370" s="1">
        <v>742</v>
      </c>
      <c r="B370" s="2">
        <v>45888</v>
      </c>
      <c r="C370" s="1" t="s">
        <v>64</v>
      </c>
      <c r="D370" s="1">
        <v>9519028090</v>
      </c>
      <c r="E370" s="1">
        <v>5</v>
      </c>
      <c r="F370" s="1" t="s">
        <v>946</v>
      </c>
      <c r="G370" s="1" t="s">
        <v>1155</v>
      </c>
      <c r="H370" s="1" t="s">
        <v>21</v>
      </c>
      <c r="I370" s="1" t="s">
        <v>975</v>
      </c>
      <c r="K370" s="1" t="s">
        <v>970</v>
      </c>
      <c r="L370" s="1" t="str">
        <f t="shared" si="150"/>
        <v>BPRS</v>
      </c>
      <c r="M370" s="1" t="s">
        <v>1230</v>
      </c>
      <c r="N370" s="1" t="s">
        <v>356</v>
      </c>
      <c r="O370" s="1" t="s">
        <v>151</v>
      </c>
      <c r="P370" s="1">
        <v>155536</v>
      </c>
      <c r="Q370" s="1" t="s">
        <v>24</v>
      </c>
      <c r="R370" s="1">
        <v>2420540</v>
      </c>
      <c r="S370" s="1" t="s">
        <v>487</v>
      </c>
      <c r="T370" s="1" t="s">
        <v>28</v>
      </c>
      <c r="U370" s="1" t="s">
        <v>29</v>
      </c>
      <c r="V370" s="1" t="s">
        <v>287</v>
      </c>
      <c r="W370" s="1">
        <v>2.5</v>
      </c>
      <c r="X370" s="1">
        <v>1250</v>
      </c>
      <c r="Y370" s="1">
        <v>0</v>
      </c>
      <c r="Z370" s="3">
        <v>203</v>
      </c>
      <c r="AA370" s="3">
        <v>77.069999999999993</v>
      </c>
      <c r="AB370" s="3">
        <v>125.93</v>
      </c>
      <c r="AC370" s="3">
        <v>0</v>
      </c>
      <c r="AD370" s="3">
        <f t="shared" si="156"/>
        <v>125.93</v>
      </c>
      <c r="AE370" s="3">
        <v>0</v>
      </c>
      <c r="AF370" s="3">
        <v>125.93</v>
      </c>
      <c r="AG370" s="3">
        <v>0</v>
      </c>
      <c r="AH370" s="3">
        <v>0</v>
      </c>
      <c r="AI370" s="3">
        <v>0</v>
      </c>
      <c r="AJ370" s="3">
        <f t="shared" si="157"/>
        <v>125.93</v>
      </c>
      <c r="AK370" s="1">
        <v>0</v>
      </c>
      <c r="AL370" s="3">
        <f>AE370</f>
        <v>0</v>
      </c>
      <c r="AM370" s="3">
        <f>AF370</f>
        <v>125.93</v>
      </c>
      <c r="AN370" s="3">
        <f>AG370</f>
        <v>0</v>
      </c>
      <c r="AO370" s="3">
        <f>AH370</f>
        <v>0</v>
      </c>
      <c r="AP370" s="3">
        <f t="shared" si="139"/>
        <v>0</v>
      </c>
      <c r="AQ370" s="1" t="s">
        <v>24</v>
      </c>
    </row>
    <row r="371" spans="1:43" x14ac:dyDescent="0.35">
      <c r="A371" s="1">
        <v>743</v>
      </c>
      <c r="B371" s="6">
        <v>45902</v>
      </c>
      <c r="C371" s="5" t="str">
        <f>VLOOKUP(F371,[1]Sheet1!$G$1:$AE$447,25,0)</f>
        <v>ZBTO</v>
      </c>
      <c r="D371" s="1">
        <v>9519072526</v>
      </c>
      <c r="E371" s="1">
        <v>1</v>
      </c>
      <c r="F371" s="1" t="s">
        <v>1020</v>
      </c>
      <c r="G371" s="1" t="s">
        <v>1155</v>
      </c>
      <c r="H371" s="5" t="s">
        <v>63</v>
      </c>
      <c r="I371" s="1" t="s">
        <v>1291</v>
      </c>
      <c r="J371" s="5">
        <v>1000</v>
      </c>
      <c r="K371" s="1" t="s">
        <v>970</v>
      </c>
      <c r="L371" s="1" t="str">
        <f t="shared" si="150"/>
        <v>BPRS</v>
      </c>
      <c r="M371" s="1" t="s">
        <v>1018</v>
      </c>
      <c r="N371" s="5" t="s">
        <v>1131</v>
      </c>
      <c r="P371" s="5">
        <v>931671</v>
      </c>
      <c r="Q371" s="1" t="s">
        <v>155</v>
      </c>
      <c r="R371" s="5">
        <f>VLOOKUP(F371,[1]Sheet1!$G$1:$O$447,9,0)</f>
        <v>3953694</v>
      </c>
      <c r="S371" s="5" t="str">
        <f>VLOOKUP(F371,[1]Sheet1!$G$1:$P$447,10,0)</f>
        <v>GP COIL TATXGP GP2T 0.250X1350</v>
      </c>
      <c r="T371" s="1" t="s">
        <v>68</v>
      </c>
      <c r="U371" s="5" t="str">
        <f>VLOOKUP(F371,[1]Sheet1!$G$1:$W$447,17,0)</f>
        <v>TATXGP</v>
      </c>
      <c r="V371" s="1" t="s">
        <v>360</v>
      </c>
      <c r="W371" s="1">
        <v>0.25</v>
      </c>
      <c r="X371" s="1">
        <v>1350</v>
      </c>
      <c r="Y371" s="1">
        <v>0</v>
      </c>
      <c r="Z371" s="3">
        <v>93</v>
      </c>
      <c r="AA371" s="3">
        <v>0</v>
      </c>
      <c r="AB371" s="3">
        <v>93</v>
      </c>
      <c r="AC371" s="3">
        <v>0</v>
      </c>
      <c r="AD371" s="3">
        <f t="shared" si="156"/>
        <v>93</v>
      </c>
      <c r="AE371" s="3">
        <v>0</v>
      </c>
      <c r="AF371" s="3">
        <v>0</v>
      </c>
      <c r="AG371" s="3">
        <v>93</v>
      </c>
      <c r="AH371" s="3">
        <v>0</v>
      </c>
      <c r="AI371" s="3">
        <v>0</v>
      </c>
      <c r="AJ371" s="3">
        <f t="shared" si="157"/>
        <v>93</v>
      </c>
      <c r="AK371" s="1">
        <v>0</v>
      </c>
      <c r="AL371" s="1">
        <v>0</v>
      </c>
      <c r="AM371" s="1">
        <v>0</v>
      </c>
      <c r="AN371" s="3">
        <f>AG371</f>
        <v>93</v>
      </c>
      <c r="AO371" s="1">
        <v>0</v>
      </c>
      <c r="AP371" s="3">
        <f t="shared" si="139"/>
        <v>0</v>
      </c>
    </row>
    <row r="372" spans="1:43" x14ac:dyDescent="0.35">
      <c r="A372" s="1">
        <v>742</v>
      </c>
      <c r="B372" s="6">
        <v>45874</v>
      </c>
      <c r="C372" s="5" t="str">
        <f>VLOOKUP(F372,[1]Sheet1!$G$1:$AE$447,25,0)</f>
        <v>ZBTO</v>
      </c>
      <c r="D372" s="1">
        <v>9518994601</v>
      </c>
      <c r="E372" s="1">
        <v>2</v>
      </c>
      <c r="F372" s="1" t="s">
        <v>1021</v>
      </c>
      <c r="G372" s="1" t="s">
        <v>1155</v>
      </c>
      <c r="H372" s="5" t="s">
        <v>21</v>
      </c>
      <c r="I372" s="5" t="s">
        <v>22</v>
      </c>
      <c r="J372" s="5"/>
      <c r="K372" s="1" t="s">
        <v>970</v>
      </c>
      <c r="L372" s="1" t="str">
        <f t="shared" si="150"/>
        <v>BPRS</v>
      </c>
      <c r="M372" s="1" t="s">
        <v>1016</v>
      </c>
      <c r="N372" s="5" t="s">
        <v>1122</v>
      </c>
      <c r="P372" s="5">
        <v>932244</v>
      </c>
      <c r="Q372" s="1" t="s">
        <v>270</v>
      </c>
      <c r="R372" s="5">
        <f>VLOOKUP(F372,[1]Sheet1!$G$1:$O$447,9,0)</f>
        <v>185675</v>
      </c>
      <c r="S372" s="5" t="str">
        <f>VLOOKUP(F372,[1]Sheet1!$G$1:$P$447,10,0)</f>
        <v>CRCA COIL-TATXXD-AU03-0.5X1250</v>
      </c>
      <c r="T372" s="1" t="s">
        <v>28</v>
      </c>
      <c r="U372" s="5" t="str">
        <f>VLOOKUP(F372,[1]Sheet1!$G$1:$W$447,17,0)</f>
        <v>TATXXD</v>
      </c>
      <c r="V372" s="1" t="s">
        <v>30</v>
      </c>
      <c r="W372" s="1">
        <v>0.5</v>
      </c>
      <c r="X372" s="1">
        <v>1250</v>
      </c>
      <c r="Y372" s="1">
        <v>0</v>
      </c>
      <c r="Z372" s="3">
        <v>87</v>
      </c>
      <c r="AA372" s="3">
        <v>24.92</v>
      </c>
      <c r="AB372" s="3">
        <v>62.08</v>
      </c>
      <c r="AC372" s="3">
        <v>0</v>
      </c>
      <c r="AD372" s="3">
        <f t="shared" si="156"/>
        <v>62.08</v>
      </c>
      <c r="AE372" s="3">
        <v>0</v>
      </c>
      <c r="AF372" s="3">
        <v>0</v>
      </c>
      <c r="AG372" s="3">
        <v>62.08</v>
      </c>
      <c r="AH372" s="3">
        <v>0</v>
      </c>
      <c r="AI372" s="3">
        <v>0</v>
      </c>
      <c r="AJ372" s="3">
        <f t="shared" si="157"/>
        <v>62.08</v>
      </c>
      <c r="AK372" s="1">
        <v>0</v>
      </c>
      <c r="AL372" s="3">
        <f>AE372</f>
        <v>0</v>
      </c>
      <c r="AM372" s="3">
        <f>AF372</f>
        <v>0</v>
      </c>
      <c r="AN372" s="3">
        <f>AG372</f>
        <v>62.08</v>
      </c>
      <c r="AO372" s="3">
        <f>AH372</f>
        <v>0</v>
      </c>
      <c r="AP372" s="3">
        <f t="shared" si="139"/>
        <v>0</v>
      </c>
    </row>
    <row r="373" spans="1:43" x14ac:dyDescent="0.35">
      <c r="A373" s="1">
        <v>742</v>
      </c>
      <c r="B373" s="6">
        <v>45888</v>
      </c>
      <c r="C373" s="5" t="str">
        <f>VLOOKUP(F373,[1]Sheet1!$G$1:$AE$447,25,0)</f>
        <v>ZBTO</v>
      </c>
      <c r="D373" s="1">
        <v>9519028231</v>
      </c>
      <c r="E373" s="1">
        <v>7</v>
      </c>
      <c r="F373" s="1" t="s">
        <v>1022</v>
      </c>
      <c r="G373" s="1" t="s">
        <v>1155</v>
      </c>
      <c r="H373" s="5" t="s">
        <v>21</v>
      </c>
      <c r="I373" s="5" t="s">
        <v>22</v>
      </c>
      <c r="J373" s="5"/>
      <c r="K373" s="1" t="s">
        <v>970</v>
      </c>
      <c r="L373" s="1" t="str">
        <f t="shared" si="150"/>
        <v>BPRS</v>
      </c>
      <c r="M373" s="1" t="s">
        <v>1016</v>
      </c>
      <c r="N373" s="5" t="s">
        <v>1114</v>
      </c>
      <c r="P373" s="5">
        <v>938550</v>
      </c>
      <c r="Q373" s="1" t="s">
        <v>221</v>
      </c>
      <c r="R373" s="5">
        <f>VLOOKUP(F373,[1]Sheet1!$G$1:$O$447,9,0)</f>
        <v>1804867</v>
      </c>
      <c r="S373" s="5" t="str">
        <f>VLOOKUP(F373,[1]Sheet1!$G$1:$P$447,10,0)</f>
        <v>CRCA COIL-TATXXD-AU03-1.6X1250</v>
      </c>
      <c r="T373" s="1" t="s">
        <v>28</v>
      </c>
      <c r="U373" s="5" t="str">
        <f>VLOOKUP(F373,[1]Sheet1!$G$1:$W$447,17,0)</f>
        <v>TATXXD</v>
      </c>
      <c r="V373" s="1" t="s">
        <v>30</v>
      </c>
      <c r="W373" s="1">
        <v>1.6</v>
      </c>
      <c r="X373" s="1">
        <v>1250</v>
      </c>
      <c r="Y373" s="1">
        <v>0</v>
      </c>
      <c r="Z373" s="3">
        <v>87</v>
      </c>
      <c r="AA373" s="3">
        <v>0</v>
      </c>
      <c r="AB373" s="3">
        <v>87</v>
      </c>
      <c r="AC373" s="3">
        <v>0</v>
      </c>
      <c r="AD373" s="3">
        <f t="shared" si="156"/>
        <v>87</v>
      </c>
      <c r="AE373" s="3">
        <v>0</v>
      </c>
      <c r="AF373" s="3">
        <v>0</v>
      </c>
      <c r="AG373" s="3">
        <v>87</v>
      </c>
      <c r="AH373" s="3">
        <v>0</v>
      </c>
      <c r="AI373" s="3">
        <v>0</v>
      </c>
      <c r="AJ373" s="3">
        <f t="shared" si="157"/>
        <v>87</v>
      </c>
      <c r="AK373" s="1">
        <v>0</v>
      </c>
      <c r="AL373" s="3">
        <f>AE373</f>
        <v>0</v>
      </c>
      <c r="AM373" s="3">
        <f>AF373</f>
        <v>0</v>
      </c>
      <c r="AN373" s="3">
        <f>AG373</f>
        <v>87</v>
      </c>
      <c r="AO373" s="3">
        <f>AH373</f>
        <v>0</v>
      </c>
      <c r="AP373" s="3">
        <f t="shared" si="139"/>
        <v>0</v>
      </c>
    </row>
    <row r="374" spans="1:43" x14ac:dyDescent="0.35">
      <c r="A374" s="1">
        <v>742</v>
      </c>
      <c r="B374" s="6">
        <v>45916</v>
      </c>
      <c r="C374" s="5" t="str">
        <f>VLOOKUP(F374,[1]Sheet1!$G$1:$AE$447,25,0)</f>
        <v>ZBTO</v>
      </c>
      <c r="D374" s="1">
        <v>9519107868</v>
      </c>
      <c r="E374" s="1">
        <v>6</v>
      </c>
      <c r="F374" s="1" t="s">
        <v>1023</v>
      </c>
      <c r="G374" s="1" t="s">
        <v>1155</v>
      </c>
      <c r="H374" s="5" t="s">
        <v>21</v>
      </c>
      <c r="I374" s="5" t="s">
        <v>22</v>
      </c>
      <c r="J374" s="5"/>
      <c r="K374" s="1" t="s">
        <v>970</v>
      </c>
      <c r="L374" s="1" t="str">
        <f t="shared" si="150"/>
        <v>BPRS</v>
      </c>
      <c r="M374" s="1" t="s">
        <v>1016</v>
      </c>
      <c r="N374" s="5" t="s">
        <v>1132</v>
      </c>
      <c r="P374" s="5">
        <v>939422</v>
      </c>
      <c r="Q374" s="1" t="s">
        <v>282</v>
      </c>
      <c r="R374" s="5">
        <f>VLOOKUP(F374,[1]Sheet1!$G$1:$O$447,9,0)</f>
        <v>292577</v>
      </c>
      <c r="S374" s="5" t="str">
        <f>VLOOKUP(F374,[1]Sheet1!$G$1:$P$447,10,0)</f>
        <v>CR COIL-ICF  DQ TATXXD AU03 2.02X1250</v>
      </c>
      <c r="T374" s="1" t="s">
        <v>28</v>
      </c>
      <c r="U374" s="5" t="str">
        <f>VLOOKUP(F374,[1]Sheet1!$G$1:$W$447,17,0)</f>
        <v>TATXXD</v>
      </c>
      <c r="V374" s="1" t="s">
        <v>30</v>
      </c>
      <c r="W374" s="1">
        <v>2.02</v>
      </c>
      <c r="X374" s="1">
        <v>1250</v>
      </c>
      <c r="Y374" s="1">
        <v>0</v>
      </c>
      <c r="Z374" s="3">
        <v>29</v>
      </c>
      <c r="AA374" s="3">
        <v>0</v>
      </c>
      <c r="AB374" s="3">
        <v>29</v>
      </c>
      <c r="AC374" s="3">
        <v>0</v>
      </c>
      <c r="AD374" s="3">
        <f t="shared" si="156"/>
        <v>29</v>
      </c>
      <c r="AE374" s="3">
        <v>0</v>
      </c>
      <c r="AF374" s="3">
        <v>0</v>
      </c>
      <c r="AG374" s="3">
        <v>29</v>
      </c>
      <c r="AH374" s="3">
        <v>0</v>
      </c>
      <c r="AI374" s="3">
        <v>0</v>
      </c>
      <c r="AJ374" s="3">
        <f t="shared" si="157"/>
        <v>29</v>
      </c>
      <c r="AK374" s="1">
        <v>0</v>
      </c>
      <c r="AL374" s="3">
        <f t="shared" ref="AL374:AL375" si="167">AE374</f>
        <v>0</v>
      </c>
      <c r="AM374" s="3">
        <f t="shared" ref="AM374:AM375" si="168">AF374</f>
        <v>0</v>
      </c>
      <c r="AN374" s="3">
        <f t="shared" ref="AN374:AN375" si="169">AG374</f>
        <v>29</v>
      </c>
      <c r="AO374" s="3">
        <f t="shared" ref="AO374:AO375" si="170">AH374</f>
        <v>0</v>
      </c>
      <c r="AP374" s="3">
        <f t="shared" si="139"/>
        <v>0</v>
      </c>
    </row>
    <row r="375" spans="1:43" x14ac:dyDescent="0.35">
      <c r="A375" s="1">
        <v>742</v>
      </c>
      <c r="B375" s="6">
        <v>45874</v>
      </c>
      <c r="C375" s="5" t="str">
        <f>VLOOKUP(F375,[1]Sheet1!$G$1:$AE$447,25,0)</f>
        <v>ZBTO</v>
      </c>
      <c r="D375" s="1">
        <v>9518995071</v>
      </c>
      <c r="E375" s="1">
        <v>5</v>
      </c>
      <c r="F375" s="1" t="s">
        <v>1024</v>
      </c>
      <c r="G375" s="1" t="s">
        <v>1155</v>
      </c>
      <c r="H375" s="5" t="s">
        <v>21</v>
      </c>
      <c r="I375" s="5" t="s">
        <v>22</v>
      </c>
      <c r="J375" s="5"/>
      <c r="K375" s="1" t="s">
        <v>970</v>
      </c>
      <c r="L375" s="1" t="str">
        <f t="shared" si="150"/>
        <v>BPRS</v>
      </c>
      <c r="M375" s="1" t="s">
        <v>1017</v>
      </c>
      <c r="N375" s="5" t="s">
        <v>1117</v>
      </c>
      <c r="P375" s="5">
        <v>933952</v>
      </c>
      <c r="Q375" s="1" t="s">
        <v>95</v>
      </c>
      <c r="R375" s="5">
        <f>VLOOKUP(F375,[1]Sheet1!$G$1:$O$447,9,0)</f>
        <v>1884117</v>
      </c>
      <c r="S375" s="5" t="str">
        <f>VLOOKUP(F375,[1]Sheet1!$G$1:$P$447,10,0)</f>
        <v>CRCA COIL-TATXXD-AU03-2X1250</v>
      </c>
      <c r="T375" s="1" t="s">
        <v>28</v>
      </c>
      <c r="U375" s="5" t="str">
        <f>VLOOKUP(F375,[1]Sheet1!$G$1:$W$447,17,0)</f>
        <v>TATXXD</v>
      </c>
      <c r="V375" s="1" t="s">
        <v>30</v>
      </c>
      <c r="W375" s="1">
        <v>2</v>
      </c>
      <c r="X375" s="1">
        <v>1250</v>
      </c>
      <c r="Y375" s="1">
        <v>0</v>
      </c>
      <c r="Z375" s="3">
        <v>29</v>
      </c>
      <c r="AA375" s="3">
        <v>0</v>
      </c>
      <c r="AB375" s="3">
        <v>29</v>
      </c>
      <c r="AC375" s="3">
        <v>0</v>
      </c>
      <c r="AD375" s="3">
        <f t="shared" si="156"/>
        <v>29</v>
      </c>
      <c r="AE375" s="3">
        <v>29</v>
      </c>
      <c r="AF375" s="3">
        <v>0</v>
      </c>
      <c r="AG375" s="3">
        <v>0</v>
      </c>
      <c r="AH375" s="3">
        <v>0</v>
      </c>
      <c r="AI375" s="3">
        <v>0</v>
      </c>
      <c r="AJ375" s="3">
        <f t="shared" si="157"/>
        <v>29</v>
      </c>
      <c r="AK375" s="1">
        <v>0</v>
      </c>
      <c r="AL375" s="3">
        <f t="shared" si="167"/>
        <v>29</v>
      </c>
      <c r="AM375" s="3">
        <f t="shared" si="168"/>
        <v>0</v>
      </c>
      <c r="AN375" s="3">
        <f t="shared" si="169"/>
        <v>0</v>
      </c>
      <c r="AO375" s="3">
        <f t="shared" si="170"/>
        <v>0</v>
      </c>
      <c r="AP375" s="3">
        <f t="shared" si="139"/>
        <v>0</v>
      </c>
    </row>
    <row r="376" spans="1:43" x14ac:dyDescent="0.35">
      <c r="A376" s="1">
        <v>743</v>
      </c>
      <c r="B376" s="6">
        <v>45918</v>
      </c>
      <c r="C376" s="5" t="str">
        <f>VLOOKUP(F376,[1]Sheet1!$G$1:$AE$447,25,0)</f>
        <v>ZBTO</v>
      </c>
      <c r="D376" s="1">
        <v>9519116020</v>
      </c>
      <c r="E376" s="1">
        <v>5</v>
      </c>
      <c r="F376" s="1" t="s">
        <v>1025</v>
      </c>
      <c r="G376" s="1" t="s">
        <v>1155</v>
      </c>
      <c r="H376" s="5" t="s">
        <v>63</v>
      </c>
      <c r="I376" s="1" t="s">
        <v>1404</v>
      </c>
      <c r="J376" s="5"/>
      <c r="K376" s="1" t="s">
        <v>970</v>
      </c>
      <c r="L376" s="1" t="str">
        <f t="shared" si="150"/>
        <v>BPRS</v>
      </c>
      <c r="M376" s="1" t="s">
        <v>1018</v>
      </c>
      <c r="N376" s="5" t="s">
        <v>1121</v>
      </c>
      <c r="P376" s="5">
        <v>100922</v>
      </c>
      <c r="Q376" s="1" t="s">
        <v>334</v>
      </c>
      <c r="R376" s="5">
        <f>VLOOKUP(F376,[1]Sheet1!$G$1:$O$447,9,0)</f>
        <v>1854424</v>
      </c>
      <c r="S376" s="5" t="str">
        <f>VLOOKUP(F376,[1]Sheet1!$G$1:$P$447,10,0)</f>
        <v>GP COIL SOFT-TATXGP-GK09-0.6X900</v>
      </c>
      <c r="T376" s="1" t="s">
        <v>139</v>
      </c>
      <c r="U376" s="5" t="str">
        <f>VLOOKUP(F376,[1]Sheet1!$G$1:$W$447,17,0)</f>
        <v>TATXGP</v>
      </c>
      <c r="V376" s="1" t="s">
        <v>150</v>
      </c>
      <c r="W376" s="1">
        <v>0.6</v>
      </c>
      <c r="X376" s="1">
        <v>900</v>
      </c>
      <c r="Y376" s="1">
        <v>0</v>
      </c>
      <c r="Z376" s="3">
        <v>84</v>
      </c>
      <c r="AA376" s="3">
        <v>0</v>
      </c>
      <c r="AB376" s="3">
        <v>84</v>
      </c>
      <c r="AC376" s="3">
        <v>0</v>
      </c>
      <c r="AD376" s="3">
        <f t="shared" si="156"/>
        <v>84</v>
      </c>
      <c r="AE376" s="3">
        <v>0</v>
      </c>
      <c r="AF376" s="3">
        <v>0</v>
      </c>
      <c r="AG376" s="3">
        <v>0</v>
      </c>
      <c r="AH376" s="3">
        <v>84</v>
      </c>
      <c r="AI376" s="3">
        <v>0</v>
      </c>
      <c r="AJ376" s="3">
        <f t="shared" si="157"/>
        <v>84</v>
      </c>
      <c r="AK376" s="1">
        <v>0</v>
      </c>
      <c r="AL376" s="1">
        <v>0</v>
      </c>
      <c r="AM376" s="1">
        <v>0</v>
      </c>
      <c r="AN376" s="1">
        <v>0</v>
      </c>
      <c r="AO376" s="3">
        <f t="shared" ref="AO376:AO377" si="171">AH376</f>
        <v>84</v>
      </c>
      <c r="AP376" s="3">
        <f t="shared" si="139"/>
        <v>0</v>
      </c>
    </row>
    <row r="377" spans="1:43" x14ac:dyDescent="0.35">
      <c r="A377" s="1">
        <v>743</v>
      </c>
      <c r="B377" s="6">
        <v>45918</v>
      </c>
      <c r="C377" s="5" t="str">
        <f>VLOOKUP(F377,[1]Sheet1!$G$1:$AE$447,25,0)</f>
        <v>ZBTO</v>
      </c>
      <c r="D377" s="1">
        <v>9519116020</v>
      </c>
      <c r="E377" s="1">
        <v>4</v>
      </c>
      <c r="F377" s="1" t="s">
        <v>1026</v>
      </c>
      <c r="G377" s="1" t="s">
        <v>1155</v>
      </c>
      <c r="H377" s="5" t="s">
        <v>63</v>
      </c>
      <c r="I377" s="1" t="s">
        <v>1404</v>
      </c>
      <c r="J377" s="5"/>
      <c r="K377" s="1" t="s">
        <v>970</v>
      </c>
      <c r="L377" s="1" t="str">
        <f t="shared" si="150"/>
        <v>BPRS</v>
      </c>
      <c r="M377" s="1" t="s">
        <v>1018</v>
      </c>
      <c r="N377" s="5" t="s">
        <v>1121</v>
      </c>
      <c r="P377" s="5">
        <v>100922</v>
      </c>
      <c r="Q377" s="1" t="s">
        <v>334</v>
      </c>
      <c r="R377" s="5">
        <f>VLOOKUP(F377,[1]Sheet1!$G$1:$O$447,9,0)</f>
        <v>1353179</v>
      </c>
      <c r="S377" s="5" t="str">
        <f>VLOOKUP(F377,[1]Sheet1!$G$1:$P$447,10,0)</f>
        <v>GP COIL TATXGP GK09 0.500X900</v>
      </c>
      <c r="T377" s="1" t="s">
        <v>139</v>
      </c>
      <c r="U377" s="5" t="str">
        <f>VLOOKUP(F377,[1]Sheet1!$G$1:$W$447,17,0)</f>
        <v>TATXGP</v>
      </c>
      <c r="V377" s="1" t="s">
        <v>150</v>
      </c>
      <c r="W377" s="1">
        <v>0.5</v>
      </c>
      <c r="X377" s="1">
        <v>900</v>
      </c>
      <c r="Y377" s="1">
        <v>0</v>
      </c>
      <c r="Z377" s="3">
        <v>84</v>
      </c>
      <c r="AA377" s="3">
        <v>0</v>
      </c>
      <c r="AB377" s="3">
        <v>84</v>
      </c>
      <c r="AC377" s="3">
        <v>0</v>
      </c>
      <c r="AD377" s="3">
        <f t="shared" si="156"/>
        <v>84</v>
      </c>
      <c r="AE377" s="3">
        <v>0</v>
      </c>
      <c r="AF377" s="3">
        <v>0</v>
      </c>
      <c r="AG377" s="3">
        <v>0</v>
      </c>
      <c r="AH377" s="3">
        <v>84</v>
      </c>
      <c r="AI377" s="3">
        <v>0</v>
      </c>
      <c r="AJ377" s="3">
        <f t="shared" si="157"/>
        <v>84</v>
      </c>
      <c r="AK377" s="1">
        <v>0</v>
      </c>
      <c r="AL377" s="1">
        <v>0</v>
      </c>
      <c r="AM377" s="1">
        <v>0</v>
      </c>
      <c r="AN377" s="1">
        <v>0</v>
      </c>
      <c r="AO377" s="3">
        <f t="shared" si="171"/>
        <v>84</v>
      </c>
      <c r="AP377" s="3">
        <f t="shared" si="139"/>
        <v>0</v>
      </c>
    </row>
    <row r="378" spans="1:43" x14ac:dyDescent="0.35">
      <c r="A378" s="1">
        <v>742</v>
      </c>
      <c r="B378" s="6">
        <v>45916</v>
      </c>
      <c r="C378" s="5" t="str">
        <f>VLOOKUP(F378,[1]Sheet1!$G$1:$AE$447,25,0)</f>
        <v>ZBTO</v>
      </c>
      <c r="D378" s="1">
        <v>9519110359</v>
      </c>
      <c r="E378" s="1">
        <v>4</v>
      </c>
      <c r="F378" s="1" t="s">
        <v>1027</v>
      </c>
      <c r="G378" s="1" t="s">
        <v>1155</v>
      </c>
      <c r="H378" s="5" t="s">
        <v>21</v>
      </c>
      <c r="I378" s="5" t="s">
        <v>71</v>
      </c>
      <c r="J378" s="5"/>
      <c r="K378" s="1" t="s">
        <v>970</v>
      </c>
      <c r="L378" s="1" t="str">
        <f t="shared" si="150"/>
        <v>BPRS</v>
      </c>
      <c r="M378" s="1" t="s">
        <v>1016</v>
      </c>
      <c r="N378" s="5" t="s">
        <v>1113</v>
      </c>
      <c r="P378" s="5">
        <v>946077</v>
      </c>
      <c r="Q378" s="1" t="s">
        <v>72</v>
      </c>
      <c r="R378" s="5">
        <f>VLOOKUP(F378,[1]Sheet1!$G$1:$O$447,9,0)</f>
        <v>3240785</v>
      </c>
      <c r="S378" s="5" t="str">
        <f>VLOOKUP(F378,[1]Sheet1!$G$1:$P$447,10,0)</f>
        <v>CRCA SHEET TSBCRC SR15 0.600X1250X2500</v>
      </c>
      <c r="T378" s="1" t="s">
        <v>75</v>
      </c>
      <c r="U378" s="5" t="str">
        <f>VLOOKUP(F378,[1]Sheet1!$G$1:$W$447,17,0)</f>
        <v>TSBCRC</v>
      </c>
      <c r="V378" s="1" t="s">
        <v>77</v>
      </c>
      <c r="W378" s="1">
        <v>0.6</v>
      </c>
      <c r="X378" s="1">
        <v>1250</v>
      </c>
      <c r="Y378" s="1">
        <v>2500</v>
      </c>
      <c r="Z378" s="3">
        <v>29</v>
      </c>
      <c r="AA378" s="3">
        <v>0</v>
      </c>
      <c r="AB378" s="3">
        <v>29</v>
      </c>
      <c r="AC378" s="3">
        <v>0</v>
      </c>
      <c r="AD378" s="3">
        <f t="shared" si="156"/>
        <v>29</v>
      </c>
      <c r="AE378" s="3">
        <v>0</v>
      </c>
      <c r="AF378" s="3">
        <v>0</v>
      </c>
      <c r="AG378" s="3">
        <v>29</v>
      </c>
      <c r="AH378" s="3">
        <v>0</v>
      </c>
      <c r="AI378" s="3">
        <v>0</v>
      </c>
      <c r="AJ378" s="3">
        <f t="shared" si="157"/>
        <v>29</v>
      </c>
      <c r="AK378" s="1">
        <v>0</v>
      </c>
      <c r="AL378" s="3">
        <f>AE378</f>
        <v>0</v>
      </c>
      <c r="AM378" s="3">
        <f>AF378</f>
        <v>0</v>
      </c>
      <c r="AN378" s="3">
        <f>AG378</f>
        <v>29</v>
      </c>
      <c r="AO378" s="3">
        <f>AH378</f>
        <v>0</v>
      </c>
      <c r="AP378" s="3">
        <f t="shared" si="139"/>
        <v>0</v>
      </c>
    </row>
    <row r="379" spans="1:43" x14ac:dyDescent="0.35">
      <c r="A379" s="1">
        <v>742</v>
      </c>
      <c r="B379" s="6">
        <v>45918</v>
      </c>
      <c r="C379" s="5" t="str">
        <f>VLOOKUP(F379,[1]Sheet1!$G$1:$AE$447,25,0)</f>
        <v>ZBTO</v>
      </c>
      <c r="D379" s="1">
        <v>9519114756</v>
      </c>
      <c r="E379" s="1">
        <v>3</v>
      </c>
      <c r="F379" s="1" t="s">
        <v>1028</v>
      </c>
      <c r="G379" s="1" t="s">
        <v>1155</v>
      </c>
      <c r="H379" s="5" t="s">
        <v>21</v>
      </c>
      <c r="I379" s="5" t="s">
        <v>71</v>
      </c>
      <c r="J379" s="5"/>
      <c r="K379" s="1" t="s">
        <v>970</v>
      </c>
      <c r="L379" s="1" t="str">
        <f t="shared" si="150"/>
        <v>BPRS</v>
      </c>
      <c r="M379" s="1" t="s">
        <v>1016</v>
      </c>
      <c r="N379" s="5" t="s">
        <v>1113</v>
      </c>
      <c r="P379" s="5">
        <v>946077</v>
      </c>
      <c r="Q379" s="1" t="s">
        <v>72</v>
      </c>
      <c r="R379" s="5">
        <f>VLOOKUP(F379,[1]Sheet1!$G$1:$O$447,9,0)</f>
        <v>3240771</v>
      </c>
      <c r="S379" s="5" t="str">
        <f>VLOOKUP(F379,[1]Sheet1!$G$1:$P$447,10,0)</f>
        <v>CRCA SHEET TSBCRC SR15 0.600X900X2440</v>
      </c>
      <c r="T379" s="1" t="s">
        <v>75</v>
      </c>
      <c r="U379" s="5" t="str">
        <f>VLOOKUP(F379,[1]Sheet1!$G$1:$W$447,17,0)</f>
        <v>TSBCRC</v>
      </c>
      <c r="V379" s="1" t="s">
        <v>77</v>
      </c>
      <c r="W379" s="1">
        <v>0.6</v>
      </c>
      <c r="X379" s="1">
        <v>900</v>
      </c>
      <c r="Y379" s="1">
        <v>2440</v>
      </c>
      <c r="Z379" s="3">
        <v>63</v>
      </c>
      <c r="AA379" s="3">
        <v>0</v>
      </c>
      <c r="AB379" s="3">
        <v>63</v>
      </c>
      <c r="AC379" s="3">
        <v>0</v>
      </c>
      <c r="AD379" s="3">
        <f t="shared" si="156"/>
        <v>63</v>
      </c>
      <c r="AE379" s="3">
        <v>0</v>
      </c>
      <c r="AF379" s="3">
        <v>0</v>
      </c>
      <c r="AG379" s="3">
        <v>0</v>
      </c>
      <c r="AH379" s="3">
        <v>63</v>
      </c>
      <c r="AI379" s="3">
        <v>0</v>
      </c>
      <c r="AJ379" s="3">
        <f t="shared" si="157"/>
        <v>63</v>
      </c>
      <c r="AK379" s="1">
        <v>0</v>
      </c>
      <c r="AL379" s="3">
        <f t="shared" ref="AL379:AL380" si="172">AE379</f>
        <v>0</v>
      </c>
      <c r="AM379" s="3">
        <f t="shared" ref="AM379:AM380" si="173">AF379</f>
        <v>0</v>
      </c>
      <c r="AN379" s="3">
        <f t="shared" ref="AN379:AN380" si="174">AG379</f>
        <v>0</v>
      </c>
      <c r="AO379" s="3">
        <f t="shared" ref="AO379:AO380" si="175">AH379</f>
        <v>63</v>
      </c>
      <c r="AP379" s="3">
        <f t="shared" si="139"/>
        <v>0</v>
      </c>
    </row>
    <row r="380" spans="1:43" x14ac:dyDescent="0.35">
      <c r="A380" s="1">
        <v>742</v>
      </c>
      <c r="B380" s="6">
        <v>45918</v>
      </c>
      <c r="C380" s="5" t="str">
        <f>VLOOKUP(F380,[1]Sheet1!$G$1:$AE$447,25,0)</f>
        <v>ZBTO</v>
      </c>
      <c r="D380" s="1">
        <v>9519114756</v>
      </c>
      <c r="E380" s="1">
        <v>2</v>
      </c>
      <c r="F380" s="1" t="s">
        <v>1029</v>
      </c>
      <c r="G380" s="1" t="s">
        <v>1155</v>
      </c>
      <c r="H380" s="5" t="s">
        <v>21</v>
      </c>
      <c r="I380" s="5" t="s">
        <v>71</v>
      </c>
      <c r="J380" s="5"/>
      <c r="K380" s="1" t="s">
        <v>970</v>
      </c>
      <c r="L380" s="1" t="str">
        <f t="shared" si="150"/>
        <v>BPRS</v>
      </c>
      <c r="M380" s="1" t="s">
        <v>1016</v>
      </c>
      <c r="N380" s="5" t="s">
        <v>1113</v>
      </c>
      <c r="P380" s="5">
        <v>946077</v>
      </c>
      <c r="Q380" s="1" t="s">
        <v>72</v>
      </c>
      <c r="R380" s="5">
        <f>VLOOKUP(F380,[1]Sheet1!$G$1:$O$447,9,0)</f>
        <v>3411571</v>
      </c>
      <c r="S380" s="5" t="str">
        <f>VLOOKUP(F380,[1]Sheet1!$G$1:$P$447,10,0)</f>
        <v>CRCA SHEET TSBCRC SR15 0.500X900X2440</v>
      </c>
      <c r="T380" s="1" t="s">
        <v>75</v>
      </c>
      <c r="U380" s="5" t="str">
        <f>VLOOKUP(F380,[1]Sheet1!$G$1:$W$447,17,0)</f>
        <v>TSBCRC</v>
      </c>
      <c r="V380" s="1" t="s">
        <v>77</v>
      </c>
      <c r="W380" s="1">
        <v>0.5</v>
      </c>
      <c r="X380" s="1">
        <v>900</v>
      </c>
      <c r="Y380" s="1">
        <v>2440</v>
      </c>
      <c r="Z380" s="3">
        <v>63</v>
      </c>
      <c r="AA380" s="3">
        <v>0</v>
      </c>
      <c r="AB380" s="3">
        <v>63</v>
      </c>
      <c r="AC380" s="3">
        <v>0</v>
      </c>
      <c r="AD380" s="3">
        <f t="shared" si="156"/>
        <v>63</v>
      </c>
      <c r="AE380" s="3">
        <v>0</v>
      </c>
      <c r="AF380" s="3">
        <v>0</v>
      </c>
      <c r="AG380" s="3">
        <v>0</v>
      </c>
      <c r="AH380" s="3">
        <v>63</v>
      </c>
      <c r="AI380" s="3">
        <v>0</v>
      </c>
      <c r="AJ380" s="3">
        <f t="shared" si="157"/>
        <v>63</v>
      </c>
      <c r="AK380" s="1">
        <v>0</v>
      </c>
      <c r="AL380" s="3">
        <f t="shared" si="172"/>
        <v>0</v>
      </c>
      <c r="AM380" s="3">
        <f t="shared" si="173"/>
        <v>0</v>
      </c>
      <c r="AN380" s="3">
        <f t="shared" si="174"/>
        <v>0</v>
      </c>
      <c r="AO380" s="3">
        <f t="shared" si="175"/>
        <v>63</v>
      </c>
      <c r="AP380" s="3">
        <f t="shared" si="139"/>
        <v>0</v>
      </c>
    </row>
    <row r="381" spans="1:43" x14ac:dyDescent="0.35">
      <c r="A381" s="1">
        <v>742</v>
      </c>
      <c r="B381" s="6">
        <v>45904</v>
      </c>
      <c r="C381" s="5" t="str">
        <f>VLOOKUP(F381,[1]Sheet1!$G$1:$AE$447,25,0)</f>
        <v>ZBTO</v>
      </c>
      <c r="D381" s="1">
        <v>9519077538</v>
      </c>
      <c r="E381" s="1">
        <v>8</v>
      </c>
      <c r="F381" s="1" t="s">
        <v>1030</v>
      </c>
      <c r="G381" s="1" t="s">
        <v>1155</v>
      </c>
      <c r="H381" s="5" t="s">
        <v>21</v>
      </c>
      <c r="I381" s="5" t="s">
        <v>71</v>
      </c>
      <c r="J381" s="5"/>
      <c r="K381" s="1" t="s">
        <v>970</v>
      </c>
      <c r="L381" s="1" t="str">
        <f t="shared" si="150"/>
        <v>BPRS</v>
      </c>
      <c r="M381" s="1" t="s">
        <v>1018</v>
      </c>
      <c r="N381" s="5" t="s">
        <v>1121</v>
      </c>
      <c r="P381" s="5">
        <v>101278</v>
      </c>
      <c r="Q381" s="1" t="s">
        <v>311</v>
      </c>
      <c r="R381" s="5">
        <f>VLOOKUP(F381,[1]Sheet1!$G$1:$O$447,9,0)</f>
        <v>3240765</v>
      </c>
      <c r="S381" s="5" t="str">
        <f>VLOOKUP(F381,[1]Sheet1!$G$1:$P$447,10,0)</f>
        <v>CRCA SHEET TSBCRC SR15 0.500X1250X2500</v>
      </c>
      <c r="T381" s="1" t="s">
        <v>75</v>
      </c>
      <c r="U381" s="5" t="str">
        <f>VLOOKUP(F381,[1]Sheet1!$G$1:$W$447,17,0)</f>
        <v>TSBCRC</v>
      </c>
      <c r="V381" s="1" t="s">
        <v>77</v>
      </c>
      <c r="W381" s="1">
        <v>0.5</v>
      </c>
      <c r="X381" s="1">
        <v>1250</v>
      </c>
      <c r="Y381" s="1">
        <v>2500</v>
      </c>
      <c r="Z381" s="3">
        <v>29</v>
      </c>
      <c r="AA381" s="3">
        <v>0</v>
      </c>
      <c r="AB381" s="3">
        <v>29</v>
      </c>
      <c r="AC381" s="3">
        <v>0</v>
      </c>
      <c r="AD381" s="3">
        <f t="shared" si="156"/>
        <v>29</v>
      </c>
      <c r="AE381" s="3">
        <v>0</v>
      </c>
      <c r="AF381" s="3">
        <v>29</v>
      </c>
      <c r="AG381" s="3">
        <v>0</v>
      </c>
      <c r="AH381" s="3">
        <v>0</v>
      </c>
      <c r="AI381" s="3">
        <v>0</v>
      </c>
      <c r="AJ381" s="3">
        <f t="shared" si="157"/>
        <v>29</v>
      </c>
      <c r="AK381" s="1">
        <v>0</v>
      </c>
      <c r="AL381" s="3">
        <f t="shared" ref="AL381:AL383" si="176">AE381</f>
        <v>0</v>
      </c>
      <c r="AM381" s="3">
        <f t="shared" ref="AM381:AM383" si="177">AF381</f>
        <v>29</v>
      </c>
      <c r="AN381" s="3">
        <f t="shared" ref="AN381:AN383" si="178">AG381</f>
        <v>0</v>
      </c>
      <c r="AO381" s="3">
        <f t="shared" ref="AO381:AO383" si="179">AH381</f>
        <v>0</v>
      </c>
      <c r="AP381" s="3">
        <f t="shared" si="139"/>
        <v>0</v>
      </c>
    </row>
    <row r="382" spans="1:43" x14ac:dyDescent="0.35">
      <c r="A382" s="1">
        <v>742</v>
      </c>
      <c r="B382" s="6">
        <v>45904</v>
      </c>
      <c r="C382" s="5" t="str">
        <f>VLOOKUP(F382,[1]Sheet1!$G$1:$AE$447,25,0)</f>
        <v>ZBTO</v>
      </c>
      <c r="D382" s="1">
        <v>9519077538</v>
      </c>
      <c r="E382" s="1">
        <v>4</v>
      </c>
      <c r="F382" s="1" t="s">
        <v>1031</v>
      </c>
      <c r="G382" s="1" t="s">
        <v>1155</v>
      </c>
      <c r="H382" s="5" t="s">
        <v>21</v>
      </c>
      <c r="I382" s="5" t="s">
        <v>71</v>
      </c>
      <c r="J382" s="5"/>
      <c r="K382" s="1" t="s">
        <v>970</v>
      </c>
      <c r="L382" s="1" t="str">
        <f t="shared" si="150"/>
        <v>BPRS</v>
      </c>
      <c r="M382" s="1" t="s">
        <v>1018</v>
      </c>
      <c r="N382" s="5" t="s">
        <v>1121</v>
      </c>
      <c r="P382" s="5">
        <v>101278</v>
      </c>
      <c r="Q382" s="1" t="s">
        <v>311</v>
      </c>
      <c r="R382" s="5">
        <f>VLOOKUP(F382,[1]Sheet1!$G$1:$O$447,9,0)</f>
        <v>3239548</v>
      </c>
      <c r="S382" s="5" t="str">
        <f>VLOOKUP(F382,[1]Sheet1!$G$1:$P$447,10,0)</f>
        <v>CRCA SHEET TATCRC SR16 0.400X900X2500</v>
      </c>
      <c r="T382" s="1" t="s">
        <v>75</v>
      </c>
      <c r="U382" s="5" t="str">
        <f>VLOOKUP(F382,[1]Sheet1!$G$1:$W$447,17,0)</f>
        <v>TATCRC</v>
      </c>
      <c r="V382" s="1" t="s">
        <v>123</v>
      </c>
      <c r="W382" s="1">
        <v>0.4</v>
      </c>
      <c r="X382" s="1">
        <v>900</v>
      </c>
      <c r="Y382" s="1">
        <v>2500</v>
      </c>
      <c r="Z382" s="3">
        <v>42</v>
      </c>
      <c r="AA382" s="3">
        <v>0</v>
      </c>
      <c r="AB382" s="3">
        <v>42</v>
      </c>
      <c r="AC382" s="3">
        <v>0</v>
      </c>
      <c r="AD382" s="3">
        <f t="shared" si="156"/>
        <v>42</v>
      </c>
      <c r="AE382" s="3">
        <v>0</v>
      </c>
      <c r="AF382" s="3">
        <v>0</v>
      </c>
      <c r="AG382" s="3">
        <v>42</v>
      </c>
      <c r="AH382" s="3">
        <v>0</v>
      </c>
      <c r="AI382" s="3">
        <v>0</v>
      </c>
      <c r="AJ382" s="3">
        <f t="shared" si="157"/>
        <v>42</v>
      </c>
      <c r="AK382" s="1">
        <v>0</v>
      </c>
      <c r="AL382" s="3">
        <f t="shared" si="176"/>
        <v>0</v>
      </c>
      <c r="AM382" s="3">
        <f t="shared" si="177"/>
        <v>0</v>
      </c>
      <c r="AN382" s="3">
        <f t="shared" si="178"/>
        <v>42</v>
      </c>
      <c r="AO382" s="3">
        <f t="shared" si="179"/>
        <v>0</v>
      </c>
      <c r="AP382" s="3">
        <f t="shared" si="139"/>
        <v>0</v>
      </c>
    </row>
    <row r="383" spans="1:43" x14ac:dyDescent="0.35">
      <c r="A383" s="1">
        <v>742</v>
      </c>
      <c r="B383" s="6">
        <v>45904</v>
      </c>
      <c r="C383" s="5" t="str">
        <f>VLOOKUP(F383,[1]Sheet1!$G$1:$AE$447,25,0)</f>
        <v>ZBTO</v>
      </c>
      <c r="D383" s="1">
        <v>9519077538</v>
      </c>
      <c r="E383" s="1">
        <v>3</v>
      </c>
      <c r="F383" s="1" t="s">
        <v>1032</v>
      </c>
      <c r="G383" s="1" t="s">
        <v>1155</v>
      </c>
      <c r="H383" s="5" t="s">
        <v>21</v>
      </c>
      <c r="I383" s="5" t="s">
        <v>71</v>
      </c>
      <c r="J383" s="5"/>
      <c r="K383" s="1" t="s">
        <v>970</v>
      </c>
      <c r="L383" s="1" t="str">
        <f t="shared" si="150"/>
        <v>BPRS</v>
      </c>
      <c r="M383" s="1" t="s">
        <v>1018</v>
      </c>
      <c r="N383" s="5" t="s">
        <v>1121</v>
      </c>
      <c r="P383" s="5">
        <v>101278</v>
      </c>
      <c r="Q383" s="1" t="s">
        <v>311</v>
      </c>
      <c r="R383" s="5">
        <f>VLOOKUP(F383,[1]Sheet1!$G$1:$O$447,9,0)</f>
        <v>3239543</v>
      </c>
      <c r="S383" s="5" t="str">
        <f>VLOOKUP(F383,[1]Sheet1!$G$1:$P$447,10,0)</f>
        <v>CRCA SHEET TATCRC SR16 0.350X1250X2500</v>
      </c>
      <c r="T383" s="1" t="s">
        <v>75</v>
      </c>
      <c r="U383" s="5" t="str">
        <f>VLOOKUP(F383,[1]Sheet1!$G$1:$W$447,17,0)</f>
        <v>TATCRC</v>
      </c>
      <c r="V383" s="1" t="s">
        <v>123</v>
      </c>
      <c r="W383" s="1">
        <v>0.35</v>
      </c>
      <c r="X383" s="1">
        <v>1250</v>
      </c>
      <c r="Y383" s="1">
        <v>2500</v>
      </c>
      <c r="Z383" s="3">
        <v>29</v>
      </c>
      <c r="AA383" s="3">
        <v>0</v>
      </c>
      <c r="AB383" s="3">
        <v>29</v>
      </c>
      <c r="AC383" s="3">
        <v>0</v>
      </c>
      <c r="AD383" s="3">
        <f t="shared" si="156"/>
        <v>29</v>
      </c>
      <c r="AE383" s="3">
        <v>0</v>
      </c>
      <c r="AF383" s="3">
        <v>0</v>
      </c>
      <c r="AG383" s="3">
        <v>0</v>
      </c>
      <c r="AH383" s="3">
        <v>29</v>
      </c>
      <c r="AI383" s="3">
        <v>0</v>
      </c>
      <c r="AJ383" s="3">
        <f t="shared" si="157"/>
        <v>29</v>
      </c>
      <c r="AK383" s="1">
        <v>0</v>
      </c>
      <c r="AL383" s="3">
        <f t="shared" si="176"/>
        <v>0</v>
      </c>
      <c r="AM383" s="3">
        <f t="shared" si="177"/>
        <v>0</v>
      </c>
      <c r="AN383" s="3">
        <f t="shared" si="178"/>
        <v>0</v>
      </c>
      <c r="AO383" s="3">
        <f t="shared" si="179"/>
        <v>29</v>
      </c>
      <c r="AP383" s="3">
        <f t="shared" si="139"/>
        <v>0</v>
      </c>
    </row>
    <row r="384" spans="1:43" x14ac:dyDescent="0.35">
      <c r="A384" s="1">
        <v>742</v>
      </c>
      <c r="B384" s="6">
        <v>45904</v>
      </c>
      <c r="C384" s="5" t="str">
        <f>VLOOKUP(F384,[1]Sheet1!$G$1:$AE$447,25,0)</f>
        <v>ZBTO</v>
      </c>
      <c r="D384" s="1">
        <v>9519077538</v>
      </c>
      <c r="E384" s="1">
        <v>1</v>
      </c>
      <c r="F384" s="1" t="s">
        <v>1033</v>
      </c>
      <c r="G384" s="1" t="s">
        <v>1155</v>
      </c>
      <c r="H384" s="5" t="s">
        <v>21</v>
      </c>
      <c r="I384" s="5" t="s">
        <v>71</v>
      </c>
      <c r="J384" s="5"/>
      <c r="K384" s="1" t="s">
        <v>970</v>
      </c>
      <c r="L384" s="1" t="str">
        <f t="shared" si="150"/>
        <v>BPRS</v>
      </c>
      <c r="M384" s="1" t="s">
        <v>1018</v>
      </c>
      <c r="N384" s="5" t="s">
        <v>1121</v>
      </c>
      <c r="P384" s="5">
        <v>101278</v>
      </c>
      <c r="Q384" s="1" t="s">
        <v>311</v>
      </c>
      <c r="R384" s="5">
        <f>VLOOKUP(F384,[1]Sheet1!$G$1:$O$447,9,0)</f>
        <v>3239536</v>
      </c>
      <c r="S384" s="5" t="str">
        <f>VLOOKUP(F384,[1]Sheet1!$G$1:$P$447,10,0)</f>
        <v>CRCA SHEET TATCRC SR16 0.350X900X2500</v>
      </c>
      <c r="T384" s="1" t="s">
        <v>75</v>
      </c>
      <c r="U384" s="5" t="str">
        <f>VLOOKUP(F384,[1]Sheet1!$G$1:$W$447,17,0)</f>
        <v>TATCRC</v>
      </c>
      <c r="V384" s="1" t="s">
        <v>123</v>
      </c>
      <c r="W384" s="1">
        <v>0.35</v>
      </c>
      <c r="X384" s="1">
        <v>900</v>
      </c>
      <c r="Y384" s="1">
        <v>2500</v>
      </c>
      <c r="Z384" s="3">
        <v>21</v>
      </c>
      <c r="AA384" s="3">
        <v>0</v>
      </c>
      <c r="AB384" s="3">
        <v>21</v>
      </c>
      <c r="AC384" s="3">
        <v>0</v>
      </c>
      <c r="AD384" s="3">
        <f t="shared" si="156"/>
        <v>21</v>
      </c>
      <c r="AE384" s="3">
        <v>0</v>
      </c>
      <c r="AF384" s="3">
        <v>0</v>
      </c>
      <c r="AG384" s="3">
        <v>0</v>
      </c>
      <c r="AH384" s="3">
        <v>21</v>
      </c>
      <c r="AI384" s="3">
        <v>0</v>
      </c>
      <c r="AJ384" s="3">
        <f t="shared" si="157"/>
        <v>21</v>
      </c>
      <c r="AK384" s="1">
        <v>0</v>
      </c>
      <c r="AL384" s="3">
        <f>AE384</f>
        <v>0</v>
      </c>
      <c r="AM384" s="3">
        <f>AF384</f>
        <v>0</v>
      </c>
      <c r="AN384" s="3">
        <f>AG384</f>
        <v>0</v>
      </c>
      <c r="AO384" s="3">
        <f>AH384</f>
        <v>21</v>
      </c>
      <c r="AP384" s="3">
        <f t="shared" si="139"/>
        <v>0</v>
      </c>
    </row>
    <row r="385" spans="1:42" x14ac:dyDescent="0.35">
      <c r="A385" s="1">
        <v>742</v>
      </c>
      <c r="B385" s="6">
        <v>45891</v>
      </c>
      <c r="C385" s="5" t="str">
        <f>VLOOKUP(F385,[1]Sheet1!$G$1:$AE$447,25,0)</f>
        <v>ZBTO</v>
      </c>
      <c r="D385" s="1">
        <v>9519038135</v>
      </c>
      <c r="E385" s="1">
        <v>6</v>
      </c>
      <c r="F385" s="1" t="s">
        <v>1034</v>
      </c>
      <c r="G385" s="1" t="s">
        <v>1155</v>
      </c>
      <c r="H385" s="5" t="s">
        <v>21</v>
      </c>
      <c r="I385" s="5" t="s">
        <v>22</v>
      </c>
      <c r="J385" s="5"/>
      <c r="K385" s="1" t="s">
        <v>970</v>
      </c>
      <c r="L385" s="1" t="str">
        <f t="shared" si="150"/>
        <v>BPRS</v>
      </c>
      <c r="M385" s="1" t="s">
        <v>1016</v>
      </c>
      <c r="N385" s="5" t="s">
        <v>1114</v>
      </c>
      <c r="P385" s="5">
        <v>116465</v>
      </c>
      <c r="Q385" s="1" t="s">
        <v>364</v>
      </c>
      <c r="R385" s="5">
        <f>VLOOKUP(F385,[1]Sheet1!$G$1:$O$447,9,0)</f>
        <v>2155233</v>
      </c>
      <c r="S385" s="5" t="str">
        <f>VLOOKUP(F385,[1]Sheet1!$G$1:$P$447,10,0)</f>
        <v>CRCA COIL TATXXD AU03 2.5X1250</v>
      </c>
      <c r="T385" s="1" t="s">
        <v>28</v>
      </c>
      <c r="U385" s="5" t="str">
        <f>VLOOKUP(F385,[1]Sheet1!$G$1:$W$447,17,0)</f>
        <v>TATXXD</v>
      </c>
      <c r="V385" s="1" t="s">
        <v>30</v>
      </c>
      <c r="W385" s="1">
        <v>2.5</v>
      </c>
      <c r="X385" s="1">
        <v>1250</v>
      </c>
      <c r="Y385" s="1">
        <v>0</v>
      </c>
      <c r="Z385" s="3">
        <v>29</v>
      </c>
      <c r="AA385" s="3">
        <v>0</v>
      </c>
      <c r="AB385" s="3">
        <v>29</v>
      </c>
      <c r="AC385" s="3">
        <v>0</v>
      </c>
      <c r="AD385" s="3">
        <f t="shared" si="156"/>
        <v>29</v>
      </c>
      <c r="AE385" s="3">
        <v>0</v>
      </c>
      <c r="AF385" s="3">
        <v>0</v>
      </c>
      <c r="AG385" s="3">
        <v>29</v>
      </c>
      <c r="AH385" s="3">
        <v>0</v>
      </c>
      <c r="AI385" s="3">
        <v>0</v>
      </c>
      <c r="AJ385" s="3">
        <f t="shared" si="157"/>
        <v>29</v>
      </c>
      <c r="AK385" s="1">
        <v>0</v>
      </c>
      <c r="AL385" s="3">
        <f t="shared" ref="AL385:AL387" si="180">AE385</f>
        <v>0</v>
      </c>
      <c r="AM385" s="3">
        <f t="shared" ref="AM385:AM387" si="181">AF385</f>
        <v>0</v>
      </c>
      <c r="AN385" s="3">
        <f t="shared" ref="AN385:AN387" si="182">AG385</f>
        <v>29</v>
      </c>
      <c r="AO385" s="3">
        <f t="shared" ref="AO385:AO387" si="183">AH385</f>
        <v>0</v>
      </c>
      <c r="AP385" s="3">
        <f t="shared" ref="AP385:AP448" si="184">(AC385+AD385)-AJ385</f>
        <v>0</v>
      </c>
    </row>
    <row r="386" spans="1:42" x14ac:dyDescent="0.35">
      <c r="A386" s="1">
        <v>742</v>
      </c>
      <c r="B386" s="6">
        <v>45891</v>
      </c>
      <c r="C386" s="5" t="str">
        <f>VLOOKUP(F386,[1]Sheet1!$G$1:$AE$447,25,0)</f>
        <v>ZBTO</v>
      </c>
      <c r="D386" s="1">
        <v>9519038135</v>
      </c>
      <c r="E386" s="1">
        <v>5</v>
      </c>
      <c r="F386" s="1" t="s">
        <v>1035</v>
      </c>
      <c r="G386" s="1" t="s">
        <v>1155</v>
      </c>
      <c r="H386" s="5" t="s">
        <v>21</v>
      </c>
      <c r="I386" s="5" t="s">
        <v>22</v>
      </c>
      <c r="J386" s="5">
        <v>3600</v>
      </c>
      <c r="K386" s="1" t="s">
        <v>970</v>
      </c>
      <c r="L386" s="1" t="str">
        <f t="shared" si="150"/>
        <v>BPRS</v>
      </c>
      <c r="M386" s="1" t="s">
        <v>1016</v>
      </c>
      <c r="N386" s="5" t="s">
        <v>1114</v>
      </c>
      <c r="P386" s="5">
        <v>116465</v>
      </c>
      <c r="Q386" s="1" t="s">
        <v>364</v>
      </c>
      <c r="R386" s="5">
        <f>VLOOKUP(F386,[1]Sheet1!$G$1:$O$447,9,0)</f>
        <v>1884117</v>
      </c>
      <c r="S386" s="5" t="str">
        <f>VLOOKUP(F386,[1]Sheet1!$G$1:$P$447,10,0)</f>
        <v>CRCA COIL-TATXXD-AU03-2X1250</v>
      </c>
      <c r="T386" s="1" t="s">
        <v>28</v>
      </c>
      <c r="U386" s="5" t="str">
        <f>VLOOKUP(F386,[1]Sheet1!$G$1:$W$447,17,0)</f>
        <v>TATXXD</v>
      </c>
      <c r="V386" s="1" t="s">
        <v>30</v>
      </c>
      <c r="W386" s="1">
        <v>2</v>
      </c>
      <c r="X386" s="1">
        <v>1250</v>
      </c>
      <c r="Y386" s="1">
        <v>0</v>
      </c>
      <c r="Z386" s="3">
        <v>58</v>
      </c>
      <c r="AA386" s="3">
        <v>0</v>
      </c>
      <c r="AB386" s="3">
        <v>58</v>
      </c>
      <c r="AC386" s="3">
        <v>0</v>
      </c>
      <c r="AD386" s="3">
        <f t="shared" si="156"/>
        <v>58</v>
      </c>
      <c r="AE386" s="3">
        <v>0</v>
      </c>
      <c r="AF386" s="3">
        <v>0</v>
      </c>
      <c r="AG386" s="3">
        <v>58</v>
      </c>
      <c r="AH386" s="3">
        <v>0</v>
      </c>
      <c r="AI386" s="3">
        <v>0</v>
      </c>
      <c r="AJ386" s="3">
        <f t="shared" si="157"/>
        <v>58</v>
      </c>
      <c r="AK386" s="1">
        <v>0</v>
      </c>
      <c r="AL386" s="3">
        <f t="shared" si="180"/>
        <v>0</v>
      </c>
      <c r="AM386" s="3">
        <f t="shared" si="181"/>
        <v>0</v>
      </c>
      <c r="AN386" s="3">
        <f t="shared" si="182"/>
        <v>58</v>
      </c>
      <c r="AO386" s="3">
        <f t="shared" si="183"/>
        <v>0</v>
      </c>
      <c r="AP386" s="3">
        <f t="shared" si="184"/>
        <v>0</v>
      </c>
    </row>
    <row r="387" spans="1:42" x14ac:dyDescent="0.35">
      <c r="A387" s="1">
        <v>742</v>
      </c>
      <c r="B387" s="6">
        <v>45891</v>
      </c>
      <c r="C387" s="5" t="str">
        <f>VLOOKUP(F387,[1]Sheet1!$G$1:$AE$447,25,0)</f>
        <v>ZBTO</v>
      </c>
      <c r="D387" s="1">
        <v>9519038135</v>
      </c>
      <c r="E387" s="1">
        <v>4</v>
      </c>
      <c r="F387" s="1" t="s">
        <v>1036</v>
      </c>
      <c r="G387" s="1" t="s">
        <v>1155</v>
      </c>
      <c r="H387" s="5" t="s">
        <v>21</v>
      </c>
      <c r="I387" s="5" t="s">
        <v>22</v>
      </c>
      <c r="J387" s="5"/>
      <c r="K387" s="1" t="s">
        <v>970</v>
      </c>
      <c r="L387" s="1" t="str">
        <f t="shared" si="150"/>
        <v>BPRS</v>
      </c>
      <c r="M387" s="1" t="s">
        <v>1016</v>
      </c>
      <c r="N387" s="5" t="s">
        <v>1114</v>
      </c>
      <c r="P387" s="5">
        <v>116465</v>
      </c>
      <c r="Q387" s="1" t="s">
        <v>364</v>
      </c>
      <c r="R387" s="5">
        <f>VLOOKUP(F387,[1]Sheet1!$G$1:$O$447,9,0)</f>
        <v>1804867</v>
      </c>
      <c r="S387" s="5" t="str">
        <f>VLOOKUP(F387,[1]Sheet1!$G$1:$P$447,10,0)</f>
        <v>CRCA COIL-TATXXD-AU03-1.6X1250</v>
      </c>
      <c r="T387" s="1" t="s">
        <v>28</v>
      </c>
      <c r="U387" s="5" t="str">
        <f>VLOOKUP(F387,[1]Sheet1!$G$1:$W$447,17,0)</f>
        <v>TATXXD</v>
      </c>
      <c r="V387" s="1" t="s">
        <v>30</v>
      </c>
      <c r="W387" s="1">
        <v>1.6</v>
      </c>
      <c r="X387" s="1">
        <v>1250</v>
      </c>
      <c r="Y387" s="1">
        <v>0</v>
      </c>
      <c r="Z387" s="3">
        <v>29</v>
      </c>
      <c r="AA387" s="3">
        <v>0</v>
      </c>
      <c r="AB387" s="3">
        <v>29</v>
      </c>
      <c r="AC387" s="3">
        <v>0</v>
      </c>
      <c r="AD387" s="3">
        <f t="shared" si="156"/>
        <v>29</v>
      </c>
      <c r="AE387" s="3">
        <v>0</v>
      </c>
      <c r="AF387" s="3">
        <v>0</v>
      </c>
      <c r="AG387" s="3">
        <v>29</v>
      </c>
      <c r="AH387" s="3">
        <v>0</v>
      </c>
      <c r="AI387" s="3">
        <v>0</v>
      </c>
      <c r="AJ387" s="3">
        <f t="shared" si="157"/>
        <v>29</v>
      </c>
      <c r="AK387" s="1">
        <v>0</v>
      </c>
      <c r="AL387" s="3">
        <f t="shared" si="180"/>
        <v>0</v>
      </c>
      <c r="AM387" s="3">
        <f t="shared" si="181"/>
        <v>0</v>
      </c>
      <c r="AN387" s="3">
        <f t="shared" si="182"/>
        <v>29</v>
      </c>
      <c r="AO387" s="3">
        <f t="shared" si="183"/>
        <v>0</v>
      </c>
      <c r="AP387" s="3">
        <f t="shared" si="184"/>
        <v>0</v>
      </c>
    </row>
    <row r="388" spans="1:42" x14ac:dyDescent="0.35">
      <c r="A388" s="1">
        <v>742</v>
      </c>
      <c r="B388" s="6">
        <v>45889</v>
      </c>
      <c r="C388" s="5" t="str">
        <f>VLOOKUP(F388,[1]Sheet1!$G$1:$AE$447,25,0)</f>
        <v>ZBTO</v>
      </c>
      <c r="D388" s="1">
        <v>9519031476</v>
      </c>
      <c r="E388" s="1">
        <v>8</v>
      </c>
      <c r="F388" s="1" t="s">
        <v>1037</v>
      </c>
      <c r="G388" s="1" t="s">
        <v>1155</v>
      </c>
      <c r="H388" s="5" t="s">
        <v>21</v>
      </c>
      <c r="I388" s="5" t="s">
        <v>71</v>
      </c>
      <c r="J388" s="5"/>
      <c r="K388" s="1" t="s">
        <v>970</v>
      </c>
      <c r="L388" s="1" t="str">
        <f t="shared" si="150"/>
        <v>BPRS</v>
      </c>
      <c r="M388" s="1" t="s">
        <v>1018</v>
      </c>
      <c r="N388" s="5" t="s">
        <v>1134</v>
      </c>
      <c r="P388" s="5">
        <v>117061</v>
      </c>
      <c r="Q388" s="1" t="s">
        <v>91</v>
      </c>
      <c r="R388" s="5">
        <f>VLOOKUP(F388,[1]Sheet1!$G$1:$O$447,9,0)</f>
        <v>3240820</v>
      </c>
      <c r="S388" s="5" t="str">
        <f>VLOOKUP(F388,[1]Sheet1!$G$1:$P$447,10,0)</f>
        <v>CRCA SHEET TSBCRC SR15 0.900X1250X2500</v>
      </c>
      <c r="T388" s="1" t="s">
        <v>75</v>
      </c>
      <c r="U388" s="5" t="str">
        <f>VLOOKUP(F388,[1]Sheet1!$G$1:$W$447,17,0)</f>
        <v>TSBCRC</v>
      </c>
      <c r="V388" s="1" t="s">
        <v>77</v>
      </c>
      <c r="W388" s="1">
        <v>0.9</v>
      </c>
      <c r="X388" s="1">
        <v>1250</v>
      </c>
      <c r="Y388" s="1">
        <v>2500</v>
      </c>
      <c r="Z388" s="3">
        <v>29</v>
      </c>
      <c r="AA388" s="3">
        <v>0</v>
      </c>
      <c r="AB388" s="3">
        <v>29</v>
      </c>
      <c r="AC388" s="3">
        <v>0</v>
      </c>
      <c r="AD388" s="3">
        <f t="shared" si="156"/>
        <v>29</v>
      </c>
      <c r="AE388" s="3">
        <v>0</v>
      </c>
      <c r="AF388" s="3">
        <v>0</v>
      </c>
      <c r="AG388" s="3">
        <v>29</v>
      </c>
      <c r="AH388" s="3">
        <v>0</v>
      </c>
      <c r="AI388" s="3">
        <v>0</v>
      </c>
      <c r="AJ388" s="3">
        <f t="shared" si="157"/>
        <v>29</v>
      </c>
      <c r="AK388" s="1">
        <v>0</v>
      </c>
      <c r="AL388" s="3">
        <f>AE388</f>
        <v>0</v>
      </c>
      <c r="AM388" s="3">
        <f>AF388</f>
        <v>0</v>
      </c>
      <c r="AN388" s="3">
        <f>AG388</f>
        <v>29</v>
      </c>
      <c r="AO388" s="3">
        <f>AH388</f>
        <v>0</v>
      </c>
      <c r="AP388" s="3">
        <f t="shared" si="184"/>
        <v>0</v>
      </c>
    </row>
    <row r="389" spans="1:42" x14ac:dyDescent="0.35">
      <c r="A389" s="1">
        <v>742</v>
      </c>
      <c r="B389" s="6">
        <v>45887</v>
      </c>
      <c r="C389" s="5" t="str">
        <f>VLOOKUP(F389,[1]Sheet1!$G$1:$AE$447,25,0)</f>
        <v>ZBTO</v>
      </c>
      <c r="D389" s="1">
        <v>9519024914</v>
      </c>
      <c r="E389" s="1">
        <v>2</v>
      </c>
      <c r="F389" s="1" t="s">
        <v>1038</v>
      </c>
      <c r="G389" s="1" t="s">
        <v>1155</v>
      </c>
      <c r="H389" s="5" t="s">
        <v>21</v>
      </c>
      <c r="I389" s="5" t="s">
        <v>22</v>
      </c>
      <c r="J389" s="5"/>
      <c r="K389" s="1" t="s">
        <v>970</v>
      </c>
      <c r="L389" s="1" t="str">
        <f t="shared" si="150"/>
        <v>BPRS</v>
      </c>
      <c r="M389" s="1" t="s">
        <v>1016</v>
      </c>
      <c r="N389" s="5" t="s">
        <v>1114</v>
      </c>
      <c r="P389" s="5">
        <v>116465</v>
      </c>
      <c r="Q389" s="1" t="s">
        <v>364</v>
      </c>
      <c r="R389" s="5">
        <f>VLOOKUP(F389,[1]Sheet1!$G$1:$O$447,9,0)</f>
        <v>1884117</v>
      </c>
      <c r="S389" s="5" t="str">
        <f>VLOOKUP(F389,[1]Sheet1!$G$1:$P$447,10,0)</f>
        <v>CRCA COIL-TATXXD-AU03-2X1250</v>
      </c>
      <c r="T389" s="1" t="s">
        <v>28</v>
      </c>
      <c r="U389" s="5" t="str">
        <f>VLOOKUP(F389,[1]Sheet1!$G$1:$W$447,17,0)</f>
        <v>TATXXD</v>
      </c>
      <c r="V389" s="1" t="s">
        <v>30</v>
      </c>
      <c r="W389" s="1">
        <v>2</v>
      </c>
      <c r="X389" s="1">
        <v>1250</v>
      </c>
      <c r="Y389" s="1">
        <v>0</v>
      </c>
      <c r="Z389" s="3">
        <v>29</v>
      </c>
      <c r="AA389" s="3">
        <v>0</v>
      </c>
      <c r="AB389" s="3">
        <v>29</v>
      </c>
      <c r="AC389" s="3">
        <v>0</v>
      </c>
      <c r="AD389" s="3">
        <f t="shared" si="156"/>
        <v>29</v>
      </c>
      <c r="AE389" s="3">
        <v>0</v>
      </c>
      <c r="AF389" s="3">
        <v>0</v>
      </c>
      <c r="AG389" s="3">
        <v>29</v>
      </c>
      <c r="AH389" s="3">
        <v>0</v>
      </c>
      <c r="AI389" s="3">
        <v>0</v>
      </c>
      <c r="AJ389" s="3">
        <f t="shared" si="157"/>
        <v>29</v>
      </c>
      <c r="AK389" s="1">
        <v>0</v>
      </c>
      <c r="AL389" s="3">
        <f t="shared" ref="AL389:AL394" si="185">AE389</f>
        <v>0</v>
      </c>
      <c r="AM389" s="3">
        <f t="shared" ref="AM389:AM394" si="186">AF389</f>
        <v>0</v>
      </c>
      <c r="AN389" s="3">
        <f t="shared" ref="AN389:AN394" si="187">AG389</f>
        <v>29</v>
      </c>
      <c r="AO389" s="3">
        <f t="shared" ref="AO389:AO394" si="188">AH389</f>
        <v>0</v>
      </c>
      <c r="AP389" s="3">
        <f t="shared" si="184"/>
        <v>0</v>
      </c>
    </row>
    <row r="390" spans="1:42" x14ac:dyDescent="0.35">
      <c r="A390" s="1">
        <v>742</v>
      </c>
      <c r="B390" s="6">
        <v>45887</v>
      </c>
      <c r="C390" s="5" t="str">
        <f>VLOOKUP(F390,[1]Sheet1!$G$1:$AE$447,25,0)</f>
        <v>ZBTO</v>
      </c>
      <c r="D390" s="1">
        <v>9519024914</v>
      </c>
      <c r="E390" s="1">
        <v>1</v>
      </c>
      <c r="F390" s="1" t="s">
        <v>1039</v>
      </c>
      <c r="G390" s="1" t="s">
        <v>1155</v>
      </c>
      <c r="H390" s="5" t="s">
        <v>21</v>
      </c>
      <c r="I390" s="5" t="s">
        <v>22</v>
      </c>
      <c r="J390" s="5"/>
      <c r="K390" s="1" t="s">
        <v>970</v>
      </c>
      <c r="L390" s="1" t="str">
        <f t="shared" si="150"/>
        <v>BPRS</v>
      </c>
      <c r="M390" s="1" t="s">
        <v>1016</v>
      </c>
      <c r="N390" s="5" t="s">
        <v>1114</v>
      </c>
      <c r="P390" s="5">
        <v>116465</v>
      </c>
      <c r="Q390" s="1" t="s">
        <v>364</v>
      </c>
      <c r="R390" s="5">
        <f>VLOOKUP(F390,[1]Sheet1!$G$1:$O$447,9,0)</f>
        <v>1804867</v>
      </c>
      <c r="S390" s="5" t="str">
        <f>VLOOKUP(F390,[1]Sheet1!$G$1:$P$447,10,0)</f>
        <v>CRCA COIL-TATXXD-AU03-1.6X1250</v>
      </c>
      <c r="T390" s="1" t="s">
        <v>28</v>
      </c>
      <c r="U390" s="5" t="str">
        <f>VLOOKUP(F390,[1]Sheet1!$G$1:$W$447,17,0)</f>
        <v>TATXXD</v>
      </c>
      <c r="V390" s="1" t="s">
        <v>30</v>
      </c>
      <c r="W390" s="1">
        <v>1.6</v>
      </c>
      <c r="X390" s="1">
        <v>1250</v>
      </c>
      <c r="Y390" s="1">
        <v>0</v>
      </c>
      <c r="Z390" s="3">
        <v>29</v>
      </c>
      <c r="AA390" s="3">
        <v>0</v>
      </c>
      <c r="AB390" s="3">
        <v>29</v>
      </c>
      <c r="AC390" s="3">
        <v>0</v>
      </c>
      <c r="AD390" s="3">
        <f t="shared" si="156"/>
        <v>29</v>
      </c>
      <c r="AE390" s="3">
        <v>0</v>
      </c>
      <c r="AF390" s="3">
        <v>0</v>
      </c>
      <c r="AG390" s="3">
        <v>29</v>
      </c>
      <c r="AH390" s="3">
        <v>0</v>
      </c>
      <c r="AI390" s="3">
        <v>0</v>
      </c>
      <c r="AJ390" s="3">
        <f t="shared" si="157"/>
        <v>29</v>
      </c>
      <c r="AK390" s="1">
        <v>0</v>
      </c>
      <c r="AL390" s="3">
        <f t="shared" si="185"/>
        <v>0</v>
      </c>
      <c r="AM390" s="3">
        <f t="shared" si="186"/>
        <v>0</v>
      </c>
      <c r="AN390" s="3">
        <f t="shared" si="187"/>
        <v>29</v>
      </c>
      <c r="AO390" s="3">
        <f t="shared" si="188"/>
        <v>0</v>
      </c>
      <c r="AP390" s="3">
        <f t="shared" si="184"/>
        <v>0</v>
      </c>
    </row>
    <row r="391" spans="1:42" x14ac:dyDescent="0.35">
      <c r="A391" s="1">
        <v>742</v>
      </c>
      <c r="B391" s="6">
        <v>45863</v>
      </c>
      <c r="C391" s="5" t="str">
        <f>VLOOKUP(F391,[1]Sheet1!$G$1:$AE$447,25,0)</f>
        <v>ZBTO</v>
      </c>
      <c r="D391" s="1">
        <v>9518959858</v>
      </c>
      <c r="E391" s="1">
        <v>3</v>
      </c>
      <c r="F391" s="1" t="s">
        <v>1040</v>
      </c>
      <c r="G391" s="1" t="s">
        <v>1155</v>
      </c>
      <c r="H391" s="5" t="s">
        <v>21</v>
      </c>
      <c r="I391" s="5" t="s">
        <v>22</v>
      </c>
      <c r="J391" s="5"/>
      <c r="K391" s="1" t="s">
        <v>970</v>
      </c>
      <c r="L391" s="1" t="str">
        <f t="shared" si="150"/>
        <v>BPRS</v>
      </c>
      <c r="M391" s="1" t="s">
        <v>1017</v>
      </c>
      <c r="P391" s="5">
        <v>950170</v>
      </c>
      <c r="Q391" s="1" t="s">
        <v>1014</v>
      </c>
      <c r="R391" s="5">
        <f>VLOOKUP(F391,[1]Sheet1!$G$1:$O$447,9,0)</f>
        <v>185675</v>
      </c>
      <c r="S391" s="5" t="str">
        <f>VLOOKUP(F391,[1]Sheet1!$G$1:$P$447,10,0)</f>
        <v>CRCA COIL-TATXXD-AU03-0.5X1250</v>
      </c>
      <c r="T391" s="1" t="s">
        <v>28</v>
      </c>
      <c r="U391" s="5" t="str">
        <f>VLOOKUP(F391,[1]Sheet1!$G$1:$W$447,17,0)</f>
        <v>TATXXD</v>
      </c>
      <c r="V391" s="1" t="s">
        <v>30</v>
      </c>
      <c r="W391" s="1">
        <v>0.5</v>
      </c>
      <c r="X391" s="1">
        <v>1250</v>
      </c>
      <c r="Y391" s="1">
        <v>0</v>
      </c>
      <c r="Z391" s="3">
        <v>58</v>
      </c>
      <c r="AA391" s="3">
        <v>24.875</v>
      </c>
      <c r="AB391" s="3">
        <v>33.125</v>
      </c>
      <c r="AC391" s="3">
        <v>0</v>
      </c>
      <c r="AD391" s="3">
        <f t="shared" si="156"/>
        <v>33.125</v>
      </c>
      <c r="AE391" s="3">
        <v>0</v>
      </c>
      <c r="AF391" s="3">
        <v>33.125</v>
      </c>
      <c r="AG391" s="3">
        <v>0</v>
      </c>
      <c r="AH391" s="3">
        <v>0</v>
      </c>
      <c r="AI391" s="3">
        <v>0</v>
      </c>
      <c r="AJ391" s="3">
        <f t="shared" si="157"/>
        <v>33.125</v>
      </c>
      <c r="AK391" s="1">
        <v>0</v>
      </c>
      <c r="AL391" s="3">
        <f t="shared" si="185"/>
        <v>0</v>
      </c>
      <c r="AM391" s="3">
        <f t="shared" si="186"/>
        <v>33.125</v>
      </c>
      <c r="AN391" s="3">
        <f t="shared" si="187"/>
        <v>0</v>
      </c>
      <c r="AO391" s="3">
        <f t="shared" si="188"/>
        <v>0</v>
      </c>
      <c r="AP391" s="3">
        <f t="shared" si="184"/>
        <v>0</v>
      </c>
    </row>
    <row r="392" spans="1:42" x14ac:dyDescent="0.35">
      <c r="A392" s="1">
        <v>742</v>
      </c>
      <c r="B392" s="6">
        <v>45911</v>
      </c>
      <c r="C392" s="5" t="str">
        <f>VLOOKUP(F392,[1]Sheet1!$G$1:$AE$447,25,0)</f>
        <v>ZBTO</v>
      </c>
      <c r="D392" s="1">
        <v>9519096071</v>
      </c>
      <c r="E392" s="1">
        <v>2</v>
      </c>
      <c r="F392" s="1" t="s">
        <v>1041</v>
      </c>
      <c r="G392" s="1" t="s">
        <v>1155</v>
      </c>
      <c r="H392" s="5" t="s">
        <v>21</v>
      </c>
      <c r="I392" s="5" t="s">
        <v>71</v>
      </c>
      <c r="J392" s="5"/>
      <c r="K392" s="1" t="s">
        <v>970</v>
      </c>
      <c r="L392" s="1" t="str">
        <f t="shared" si="150"/>
        <v>BPRS</v>
      </c>
      <c r="M392" s="1" t="s">
        <v>1018</v>
      </c>
      <c r="N392" s="5" t="s">
        <v>1135</v>
      </c>
      <c r="P392" s="5">
        <v>121328</v>
      </c>
      <c r="Q392" s="1" t="s">
        <v>119</v>
      </c>
      <c r="R392" s="5">
        <f>VLOOKUP(F392,[1]Sheet1!$G$1:$O$447,9,0)</f>
        <v>2441002</v>
      </c>
      <c r="S392" s="5" t="str">
        <f>VLOOKUP(F392,[1]Sheet1!$G$1:$P$447,10,0)</f>
        <v>CRCA SHEET TATCRC SR16 0.380X1250X2500</v>
      </c>
      <c r="T392" s="1" t="s">
        <v>75</v>
      </c>
      <c r="U392" s="5" t="str">
        <f>VLOOKUP(F392,[1]Sheet1!$G$1:$W$447,17,0)</f>
        <v>TATCRC</v>
      </c>
      <c r="V392" s="1" t="s">
        <v>123</v>
      </c>
      <c r="W392" s="1">
        <v>0.38</v>
      </c>
      <c r="X392" s="1">
        <v>1250</v>
      </c>
      <c r="Y392" s="1">
        <v>2500</v>
      </c>
      <c r="Z392" s="3">
        <v>29</v>
      </c>
      <c r="AA392" s="3">
        <v>0</v>
      </c>
      <c r="AB392" s="3">
        <v>29</v>
      </c>
      <c r="AC392" s="3">
        <v>0</v>
      </c>
      <c r="AD392" s="3">
        <f t="shared" si="156"/>
        <v>29</v>
      </c>
      <c r="AE392" s="3">
        <v>0</v>
      </c>
      <c r="AF392" s="3">
        <v>29</v>
      </c>
      <c r="AG392" s="3">
        <v>0</v>
      </c>
      <c r="AH392" s="3">
        <v>0</v>
      </c>
      <c r="AI392" s="3">
        <v>0</v>
      </c>
      <c r="AJ392" s="3">
        <f t="shared" si="157"/>
        <v>29</v>
      </c>
      <c r="AK392" s="1">
        <v>0</v>
      </c>
      <c r="AL392" s="3">
        <f t="shared" si="185"/>
        <v>0</v>
      </c>
      <c r="AM392" s="3">
        <f t="shared" si="186"/>
        <v>29</v>
      </c>
      <c r="AN392" s="3">
        <f t="shared" si="187"/>
        <v>0</v>
      </c>
      <c r="AO392" s="3">
        <f t="shared" si="188"/>
        <v>0</v>
      </c>
      <c r="AP392" s="3">
        <f t="shared" si="184"/>
        <v>0</v>
      </c>
    </row>
    <row r="393" spans="1:42" x14ac:dyDescent="0.35">
      <c r="A393" s="1">
        <v>742</v>
      </c>
      <c r="B393" s="6">
        <v>45912</v>
      </c>
      <c r="C393" s="5" t="str">
        <f>VLOOKUP(F393,[1]Sheet1!$G$1:$AE$447,25,0)</f>
        <v>ZBTO</v>
      </c>
      <c r="D393" s="1">
        <v>9519097437</v>
      </c>
      <c r="E393" s="1">
        <v>12</v>
      </c>
      <c r="F393" s="1" t="s">
        <v>1042</v>
      </c>
      <c r="G393" s="1" t="s">
        <v>1155</v>
      </c>
      <c r="H393" s="5" t="s">
        <v>21</v>
      </c>
      <c r="I393" s="5" t="s">
        <v>71</v>
      </c>
      <c r="J393" s="5"/>
      <c r="K393" s="1" t="s">
        <v>970</v>
      </c>
      <c r="L393" s="1" t="str">
        <f t="shared" si="150"/>
        <v>BPRS</v>
      </c>
      <c r="M393" s="1" t="s">
        <v>1018</v>
      </c>
      <c r="N393" s="5" t="s">
        <v>1135</v>
      </c>
      <c r="P393" s="5">
        <v>185794</v>
      </c>
      <c r="Q393" s="1" t="s">
        <v>1015</v>
      </c>
      <c r="R393" s="5">
        <f>VLOOKUP(F393,[1]Sheet1!$G$1:$O$447,9,0)</f>
        <v>3240792</v>
      </c>
      <c r="S393" s="5" t="str">
        <f>VLOOKUP(F393,[1]Sheet1!$G$1:$P$447,10,0)</f>
        <v>CRCA SHEET TSBCRC SR15 0.600X1250X2500</v>
      </c>
      <c r="T393" s="1" t="s">
        <v>75</v>
      </c>
      <c r="U393" s="5" t="str">
        <f>VLOOKUP(F393,[1]Sheet1!$G$1:$W$447,17,0)</f>
        <v>TSBCRC</v>
      </c>
      <c r="V393" s="1" t="s">
        <v>77</v>
      </c>
      <c r="W393" s="1">
        <v>0.6</v>
      </c>
      <c r="X393" s="1">
        <v>1250</v>
      </c>
      <c r="Y393" s="1">
        <v>2500</v>
      </c>
      <c r="Z393" s="3">
        <v>58</v>
      </c>
      <c r="AA393" s="3">
        <v>0</v>
      </c>
      <c r="AB393" s="3">
        <v>58</v>
      </c>
      <c r="AC393" s="3">
        <v>0</v>
      </c>
      <c r="AD393" s="3">
        <f t="shared" ref="AD393:AD435" si="189">SUM(AE393:AI393)</f>
        <v>58</v>
      </c>
      <c r="AE393" s="3">
        <v>0</v>
      </c>
      <c r="AF393" s="3">
        <v>0</v>
      </c>
      <c r="AG393" s="3">
        <v>0</v>
      </c>
      <c r="AH393" s="3">
        <v>58</v>
      </c>
      <c r="AI393" s="3">
        <v>0</v>
      </c>
      <c r="AJ393" s="3">
        <f t="shared" ref="AJ393:AJ435" si="190">SUM(AK393:AO393)</f>
        <v>58</v>
      </c>
      <c r="AK393" s="1">
        <v>0</v>
      </c>
      <c r="AL393" s="3">
        <f t="shared" si="185"/>
        <v>0</v>
      </c>
      <c r="AM393" s="3">
        <f t="shared" si="186"/>
        <v>0</v>
      </c>
      <c r="AN393" s="3">
        <f t="shared" si="187"/>
        <v>0</v>
      </c>
      <c r="AO393" s="3">
        <f t="shared" si="188"/>
        <v>58</v>
      </c>
      <c r="AP393" s="3">
        <f t="shared" si="184"/>
        <v>0</v>
      </c>
    </row>
    <row r="394" spans="1:42" x14ac:dyDescent="0.35">
      <c r="A394" s="1">
        <v>742</v>
      </c>
      <c r="B394" s="6">
        <v>45912</v>
      </c>
      <c r="C394" s="5" t="str">
        <f>VLOOKUP(F394,[1]Sheet1!$G$1:$AE$447,25,0)</f>
        <v>ZBTO</v>
      </c>
      <c r="D394" s="1">
        <v>9519097437</v>
      </c>
      <c r="E394" s="1">
        <v>10</v>
      </c>
      <c r="F394" s="1" t="s">
        <v>1043</v>
      </c>
      <c r="G394" s="1" t="s">
        <v>1155</v>
      </c>
      <c r="H394" s="5" t="s">
        <v>21</v>
      </c>
      <c r="I394" s="5" t="s">
        <v>71</v>
      </c>
      <c r="J394" s="5"/>
      <c r="K394" s="1" t="s">
        <v>970</v>
      </c>
      <c r="L394" s="1" t="str">
        <f t="shared" si="150"/>
        <v>BPRS</v>
      </c>
      <c r="M394" s="1" t="s">
        <v>1018</v>
      </c>
      <c r="N394" s="5" t="s">
        <v>1135</v>
      </c>
      <c r="P394" s="5">
        <v>185794</v>
      </c>
      <c r="Q394" s="1" t="s">
        <v>1015</v>
      </c>
      <c r="R394" s="5">
        <f>VLOOKUP(F394,[1]Sheet1!$G$1:$O$447,9,0)</f>
        <v>3240765</v>
      </c>
      <c r="S394" s="5" t="str">
        <f>VLOOKUP(F394,[1]Sheet1!$G$1:$P$447,10,0)</f>
        <v>CRCA SHEET TSBCRC SR15 0.500X1250X2500</v>
      </c>
      <c r="T394" s="1" t="s">
        <v>75</v>
      </c>
      <c r="U394" s="5" t="str">
        <f>VLOOKUP(F394,[1]Sheet1!$G$1:$W$447,17,0)</f>
        <v>TSBCRC</v>
      </c>
      <c r="V394" s="1" t="s">
        <v>77</v>
      </c>
      <c r="W394" s="1">
        <v>0.5</v>
      </c>
      <c r="X394" s="1">
        <v>1250</v>
      </c>
      <c r="Y394" s="1">
        <v>2500</v>
      </c>
      <c r="Z394" s="3">
        <v>116</v>
      </c>
      <c r="AA394" s="3">
        <v>0</v>
      </c>
      <c r="AB394" s="3">
        <v>116</v>
      </c>
      <c r="AC394" s="3">
        <v>0</v>
      </c>
      <c r="AD394" s="3">
        <f t="shared" si="189"/>
        <v>116</v>
      </c>
      <c r="AE394" s="3">
        <v>0</v>
      </c>
      <c r="AF394" s="3">
        <v>116</v>
      </c>
      <c r="AG394" s="3">
        <v>0</v>
      </c>
      <c r="AH394" s="3">
        <v>0</v>
      </c>
      <c r="AI394" s="3">
        <v>0</v>
      </c>
      <c r="AJ394" s="3">
        <f t="shared" si="190"/>
        <v>116</v>
      </c>
      <c r="AK394" s="1">
        <v>0</v>
      </c>
      <c r="AL394" s="3">
        <f t="shared" si="185"/>
        <v>0</v>
      </c>
      <c r="AM394" s="3">
        <f t="shared" si="186"/>
        <v>116</v>
      </c>
      <c r="AN394" s="3">
        <f t="shared" si="187"/>
        <v>0</v>
      </c>
      <c r="AO394" s="3">
        <f t="shared" si="188"/>
        <v>0</v>
      </c>
      <c r="AP394" s="3">
        <f t="shared" si="184"/>
        <v>0</v>
      </c>
    </row>
    <row r="395" spans="1:42" x14ac:dyDescent="0.35">
      <c r="A395" s="1">
        <v>742</v>
      </c>
      <c r="B395" s="6">
        <v>45912</v>
      </c>
      <c r="C395" s="5" t="str">
        <f>VLOOKUP(F395,[1]Sheet1!$G$1:$AE$447,25,0)</f>
        <v>ZBTO</v>
      </c>
      <c r="D395" s="1">
        <v>9519097437</v>
      </c>
      <c r="E395" s="1">
        <v>5</v>
      </c>
      <c r="F395" s="1" t="s">
        <v>1044</v>
      </c>
      <c r="G395" s="1" t="s">
        <v>1155</v>
      </c>
      <c r="H395" s="5" t="s">
        <v>21</v>
      </c>
      <c r="I395" s="5" t="s">
        <v>71</v>
      </c>
      <c r="J395" s="5"/>
      <c r="K395" s="1" t="s">
        <v>970</v>
      </c>
      <c r="L395" s="1" t="str">
        <f t="shared" si="150"/>
        <v>BPRS</v>
      </c>
      <c r="M395" s="1" t="s">
        <v>1018</v>
      </c>
      <c r="N395" s="5" t="s">
        <v>1135</v>
      </c>
      <c r="P395" s="5">
        <v>185794</v>
      </c>
      <c r="Q395" s="1" t="s">
        <v>1015</v>
      </c>
      <c r="R395" s="5">
        <f>VLOOKUP(F395,[1]Sheet1!$G$1:$O$447,9,0)</f>
        <v>2441002</v>
      </c>
      <c r="S395" s="5" t="str">
        <f>VLOOKUP(F395,[1]Sheet1!$G$1:$P$447,10,0)</f>
        <v>CRCA SHEET TATCRC SR16 0.380X1250X2500</v>
      </c>
      <c r="T395" s="1" t="s">
        <v>75</v>
      </c>
      <c r="U395" s="5" t="str">
        <f>VLOOKUP(F395,[1]Sheet1!$G$1:$W$447,17,0)</f>
        <v>TATCRC</v>
      </c>
      <c r="V395" s="1" t="s">
        <v>123</v>
      </c>
      <c r="W395" s="1">
        <v>0.38</v>
      </c>
      <c r="X395" s="1">
        <v>1250</v>
      </c>
      <c r="Y395" s="1">
        <v>2500</v>
      </c>
      <c r="Z395" s="3">
        <v>29</v>
      </c>
      <c r="AA395" s="3">
        <v>0</v>
      </c>
      <c r="AB395" s="3">
        <v>29</v>
      </c>
      <c r="AC395" s="3">
        <v>0</v>
      </c>
      <c r="AD395" s="3">
        <f t="shared" si="189"/>
        <v>29</v>
      </c>
      <c r="AE395" s="3">
        <v>0</v>
      </c>
      <c r="AF395" s="3">
        <v>0</v>
      </c>
      <c r="AG395" s="3">
        <v>0</v>
      </c>
      <c r="AH395" s="3">
        <v>0</v>
      </c>
      <c r="AI395" s="3">
        <v>29</v>
      </c>
      <c r="AJ395" s="3">
        <f t="shared" si="190"/>
        <v>0</v>
      </c>
      <c r="AK395" s="1">
        <v>0</v>
      </c>
      <c r="AL395" s="3">
        <f>AE395</f>
        <v>0</v>
      </c>
      <c r="AM395" s="3">
        <f>AF395</f>
        <v>0</v>
      </c>
      <c r="AN395" s="3">
        <f>AG395</f>
        <v>0</v>
      </c>
      <c r="AO395" s="3">
        <f>AH395</f>
        <v>0</v>
      </c>
      <c r="AP395" s="3">
        <f t="shared" si="184"/>
        <v>29</v>
      </c>
    </row>
    <row r="396" spans="1:42" x14ac:dyDescent="0.35">
      <c r="A396" s="1">
        <v>743</v>
      </c>
      <c r="B396" s="6">
        <v>45912</v>
      </c>
      <c r="C396" s="5" t="str">
        <f>VLOOKUP(F396,[1]Sheet1!$G$1:$AE$447,25,0)</f>
        <v>ZBTO</v>
      </c>
      <c r="D396" s="1">
        <v>9519099563</v>
      </c>
      <c r="E396" s="1">
        <v>3</v>
      </c>
      <c r="F396" s="1" t="s">
        <v>1045</v>
      </c>
      <c r="G396" s="1" t="s">
        <v>1367</v>
      </c>
      <c r="H396" s="5" t="s">
        <v>63</v>
      </c>
      <c r="I396" s="1" t="s">
        <v>1404</v>
      </c>
      <c r="J396" s="5"/>
      <c r="K396" s="1" t="s">
        <v>970</v>
      </c>
      <c r="L396" s="1" t="str">
        <f t="shared" si="150"/>
        <v>BPRS</v>
      </c>
      <c r="M396" s="1" t="s">
        <v>1018</v>
      </c>
      <c r="N396" s="5" t="s">
        <v>1135</v>
      </c>
      <c r="P396" s="5">
        <v>185794</v>
      </c>
      <c r="Q396" s="1" t="s">
        <v>1015</v>
      </c>
      <c r="R396" s="5">
        <f>VLOOKUP(F396,[1]Sheet1!$G$1:$O$447,9,0)</f>
        <v>1191955</v>
      </c>
      <c r="S396" s="5" t="str">
        <f>VLOOKUP(F396,[1]Sheet1!$G$1:$P$447,10,0)</f>
        <v>GP COIL SOFT-TATXGP-GK09-0.3X900</v>
      </c>
      <c r="T396" s="1" t="s">
        <v>139</v>
      </c>
      <c r="U396" s="5" t="str">
        <f>VLOOKUP(F396,[1]Sheet1!$G$1:$W$447,17,0)</f>
        <v>TATXGP</v>
      </c>
      <c r="V396" s="1" t="s">
        <v>150</v>
      </c>
      <c r="W396" s="1">
        <v>0.3</v>
      </c>
      <c r="X396" s="1">
        <v>900</v>
      </c>
      <c r="Y396" s="1">
        <v>0</v>
      </c>
      <c r="Z396" s="3">
        <v>126</v>
      </c>
      <c r="AA396" s="3">
        <v>20.155000000000001</v>
      </c>
      <c r="AB396" s="3">
        <v>105.845</v>
      </c>
      <c r="AC396" s="3">
        <v>10.055</v>
      </c>
      <c r="AD396" s="3">
        <f t="shared" si="189"/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f t="shared" si="190"/>
        <v>10.055</v>
      </c>
      <c r="AK396" s="3">
        <f>AC396</f>
        <v>10.055</v>
      </c>
      <c r="AL396" s="1">
        <v>0</v>
      </c>
      <c r="AM396" s="1">
        <v>0</v>
      </c>
      <c r="AN396" s="1">
        <v>0</v>
      </c>
      <c r="AO396" s="1">
        <v>0</v>
      </c>
      <c r="AP396" s="3">
        <f t="shared" si="184"/>
        <v>0</v>
      </c>
    </row>
    <row r="397" spans="1:42" x14ac:dyDescent="0.35">
      <c r="A397" s="1">
        <v>743</v>
      </c>
      <c r="B397" s="6">
        <v>45915</v>
      </c>
      <c r="C397" s="5" t="str">
        <f>VLOOKUP(F397,[1]Sheet1!$G$1:$AE$447,25,0)</f>
        <v>ZBTO</v>
      </c>
      <c r="D397" s="1">
        <v>9519104694</v>
      </c>
      <c r="E397" s="1">
        <v>10</v>
      </c>
      <c r="F397" s="1" t="s">
        <v>1046</v>
      </c>
      <c r="G397" s="1" t="s">
        <v>1367</v>
      </c>
      <c r="H397" s="5" t="s">
        <v>63</v>
      </c>
      <c r="I397" s="1" t="s">
        <v>1368</v>
      </c>
      <c r="J397" s="5"/>
      <c r="K397" s="1" t="s">
        <v>970</v>
      </c>
      <c r="L397" s="1" t="str">
        <f t="shared" si="150"/>
        <v>BPRS</v>
      </c>
      <c r="M397" s="1" t="s">
        <v>1018</v>
      </c>
      <c r="N397" s="5" t="s">
        <v>1135</v>
      </c>
      <c r="P397" s="5">
        <v>121328</v>
      </c>
      <c r="Q397" s="1" t="s">
        <v>119</v>
      </c>
      <c r="R397" s="5">
        <f>VLOOKUP(F397,[1]Sheet1!$G$1:$O$447,9,0)</f>
        <v>1300227</v>
      </c>
      <c r="S397" s="5" t="str">
        <f>VLOOKUP(F397,[1]Sheet1!$G$1:$P$447,10,0)</f>
        <v>GP COIL SOFT-TATXGP-GLK1-0.6X1220</v>
      </c>
      <c r="T397" s="1" t="s">
        <v>139</v>
      </c>
      <c r="U397" s="5" t="str">
        <f>VLOOKUP(F397,[1]Sheet1!$G$1:$W$447,17,0)</f>
        <v>TATXGP</v>
      </c>
      <c r="V397" s="1" t="s">
        <v>141</v>
      </c>
      <c r="W397" s="1">
        <v>0.6</v>
      </c>
      <c r="X397" s="1">
        <v>1220</v>
      </c>
      <c r="Y397" s="1">
        <v>0</v>
      </c>
      <c r="Z397" s="3">
        <v>56</v>
      </c>
      <c r="AA397" s="3">
        <v>54.314999999999998</v>
      </c>
      <c r="AB397" s="3">
        <v>1.6850000000000001</v>
      </c>
      <c r="AC397" s="3">
        <v>9.1549999999999994</v>
      </c>
      <c r="AD397" s="3">
        <f t="shared" si="189"/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f t="shared" si="190"/>
        <v>9.1549999999999994</v>
      </c>
      <c r="AK397" s="3">
        <f>AC397</f>
        <v>9.1549999999999994</v>
      </c>
      <c r="AL397" s="1">
        <v>0</v>
      </c>
      <c r="AM397" s="1">
        <v>0</v>
      </c>
      <c r="AN397" s="1">
        <v>0</v>
      </c>
      <c r="AO397" s="1">
        <v>0</v>
      </c>
      <c r="AP397" s="3">
        <f t="shared" si="184"/>
        <v>0</v>
      </c>
    </row>
    <row r="398" spans="1:42" x14ac:dyDescent="0.35">
      <c r="A398" s="1">
        <v>743</v>
      </c>
      <c r="B398" s="6">
        <v>45915</v>
      </c>
      <c r="C398" s="5" t="str">
        <f>VLOOKUP(F398,[1]Sheet1!$G$1:$AE$447,25,0)</f>
        <v>ZBTO</v>
      </c>
      <c r="D398" s="1">
        <v>9519104694</v>
      </c>
      <c r="E398" s="1">
        <v>9</v>
      </c>
      <c r="F398" s="1" t="s">
        <v>1047</v>
      </c>
      <c r="G398" s="1" t="s">
        <v>1155</v>
      </c>
      <c r="H398" s="5" t="s">
        <v>63</v>
      </c>
      <c r="I398" s="1" t="s">
        <v>1368</v>
      </c>
      <c r="J398" s="5"/>
      <c r="K398" s="1" t="s">
        <v>970</v>
      </c>
      <c r="L398" s="1" t="str">
        <f t="shared" si="150"/>
        <v>BPRS</v>
      </c>
      <c r="M398" s="1" t="s">
        <v>1018</v>
      </c>
      <c r="N398" s="5" t="s">
        <v>1135</v>
      </c>
      <c r="P398" s="5">
        <v>121328</v>
      </c>
      <c r="Q398" s="1" t="s">
        <v>119</v>
      </c>
      <c r="R398" s="5">
        <f>VLOOKUP(F398,[1]Sheet1!$G$1:$O$447,9,0)</f>
        <v>1300228</v>
      </c>
      <c r="S398" s="5" t="str">
        <f>VLOOKUP(F398,[1]Sheet1!$G$1:$P$447,10,0)</f>
        <v>GP COIL SOFT-TATXGP-GLK1-0.5X1220</v>
      </c>
      <c r="T398" s="1" t="s">
        <v>139</v>
      </c>
      <c r="U398" s="5" t="str">
        <f>VLOOKUP(F398,[1]Sheet1!$G$1:$W$447,17,0)</f>
        <v>TATXGP</v>
      </c>
      <c r="V398" s="1" t="s">
        <v>141</v>
      </c>
      <c r="W398" s="1">
        <v>0.5</v>
      </c>
      <c r="X398" s="1">
        <v>1220</v>
      </c>
      <c r="Y398" s="1">
        <v>0</v>
      </c>
      <c r="Z398" s="3">
        <v>84</v>
      </c>
      <c r="AA398" s="3">
        <v>0</v>
      </c>
      <c r="AB398" s="3">
        <v>84</v>
      </c>
      <c r="AC398" s="3">
        <v>0</v>
      </c>
      <c r="AD398" s="3">
        <f t="shared" si="189"/>
        <v>84</v>
      </c>
      <c r="AE398" s="3">
        <v>0</v>
      </c>
      <c r="AF398" s="3">
        <v>84</v>
      </c>
      <c r="AG398" s="3">
        <v>0</v>
      </c>
      <c r="AH398" s="3">
        <v>0</v>
      </c>
      <c r="AI398" s="3">
        <v>0</v>
      </c>
      <c r="AJ398" s="3">
        <f t="shared" si="190"/>
        <v>84</v>
      </c>
      <c r="AK398" s="1">
        <v>0</v>
      </c>
      <c r="AL398" s="1">
        <v>0</v>
      </c>
      <c r="AM398" s="3">
        <f t="shared" ref="AM398:AM399" si="191">AF398</f>
        <v>84</v>
      </c>
      <c r="AN398" s="1">
        <v>0</v>
      </c>
      <c r="AO398" s="1">
        <v>0</v>
      </c>
      <c r="AP398" s="3">
        <f t="shared" si="184"/>
        <v>0</v>
      </c>
    </row>
    <row r="399" spans="1:42" x14ac:dyDescent="0.35">
      <c r="A399" s="1">
        <v>743</v>
      </c>
      <c r="B399" s="6">
        <v>45915</v>
      </c>
      <c r="C399" s="5" t="str">
        <f>VLOOKUP(F399,[1]Sheet1!$G$1:$AE$447,25,0)</f>
        <v>ZBTO</v>
      </c>
      <c r="D399" s="1">
        <v>9519104694</v>
      </c>
      <c r="E399" s="1">
        <v>8</v>
      </c>
      <c r="F399" s="1" t="s">
        <v>1048</v>
      </c>
      <c r="G399" s="1" t="s">
        <v>1155</v>
      </c>
      <c r="H399" s="5" t="s">
        <v>63</v>
      </c>
      <c r="I399" s="1" t="s">
        <v>1368</v>
      </c>
      <c r="J399" s="5"/>
      <c r="K399" s="1" t="s">
        <v>970</v>
      </c>
      <c r="L399" s="1" t="str">
        <f t="shared" si="150"/>
        <v>BPRS</v>
      </c>
      <c r="M399" s="1" t="s">
        <v>1018</v>
      </c>
      <c r="N399" s="5" t="s">
        <v>1135</v>
      </c>
      <c r="P399" s="5">
        <v>121328</v>
      </c>
      <c r="Q399" s="1" t="s">
        <v>119</v>
      </c>
      <c r="R399" s="5">
        <f>VLOOKUP(F399,[1]Sheet1!$G$1:$O$447,9,0)</f>
        <v>1854416</v>
      </c>
      <c r="S399" s="5" t="str">
        <f>VLOOKUP(F399,[1]Sheet1!$G$1:$P$447,10,0)</f>
        <v>GP COIL SOFT-TATXGP-GLK1-0.45X1220</v>
      </c>
      <c r="T399" s="1" t="s">
        <v>139</v>
      </c>
      <c r="U399" s="5" t="str">
        <f>VLOOKUP(F399,[1]Sheet1!$G$1:$W$447,17,0)</f>
        <v>TATXGP</v>
      </c>
      <c r="V399" s="1" t="s">
        <v>141</v>
      </c>
      <c r="W399" s="1">
        <v>0.45</v>
      </c>
      <c r="X399" s="1">
        <v>1220</v>
      </c>
      <c r="Y399" s="1">
        <v>0</v>
      </c>
      <c r="Z399" s="3">
        <v>28</v>
      </c>
      <c r="AA399" s="3">
        <v>0</v>
      </c>
      <c r="AB399" s="3">
        <v>28</v>
      </c>
      <c r="AC399" s="3">
        <v>0</v>
      </c>
      <c r="AD399" s="3">
        <f t="shared" si="189"/>
        <v>28</v>
      </c>
      <c r="AE399" s="3">
        <v>0</v>
      </c>
      <c r="AF399" s="3">
        <v>28</v>
      </c>
      <c r="AG399" s="3">
        <v>0</v>
      </c>
      <c r="AH399" s="3">
        <v>0</v>
      </c>
      <c r="AI399" s="3">
        <v>0</v>
      </c>
      <c r="AJ399" s="3">
        <f t="shared" si="190"/>
        <v>28</v>
      </c>
      <c r="AK399" s="1">
        <v>0</v>
      </c>
      <c r="AL399" s="1">
        <v>0</v>
      </c>
      <c r="AM399" s="3">
        <f t="shared" si="191"/>
        <v>28</v>
      </c>
      <c r="AN399" s="1">
        <v>0</v>
      </c>
      <c r="AO399" s="1">
        <v>0</v>
      </c>
      <c r="AP399" s="3">
        <f t="shared" si="184"/>
        <v>0</v>
      </c>
    </row>
    <row r="400" spans="1:42" x14ac:dyDescent="0.35">
      <c r="A400" s="1">
        <v>743</v>
      </c>
      <c r="B400" s="6">
        <v>45915</v>
      </c>
      <c r="C400" s="5" t="str">
        <f>VLOOKUP(F400,[1]Sheet1!$G$1:$AE$447,25,0)</f>
        <v>ZBTO</v>
      </c>
      <c r="D400" s="1">
        <v>9519104694</v>
      </c>
      <c r="E400" s="1">
        <v>2</v>
      </c>
      <c r="F400" s="1" t="s">
        <v>1049</v>
      </c>
      <c r="G400" s="1" t="s">
        <v>1155</v>
      </c>
      <c r="H400" s="5" t="s">
        <v>63</v>
      </c>
      <c r="I400" s="1" t="s">
        <v>1404</v>
      </c>
      <c r="J400" s="5"/>
      <c r="K400" s="1" t="s">
        <v>970</v>
      </c>
      <c r="L400" s="1" t="str">
        <f t="shared" si="150"/>
        <v>BPRS</v>
      </c>
      <c r="M400" s="1" t="s">
        <v>1018</v>
      </c>
      <c r="N400" s="5" t="s">
        <v>1135</v>
      </c>
      <c r="P400" s="5">
        <v>121328</v>
      </c>
      <c r="Q400" s="1" t="s">
        <v>119</v>
      </c>
      <c r="R400" s="5">
        <f>VLOOKUP(F400,[1]Sheet1!$G$1:$O$447,9,0)</f>
        <v>1191955</v>
      </c>
      <c r="S400" s="5" t="str">
        <f>VLOOKUP(F400,[1]Sheet1!$G$1:$P$447,10,0)</f>
        <v>GP COIL SOFT-TATXGP-GK09-0.3X900</v>
      </c>
      <c r="T400" s="1" t="s">
        <v>139</v>
      </c>
      <c r="U400" s="5" t="str">
        <f>VLOOKUP(F400,[1]Sheet1!$G$1:$W$447,17,0)</f>
        <v>TATXGP</v>
      </c>
      <c r="V400" s="1" t="s">
        <v>150</v>
      </c>
      <c r="W400" s="1">
        <v>0.3</v>
      </c>
      <c r="X400" s="1">
        <v>900</v>
      </c>
      <c r="Y400" s="1">
        <v>0</v>
      </c>
      <c r="Z400" s="3">
        <v>168</v>
      </c>
      <c r="AA400" s="3">
        <v>0</v>
      </c>
      <c r="AB400" s="3">
        <v>168</v>
      </c>
      <c r="AC400" s="3">
        <v>0</v>
      </c>
      <c r="AD400" s="3">
        <f t="shared" si="189"/>
        <v>168</v>
      </c>
      <c r="AE400" s="3">
        <v>0</v>
      </c>
      <c r="AF400" s="3">
        <v>168</v>
      </c>
      <c r="AG400" s="3">
        <v>0</v>
      </c>
      <c r="AH400" s="3">
        <v>0</v>
      </c>
      <c r="AI400" s="3">
        <v>0</v>
      </c>
      <c r="AJ400" s="3">
        <f t="shared" si="190"/>
        <v>168</v>
      </c>
      <c r="AK400" s="1">
        <v>0</v>
      </c>
      <c r="AL400" s="1">
        <v>0</v>
      </c>
      <c r="AM400" s="3">
        <f>AF400</f>
        <v>168</v>
      </c>
      <c r="AN400" s="1">
        <v>0</v>
      </c>
      <c r="AO400" s="1">
        <v>0</v>
      </c>
      <c r="AP400" s="3">
        <f t="shared" si="184"/>
        <v>0</v>
      </c>
    </row>
    <row r="401" spans="1:42" x14ac:dyDescent="0.35">
      <c r="A401" s="1">
        <v>743</v>
      </c>
      <c r="B401" s="6">
        <v>45915</v>
      </c>
      <c r="C401" s="5" t="str">
        <f>VLOOKUP(F401,[1]Sheet1!$G$1:$AE$447,25,0)</f>
        <v>ZBTO</v>
      </c>
      <c r="D401" s="1">
        <v>9519104694</v>
      </c>
      <c r="E401" s="1">
        <v>1</v>
      </c>
      <c r="F401" s="1" t="s">
        <v>1050</v>
      </c>
      <c r="G401" s="1" t="s">
        <v>1155</v>
      </c>
      <c r="H401" s="5" t="s">
        <v>63</v>
      </c>
      <c r="I401" s="1" t="s">
        <v>1404</v>
      </c>
      <c r="J401" s="5"/>
      <c r="K401" s="1" t="s">
        <v>970</v>
      </c>
      <c r="L401" s="1" t="str">
        <f t="shared" si="150"/>
        <v>BPRS</v>
      </c>
      <c r="M401" s="1" t="s">
        <v>1018</v>
      </c>
      <c r="N401" s="5" t="s">
        <v>1135</v>
      </c>
      <c r="P401" s="5">
        <v>121328</v>
      </c>
      <c r="Q401" s="1" t="s">
        <v>119</v>
      </c>
      <c r="R401" s="5">
        <f>VLOOKUP(F401,[1]Sheet1!$G$1:$O$447,9,0)</f>
        <v>1851065</v>
      </c>
      <c r="S401" s="5" t="str">
        <f>VLOOKUP(F401,[1]Sheet1!$G$1:$P$447,10,0)</f>
        <v>GP COIL SOFT-TATXGP-GK09-0.25X900</v>
      </c>
      <c r="T401" s="1" t="s">
        <v>139</v>
      </c>
      <c r="U401" s="5" t="str">
        <f>VLOOKUP(F401,[1]Sheet1!$G$1:$W$447,17,0)</f>
        <v>TATXGP</v>
      </c>
      <c r="V401" s="1" t="s">
        <v>150</v>
      </c>
      <c r="W401" s="1">
        <v>0.25</v>
      </c>
      <c r="X401" s="1">
        <v>900</v>
      </c>
      <c r="Y401" s="1">
        <v>0</v>
      </c>
      <c r="Z401" s="3">
        <v>21</v>
      </c>
      <c r="AA401" s="3">
        <v>0</v>
      </c>
      <c r="AB401" s="3">
        <v>21</v>
      </c>
      <c r="AC401" s="3">
        <v>0</v>
      </c>
      <c r="AD401" s="3">
        <f t="shared" si="189"/>
        <v>21</v>
      </c>
      <c r="AE401" s="3">
        <v>0</v>
      </c>
      <c r="AF401" s="3">
        <v>0</v>
      </c>
      <c r="AG401" s="3">
        <v>21</v>
      </c>
      <c r="AH401" s="3">
        <v>0</v>
      </c>
      <c r="AI401" s="3">
        <v>0</v>
      </c>
      <c r="AJ401" s="3">
        <f t="shared" si="190"/>
        <v>21</v>
      </c>
      <c r="AK401" s="1">
        <v>0</v>
      </c>
      <c r="AL401" s="1">
        <v>0</v>
      </c>
      <c r="AM401" s="1">
        <v>0</v>
      </c>
      <c r="AN401" s="3">
        <f>AG401</f>
        <v>21</v>
      </c>
      <c r="AO401" s="1">
        <v>0</v>
      </c>
      <c r="AP401" s="3">
        <f t="shared" si="184"/>
        <v>0</v>
      </c>
    </row>
    <row r="402" spans="1:42" x14ac:dyDescent="0.35">
      <c r="A402" s="1">
        <v>742</v>
      </c>
      <c r="B402" s="6">
        <v>45916</v>
      </c>
      <c r="C402" s="5" t="str">
        <f>VLOOKUP(F402,[1]Sheet1!$G$1:$AE$447,25,0)</f>
        <v>ZBTO</v>
      </c>
      <c r="D402" s="1">
        <v>9519109787</v>
      </c>
      <c r="E402" s="1">
        <v>16</v>
      </c>
      <c r="F402" s="1" t="s">
        <v>1051</v>
      </c>
      <c r="G402" s="1" t="s">
        <v>1155</v>
      </c>
      <c r="H402" s="5" t="s">
        <v>21</v>
      </c>
      <c r="I402" s="5" t="s">
        <v>71</v>
      </c>
      <c r="J402" s="5"/>
      <c r="K402" s="1" t="s">
        <v>970</v>
      </c>
      <c r="L402" s="1" t="str">
        <f t="shared" si="150"/>
        <v>BPRS</v>
      </c>
      <c r="M402" s="1" t="s">
        <v>1018</v>
      </c>
      <c r="N402" s="5" t="s">
        <v>1131</v>
      </c>
      <c r="P402" s="5">
        <v>103227</v>
      </c>
      <c r="Q402" s="1" t="s">
        <v>155</v>
      </c>
      <c r="R402" s="5">
        <f>VLOOKUP(F402,[1]Sheet1!$G$1:$O$447,9,0)</f>
        <v>3240786</v>
      </c>
      <c r="S402" s="5" t="str">
        <f>VLOOKUP(F402,[1]Sheet1!$G$1:$P$447,10,0)</f>
        <v>CRCA SHEET TSBCRC SR15 0.700X1250X2500</v>
      </c>
      <c r="T402" s="1" t="s">
        <v>75</v>
      </c>
      <c r="U402" s="5" t="str">
        <f>VLOOKUP(F402,[1]Sheet1!$G$1:$W$447,17,0)</f>
        <v>TSBCRC</v>
      </c>
      <c r="V402" s="1" t="s">
        <v>77</v>
      </c>
      <c r="W402" s="1">
        <v>0.7</v>
      </c>
      <c r="X402" s="1">
        <v>1250</v>
      </c>
      <c r="Y402" s="1">
        <v>2500</v>
      </c>
      <c r="Z402" s="3">
        <v>29</v>
      </c>
      <c r="AA402" s="3">
        <v>0</v>
      </c>
      <c r="AB402" s="3">
        <v>29</v>
      </c>
      <c r="AC402" s="3">
        <v>0</v>
      </c>
      <c r="AD402" s="3">
        <f t="shared" si="189"/>
        <v>29</v>
      </c>
      <c r="AE402" s="3">
        <v>0</v>
      </c>
      <c r="AF402" s="3">
        <v>29</v>
      </c>
      <c r="AG402" s="3">
        <v>0</v>
      </c>
      <c r="AH402" s="3">
        <v>0</v>
      </c>
      <c r="AI402" s="3">
        <v>0</v>
      </c>
      <c r="AJ402" s="3">
        <f t="shared" si="190"/>
        <v>29</v>
      </c>
      <c r="AK402" s="1">
        <v>0</v>
      </c>
      <c r="AL402" s="3">
        <f>AE402</f>
        <v>0</v>
      </c>
      <c r="AM402" s="3">
        <f>AF402</f>
        <v>29</v>
      </c>
      <c r="AN402" s="3">
        <f>AG402</f>
        <v>0</v>
      </c>
      <c r="AO402" s="3">
        <f>AH402</f>
        <v>0</v>
      </c>
      <c r="AP402" s="3">
        <f t="shared" si="184"/>
        <v>0</v>
      </c>
    </row>
    <row r="403" spans="1:42" x14ac:dyDescent="0.35">
      <c r="A403" s="1">
        <v>742</v>
      </c>
      <c r="B403" s="6">
        <v>45916</v>
      </c>
      <c r="C403" s="5" t="str">
        <f>VLOOKUP(F403,[1]Sheet1!$G$1:$AE$447,25,0)</f>
        <v>ZBTO</v>
      </c>
      <c r="D403" s="1">
        <v>9519109787</v>
      </c>
      <c r="E403" s="1">
        <v>12</v>
      </c>
      <c r="F403" s="1" t="s">
        <v>1052</v>
      </c>
      <c r="G403" s="1" t="s">
        <v>1155</v>
      </c>
      <c r="H403" s="5" t="s">
        <v>21</v>
      </c>
      <c r="I403" s="5" t="s">
        <v>71</v>
      </c>
      <c r="J403" s="5"/>
      <c r="K403" s="1" t="s">
        <v>970</v>
      </c>
      <c r="L403" s="1" t="str">
        <f t="shared" si="150"/>
        <v>BPRS</v>
      </c>
      <c r="M403" s="1" t="s">
        <v>1018</v>
      </c>
      <c r="N403" s="5" t="s">
        <v>1131</v>
      </c>
      <c r="P403" s="5">
        <v>103227</v>
      </c>
      <c r="Q403" s="1" t="s">
        <v>155</v>
      </c>
      <c r="R403" s="5">
        <f>VLOOKUP(F403,[1]Sheet1!$G$1:$O$447,9,0)</f>
        <v>3240849</v>
      </c>
      <c r="S403" s="5" t="str">
        <f>VLOOKUP(F403,[1]Sheet1!$G$1:$P$447,10,0)</f>
        <v>CRCA SHEET TSBCRC SR15 1.200X1250X2500</v>
      </c>
      <c r="T403" s="1" t="s">
        <v>75</v>
      </c>
      <c r="U403" s="5" t="str">
        <f>VLOOKUP(F403,[1]Sheet1!$G$1:$W$447,17,0)</f>
        <v>TSBCRC</v>
      </c>
      <c r="V403" s="1" t="s">
        <v>77</v>
      </c>
      <c r="W403" s="1">
        <v>1.2</v>
      </c>
      <c r="X403" s="1">
        <v>1250</v>
      </c>
      <c r="Y403" s="1">
        <v>2500</v>
      </c>
      <c r="Z403" s="3">
        <v>29</v>
      </c>
      <c r="AA403" s="3">
        <v>0</v>
      </c>
      <c r="AB403" s="3">
        <v>29</v>
      </c>
      <c r="AC403" s="3">
        <v>0</v>
      </c>
      <c r="AD403" s="3">
        <f t="shared" si="189"/>
        <v>29</v>
      </c>
      <c r="AE403" s="3">
        <v>0</v>
      </c>
      <c r="AF403" s="3">
        <v>0</v>
      </c>
      <c r="AG403" s="3">
        <v>29</v>
      </c>
      <c r="AH403" s="3">
        <v>0</v>
      </c>
      <c r="AI403" s="3">
        <v>0</v>
      </c>
      <c r="AJ403" s="3">
        <f t="shared" si="190"/>
        <v>29</v>
      </c>
      <c r="AK403" s="1">
        <v>0</v>
      </c>
      <c r="AL403" s="3">
        <f t="shared" ref="AL403:AL404" si="192">AE403</f>
        <v>0</v>
      </c>
      <c r="AM403" s="3">
        <f t="shared" ref="AM403:AM404" si="193">AF403</f>
        <v>0</v>
      </c>
      <c r="AN403" s="3">
        <f t="shared" ref="AN403:AN404" si="194">AG403</f>
        <v>29</v>
      </c>
      <c r="AO403" s="3">
        <f t="shared" ref="AO403:AO404" si="195">AH403</f>
        <v>0</v>
      </c>
      <c r="AP403" s="3">
        <f t="shared" si="184"/>
        <v>0</v>
      </c>
    </row>
    <row r="404" spans="1:42" x14ac:dyDescent="0.35">
      <c r="A404" s="1">
        <v>742</v>
      </c>
      <c r="B404" s="6">
        <v>45916</v>
      </c>
      <c r="C404" s="5" t="str">
        <f>VLOOKUP(F404,[1]Sheet1!$G$1:$AE$447,25,0)</f>
        <v>ZBTO</v>
      </c>
      <c r="D404" s="1">
        <v>9519109787</v>
      </c>
      <c r="E404" s="1">
        <v>11</v>
      </c>
      <c r="F404" s="1" t="s">
        <v>1053</v>
      </c>
      <c r="G404" s="1" t="s">
        <v>1155</v>
      </c>
      <c r="H404" s="5" t="s">
        <v>21</v>
      </c>
      <c r="I404" s="5" t="s">
        <v>71</v>
      </c>
      <c r="J404" s="5"/>
      <c r="K404" s="1" t="s">
        <v>970</v>
      </c>
      <c r="L404" s="1" t="str">
        <f t="shared" si="150"/>
        <v>BPRS</v>
      </c>
      <c r="M404" s="1" t="s">
        <v>1018</v>
      </c>
      <c r="N404" s="5" t="s">
        <v>1131</v>
      </c>
      <c r="P404" s="5">
        <v>103227</v>
      </c>
      <c r="Q404" s="1" t="s">
        <v>155</v>
      </c>
      <c r="R404" s="5">
        <f>VLOOKUP(F404,[1]Sheet1!$G$1:$O$447,9,0)</f>
        <v>3240842</v>
      </c>
      <c r="S404" s="5" t="str">
        <f>VLOOKUP(F404,[1]Sheet1!$G$1:$P$447,10,0)</f>
        <v>CRCA SHEET TSBCRC SR15 1X1250X2500</v>
      </c>
      <c r="T404" s="1" t="s">
        <v>75</v>
      </c>
      <c r="U404" s="5" t="str">
        <f>VLOOKUP(F404,[1]Sheet1!$G$1:$W$447,17,0)</f>
        <v>TSBCRC</v>
      </c>
      <c r="V404" s="1" t="s">
        <v>77</v>
      </c>
      <c r="W404" s="1">
        <v>1</v>
      </c>
      <c r="X404" s="1">
        <v>1250</v>
      </c>
      <c r="Y404" s="1">
        <v>2500</v>
      </c>
      <c r="Z404" s="3">
        <v>29</v>
      </c>
      <c r="AA404" s="3">
        <v>0</v>
      </c>
      <c r="AB404" s="3">
        <v>29</v>
      </c>
      <c r="AC404" s="3">
        <v>0</v>
      </c>
      <c r="AD404" s="3">
        <f t="shared" si="189"/>
        <v>29</v>
      </c>
      <c r="AE404" s="3">
        <v>0</v>
      </c>
      <c r="AF404" s="3">
        <v>29</v>
      </c>
      <c r="AG404" s="3">
        <v>0</v>
      </c>
      <c r="AH404" s="3">
        <v>0</v>
      </c>
      <c r="AI404" s="3">
        <v>0</v>
      </c>
      <c r="AJ404" s="3">
        <f t="shared" si="190"/>
        <v>29</v>
      </c>
      <c r="AK404" s="1">
        <v>0</v>
      </c>
      <c r="AL404" s="3">
        <f t="shared" si="192"/>
        <v>0</v>
      </c>
      <c r="AM404" s="3">
        <f t="shared" si="193"/>
        <v>29</v>
      </c>
      <c r="AN404" s="3">
        <f t="shared" si="194"/>
        <v>0</v>
      </c>
      <c r="AO404" s="3">
        <f t="shared" si="195"/>
        <v>0</v>
      </c>
      <c r="AP404" s="3">
        <f t="shared" si="184"/>
        <v>0</v>
      </c>
    </row>
    <row r="405" spans="1:42" x14ac:dyDescent="0.35">
      <c r="A405" s="1">
        <v>742</v>
      </c>
      <c r="B405" s="6">
        <v>45915</v>
      </c>
      <c r="C405" s="5" t="str">
        <f>VLOOKUP(F405,[1]Sheet1!$G$1:$AE$447,25,0)</f>
        <v>ZBTO</v>
      </c>
      <c r="D405" s="1">
        <v>9519105467</v>
      </c>
      <c r="E405" s="1">
        <v>16</v>
      </c>
      <c r="F405" s="1" t="s">
        <v>1054</v>
      </c>
      <c r="G405" s="1" t="s">
        <v>1155</v>
      </c>
      <c r="H405" s="5" t="s">
        <v>21</v>
      </c>
      <c r="I405" s="5" t="s">
        <v>71</v>
      </c>
      <c r="J405" s="5"/>
      <c r="K405" s="1" t="s">
        <v>970</v>
      </c>
      <c r="L405" s="1" t="str">
        <f t="shared" si="150"/>
        <v>BPRS</v>
      </c>
      <c r="M405" s="1" t="s">
        <v>1018</v>
      </c>
      <c r="N405" s="5" t="s">
        <v>1131</v>
      </c>
      <c r="P405" s="5">
        <v>103227</v>
      </c>
      <c r="Q405" s="1" t="s">
        <v>155</v>
      </c>
      <c r="R405" s="5">
        <f>VLOOKUP(F405,[1]Sheet1!$G$1:$O$447,9,0)</f>
        <v>3240786</v>
      </c>
      <c r="S405" s="5" t="str">
        <f>VLOOKUP(F405,[1]Sheet1!$G$1:$P$447,10,0)</f>
        <v>CRCA SHEET TSBCRC SR15 0.700X1250X2500</v>
      </c>
      <c r="T405" s="1" t="s">
        <v>75</v>
      </c>
      <c r="U405" s="5" t="str">
        <f>VLOOKUP(F405,[1]Sheet1!$G$1:$W$447,17,0)</f>
        <v>TSBCRC</v>
      </c>
      <c r="V405" s="1" t="s">
        <v>77</v>
      </c>
      <c r="W405" s="1">
        <v>0.7</v>
      </c>
      <c r="X405" s="1">
        <v>1250</v>
      </c>
      <c r="Y405" s="1">
        <v>2500</v>
      </c>
      <c r="Z405" s="3">
        <v>29</v>
      </c>
      <c r="AA405" s="3">
        <v>0</v>
      </c>
      <c r="AB405" s="3">
        <v>29</v>
      </c>
      <c r="AC405" s="3">
        <v>0</v>
      </c>
      <c r="AD405" s="3">
        <f t="shared" si="189"/>
        <v>29</v>
      </c>
      <c r="AE405" s="3">
        <v>0</v>
      </c>
      <c r="AF405" s="3">
        <v>29</v>
      </c>
      <c r="AG405" s="3">
        <v>0</v>
      </c>
      <c r="AH405" s="3">
        <v>0</v>
      </c>
      <c r="AI405" s="3">
        <v>0</v>
      </c>
      <c r="AJ405" s="3">
        <f t="shared" si="190"/>
        <v>29</v>
      </c>
      <c r="AK405" s="1">
        <v>0</v>
      </c>
      <c r="AL405" s="3">
        <f>AE405</f>
        <v>0</v>
      </c>
      <c r="AM405" s="3">
        <f>AF405</f>
        <v>29</v>
      </c>
      <c r="AN405" s="3">
        <f>AG405</f>
        <v>0</v>
      </c>
      <c r="AO405" s="3">
        <f>AH405</f>
        <v>0</v>
      </c>
      <c r="AP405" s="3">
        <f t="shared" si="184"/>
        <v>0</v>
      </c>
    </row>
    <row r="406" spans="1:42" x14ac:dyDescent="0.35">
      <c r="A406" s="1">
        <v>742</v>
      </c>
      <c r="B406" s="6">
        <v>45915</v>
      </c>
      <c r="C406" s="5" t="str">
        <f>VLOOKUP(F406,[1]Sheet1!$G$1:$AE$447,25,0)</f>
        <v>ZBTO</v>
      </c>
      <c r="D406" s="1">
        <v>9519105467</v>
      </c>
      <c r="E406" s="1">
        <v>12</v>
      </c>
      <c r="F406" s="1" t="s">
        <v>1055</v>
      </c>
      <c r="G406" s="1" t="s">
        <v>1155</v>
      </c>
      <c r="H406" s="5" t="s">
        <v>21</v>
      </c>
      <c r="I406" s="5" t="s">
        <v>71</v>
      </c>
      <c r="J406" s="5"/>
      <c r="K406" s="1" t="s">
        <v>970</v>
      </c>
      <c r="L406" s="1" t="str">
        <f t="shared" si="150"/>
        <v>BPRS</v>
      </c>
      <c r="M406" s="1" t="s">
        <v>1018</v>
      </c>
      <c r="N406" s="5" t="s">
        <v>1131</v>
      </c>
      <c r="P406" s="5">
        <v>103227</v>
      </c>
      <c r="Q406" s="1" t="s">
        <v>155</v>
      </c>
      <c r="R406" s="5">
        <f>VLOOKUP(F406,[1]Sheet1!$G$1:$O$447,9,0)</f>
        <v>3240849</v>
      </c>
      <c r="S406" s="5" t="str">
        <f>VLOOKUP(F406,[1]Sheet1!$G$1:$P$447,10,0)</f>
        <v>CRCA SHEET TSBCRC SR15 1.200X1250X2500</v>
      </c>
      <c r="T406" s="1" t="s">
        <v>75</v>
      </c>
      <c r="U406" s="5" t="str">
        <f>VLOOKUP(F406,[1]Sheet1!$G$1:$W$447,17,0)</f>
        <v>TSBCRC</v>
      </c>
      <c r="V406" s="1" t="s">
        <v>77</v>
      </c>
      <c r="W406" s="1">
        <v>1.2</v>
      </c>
      <c r="X406" s="1">
        <v>1250</v>
      </c>
      <c r="Y406" s="1">
        <v>2500</v>
      </c>
      <c r="Z406" s="3">
        <v>29</v>
      </c>
      <c r="AA406" s="3">
        <v>0</v>
      </c>
      <c r="AB406" s="3">
        <v>29</v>
      </c>
      <c r="AC406" s="3">
        <v>0</v>
      </c>
      <c r="AD406" s="3">
        <f t="shared" si="189"/>
        <v>29</v>
      </c>
      <c r="AE406" s="3">
        <v>0</v>
      </c>
      <c r="AF406" s="3">
        <v>0</v>
      </c>
      <c r="AG406" s="3">
        <v>0</v>
      </c>
      <c r="AH406" s="3">
        <v>29</v>
      </c>
      <c r="AI406" s="3">
        <v>0</v>
      </c>
      <c r="AJ406" s="3">
        <f t="shared" si="190"/>
        <v>29</v>
      </c>
      <c r="AK406" s="1">
        <v>0</v>
      </c>
      <c r="AL406" s="3">
        <f t="shared" ref="AL406:AL408" si="196">AE406</f>
        <v>0</v>
      </c>
      <c r="AM406" s="3">
        <f t="shared" ref="AM406:AM408" si="197">AF406</f>
        <v>0</v>
      </c>
      <c r="AN406" s="3">
        <f t="shared" ref="AN406:AN408" si="198">AG406</f>
        <v>0</v>
      </c>
      <c r="AO406" s="3">
        <f t="shared" ref="AO406:AO408" si="199">AH406</f>
        <v>29</v>
      </c>
      <c r="AP406" s="3">
        <f t="shared" si="184"/>
        <v>0</v>
      </c>
    </row>
    <row r="407" spans="1:42" x14ac:dyDescent="0.35">
      <c r="A407" s="1">
        <v>742</v>
      </c>
      <c r="B407" s="6">
        <v>45915</v>
      </c>
      <c r="C407" s="5" t="str">
        <f>VLOOKUP(F407,[1]Sheet1!$G$1:$AE$447,25,0)</f>
        <v>ZBTO</v>
      </c>
      <c r="D407" s="1">
        <v>9519105467</v>
      </c>
      <c r="E407" s="1">
        <v>11</v>
      </c>
      <c r="F407" s="1" t="s">
        <v>1056</v>
      </c>
      <c r="G407" s="1" t="s">
        <v>1155</v>
      </c>
      <c r="H407" s="5" t="s">
        <v>21</v>
      </c>
      <c r="I407" s="5" t="s">
        <v>71</v>
      </c>
      <c r="J407" s="5"/>
      <c r="K407" s="1" t="s">
        <v>970</v>
      </c>
      <c r="L407" s="1" t="str">
        <f t="shared" si="150"/>
        <v>BPRS</v>
      </c>
      <c r="M407" s="1" t="s">
        <v>1018</v>
      </c>
      <c r="N407" s="5" t="s">
        <v>1131</v>
      </c>
      <c r="P407" s="5">
        <v>103227</v>
      </c>
      <c r="Q407" s="1" t="s">
        <v>155</v>
      </c>
      <c r="R407" s="5">
        <f>VLOOKUP(F407,[1]Sheet1!$G$1:$O$447,9,0)</f>
        <v>3240842</v>
      </c>
      <c r="S407" s="5" t="str">
        <f>VLOOKUP(F407,[1]Sheet1!$G$1:$P$447,10,0)</f>
        <v>CRCA SHEET TSBCRC SR15 1X1250X2500</v>
      </c>
      <c r="T407" s="1" t="s">
        <v>75</v>
      </c>
      <c r="U407" s="5" t="str">
        <f>VLOOKUP(F407,[1]Sheet1!$G$1:$W$447,17,0)</f>
        <v>TSBCRC</v>
      </c>
      <c r="V407" s="1" t="s">
        <v>77</v>
      </c>
      <c r="W407" s="1">
        <v>1</v>
      </c>
      <c r="X407" s="1">
        <v>1250</v>
      </c>
      <c r="Y407" s="1">
        <v>2500</v>
      </c>
      <c r="Z407" s="3">
        <v>29</v>
      </c>
      <c r="AA407" s="3">
        <v>0</v>
      </c>
      <c r="AB407" s="3">
        <v>29</v>
      </c>
      <c r="AC407" s="3">
        <v>0</v>
      </c>
      <c r="AD407" s="3">
        <f t="shared" si="189"/>
        <v>29</v>
      </c>
      <c r="AE407" s="3">
        <v>0</v>
      </c>
      <c r="AF407" s="3">
        <v>29</v>
      </c>
      <c r="AG407" s="3">
        <v>0</v>
      </c>
      <c r="AH407" s="3">
        <v>0</v>
      </c>
      <c r="AI407" s="3">
        <v>0</v>
      </c>
      <c r="AJ407" s="3">
        <f t="shared" si="190"/>
        <v>29</v>
      </c>
      <c r="AK407" s="1">
        <v>0</v>
      </c>
      <c r="AL407" s="3">
        <f t="shared" si="196"/>
        <v>0</v>
      </c>
      <c r="AM407" s="3">
        <f t="shared" si="197"/>
        <v>29</v>
      </c>
      <c r="AN407" s="3">
        <f t="shared" si="198"/>
        <v>0</v>
      </c>
      <c r="AO407" s="3">
        <f t="shared" si="199"/>
        <v>0</v>
      </c>
      <c r="AP407" s="3">
        <f t="shared" si="184"/>
        <v>0</v>
      </c>
    </row>
    <row r="408" spans="1:42" x14ac:dyDescent="0.35">
      <c r="A408" s="1">
        <v>742</v>
      </c>
      <c r="B408" s="6">
        <v>45915</v>
      </c>
      <c r="C408" s="5" t="str">
        <f>VLOOKUP(F408,[1]Sheet1!$G$1:$AE$447,25,0)</f>
        <v>ZBTO</v>
      </c>
      <c r="D408" s="1">
        <v>9519105467</v>
      </c>
      <c r="E408" s="1">
        <v>10</v>
      </c>
      <c r="F408" s="1" t="s">
        <v>1057</v>
      </c>
      <c r="G408" s="1" t="s">
        <v>1155</v>
      </c>
      <c r="H408" s="5" t="s">
        <v>21</v>
      </c>
      <c r="I408" s="5" t="s">
        <v>71</v>
      </c>
      <c r="J408" s="5"/>
      <c r="K408" s="1" t="s">
        <v>970</v>
      </c>
      <c r="L408" s="1" t="str">
        <f t="shared" si="150"/>
        <v>BPRS</v>
      </c>
      <c r="M408" s="1" t="s">
        <v>1018</v>
      </c>
      <c r="N408" s="5" t="s">
        <v>1131</v>
      </c>
      <c r="P408" s="5">
        <v>103227</v>
      </c>
      <c r="Q408" s="1" t="s">
        <v>155</v>
      </c>
      <c r="R408" s="5">
        <f>VLOOKUP(F408,[1]Sheet1!$G$1:$O$447,9,0)</f>
        <v>3240785</v>
      </c>
      <c r="S408" s="5" t="str">
        <f>VLOOKUP(F408,[1]Sheet1!$G$1:$P$447,10,0)</f>
        <v>CRCA SHEET TSBCRC SR15 0.600X1250X2500</v>
      </c>
      <c r="T408" s="1" t="s">
        <v>75</v>
      </c>
      <c r="U408" s="5" t="str">
        <f>VLOOKUP(F408,[1]Sheet1!$G$1:$W$447,17,0)</f>
        <v>TSBCRC</v>
      </c>
      <c r="V408" s="1" t="s">
        <v>77</v>
      </c>
      <c r="W408" s="1">
        <v>0.6</v>
      </c>
      <c r="X408" s="1">
        <v>1250</v>
      </c>
      <c r="Y408" s="1">
        <v>2500</v>
      </c>
      <c r="Z408" s="3">
        <v>29</v>
      </c>
      <c r="AA408" s="3">
        <v>0</v>
      </c>
      <c r="AB408" s="3">
        <v>29</v>
      </c>
      <c r="AC408" s="3">
        <v>0</v>
      </c>
      <c r="AD408" s="3">
        <f t="shared" si="189"/>
        <v>29</v>
      </c>
      <c r="AE408" s="3">
        <v>0</v>
      </c>
      <c r="AF408" s="3">
        <v>0</v>
      </c>
      <c r="AG408" s="3">
        <v>0</v>
      </c>
      <c r="AH408" s="3">
        <v>0</v>
      </c>
      <c r="AI408" s="3">
        <v>29</v>
      </c>
      <c r="AJ408" s="3">
        <f t="shared" si="190"/>
        <v>0</v>
      </c>
      <c r="AK408" s="1">
        <v>0</v>
      </c>
      <c r="AL408" s="3">
        <f t="shared" si="196"/>
        <v>0</v>
      </c>
      <c r="AM408" s="3">
        <f t="shared" si="197"/>
        <v>0</v>
      </c>
      <c r="AN408" s="3">
        <f t="shared" si="198"/>
        <v>0</v>
      </c>
      <c r="AO408" s="3">
        <f t="shared" si="199"/>
        <v>0</v>
      </c>
      <c r="AP408" s="3">
        <f t="shared" si="184"/>
        <v>29</v>
      </c>
    </row>
    <row r="409" spans="1:42" x14ac:dyDescent="0.35">
      <c r="A409" s="1">
        <v>742</v>
      </c>
      <c r="B409" s="6">
        <v>45915</v>
      </c>
      <c r="C409" s="5" t="str">
        <f>VLOOKUP(F409,[1]Sheet1!$G$1:$AE$447,25,0)</f>
        <v>ZBTO</v>
      </c>
      <c r="D409" s="1">
        <v>9519105467</v>
      </c>
      <c r="E409" s="1">
        <v>7</v>
      </c>
      <c r="F409" s="1" t="s">
        <v>1058</v>
      </c>
      <c r="G409" s="1" t="s">
        <v>1155</v>
      </c>
      <c r="H409" s="5" t="s">
        <v>21</v>
      </c>
      <c r="I409" s="5" t="s">
        <v>71</v>
      </c>
      <c r="J409" s="5"/>
      <c r="K409" s="1" t="s">
        <v>970</v>
      </c>
      <c r="L409" s="1" t="str">
        <f t="shared" si="150"/>
        <v>BPRS</v>
      </c>
      <c r="M409" s="1" t="s">
        <v>1018</v>
      </c>
      <c r="N409" s="5" t="s">
        <v>1131</v>
      </c>
      <c r="P409" s="5">
        <v>103227</v>
      </c>
      <c r="Q409" s="1" t="s">
        <v>155</v>
      </c>
      <c r="R409" s="5">
        <f>VLOOKUP(F409,[1]Sheet1!$G$1:$O$447,9,0)</f>
        <v>3239568</v>
      </c>
      <c r="S409" s="5" t="str">
        <f>VLOOKUP(F409,[1]Sheet1!$G$1:$P$447,10,0)</f>
        <v>CRCA SHEET TATCRC SR16 0.450X1250X2500</v>
      </c>
      <c r="T409" s="1" t="s">
        <v>75</v>
      </c>
      <c r="U409" s="5" t="str">
        <f>VLOOKUP(F409,[1]Sheet1!$G$1:$W$447,17,0)</f>
        <v>TATCRC</v>
      </c>
      <c r="V409" s="1" t="s">
        <v>123</v>
      </c>
      <c r="W409" s="1">
        <v>0.45</v>
      </c>
      <c r="X409" s="1">
        <v>1250</v>
      </c>
      <c r="Y409" s="1">
        <v>2500</v>
      </c>
      <c r="Z409" s="3">
        <v>29</v>
      </c>
      <c r="AA409" s="3">
        <v>0</v>
      </c>
      <c r="AB409" s="3">
        <v>29</v>
      </c>
      <c r="AC409" s="3">
        <v>0</v>
      </c>
      <c r="AD409" s="3">
        <f t="shared" si="189"/>
        <v>29</v>
      </c>
      <c r="AE409" s="3">
        <v>0</v>
      </c>
      <c r="AF409" s="3">
        <v>0</v>
      </c>
      <c r="AG409" s="3">
        <v>0</v>
      </c>
      <c r="AH409" s="3">
        <v>0</v>
      </c>
      <c r="AI409" s="3">
        <v>29</v>
      </c>
      <c r="AJ409" s="3">
        <f t="shared" si="190"/>
        <v>0</v>
      </c>
      <c r="AK409" s="1">
        <v>0</v>
      </c>
      <c r="AL409" s="3">
        <f>AE409</f>
        <v>0</v>
      </c>
      <c r="AM409" s="3">
        <f>AF409</f>
        <v>0</v>
      </c>
      <c r="AN409" s="3">
        <f>AG409</f>
        <v>0</v>
      </c>
      <c r="AO409" s="3">
        <f>AH409</f>
        <v>0</v>
      </c>
      <c r="AP409" s="3">
        <f t="shared" si="184"/>
        <v>29</v>
      </c>
    </row>
    <row r="410" spans="1:42" x14ac:dyDescent="0.35">
      <c r="A410" s="1">
        <v>742</v>
      </c>
      <c r="B410" s="6">
        <v>45909</v>
      </c>
      <c r="C410" s="5" t="str">
        <f>VLOOKUP(F410,[1]Sheet1!$G$1:$AE$447,25,0)</f>
        <v>ZBTO</v>
      </c>
      <c r="D410" s="1">
        <v>9519088655</v>
      </c>
      <c r="E410" s="1">
        <v>15</v>
      </c>
      <c r="F410" s="1" t="s">
        <v>1059</v>
      </c>
      <c r="G410" s="1" t="s">
        <v>1155</v>
      </c>
      <c r="H410" s="5" t="s">
        <v>21</v>
      </c>
      <c r="I410" s="5" t="s">
        <v>71</v>
      </c>
      <c r="J410" s="5"/>
      <c r="K410" s="1" t="s">
        <v>970</v>
      </c>
      <c r="L410" s="1" t="str">
        <f t="shared" si="150"/>
        <v>BPRS</v>
      </c>
      <c r="M410" s="1" t="s">
        <v>1018</v>
      </c>
      <c r="N410" s="5" t="s">
        <v>1134</v>
      </c>
      <c r="P410" s="5">
        <v>117061</v>
      </c>
      <c r="Q410" s="1" t="s">
        <v>91</v>
      </c>
      <c r="R410" s="5">
        <f>VLOOKUP(F410,[1]Sheet1!$G$1:$O$447,9,0)</f>
        <v>3240857</v>
      </c>
      <c r="S410" s="5" t="str">
        <f>VLOOKUP(F410,[1]Sheet1!$G$1:$P$447,10,0)</f>
        <v>CRCA SHEET TSBCRC SR15 2X1250X2500</v>
      </c>
      <c r="T410" s="1" t="s">
        <v>75</v>
      </c>
      <c r="U410" s="5" t="str">
        <f>VLOOKUP(F410,[1]Sheet1!$G$1:$W$447,17,0)</f>
        <v>TSBCRC</v>
      </c>
      <c r="V410" s="1" t="s">
        <v>77</v>
      </c>
      <c r="W410" s="1">
        <v>2</v>
      </c>
      <c r="X410" s="1">
        <v>1250</v>
      </c>
      <c r="Y410" s="1">
        <v>2500</v>
      </c>
      <c r="Z410" s="3">
        <v>29</v>
      </c>
      <c r="AA410" s="3">
        <v>0</v>
      </c>
      <c r="AB410" s="3">
        <v>29</v>
      </c>
      <c r="AC410" s="3">
        <v>0</v>
      </c>
      <c r="AD410" s="3">
        <f t="shared" si="189"/>
        <v>29</v>
      </c>
      <c r="AE410" s="3">
        <v>0</v>
      </c>
      <c r="AF410" s="3">
        <v>29</v>
      </c>
      <c r="AG410" s="3">
        <v>0</v>
      </c>
      <c r="AH410" s="3">
        <v>0</v>
      </c>
      <c r="AI410" s="3">
        <v>0</v>
      </c>
      <c r="AJ410" s="3">
        <f t="shared" si="190"/>
        <v>29</v>
      </c>
      <c r="AK410" s="1">
        <v>0</v>
      </c>
      <c r="AL410" s="3">
        <f t="shared" ref="AL410:AL418" si="200">AE410</f>
        <v>0</v>
      </c>
      <c r="AM410" s="3">
        <f t="shared" ref="AM410:AM418" si="201">AF410</f>
        <v>29</v>
      </c>
      <c r="AN410" s="3">
        <f t="shared" ref="AN410:AN418" si="202">AG410</f>
        <v>0</v>
      </c>
      <c r="AO410" s="3">
        <f t="shared" ref="AO410:AO418" si="203">AH410</f>
        <v>0</v>
      </c>
      <c r="AP410" s="3">
        <f t="shared" si="184"/>
        <v>0</v>
      </c>
    </row>
    <row r="411" spans="1:42" x14ac:dyDescent="0.35">
      <c r="A411" s="1">
        <v>742</v>
      </c>
      <c r="B411" s="6">
        <v>45909</v>
      </c>
      <c r="C411" s="5" t="str">
        <f>VLOOKUP(F411,[1]Sheet1!$G$1:$AE$447,25,0)</f>
        <v>ZBTO</v>
      </c>
      <c r="D411" s="1">
        <v>9519088655</v>
      </c>
      <c r="E411" s="1">
        <v>14</v>
      </c>
      <c r="F411" s="1" t="s">
        <v>1060</v>
      </c>
      <c r="G411" s="1" t="s">
        <v>1155</v>
      </c>
      <c r="H411" s="5" t="s">
        <v>21</v>
      </c>
      <c r="I411" s="5" t="s">
        <v>71</v>
      </c>
      <c r="J411" s="5"/>
      <c r="K411" s="1" t="s">
        <v>970</v>
      </c>
      <c r="L411" s="1" t="str">
        <f t="shared" si="150"/>
        <v>BPRS</v>
      </c>
      <c r="M411" s="1" t="s">
        <v>1018</v>
      </c>
      <c r="N411" s="5" t="s">
        <v>1134</v>
      </c>
      <c r="P411" s="5">
        <v>117061</v>
      </c>
      <c r="Q411" s="1" t="s">
        <v>91</v>
      </c>
      <c r="R411" s="5">
        <f>VLOOKUP(F411,[1]Sheet1!$G$1:$O$447,9,0)</f>
        <v>3240863</v>
      </c>
      <c r="S411" s="5" t="str">
        <f>VLOOKUP(F411,[1]Sheet1!$G$1:$P$447,10,0)</f>
        <v>CRCA SHEET TSBCRC SR15 1.500X1250X2500</v>
      </c>
      <c r="T411" s="1" t="s">
        <v>75</v>
      </c>
      <c r="U411" s="5" t="str">
        <f>VLOOKUP(F411,[1]Sheet1!$G$1:$W$447,17,0)</f>
        <v>TSBCRC</v>
      </c>
      <c r="V411" s="1" t="s">
        <v>77</v>
      </c>
      <c r="W411" s="1">
        <v>1.5</v>
      </c>
      <c r="X411" s="1">
        <v>1250</v>
      </c>
      <c r="Y411" s="1">
        <v>2500</v>
      </c>
      <c r="Z411" s="3">
        <v>58</v>
      </c>
      <c r="AA411" s="3">
        <v>0</v>
      </c>
      <c r="AB411" s="3">
        <v>58</v>
      </c>
      <c r="AC411" s="3">
        <v>0</v>
      </c>
      <c r="AD411" s="3">
        <f t="shared" si="189"/>
        <v>58</v>
      </c>
      <c r="AE411" s="3">
        <v>0</v>
      </c>
      <c r="AF411" s="3">
        <v>58</v>
      </c>
      <c r="AG411" s="3">
        <v>0</v>
      </c>
      <c r="AH411" s="3">
        <v>0</v>
      </c>
      <c r="AI411" s="3">
        <v>0</v>
      </c>
      <c r="AJ411" s="3">
        <f t="shared" si="190"/>
        <v>58</v>
      </c>
      <c r="AK411" s="1">
        <v>0</v>
      </c>
      <c r="AL411" s="3">
        <f t="shared" si="200"/>
        <v>0</v>
      </c>
      <c r="AM411" s="3">
        <f t="shared" si="201"/>
        <v>58</v>
      </c>
      <c r="AN411" s="3">
        <f t="shared" si="202"/>
        <v>0</v>
      </c>
      <c r="AO411" s="3">
        <f t="shared" si="203"/>
        <v>0</v>
      </c>
      <c r="AP411" s="3">
        <f t="shared" si="184"/>
        <v>0</v>
      </c>
    </row>
    <row r="412" spans="1:42" x14ac:dyDescent="0.35">
      <c r="A412" s="1">
        <v>742</v>
      </c>
      <c r="B412" s="6">
        <v>45909</v>
      </c>
      <c r="C412" s="5" t="str">
        <f>VLOOKUP(F412,[1]Sheet1!$G$1:$AE$447,25,0)</f>
        <v>ZBTO</v>
      </c>
      <c r="D412" s="1">
        <v>9519088655</v>
      </c>
      <c r="E412" s="1">
        <v>11</v>
      </c>
      <c r="F412" s="1" t="s">
        <v>1061</v>
      </c>
      <c r="G412" s="1" t="s">
        <v>1155</v>
      </c>
      <c r="H412" s="5" t="s">
        <v>21</v>
      </c>
      <c r="I412" s="5" t="s">
        <v>71</v>
      </c>
      <c r="J412" s="5"/>
      <c r="K412" s="1" t="s">
        <v>970</v>
      </c>
      <c r="L412" s="1" t="str">
        <f t="shared" si="150"/>
        <v>BPRS</v>
      </c>
      <c r="M412" s="1" t="s">
        <v>1018</v>
      </c>
      <c r="N412" s="5" t="s">
        <v>1134</v>
      </c>
      <c r="P412" s="5">
        <v>117061</v>
      </c>
      <c r="Q412" s="1" t="s">
        <v>91</v>
      </c>
      <c r="R412" s="5">
        <f>VLOOKUP(F412,[1]Sheet1!$G$1:$O$447,9,0)</f>
        <v>3240820</v>
      </c>
      <c r="S412" s="5" t="str">
        <f>VLOOKUP(F412,[1]Sheet1!$G$1:$P$447,10,0)</f>
        <v>CRCA SHEET TSBCRC SR15 0.900X1250X2500</v>
      </c>
      <c r="T412" s="1" t="s">
        <v>75</v>
      </c>
      <c r="U412" s="5" t="str">
        <f>VLOOKUP(F412,[1]Sheet1!$G$1:$W$447,17,0)</f>
        <v>TSBCRC</v>
      </c>
      <c r="V412" s="1" t="s">
        <v>77</v>
      </c>
      <c r="W412" s="1">
        <v>0.9</v>
      </c>
      <c r="X412" s="1">
        <v>1250</v>
      </c>
      <c r="Y412" s="1">
        <v>2500</v>
      </c>
      <c r="Z412" s="3">
        <v>29</v>
      </c>
      <c r="AA412" s="3">
        <v>0</v>
      </c>
      <c r="AB412" s="3">
        <v>29</v>
      </c>
      <c r="AC412" s="3">
        <v>0</v>
      </c>
      <c r="AD412" s="3">
        <f t="shared" si="189"/>
        <v>29</v>
      </c>
      <c r="AE412" s="3">
        <v>0</v>
      </c>
      <c r="AF412" s="3">
        <v>29</v>
      </c>
      <c r="AG412" s="3">
        <v>0</v>
      </c>
      <c r="AH412" s="3">
        <v>0</v>
      </c>
      <c r="AI412" s="3">
        <v>0</v>
      </c>
      <c r="AJ412" s="3">
        <f t="shared" si="190"/>
        <v>29</v>
      </c>
      <c r="AK412" s="1">
        <v>0</v>
      </c>
      <c r="AL412" s="3">
        <f t="shared" si="200"/>
        <v>0</v>
      </c>
      <c r="AM412" s="3">
        <f t="shared" si="201"/>
        <v>29</v>
      </c>
      <c r="AN412" s="3">
        <f t="shared" si="202"/>
        <v>0</v>
      </c>
      <c r="AO412" s="3">
        <f t="shared" si="203"/>
        <v>0</v>
      </c>
      <c r="AP412" s="3">
        <f t="shared" si="184"/>
        <v>0</v>
      </c>
    </row>
    <row r="413" spans="1:42" x14ac:dyDescent="0.35">
      <c r="A413" s="1">
        <v>742</v>
      </c>
      <c r="B413" s="6">
        <v>45909</v>
      </c>
      <c r="C413" s="5" t="str">
        <f>VLOOKUP(F413,[1]Sheet1!$G$1:$AE$447,25,0)</f>
        <v>ZBTO</v>
      </c>
      <c r="D413" s="1">
        <v>9519088655</v>
      </c>
      <c r="E413" s="1">
        <v>10</v>
      </c>
      <c r="F413" s="1" t="s">
        <v>1062</v>
      </c>
      <c r="G413" s="1" t="s">
        <v>1155</v>
      </c>
      <c r="H413" s="5" t="s">
        <v>21</v>
      </c>
      <c r="I413" s="5" t="s">
        <v>71</v>
      </c>
      <c r="J413" s="5"/>
      <c r="K413" s="1" t="s">
        <v>970</v>
      </c>
      <c r="L413" s="1" t="str">
        <f t="shared" ref="L413:L457" si="204">K413</f>
        <v>BPRS</v>
      </c>
      <c r="M413" s="1" t="s">
        <v>1018</v>
      </c>
      <c r="N413" s="5" t="s">
        <v>1134</v>
      </c>
      <c r="P413" s="5">
        <v>117061</v>
      </c>
      <c r="Q413" s="1" t="s">
        <v>91</v>
      </c>
      <c r="R413" s="5">
        <f>VLOOKUP(F413,[1]Sheet1!$G$1:$O$447,9,0)</f>
        <v>3240808</v>
      </c>
      <c r="S413" s="5" t="str">
        <f>VLOOKUP(F413,[1]Sheet1!$G$1:$P$447,10,0)</f>
        <v>CRCA SHEET TSBCRC SR15 0.800X1250X2500</v>
      </c>
      <c r="T413" s="1" t="s">
        <v>75</v>
      </c>
      <c r="U413" s="5" t="str">
        <f>VLOOKUP(F413,[1]Sheet1!$G$1:$W$447,17,0)</f>
        <v>TSBCRC</v>
      </c>
      <c r="V413" s="1" t="s">
        <v>77</v>
      </c>
      <c r="W413" s="1">
        <v>0.8</v>
      </c>
      <c r="X413" s="1">
        <v>1250</v>
      </c>
      <c r="Y413" s="1">
        <v>2500</v>
      </c>
      <c r="Z413" s="3">
        <v>29</v>
      </c>
      <c r="AA413" s="3">
        <v>0</v>
      </c>
      <c r="AB413" s="3">
        <v>29</v>
      </c>
      <c r="AC413" s="3">
        <v>0</v>
      </c>
      <c r="AD413" s="3">
        <f t="shared" si="189"/>
        <v>29</v>
      </c>
      <c r="AE413" s="3">
        <v>0</v>
      </c>
      <c r="AF413" s="3">
        <v>29</v>
      </c>
      <c r="AG413" s="3">
        <v>0</v>
      </c>
      <c r="AH413" s="3">
        <v>0</v>
      </c>
      <c r="AI413" s="3">
        <v>0</v>
      </c>
      <c r="AJ413" s="3">
        <f t="shared" si="190"/>
        <v>29</v>
      </c>
      <c r="AK413" s="1">
        <v>0</v>
      </c>
      <c r="AL413" s="3">
        <f t="shared" si="200"/>
        <v>0</v>
      </c>
      <c r="AM413" s="3">
        <f t="shared" si="201"/>
        <v>29</v>
      </c>
      <c r="AN413" s="3">
        <f t="shared" si="202"/>
        <v>0</v>
      </c>
      <c r="AO413" s="3">
        <f t="shared" si="203"/>
        <v>0</v>
      </c>
      <c r="AP413" s="3">
        <f t="shared" si="184"/>
        <v>0</v>
      </c>
    </row>
    <row r="414" spans="1:42" x14ac:dyDescent="0.35">
      <c r="A414" s="1">
        <v>742</v>
      </c>
      <c r="B414" s="6">
        <v>45909</v>
      </c>
      <c r="C414" s="5" t="str">
        <f>VLOOKUP(F414,[1]Sheet1!$G$1:$AE$447,25,0)</f>
        <v>ZBTO</v>
      </c>
      <c r="D414" s="1">
        <v>9519088655</v>
      </c>
      <c r="E414" s="1">
        <v>8</v>
      </c>
      <c r="F414" s="1" t="s">
        <v>1063</v>
      </c>
      <c r="G414" s="1" t="s">
        <v>1155</v>
      </c>
      <c r="H414" s="5" t="s">
        <v>21</v>
      </c>
      <c r="I414" s="5" t="s">
        <v>71</v>
      </c>
      <c r="J414" s="5"/>
      <c r="K414" s="1" t="s">
        <v>970</v>
      </c>
      <c r="L414" s="1" t="str">
        <f t="shared" si="204"/>
        <v>BPRS</v>
      </c>
      <c r="M414" s="1" t="s">
        <v>1018</v>
      </c>
      <c r="N414" s="5" t="s">
        <v>1134</v>
      </c>
      <c r="P414" s="5">
        <v>117061</v>
      </c>
      <c r="Q414" s="1" t="s">
        <v>91</v>
      </c>
      <c r="R414" s="5">
        <f>VLOOKUP(F414,[1]Sheet1!$G$1:$O$447,9,0)</f>
        <v>3240790</v>
      </c>
      <c r="S414" s="5" t="str">
        <f>VLOOKUP(F414,[1]Sheet1!$G$1:$P$447,10,0)</f>
        <v>CRCA SHEET TSBCRC SR15 0.700X1000X2500</v>
      </c>
      <c r="T414" s="1" t="s">
        <v>75</v>
      </c>
      <c r="U414" s="5" t="str">
        <f>VLOOKUP(F414,[1]Sheet1!$G$1:$W$447,17,0)</f>
        <v>TSBCRC</v>
      </c>
      <c r="V414" s="1" t="s">
        <v>77</v>
      </c>
      <c r="W414" s="1">
        <v>0.7</v>
      </c>
      <c r="X414" s="1">
        <v>1000</v>
      </c>
      <c r="Y414" s="1">
        <v>2500</v>
      </c>
      <c r="Z414" s="3">
        <v>23</v>
      </c>
      <c r="AA414" s="3">
        <v>0</v>
      </c>
      <c r="AB414" s="3">
        <v>23</v>
      </c>
      <c r="AC414" s="3">
        <v>0</v>
      </c>
      <c r="AD414" s="3">
        <f t="shared" si="189"/>
        <v>23</v>
      </c>
      <c r="AE414" s="3">
        <v>0</v>
      </c>
      <c r="AF414" s="3">
        <v>0</v>
      </c>
      <c r="AG414" s="3">
        <v>0</v>
      </c>
      <c r="AH414" s="3">
        <v>23</v>
      </c>
      <c r="AI414" s="3">
        <v>0</v>
      </c>
      <c r="AJ414" s="3">
        <f t="shared" si="190"/>
        <v>23</v>
      </c>
      <c r="AK414" s="1">
        <v>0</v>
      </c>
      <c r="AL414" s="3">
        <f t="shared" si="200"/>
        <v>0</v>
      </c>
      <c r="AM414" s="3">
        <f t="shared" si="201"/>
        <v>0</v>
      </c>
      <c r="AN414" s="3">
        <f t="shared" si="202"/>
        <v>0</v>
      </c>
      <c r="AO414" s="3">
        <f t="shared" si="203"/>
        <v>23</v>
      </c>
      <c r="AP414" s="3">
        <f t="shared" si="184"/>
        <v>0</v>
      </c>
    </row>
    <row r="415" spans="1:42" x14ac:dyDescent="0.35">
      <c r="A415" s="1">
        <v>742</v>
      </c>
      <c r="B415" s="6">
        <v>45909</v>
      </c>
      <c r="C415" s="5" t="str">
        <f>VLOOKUP(F415,[1]Sheet1!$G$1:$AE$447,25,0)</f>
        <v>ZBTO</v>
      </c>
      <c r="D415" s="1">
        <v>9519088655</v>
      </c>
      <c r="E415" s="1">
        <v>7</v>
      </c>
      <c r="F415" s="1" t="s">
        <v>1064</v>
      </c>
      <c r="G415" s="1" t="s">
        <v>1155</v>
      </c>
      <c r="H415" s="5" t="s">
        <v>21</v>
      </c>
      <c r="I415" s="5" t="s">
        <v>71</v>
      </c>
      <c r="J415" s="5"/>
      <c r="K415" s="1" t="s">
        <v>970</v>
      </c>
      <c r="L415" s="1" t="str">
        <f t="shared" si="204"/>
        <v>BPRS</v>
      </c>
      <c r="M415" s="1" t="s">
        <v>1018</v>
      </c>
      <c r="N415" s="5" t="s">
        <v>1134</v>
      </c>
      <c r="P415" s="5">
        <v>117061</v>
      </c>
      <c r="Q415" s="1" t="s">
        <v>91</v>
      </c>
      <c r="R415" s="5">
        <f>VLOOKUP(F415,[1]Sheet1!$G$1:$O$447,9,0)</f>
        <v>3240778</v>
      </c>
      <c r="S415" s="5" t="str">
        <f>VLOOKUP(F415,[1]Sheet1!$G$1:$P$447,10,0)</f>
        <v>CRCA SHEET TSBCRC SR15 0.600X1000X2500</v>
      </c>
      <c r="T415" s="1" t="s">
        <v>75</v>
      </c>
      <c r="U415" s="5" t="str">
        <f>VLOOKUP(F415,[1]Sheet1!$G$1:$W$447,17,0)</f>
        <v>TSBCRC</v>
      </c>
      <c r="V415" s="1" t="s">
        <v>77</v>
      </c>
      <c r="W415" s="1">
        <v>0.6</v>
      </c>
      <c r="X415" s="1">
        <v>1000</v>
      </c>
      <c r="Y415" s="1">
        <v>2500</v>
      </c>
      <c r="Z415" s="3">
        <v>23</v>
      </c>
      <c r="AA415" s="3">
        <v>0</v>
      </c>
      <c r="AB415" s="3">
        <v>23</v>
      </c>
      <c r="AC415" s="3">
        <v>0</v>
      </c>
      <c r="AD415" s="3">
        <f t="shared" si="189"/>
        <v>23</v>
      </c>
      <c r="AE415" s="3">
        <v>0</v>
      </c>
      <c r="AF415" s="3">
        <v>0</v>
      </c>
      <c r="AG415" s="3">
        <v>0</v>
      </c>
      <c r="AH415" s="3">
        <v>23</v>
      </c>
      <c r="AI415" s="3">
        <v>0</v>
      </c>
      <c r="AJ415" s="3">
        <f t="shared" si="190"/>
        <v>23</v>
      </c>
      <c r="AK415" s="1">
        <v>0</v>
      </c>
      <c r="AL415" s="3">
        <f t="shared" si="200"/>
        <v>0</v>
      </c>
      <c r="AM415" s="3">
        <f t="shared" si="201"/>
        <v>0</v>
      </c>
      <c r="AN415" s="3">
        <f t="shared" si="202"/>
        <v>0</v>
      </c>
      <c r="AO415" s="3">
        <f t="shared" si="203"/>
        <v>23</v>
      </c>
      <c r="AP415" s="3">
        <f t="shared" si="184"/>
        <v>0</v>
      </c>
    </row>
    <row r="416" spans="1:42" x14ac:dyDescent="0.35">
      <c r="A416" s="1">
        <v>742</v>
      </c>
      <c r="B416" s="6">
        <v>45909</v>
      </c>
      <c r="C416" s="5" t="str">
        <f>VLOOKUP(F416,[1]Sheet1!$G$1:$AE$447,25,0)</f>
        <v>ZBTO</v>
      </c>
      <c r="D416" s="1">
        <v>9519088655</v>
      </c>
      <c r="E416" s="1">
        <v>6</v>
      </c>
      <c r="F416" s="1" t="s">
        <v>1065</v>
      </c>
      <c r="G416" s="1" t="s">
        <v>1155</v>
      </c>
      <c r="H416" s="5" t="s">
        <v>21</v>
      </c>
      <c r="I416" s="5" t="s">
        <v>71</v>
      </c>
      <c r="J416" s="5"/>
      <c r="K416" s="1" t="s">
        <v>970</v>
      </c>
      <c r="L416" s="1" t="str">
        <f t="shared" si="204"/>
        <v>BPRS</v>
      </c>
      <c r="M416" s="1" t="s">
        <v>1018</v>
      </c>
      <c r="N416" s="5" t="s">
        <v>1134</v>
      </c>
      <c r="P416" s="5">
        <v>117061</v>
      </c>
      <c r="Q416" s="1" t="s">
        <v>91</v>
      </c>
      <c r="R416" s="5">
        <f>VLOOKUP(F416,[1]Sheet1!$G$1:$O$447,9,0)</f>
        <v>3240760</v>
      </c>
      <c r="S416" s="5" t="str">
        <f>VLOOKUP(F416,[1]Sheet1!$G$1:$P$447,10,0)</f>
        <v>CRCA SHEET TSBCRC SR15 0.500X1000X2500</v>
      </c>
      <c r="T416" s="1" t="s">
        <v>75</v>
      </c>
      <c r="U416" s="5" t="str">
        <f>VLOOKUP(F416,[1]Sheet1!$G$1:$W$447,17,0)</f>
        <v>TSBCRC</v>
      </c>
      <c r="V416" s="1" t="s">
        <v>77</v>
      </c>
      <c r="W416" s="1">
        <v>0.5</v>
      </c>
      <c r="X416" s="1">
        <v>1000</v>
      </c>
      <c r="Y416" s="1">
        <v>2500</v>
      </c>
      <c r="Z416" s="3">
        <v>23</v>
      </c>
      <c r="AA416" s="3">
        <v>0</v>
      </c>
      <c r="AB416" s="3">
        <v>23</v>
      </c>
      <c r="AC416" s="3">
        <v>0</v>
      </c>
      <c r="AD416" s="3">
        <f t="shared" si="189"/>
        <v>23</v>
      </c>
      <c r="AE416" s="3">
        <v>0</v>
      </c>
      <c r="AF416" s="3">
        <v>0</v>
      </c>
      <c r="AG416" s="3">
        <v>0</v>
      </c>
      <c r="AH416" s="3">
        <v>23</v>
      </c>
      <c r="AI416" s="3">
        <v>0</v>
      </c>
      <c r="AJ416" s="3">
        <f t="shared" si="190"/>
        <v>23</v>
      </c>
      <c r="AK416" s="1">
        <v>0</v>
      </c>
      <c r="AL416" s="3">
        <f t="shared" si="200"/>
        <v>0</v>
      </c>
      <c r="AM416" s="3">
        <f t="shared" si="201"/>
        <v>0</v>
      </c>
      <c r="AN416" s="3">
        <f t="shared" si="202"/>
        <v>0</v>
      </c>
      <c r="AO416" s="3">
        <f t="shared" si="203"/>
        <v>23</v>
      </c>
      <c r="AP416" s="3">
        <f t="shared" si="184"/>
        <v>0</v>
      </c>
    </row>
    <row r="417" spans="1:42" x14ac:dyDescent="0.35">
      <c r="A417" s="1">
        <v>742</v>
      </c>
      <c r="B417" s="6">
        <v>45909</v>
      </c>
      <c r="C417" s="5" t="str">
        <f>VLOOKUP(F417,[1]Sheet1!$G$1:$AE$447,25,0)</f>
        <v>ZBTO</v>
      </c>
      <c r="D417" s="1">
        <v>9519088655</v>
      </c>
      <c r="E417" s="1">
        <v>5</v>
      </c>
      <c r="F417" s="1" t="s">
        <v>1066</v>
      </c>
      <c r="G417" s="1" t="s">
        <v>1155</v>
      </c>
      <c r="H417" s="5" t="s">
        <v>21</v>
      </c>
      <c r="I417" s="5" t="s">
        <v>71</v>
      </c>
      <c r="J417" s="5"/>
      <c r="K417" s="1" t="s">
        <v>970</v>
      </c>
      <c r="L417" s="1" t="str">
        <f t="shared" si="204"/>
        <v>BPRS</v>
      </c>
      <c r="M417" s="1" t="s">
        <v>1018</v>
      </c>
      <c r="N417" s="5" t="s">
        <v>1134</v>
      </c>
      <c r="P417" s="5">
        <v>117061</v>
      </c>
      <c r="Q417" s="1" t="s">
        <v>91</v>
      </c>
      <c r="R417" s="5">
        <f>VLOOKUP(F417,[1]Sheet1!$G$1:$O$447,9,0)</f>
        <v>3239568</v>
      </c>
      <c r="S417" s="5" t="str">
        <f>VLOOKUP(F417,[1]Sheet1!$G$1:$P$447,10,0)</f>
        <v>CRCA SHEET TATCRC SR16 0.450X1250X2500</v>
      </c>
      <c r="T417" s="1" t="s">
        <v>75</v>
      </c>
      <c r="U417" s="5" t="str">
        <f>VLOOKUP(F417,[1]Sheet1!$G$1:$W$447,17,0)</f>
        <v>TATCRC</v>
      </c>
      <c r="V417" s="1" t="s">
        <v>123</v>
      </c>
      <c r="W417" s="1">
        <v>0.45</v>
      </c>
      <c r="X417" s="1">
        <v>1250</v>
      </c>
      <c r="Y417" s="1">
        <v>2500</v>
      </c>
      <c r="Z417" s="3">
        <v>29</v>
      </c>
      <c r="AA417" s="3">
        <v>0</v>
      </c>
      <c r="AB417" s="3">
        <v>29</v>
      </c>
      <c r="AC417" s="3">
        <v>0</v>
      </c>
      <c r="AD417" s="3">
        <f t="shared" si="189"/>
        <v>29</v>
      </c>
      <c r="AE417" s="3">
        <v>0</v>
      </c>
      <c r="AF417" s="3">
        <v>0</v>
      </c>
      <c r="AG417" s="3">
        <v>0</v>
      </c>
      <c r="AH417" s="3">
        <v>29</v>
      </c>
      <c r="AI417" s="3">
        <v>0</v>
      </c>
      <c r="AJ417" s="3">
        <f t="shared" si="190"/>
        <v>29</v>
      </c>
      <c r="AK417" s="1">
        <v>0</v>
      </c>
      <c r="AL417" s="3">
        <f t="shared" si="200"/>
        <v>0</v>
      </c>
      <c r="AM417" s="3">
        <f t="shared" si="201"/>
        <v>0</v>
      </c>
      <c r="AN417" s="3">
        <f t="shared" si="202"/>
        <v>0</v>
      </c>
      <c r="AO417" s="3">
        <f t="shared" si="203"/>
        <v>29</v>
      </c>
      <c r="AP417" s="3">
        <f t="shared" si="184"/>
        <v>0</v>
      </c>
    </row>
    <row r="418" spans="1:42" x14ac:dyDescent="0.35">
      <c r="A418" s="1">
        <v>742</v>
      </c>
      <c r="B418" s="6">
        <v>45909</v>
      </c>
      <c r="C418" s="5" t="str">
        <f>VLOOKUP(F418,[1]Sheet1!$G$1:$AE$447,25,0)</f>
        <v>ZBTO</v>
      </c>
      <c r="D418" s="1">
        <v>9519088655</v>
      </c>
      <c r="E418" s="1">
        <v>1</v>
      </c>
      <c r="F418" s="1" t="s">
        <v>1067</v>
      </c>
      <c r="G418" s="1" t="s">
        <v>1155</v>
      </c>
      <c r="H418" s="5" t="s">
        <v>21</v>
      </c>
      <c r="I418" s="5" t="s">
        <v>71</v>
      </c>
      <c r="J418" s="5"/>
      <c r="K418" s="1" t="s">
        <v>970</v>
      </c>
      <c r="L418" s="1" t="str">
        <f t="shared" si="204"/>
        <v>BPRS</v>
      </c>
      <c r="M418" s="1" t="s">
        <v>1018</v>
      </c>
      <c r="N418" s="5" t="s">
        <v>1134</v>
      </c>
      <c r="P418" s="5">
        <v>117061</v>
      </c>
      <c r="Q418" s="1" t="s">
        <v>91</v>
      </c>
      <c r="R418" s="5">
        <f>VLOOKUP(F418,[1]Sheet1!$G$1:$O$447,9,0)</f>
        <v>3239536</v>
      </c>
      <c r="S418" s="5" t="str">
        <f>VLOOKUP(F418,[1]Sheet1!$G$1:$P$447,10,0)</f>
        <v>CRCA SHEET TATCRC SR16 0.350X900X2500</v>
      </c>
      <c r="T418" s="1" t="s">
        <v>75</v>
      </c>
      <c r="U418" s="5" t="str">
        <f>VLOOKUP(F418,[1]Sheet1!$G$1:$W$447,17,0)</f>
        <v>TATCRC</v>
      </c>
      <c r="V418" s="1" t="s">
        <v>123</v>
      </c>
      <c r="W418" s="1">
        <v>0.35</v>
      </c>
      <c r="X418" s="1">
        <v>900</v>
      </c>
      <c r="Y418" s="1">
        <v>2500</v>
      </c>
      <c r="Z418" s="3">
        <v>42</v>
      </c>
      <c r="AA418" s="3">
        <v>0</v>
      </c>
      <c r="AB418" s="3">
        <v>42</v>
      </c>
      <c r="AC418" s="3">
        <v>0</v>
      </c>
      <c r="AD418" s="3">
        <f t="shared" si="189"/>
        <v>42</v>
      </c>
      <c r="AE418" s="3">
        <v>0</v>
      </c>
      <c r="AF418" s="3">
        <v>0</v>
      </c>
      <c r="AG418" s="3">
        <v>0</v>
      </c>
      <c r="AH418" s="3">
        <v>42</v>
      </c>
      <c r="AI418" s="3">
        <v>0</v>
      </c>
      <c r="AJ418" s="3">
        <f t="shared" si="190"/>
        <v>42</v>
      </c>
      <c r="AK418" s="1">
        <v>0</v>
      </c>
      <c r="AL418" s="3">
        <f t="shared" si="200"/>
        <v>0</v>
      </c>
      <c r="AM418" s="3">
        <f t="shared" si="201"/>
        <v>0</v>
      </c>
      <c r="AN418" s="3">
        <f t="shared" si="202"/>
        <v>0</v>
      </c>
      <c r="AO418" s="3">
        <f t="shared" si="203"/>
        <v>42</v>
      </c>
      <c r="AP418" s="3">
        <f t="shared" si="184"/>
        <v>0</v>
      </c>
    </row>
    <row r="419" spans="1:42" x14ac:dyDescent="0.35">
      <c r="A419" s="1">
        <v>742</v>
      </c>
      <c r="B419" s="6">
        <v>45912</v>
      </c>
      <c r="C419" s="5" t="str">
        <f>VLOOKUP(F419,[1]Sheet1!$G$1:$AE$447,25,0)</f>
        <v>ZBTO</v>
      </c>
      <c r="D419" s="1">
        <v>9519098913</v>
      </c>
      <c r="E419" s="1">
        <v>3</v>
      </c>
      <c r="F419" s="1" t="s">
        <v>1068</v>
      </c>
      <c r="G419" s="1" t="s">
        <v>1155</v>
      </c>
      <c r="H419" s="5" t="s">
        <v>21</v>
      </c>
      <c r="I419" s="1" t="s">
        <v>975</v>
      </c>
      <c r="J419" s="5">
        <v>1800</v>
      </c>
      <c r="K419" s="1" t="s">
        <v>970</v>
      </c>
      <c r="L419" s="1" t="str">
        <f t="shared" si="204"/>
        <v>BPRS</v>
      </c>
      <c r="M419" s="1" t="s">
        <v>1017</v>
      </c>
      <c r="N419" s="5" t="s">
        <v>1115</v>
      </c>
      <c r="P419" s="5">
        <v>831432</v>
      </c>
      <c r="Q419" s="1" t="s">
        <v>357</v>
      </c>
      <c r="R419" s="5">
        <f>VLOOKUP(F419,[1]Sheet1!$G$1:$O$447,9,0)</f>
        <v>2420508</v>
      </c>
      <c r="S419" s="5" t="str">
        <f>VLOOKUP(F419,[1]Sheet1!$G$1:$P$447,10,0)</f>
        <v>CRCA COIL TATXXD AH03 0.500X1250</v>
      </c>
      <c r="T419" s="1" t="s">
        <v>28</v>
      </c>
      <c r="U419" s="5" t="str">
        <f>VLOOKUP(F419,[1]Sheet1!$G$1:$W$447,17,0)</f>
        <v>TATXXD</v>
      </c>
      <c r="V419" s="1" t="s">
        <v>287</v>
      </c>
      <c r="W419" s="1">
        <v>0.5</v>
      </c>
      <c r="X419" s="1">
        <v>1250</v>
      </c>
      <c r="Y419" s="1">
        <v>0</v>
      </c>
      <c r="Z419" s="3">
        <v>174</v>
      </c>
      <c r="AA419" s="3">
        <v>0</v>
      </c>
      <c r="AB419" s="3">
        <v>174</v>
      </c>
      <c r="AC419" s="3">
        <v>0</v>
      </c>
      <c r="AD419" s="3">
        <f t="shared" si="189"/>
        <v>174</v>
      </c>
      <c r="AE419" s="3">
        <v>0</v>
      </c>
      <c r="AF419" s="3">
        <v>0</v>
      </c>
      <c r="AG419" s="3">
        <v>174</v>
      </c>
      <c r="AH419" s="3">
        <v>0</v>
      </c>
      <c r="AI419" s="3">
        <v>0</v>
      </c>
      <c r="AJ419" s="3">
        <f t="shared" si="190"/>
        <v>174</v>
      </c>
      <c r="AK419" s="1">
        <v>0</v>
      </c>
      <c r="AL419" s="3">
        <f t="shared" ref="AL419:AL424" si="205">AE419</f>
        <v>0</v>
      </c>
      <c r="AM419" s="3">
        <f t="shared" ref="AM419:AM424" si="206">AF419</f>
        <v>0</v>
      </c>
      <c r="AN419" s="3">
        <f t="shared" ref="AN419:AN424" si="207">AG419</f>
        <v>174</v>
      </c>
      <c r="AO419" s="3">
        <f t="shared" ref="AO419:AO424" si="208">AH419</f>
        <v>0</v>
      </c>
      <c r="AP419" s="3">
        <f t="shared" si="184"/>
        <v>0</v>
      </c>
    </row>
    <row r="420" spans="1:42" x14ac:dyDescent="0.35">
      <c r="A420" s="1">
        <v>742</v>
      </c>
      <c r="B420" s="6">
        <v>45912</v>
      </c>
      <c r="C420" s="5" t="str">
        <f>VLOOKUP(F420,[1]Sheet1!$G$1:$AE$447,25,0)</f>
        <v>ZBTO</v>
      </c>
      <c r="D420" s="1">
        <v>9519098913</v>
      </c>
      <c r="E420" s="1">
        <v>2</v>
      </c>
      <c r="F420" s="1" t="s">
        <v>1069</v>
      </c>
      <c r="G420" s="1" t="s">
        <v>1155</v>
      </c>
      <c r="H420" s="5" t="s">
        <v>21</v>
      </c>
      <c r="I420" s="1" t="s">
        <v>975</v>
      </c>
      <c r="J420" s="5"/>
      <c r="K420" s="1" t="s">
        <v>970</v>
      </c>
      <c r="L420" s="1" t="str">
        <f t="shared" si="204"/>
        <v>BPRS</v>
      </c>
      <c r="M420" s="1" t="s">
        <v>1017</v>
      </c>
      <c r="N420" s="5" t="s">
        <v>1115</v>
      </c>
      <c r="P420" s="5">
        <v>831432</v>
      </c>
      <c r="Q420" s="1" t="s">
        <v>357</v>
      </c>
      <c r="R420" s="5">
        <f>VLOOKUP(F420,[1]Sheet1!$G$1:$O$447,9,0)</f>
        <v>2420508</v>
      </c>
      <c r="S420" s="5" t="str">
        <f>VLOOKUP(F420,[1]Sheet1!$G$1:$P$447,10,0)</f>
        <v>CRCA COIL TATXXD AH03 0.500X1250</v>
      </c>
      <c r="T420" s="1" t="s">
        <v>28</v>
      </c>
      <c r="U420" s="5" t="str">
        <f>VLOOKUP(F420,[1]Sheet1!$G$1:$W$447,17,0)</f>
        <v>TATXXD</v>
      </c>
      <c r="V420" s="1" t="s">
        <v>287</v>
      </c>
      <c r="W420" s="1">
        <v>0.5</v>
      </c>
      <c r="X420" s="1">
        <v>1250</v>
      </c>
      <c r="Y420" s="1">
        <v>0</v>
      </c>
      <c r="Z420" s="3">
        <v>174</v>
      </c>
      <c r="AA420" s="3">
        <v>0</v>
      </c>
      <c r="AB420" s="3">
        <v>174</v>
      </c>
      <c r="AC420" s="3">
        <v>0</v>
      </c>
      <c r="AD420" s="3">
        <f t="shared" si="189"/>
        <v>174</v>
      </c>
      <c r="AE420" s="3">
        <v>0</v>
      </c>
      <c r="AF420" s="3">
        <v>174</v>
      </c>
      <c r="AG420" s="3">
        <v>0</v>
      </c>
      <c r="AH420" s="3">
        <v>0</v>
      </c>
      <c r="AI420" s="3">
        <v>0</v>
      </c>
      <c r="AJ420" s="3">
        <f t="shared" si="190"/>
        <v>174</v>
      </c>
      <c r="AK420" s="1">
        <v>0</v>
      </c>
      <c r="AL420" s="3">
        <f t="shared" si="205"/>
        <v>0</v>
      </c>
      <c r="AM420" s="3">
        <f t="shared" si="206"/>
        <v>174</v>
      </c>
      <c r="AN420" s="3">
        <f t="shared" si="207"/>
        <v>0</v>
      </c>
      <c r="AO420" s="3">
        <f t="shared" si="208"/>
        <v>0</v>
      </c>
      <c r="AP420" s="3">
        <f t="shared" si="184"/>
        <v>0</v>
      </c>
    </row>
    <row r="421" spans="1:42" x14ac:dyDescent="0.35">
      <c r="A421" s="1">
        <v>742</v>
      </c>
      <c r="B421" s="6">
        <v>45917</v>
      </c>
      <c r="C421" s="5" t="str">
        <f>VLOOKUP(F421,[1]Sheet1!$G$1:$AE$447,25,0)</f>
        <v>ZBTO</v>
      </c>
      <c r="D421" s="1">
        <v>9519112644</v>
      </c>
      <c r="E421" s="1">
        <v>1</v>
      </c>
      <c r="F421" s="1" t="s">
        <v>1070</v>
      </c>
      <c r="G421" s="1" t="s">
        <v>1155</v>
      </c>
      <c r="H421" s="5" t="s">
        <v>21</v>
      </c>
      <c r="I421" s="5" t="s">
        <v>71</v>
      </c>
      <c r="J421" s="5"/>
      <c r="K421" s="1" t="s">
        <v>970</v>
      </c>
      <c r="L421" s="1" t="str">
        <f t="shared" si="204"/>
        <v>BPRS</v>
      </c>
      <c r="M421" s="1" t="s">
        <v>1018</v>
      </c>
      <c r="N421" s="5" t="s">
        <v>1119</v>
      </c>
      <c r="P421" s="5">
        <v>139336</v>
      </c>
      <c r="Q421" s="1" t="s">
        <v>178</v>
      </c>
      <c r="R421" s="5">
        <f>VLOOKUP(F421,[1]Sheet1!$G$1:$O$447,9,0)</f>
        <v>3239548</v>
      </c>
      <c r="S421" s="5" t="str">
        <f>VLOOKUP(F421,[1]Sheet1!$G$1:$P$447,10,0)</f>
        <v>CRCA SHEET TATCRC SR16 0.400X900X2500</v>
      </c>
      <c r="T421" s="1" t="s">
        <v>75</v>
      </c>
      <c r="U421" s="5" t="str">
        <f>VLOOKUP(F421,[1]Sheet1!$G$1:$W$447,17,0)</f>
        <v>TATCRC</v>
      </c>
      <c r="V421" s="1" t="s">
        <v>123</v>
      </c>
      <c r="W421" s="1">
        <v>0.4</v>
      </c>
      <c r="X421" s="1">
        <v>900</v>
      </c>
      <c r="Y421" s="1">
        <v>2500</v>
      </c>
      <c r="Z421" s="3">
        <v>21</v>
      </c>
      <c r="AA421" s="3">
        <v>0</v>
      </c>
      <c r="AB421" s="3">
        <v>21</v>
      </c>
      <c r="AC421" s="3">
        <v>0</v>
      </c>
      <c r="AD421" s="3">
        <f t="shared" si="189"/>
        <v>21</v>
      </c>
      <c r="AE421" s="3">
        <v>0</v>
      </c>
      <c r="AF421" s="3">
        <v>0</v>
      </c>
      <c r="AG421" s="3">
        <v>21</v>
      </c>
      <c r="AH421" s="3">
        <v>0</v>
      </c>
      <c r="AI421" s="3">
        <v>0</v>
      </c>
      <c r="AJ421" s="3">
        <f t="shared" si="190"/>
        <v>21</v>
      </c>
      <c r="AK421" s="1">
        <v>0</v>
      </c>
      <c r="AL421" s="3">
        <f t="shared" si="205"/>
        <v>0</v>
      </c>
      <c r="AM421" s="3">
        <f t="shared" si="206"/>
        <v>0</v>
      </c>
      <c r="AN421" s="3">
        <f t="shared" si="207"/>
        <v>21</v>
      </c>
      <c r="AO421" s="3">
        <f t="shared" si="208"/>
        <v>0</v>
      </c>
      <c r="AP421" s="3">
        <f t="shared" si="184"/>
        <v>0</v>
      </c>
    </row>
    <row r="422" spans="1:42" x14ac:dyDescent="0.35">
      <c r="A422" s="1">
        <v>742</v>
      </c>
      <c r="B422" s="6">
        <v>45916</v>
      </c>
      <c r="C422" s="5" t="str">
        <f>VLOOKUP(F422,[1]Sheet1!$G$1:$AE$447,25,0)</f>
        <v>ZBTO</v>
      </c>
      <c r="D422" s="1">
        <v>9519109856</v>
      </c>
      <c r="E422" s="1">
        <v>3</v>
      </c>
      <c r="F422" s="1" t="s">
        <v>1071</v>
      </c>
      <c r="G422" s="1" t="s">
        <v>1155</v>
      </c>
      <c r="H422" s="5" t="s">
        <v>21</v>
      </c>
      <c r="I422" s="5" t="s">
        <v>71</v>
      </c>
      <c r="J422" s="5"/>
      <c r="K422" s="1" t="s">
        <v>970</v>
      </c>
      <c r="L422" s="1" t="str">
        <f t="shared" si="204"/>
        <v>BPRS</v>
      </c>
      <c r="M422" s="1" t="s">
        <v>1018</v>
      </c>
      <c r="N422" s="5" t="s">
        <v>1121</v>
      </c>
      <c r="P422" s="5">
        <v>948783</v>
      </c>
      <c r="Q422" s="1" t="s">
        <v>78</v>
      </c>
      <c r="R422" s="5">
        <f>VLOOKUP(F422,[1]Sheet1!$G$1:$O$447,9,0)</f>
        <v>3839276</v>
      </c>
      <c r="S422" s="5" t="str">
        <f>VLOOKUP(F422,[1]Sheet1!$G$1:$P$447,10,0)</f>
        <v>CRCA SHEET TATCRC SR16 0.300X1250X2500</v>
      </c>
      <c r="T422" s="1" t="s">
        <v>75</v>
      </c>
      <c r="U422" s="5" t="str">
        <f>VLOOKUP(F422,[1]Sheet1!$G$1:$W$447,17,0)</f>
        <v>TATCRC</v>
      </c>
      <c r="V422" s="1" t="s">
        <v>123</v>
      </c>
      <c r="W422" s="1">
        <v>0.3</v>
      </c>
      <c r="X422" s="1">
        <v>1250</v>
      </c>
      <c r="Y422" s="1">
        <v>2500</v>
      </c>
      <c r="Z422" s="3">
        <v>58</v>
      </c>
      <c r="AA422" s="3">
        <v>0</v>
      </c>
      <c r="AB422" s="3">
        <v>58</v>
      </c>
      <c r="AC422" s="3">
        <v>0</v>
      </c>
      <c r="AD422" s="3">
        <f t="shared" si="189"/>
        <v>58</v>
      </c>
      <c r="AE422" s="3">
        <v>0</v>
      </c>
      <c r="AF422" s="3">
        <v>0</v>
      </c>
      <c r="AG422" s="3">
        <v>0</v>
      </c>
      <c r="AH422" s="3">
        <v>58</v>
      </c>
      <c r="AI422" s="3">
        <v>0</v>
      </c>
      <c r="AJ422" s="3">
        <f t="shared" si="190"/>
        <v>58</v>
      </c>
      <c r="AK422" s="1">
        <v>0</v>
      </c>
      <c r="AL422" s="3">
        <f t="shared" si="205"/>
        <v>0</v>
      </c>
      <c r="AM422" s="3">
        <f t="shared" si="206"/>
        <v>0</v>
      </c>
      <c r="AN422" s="3">
        <f t="shared" si="207"/>
        <v>0</v>
      </c>
      <c r="AO422" s="3">
        <f t="shared" si="208"/>
        <v>58</v>
      </c>
      <c r="AP422" s="3">
        <f t="shared" si="184"/>
        <v>0</v>
      </c>
    </row>
    <row r="423" spans="1:42" x14ac:dyDescent="0.35">
      <c r="A423" s="1">
        <v>742</v>
      </c>
      <c r="B423" s="6">
        <v>45916</v>
      </c>
      <c r="C423" s="5" t="str">
        <f>VLOOKUP(F423,[1]Sheet1!$G$1:$AE$447,25,0)</f>
        <v>ZBTO</v>
      </c>
      <c r="D423" s="1">
        <v>9519109856</v>
      </c>
      <c r="E423" s="1">
        <v>2</v>
      </c>
      <c r="F423" s="1" t="s">
        <v>1072</v>
      </c>
      <c r="G423" s="1" t="s">
        <v>1155</v>
      </c>
      <c r="H423" s="5" t="s">
        <v>21</v>
      </c>
      <c r="I423" s="5" t="s">
        <v>71</v>
      </c>
      <c r="J423" s="5"/>
      <c r="K423" s="1" t="s">
        <v>970</v>
      </c>
      <c r="L423" s="1" t="str">
        <f t="shared" si="204"/>
        <v>BPRS</v>
      </c>
      <c r="M423" s="1" t="s">
        <v>1018</v>
      </c>
      <c r="N423" s="5" t="s">
        <v>1121</v>
      </c>
      <c r="P423" s="5">
        <v>948783</v>
      </c>
      <c r="Q423" s="1" t="s">
        <v>78</v>
      </c>
      <c r="R423" s="5">
        <f>VLOOKUP(F423,[1]Sheet1!$G$1:$O$447,9,0)</f>
        <v>3239533</v>
      </c>
      <c r="S423" s="5" t="str">
        <f>VLOOKUP(F423,[1]Sheet1!$G$1:$P$447,10,0)</f>
        <v>CRCA SHEET TATCRC SR16 0.300X1000X2500</v>
      </c>
      <c r="T423" s="1" t="s">
        <v>75</v>
      </c>
      <c r="U423" s="5" t="str">
        <f>VLOOKUP(F423,[1]Sheet1!$G$1:$W$447,17,0)</f>
        <v>TATCRC</v>
      </c>
      <c r="V423" s="1" t="s">
        <v>123</v>
      </c>
      <c r="W423" s="1">
        <v>0.3</v>
      </c>
      <c r="X423" s="1">
        <v>1000</v>
      </c>
      <c r="Y423" s="1">
        <v>2500</v>
      </c>
      <c r="Z423" s="3">
        <v>23</v>
      </c>
      <c r="AA423" s="3">
        <v>0</v>
      </c>
      <c r="AB423" s="3">
        <v>23</v>
      </c>
      <c r="AC423" s="3">
        <v>0</v>
      </c>
      <c r="AD423" s="3">
        <f t="shared" si="189"/>
        <v>23</v>
      </c>
      <c r="AE423" s="3">
        <v>0</v>
      </c>
      <c r="AF423" s="3">
        <v>0</v>
      </c>
      <c r="AG423" s="3">
        <v>23</v>
      </c>
      <c r="AH423" s="3">
        <v>0</v>
      </c>
      <c r="AI423" s="3">
        <v>0</v>
      </c>
      <c r="AJ423" s="3">
        <f t="shared" si="190"/>
        <v>23</v>
      </c>
      <c r="AK423" s="1">
        <v>0</v>
      </c>
      <c r="AL423" s="3">
        <f t="shared" si="205"/>
        <v>0</v>
      </c>
      <c r="AM423" s="3">
        <f t="shared" si="206"/>
        <v>0</v>
      </c>
      <c r="AN423" s="3">
        <f t="shared" si="207"/>
        <v>23</v>
      </c>
      <c r="AO423" s="3">
        <f t="shared" si="208"/>
        <v>0</v>
      </c>
      <c r="AP423" s="3">
        <f t="shared" si="184"/>
        <v>0</v>
      </c>
    </row>
    <row r="424" spans="1:42" x14ac:dyDescent="0.35">
      <c r="A424" s="1">
        <v>742</v>
      </c>
      <c r="B424" s="6">
        <v>45916</v>
      </c>
      <c r="C424" s="5" t="str">
        <f>VLOOKUP(F424,[1]Sheet1!$G$1:$AE$447,25,0)</f>
        <v>ZBTO</v>
      </c>
      <c r="D424" s="1">
        <v>9519109856</v>
      </c>
      <c r="E424" s="1">
        <v>1</v>
      </c>
      <c r="F424" s="1" t="s">
        <v>1073</v>
      </c>
      <c r="G424" s="1" t="s">
        <v>1155</v>
      </c>
      <c r="H424" s="5" t="s">
        <v>21</v>
      </c>
      <c r="I424" s="5" t="s">
        <v>71</v>
      </c>
      <c r="J424" s="5">
        <v>5000</v>
      </c>
      <c r="K424" s="1" t="s">
        <v>970</v>
      </c>
      <c r="L424" s="1" t="str">
        <f t="shared" si="204"/>
        <v>BPRS</v>
      </c>
      <c r="M424" s="1" t="s">
        <v>1018</v>
      </c>
      <c r="N424" s="5" t="s">
        <v>1121</v>
      </c>
      <c r="P424" s="5">
        <v>948783</v>
      </c>
      <c r="Q424" s="1" t="s">
        <v>78</v>
      </c>
      <c r="R424" s="5">
        <f>VLOOKUP(F424,[1]Sheet1!$G$1:$O$447,9,0)</f>
        <v>3903882</v>
      </c>
      <c r="S424" s="5" t="str">
        <f>VLOOKUP(F424,[1]Sheet1!$G$1:$P$447,10,0)</f>
        <v>CRCA SHEET TATCRC SR16 0.250X1250X2500</v>
      </c>
      <c r="T424" s="1" t="s">
        <v>75</v>
      </c>
      <c r="U424" s="5" t="str">
        <f>VLOOKUP(F424,[1]Sheet1!$G$1:$W$447,17,0)</f>
        <v>TATCRC</v>
      </c>
      <c r="V424" s="1" t="s">
        <v>123</v>
      </c>
      <c r="W424" s="1">
        <v>0.25</v>
      </c>
      <c r="X424" s="1">
        <v>1250</v>
      </c>
      <c r="Y424" s="1">
        <v>2500</v>
      </c>
      <c r="Z424" s="3">
        <v>29</v>
      </c>
      <c r="AA424" s="3">
        <v>0</v>
      </c>
      <c r="AB424" s="3">
        <v>29</v>
      </c>
      <c r="AC424" s="3">
        <v>0</v>
      </c>
      <c r="AD424" s="3">
        <f t="shared" si="189"/>
        <v>29</v>
      </c>
      <c r="AE424" s="3">
        <v>0</v>
      </c>
      <c r="AF424" s="3">
        <v>0</v>
      </c>
      <c r="AG424" s="3">
        <v>0</v>
      </c>
      <c r="AH424" s="3">
        <v>29</v>
      </c>
      <c r="AI424" s="3">
        <v>0</v>
      </c>
      <c r="AJ424" s="3">
        <f t="shared" si="190"/>
        <v>29</v>
      </c>
      <c r="AK424" s="1">
        <v>0</v>
      </c>
      <c r="AL424" s="3">
        <f t="shared" si="205"/>
        <v>0</v>
      </c>
      <c r="AM424" s="3">
        <f t="shared" si="206"/>
        <v>0</v>
      </c>
      <c r="AN424" s="3">
        <f t="shared" si="207"/>
        <v>0</v>
      </c>
      <c r="AO424" s="3">
        <f t="shared" si="208"/>
        <v>29</v>
      </c>
      <c r="AP424" s="3">
        <f t="shared" si="184"/>
        <v>0</v>
      </c>
    </row>
    <row r="425" spans="1:42" x14ac:dyDescent="0.35">
      <c r="A425" s="1">
        <v>743</v>
      </c>
      <c r="B425" s="6">
        <v>45913</v>
      </c>
      <c r="C425" s="5" t="str">
        <f>VLOOKUP(F425,[1]Sheet1!$G$1:$AE$447,25,0)</f>
        <v>ZBTO</v>
      </c>
      <c r="D425" s="1">
        <v>9519101481</v>
      </c>
      <c r="E425" s="1">
        <v>3</v>
      </c>
      <c r="F425" s="1" t="s">
        <v>1074</v>
      </c>
      <c r="G425" s="1" t="s">
        <v>1155</v>
      </c>
      <c r="H425" s="5" t="s">
        <v>56</v>
      </c>
      <c r="I425" s="5" t="s">
        <v>968</v>
      </c>
      <c r="J425" s="5"/>
      <c r="K425" s="1" t="s">
        <v>969</v>
      </c>
      <c r="L425" s="1" t="str">
        <f t="shared" si="204"/>
        <v>IPP</v>
      </c>
      <c r="M425" s="1" t="s">
        <v>1232</v>
      </c>
      <c r="N425" s="5" t="s">
        <v>1135</v>
      </c>
      <c r="P425" s="5">
        <v>942283</v>
      </c>
      <c r="Q425" s="1" t="s">
        <v>87</v>
      </c>
      <c r="R425" s="5">
        <f>VLOOKUP(F425,[1]Sheet1!$G$1:$O$447,9,0)</f>
        <v>1881988</v>
      </c>
      <c r="S425" s="5" t="str">
        <f>VLOOKUP(F425,[1]Sheet1!$G$1:$P$447,10,0)</f>
        <v>GL C YS550 H6GL 0.50BMT(0.55TCT)X1220</v>
      </c>
      <c r="T425" s="1" t="s">
        <v>60</v>
      </c>
      <c r="U425" s="5" t="str">
        <f>VLOOKUP(F425,[1]Sheet1!$G$1:$W$447,17,0)</f>
        <v>Y550GL</v>
      </c>
      <c r="V425" s="1" t="s">
        <v>103</v>
      </c>
      <c r="W425" s="1">
        <v>0.5</v>
      </c>
      <c r="X425" s="1">
        <v>1220</v>
      </c>
      <c r="Y425" s="1">
        <v>0</v>
      </c>
      <c r="Z425" s="3">
        <v>28</v>
      </c>
      <c r="AA425" s="3">
        <v>0</v>
      </c>
      <c r="AB425" s="3">
        <v>28</v>
      </c>
      <c r="AC425" s="3">
        <v>0</v>
      </c>
      <c r="AD425" s="3">
        <f t="shared" si="189"/>
        <v>28</v>
      </c>
      <c r="AE425" s="3">
        <v>28</v>
      </c>
      <c r="AF425" s="3">
        <v>0</v>
      </c>
      <c r="AG425" s="3">
        <v>0</v>
      </c>
      <c r="AH425" s="3">
        <v>0</v>
      </c>
      <c r="AI425" s="3">
        <v>0</v>
      </c>
      <c r="AJ425" s="3">
        <f t="shared" si="190"/>
        <v>28</v>
      </c>
      <c r="AK425" s="1">
        <v>0</v>
      </c>
      <c r="AL425" s="3">
        <f>AE425</f>
        <v>28</v>
      </c>
      <c r="AM425" s="1">
        <v>0</v>
      </c>
      <c r="AN425" s="1">
        <v>0</v>
      </c>
      <c r="AO425" s="1">
        <v>0</v>
      </c>
      <c r="AP425" s="3">
        <f t="shared" si="184"/>
        <v>0</v>
      </c>
    </row>
    <row r="426" spans="1:42" x14ac:dyDescent="0.35">
      <c r="A426" s="1">
        <v>743</v>
      </c>
      <c r="B426" s="6">
        <v>45913</v>
      </c>
      <c r="C426" s="5" t="str">
        <f>VLOOKUP(F426,[1]Sheet1!$G$1:$AE$447,25,0)</f>
        <v>ZBTO</v>
      </c>
      <c r="D426" s="1">
        <v>9519101481</v>
      </c>
      <c r="E426" s="1">
        <v>2</v>
      </c>
      <c r="F426" s="1" t="s">
        <v>1075</v>
      </c>
      <c r="G426" s="1" t="s">
        <v>1155</v>
      </c>
      <c r="H426" s="5" t="s">
        <v>56</v>
      </c>
      <c r="I426" s="5" t="s">
        <v>968</v>
      </c>
      <c r="J426" s="5"/>
      <c r="K426" s="1" t="s">
        <v>969</v>
      </c>
      <c r="L426" s="1" t="str">
        <f t="shared" si="204"/>
        <v>IPP</v>
      </c>
      <c r="M426" s="1" t="s">
        <v>1232</v>
      </c>
      <c r="N426" s="5" t="s">
        <v>1135</v>
      </c>
      <c r="P426" s="5">
        <v>942283</v>
      </c>
      <c r="Q426" s="1" t="s">
        <v>87</v>
      </c>
      <c r="R426" s="5">
        <f>VLOOKUP(F426,[1]Sheet1!$G$1:$O$447,9,0)</f>
        <v>1882004</v>
      </c>
      <c r="S426" s="5" t="str">
        <f>VLOOKUP(F426,[1]Sheet1!$G$1:$P$447,10,0)</f>
        <v>GL C YS550 H6GL 0.55BMT(0.60TCT)X1220</v>
      </c>
      <c r="T426" s="1" t="s">
        <v>60</v>
      </c>
      <c r="U426" s="5" t="str">
        <f>VLOOKUP(F426,[1]Sheet1!$G$1:$W$447,17,0)</f>
        <v>Y550GL</v>
      </c>
      <c r="V426" s="1" t="s">
        <v>103</v>
      </c>
      <c r="W426" s="1">
        <v>0.55000000000000004</v>
      </c>
      <c r="X426" s="1">
        <v>1220</v>
      </c>
      <c r="Y426" s="1">
        <v>0</v>
      </c>
      <c r="Z426" s="3">
        <v>56</v>
      </c>
      <c r="AA426" s="3">
        <v>32.32</v>
      </c>
      <c r="AB426" s="3">
        <v>23.68</v>
      </c>
      <c r="AC426" s="3">
        <v>32.32</v>
      </c>
      <c r="AD426" s="3">
        <f t="shared" si="189"/>
        <v>23.68</v>
      </c>
      <c r="AE426" s="3">
        <v>0</v>
      </c>
      <c r="AF426" s="3">
        <v>23.68</v>
      </c>
      <c r="AG426" s="3">
        <v>0</v>
      </c>
      <c r="AH426" s="3">
        <v>0</v>
      </c>
      <c r="AI426" s="3">
        <v>0</v>
      </c>
      <c r="AJ426" s="3">
        <f t="shared" si="190"/>
        <v>56</v>
      </c>
      <c r="AK426" s="1">
        <v>0</v>
      </c>
      <c r="AL426" s="1">
        <v>0</v>
      </c>
      <c r="AM426" s="3">
        <f>AF426+AC426</f>
        <v>56</v>
      </c>
      <c r="AN426" s="1">
        <v>0</v>
      </c>
      <c r="AO426" s="1">
        <v>0</v>
      </c>
      <c r="AP426" s="3">
        <f t="shared" si="184"/>
        <v>0</v>
      </c>
    </row>
    <row r="427" spans="1:42" x14ac:dyDescent="0.35">
      <c r="A427" s="1">
        <v>743</v>
      </c>
      <c r="B427" s="6">
        <v>45913</v>
      </c>
      <c r="C427" s="5" t="str">
        <f>VLOOKUP(F427,[1]Sheet1!$G$1:$AE$447,25,0)</f>
        <v>ZBTO</v>
      </c>
      <c r="D427" s="1">
        <v>9519101481</v>
      </c>
      <c r="E427" s="1">
        <v>1</v>
      </c>
      <c r="F427" s="1" t="s">
        <v>1076</v>
      </c>
      <c r="G427" s="1" t="s">
        <v>1367</v>
      </c>
      <c r="H427" s="5" t="s">
        <v>56</v>
      </c>
      <c r="I427" s="5" t="s">
        <v>968</v>
      </c>
      <c r="J427" s="5"/>
      <c r="K427" s="1" t="s">
        <v>969</v>
      </c>
      <c r="L427" s="1" t="str">
        <f t="shared" si="204"/>
        <v>IPP</v>
      </c>
      <c r="M427" s="1" t="s">
        <v>1232</v>
      </c>
      <c r="N427" s="5" t="s">
        <v>1135</v>
      </c>
      <c r="P427" s="5">
        <v>942283</v>
      </c>
      <c r="Q427" s="1" t="s">
        <v>87</v>
      </c>
      <c r="R427" s="5">
        <f>VLOOKUP(F427,[1]Sheet1!$G$1:$O$447,9,0)</f>
        <v>1881969</v>
      </c>
      <c r="S427" s="5" t="str">
        <f>VLOOKUP(F427,[1]Sheet1!$G$1:$P$447,10,0)</f>
        <v>GL C YS550 H6GL 0.45BMT(0.50TCT)X1220</v>
      </c>
      <c r="T427" s="1" t="s">
        <v>60</v>
      </c>
      <c r="U427" s="5" t="str">
        <f>VLOOKUP(F427,[1]Sheet1!$G$1:$W$447,17,0)</f>
        <v>Y550GL</v>
      </c>
      <c r="V427" s="1" t="s">
        <v>103</v>
      </c>
      <c r="W427" s="1">
        <v>0.45</v>
      </c>
      <c r="X427" s="1">
        <v>1220</v>
      </c>
      <c r="Y427" s="1">
        <v>0</v>
      </c>
      <c r="Z427" s="3">
        <v>196</v>
      </c>
      <c r="AA427" s="3">
        <v>190.37</v>
      </c>
      <c r="AB427" s="3">
        <v>5.63</v>
      </c>
      <c r="AC427" s="3">
        <v>185.80000000000004</v>
      </c>
      <c r="AD427" s="3">
        <f t="shared" si="189"/>
        <v>5.63</v>
      </c>
      <c r="AE427" s="3">
        <v>5.63</v>
      </c>
      <c r="AF427" s="3">
        <v>0</v>
      </c>
      <c r="AG427" s="3">
        <v>0</v>
      </c>
      <c r="AH427" s="3">
        <v>0</v>
      </c>
      <c r="AI427" s="3">
        <v>0</v>
      </c>
      <c r="AJ427" s="3">
        <f t="shared" si="190"/>
        <v>191.43000000000004</v>
      </c>
      <c r="AK427" s="1">
        <v>0</v>
      </c>
      <c r="AL427" s="3">
        <f>AE427+AC427</f>
        <v>191.43000000000004</v>
      </c>
      <c r="AM427" s="1">
        <v>0</v>
      </c>
      <c r="AN427" s="1">
        <v>0</v>
      </c>
      <c r="AO427" s="1">
        <v>0</v>
      </c>
      <c r="AP427" s="3">
        <f t="shared" si="184"/>
        <v>0</v>
      </c>
    </row>
    <row r="428" spans="1:42" x14ac:dyDescent="0.35">
      <c r="A428" s="1">
        <v>742</v>
      </c>
      <c r="B428" s="6">
        <v>45911</v>
      </c>
      <c r="C428" s="5" t="str">
        <f>VLOOKUP(F428,[1]Sheet1!$G$1:$AE$447,25,0)</f>
        <v>ZBTO</v>
      </c>
      <c r="D428" s="1">
        <v>9519094552</v>
      </c>
      <c r="E428" s="1">
        <v>5</v>
      </c>
      <c r="F428" s="1" t="s">
        <v>1077</v>
      </c>
      <c r="G428" s="1" t="s">
        <v>1155</v>
      </c>
      <c r="H428" s="5" t="s">
        <v>21</v>
      </c>
      <c r="I428" s="5" t="s">
        <v>71</v>
      </c>
      <c r="J428" s="5"/>
      <c r="K428" s="1" t="s">
        <v>970</v>
      </c>
      <c r="L428" s="1" t="str">
        <f t="shared" si="204"/>
        <v>BPRS</v>
      </c>
      <c r="M428" s="1" t="s">
        <v>1018</v>
      </c>
      <c r="N428" s="5" t="s">
        <v>1121</v>
      </c>
      <c r="P428" s="5">
        <v>948783</v>
      </c>
      <c r="Q428" s="1" t="s">
        <v>78</v>
      </c>
      <c r="R428" s="5">
        <f>VLOOKUP(F428,[1]Sheet1!$G$1:$O$447,9,0)</f>
        <v>3239568</v>
      </c>
      <c r="S428" s="5" t="str">
        <f>VLOOKUP(F428,[1]Sheet1!$G$1:$P$447,10,0)</f>
        <v>CRCA SHEET TATCRC SR16 0.450X1250X2500</v>
      </c>
      <c r="T428" s="1" t="s">
        <v>75</v>
      </c>
      <c r="U428" s="5" t="str">
        <f>VLOOKUP(F428,[1]Sheet1!$G$1:$W$447,17,0)</f>
        <v>TATCRC</v>
      </c>
      <c r="V428" s="1" t="s">
        <v>123</v>
      </c>
      <c r="W428" s="1">
        <v>0.45</v>
      </c>
      <c r="X428" s="1">
        <v>1250</v>
      </c>
      <c r="Y428" s="1">
        <v>2500</v>
      </c>
      <c r="Z428" s="3">
        <v>29</v>
      </c>
      <c r="AA428" s="3">
        <v>0</v>
      </c>
      <c r="AB428" s="3">
        <v>29</v>
      </c>
      <c r="AC428" s="3">
        <v>0</v>
      </c>
      <c r="AD428" s="3">
        <f t="shared" si="189"/>
        <v>29</v>
      </c>
      <c r="AE428" s="3">
        <v>0</v>
      </c>
      <c r="AF428" s="3">
        <v>0</v>
      </c>
      <c r="AG428" s="3">
        <v>0</v>
      </c>
      <c r="AH428" s="3">
        <v>29</v>
      </c>
      <c r="AI428" s="3">
        <v>0</v>
      </c>
      <c r="AJ428" s="3">
        <f t="shared" si="190"/>
        <v>29</v>
      </c>
      <c r="AK428" s="1">
        <v>0</v>
      </c>
      <c r="AL428" s="3">
        <f t="shared" ref="AL428:AL429" si="209">AE428</f>
        <v>0</v>
      </c>
      <c r="AM428" s="3">
        <f t="shared" ref="AM428:AM429" si="210">AF428</f>
        <v>0</v>
      </c>
      <c r="AN428" s="3">
        <f t="shared" ref="AN428:AN429" si="211">AG428</f>
        <v>0</v>
      </c>
      <c r="AO428" s="3">
        <f t="shared" ref="AO428:AO429" si="212">AH428</f>
        <v>29</v>
      </c>
      <c r="AP428" s="3">
        <f t="shared" si="184"/>
        <v>0</v>
      </c>
    </row>
    <row r="429" spans="1:42" x14ac:dyDescent="0.35">
      <c r="A429" s="1">
        <v>742</v>
      </c>
      <c r="B429" s="6">
        <v>45911</v>
      </c>
      <c r="C429" s="5" t="str">
        <f>VLOOKUP(F429,[1]Sheet1!$G$1:$AE$447,25,0)</f>
        <v>ZBTO</v>
      </c>
      <c r="D429" s="1">
        <v>9519094552</v>
      </c>
      <c r="E429" s="1">
        <v>1</v>
      </c>
      <c r="F429" s="1" t="s">
        <v>1078</v>
      </c>
      <c r="G429" s="1" t="s">
        <v>1155</v>
      </c>
      <c r="H429" s="5" t="s">
        <v>21</v>
      </c>
      <c r="I429" s="5" t="s">
        <v>71</v>
      </c>
      <c r="J429" s="5"/>
      <c r="K429" s="1" t="s">
        <v>970</v>
      </c>
      <c r="L429" s="1" t="str">
        <f t="shared" si="204"/>
        <v>BPRS</v>
      </c>
      <c r="M429" s="1" t="s">
        <v>1018</v>
      </c>
      <c r="N429" s="5" t="s">
        <v>1121</v>
      </c>
      <c r="P429" s="5">
        <v>948783</v>
      </c>
      <c r="Q429" s="1" t="s">
        <v>78</v>
      </c>
      <c r="R429" s="5">
        <f>VLOOKUP(F429,[1]Sheet1!$G$1:$O$447,9,0)</f>
        <v>2427612</v>
      </c>
      <c r="S429" s="5" t="str">
        <f>VLOOKUP(F429,[1]Sheet1!$G$1:$P$447,10,0)</f>
        <v>CRCA SHEET TATCRC SR16 0.300X900X2500</v>
      </c>
      <c r="T429" s="1" t="s">
        <v>75</v>
      </c>
      <c r="U429" s="5" t="str">
        <f>VLOOKUP(F429,[1]Sheet1!$G$1:$W$447,17,0)</f>
        <v>TATCRC</v>
      </c>
      <c r="V429" s="1" t="s">
        <v>123</v>
      </c>
      <c r="W429" s="1">
        <v>0.3</v>
      </c>
      <c r="X429" s="1">
        <v>900</v>
      </c>
      <c r="Y429" s="1">
        <v>2500</v>
      </c>
      <c r="Z429" s="3">
        <v>42</v>
      </c>
      <c r="AA429" s="3">
        <v>0</v>
      </c>
      <c r="AB429" s="3">
        <v>42</v>
      </c>
      <c r="AC429" s="3">
        <v>0</v>
      </c>
      <c r="AD429" s="3">
        <f t="shared" si="189"/>
        <v>42</v>
      </c>
      <c r="AE429" s="3">
        <v>0</v>
      </c>
      <c r="AF429" s="3">
        <v>0</v>
      </c>
      <c r="AG429" s="3">
        <v>42</v>
      </c>
      <c r="AH429" s="3">
        <v>0</v>
      </c>
      <c r="AI429" s="3">
        <v>0</v>
      </c>
      <c r="AJ429" s="3">
        <f t="shared" si="190"/>
        <v>42</v>
      </c>
      <c r="AK429" s="1">
        <v>0</v>
      </c>
      <c r="AL429" s="3">
        <f t="shared" si="209"/>
        <v>0</v>
      </c>
      <c r="AM429" s="3">
        <f t="shared" si="210"/>
        <v>0</v>
      </c>
      <c r="AN429" s="3">
        <f t="shared" si="211"/>
        <v>42</v>
      </c>
      <c r="AO429" s="3">
        <f t="shared" si="212"/>
        <v>0</v>
      </c>
      <c r="AP429" s="3">
        <f t="shared" si="184"/>
        <v>0</v>
      </c>
    </row>
    <row r="430" spans="1:42" x14ac:dyDescent="0.35">
      <c r="A430" s="1">
        <v>743</v>
      </c>
      <c r="B430" s="6">
        <v>45909</v>
      </c>
      <c r="C430" s="5" t="str">
        <f>VLOOKUP(F430,[1]Sheet1!$G$1:$AE$447,25,0)</f>
        <v>ZBTO</v>
      </c>
      <c r="D430" s="1">
        <v>9519090038</v>
      </c>
      <c r="E430" s="1">
        <v>4</v>
      </c>
      <c r="F430" s="1" t="s">
        <v>1079</v>
      </c>
      <c r="G430" s="1" t="s">
        <v>1155</v>
      </c>
      <c r="H430" s="5" t="s">
        <v>63</v>
      </c>
      <c r="I430" s="1" t="s">
        <v>1404</v>
      </c>
      <c r="J430" s="5"/>
      <c r="K430" s="1" t="s">
        <v>970</v>
      </c>
      <c r="L430" s="1" t="str">
        <f t="shared" si="204"/>
        <v>BPRS</v>
      </c>
      <c r="M430" s="1" t="s">
        <v>1018</v>
      </c>
      <c r="N430" s="5" t="s">
        <v>1134</v>
      </c>
      <c r="P430" s="5">
        <v>117061</v>
      </c>
      <c r="Q430" s="1" t="s">
        <v>91</v>
      </c>
      <c r="R430" s="5">
        <f>VLOOKUP(F430,[1]Sheet1!$G$1:$O$447,9,0)</f>
        <v>3484329</v>
      </c>
      <c r="S430" s="5" t="str">
        <f>VLOOKUP(F430,[1]Sheet1!$G$1:$P$447,10,0)</f>
        <v>GP SH SOFT TATXGP GK09 0.600X900X2500</v>
      </c>
      <c r="T430" s="1" t="s">
        <v>169</v>
      </c>
      <c r="U430" s="5" t="str">
        <f>VLOOKUP(F430,[1]Sheet1!$G$1:$W$447,17,0)</f>
        <v>TATXGP</v>
      </c>
      <c r="V430" s="1" t="s">
        <v>150</v>
      </c>
      <c r="W430" s="1">
        <v>0.6</v>
      </c>
      <c r="X430" s="1">
        <v>900</v>
      </c>
      <c r="Y430" s="1">
        <v>2500</v>
      </c>
      <c r="Z430" s="3">
        <v>30</v>
      </c>
      <c r="AA430" s="3">
        <v>0</v>
      </c>
      <c r="AB430" s="3">
        <v>30</v>
      </c>
      <c r="AC430" s="3">
        <v>0</v>
      </c>
      <c r="AD430" s="3">
        <f t="shared" si="189"/>
        <v>30</v>
      </c>
      <c r="AE430" s="3">
        <v>0</v>
      </c>
      <c r="AF430" s="3">
        <v>0</v>
      </c>
      <c r="AG430" s="3">
        <v>0</v>
      </c>
      <c r="AH430" s="3">
        <v>0</v>
      </c>
      <c r="AI430" s="3">
        <v>30</v>
      </c>
      <c r="AJ430" s="3">
        <f t="shared" si="190"/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3">
        <f t="shared" si="184"/>
        <v>30</v>
      </c>
    </row>
    <row r="431" spans="1:42" x14ac:dyDescent="0.35">
      <c r="A431" s="1">
        <v>743</v>
      </c>
      <c r="B431" s="6">
        <v>45909</v>
      </c>
      <c r="C431" s="5" t="str">
        <f>VLOOKUP(F431,[1]Sheet1!$G$1:$AE$447,25,0)</f>
        <v>ZBTO</v>
      </c>
      <c r="D431" s="1">
        <v>9519090038</v>
      </c>
      <c r="E431" s="1">
        <v>3</v>
      </c>
      <c r="F431" s="1" t="s">
        <v>1080</v>
      </c>
      <c r="G431" s="1" t="s">
        <v>1155</v>
      </c>
      <c r="H431" s="5" t="s">
        <v>63</v>
      </c>
      <c r="I431" s="1" t="s">
        <v>1404</v>
      </c>
      <c r="J431" s="5"/>
      <c r="K431" s="1" t="s">
        <v>970</v>
      </c>
      <c r="L431" s="1" t="str">
        <f t="shared" si="204"/>
        <v>BPRS</v>
      </c>
      <c r="M431" s="1" t="s">
        <v>1018</v>
      </c>
      <c r="N431" s="5" t="s">
        <v>1134</v>
      </c>
      <c r="P431" s="5">
        <v>117061</v>
      </c>
      <c r="Q431" s="1" t="s">
        <v>91</v>
      </c>
      <c r="R431" s="5">
        <f>VLOOKUP(F431,[1]Sheet1!$G$1:$O$447,9,0)</f>
        <v>3484328</v>
      </c>
      <c r="S431" s="5" t="str">
        <f>VLOOKUP(F431,[1]Sheet1!$G$1:$P$447,10,0)</f>
        <v>GP SH SOFT TATXGP GK09 0.500X900X2500</v>
      </c>
      <c r="T431" s="1" t="s">
        <v>169</v>
      </c>
      <c r="U431" s="5" t="str">
        <f>VLOOKUP(F431,[1]Sheet1!$G$1:$W$447,17,0)</f>
        <v>TATXGP</v>
      </c>
      <c r="V431" s="1" t="s">
        <v>150</v>
      </c>
      <c r="W431" s="1">
        <v>0.5</v>
      </c>
      <c r="X431" s="1">
        <v>900</v>
      </c>
      <c r="Y431" s="1">
        <v>2500</v>
      </c>
      <c r="Z431" s="3">
        <v>30</v>
      </c>
      <c r="AA431" s="3">
        <v>3.1850000000000001</v>
      </c>
      <c r="AB431" s="3">
        <v>26.815000000000001</v>
      </c>
      <c r="AC431" s="3">
        <v>3.1850000000000001</v>
      </c>
      <c r="AD431" s="3">
        <f t="shared" si="189"/>
        <v>26.815000000000001</v>
      </c>
      <c r="AE431" s="3">
        <v>0</v>
      </c>
      <c r="AF431" s="3">
        <v>0</v>
      </c>
      <c r="AG431" s="3">
        <v>0</v>
      </c>
      <c r="AH431" s="3">
        <v>0</v>
      </c>
      <c r="AI431" s="3">
        <v>26.815000000000001</v>
      </c>
      <c r="AJ431" s="3">
        <f t="shared" si="190"/>
        <v>30</v>
      </c>
      <c r="AK431" s="1">
        <v>0</v>
      </c>
      <c r="AL431" s="1">
        <v>0</v>
      </c>
      <c r="AM431" s="1">
        <v>0</v>
      </c>
      <c r="AN431" s="1">
        <v>0</v>
      </c>
      <c r="AO431" s="3">
        <f>AI431+AC431</f>
        <v>30</v>
      </c>
      <c r="AP431" s="3">
        <f t="shared" si="184"/>
        <v>0</v>
      </c>
    </row>
    <row r="432" spans="1:42" x14ac:dyDescent="0.35">
      <c r="A432" s="1">
        <v>743</v>
      </c>
      <c r="B432" s="6">
        <v>45909</v>
      </c>
      <c r="C432" s="5" t="str">
        <f>VLOOKUP(F432,[1]Sheet1!$G$1:$AE$447,25,0)</f>
        <v>ZBTO</v>
      </c>
      <c r="D432" s="1">
        <v>9519090038</v>
      </c>
      <c r="E432" s="1">
        <v>2</v>
      </c>
      <c r="F432" s="1" t="s">
        <v>1081</v>
      </c>
      <c r="G432" s="1" t="s">
        <v>1155</v>
      </c>
      <c r="H432" s="5" t="s">
        <v>63</v>
      </c>
      <c r="I432" s="1" t="s">
        <v>1404</v>
      </c>
      <c r="J432" s="5"/>
      <c r="K432" s="1" t="s">
        <v>970</v>
      </c>
      <c r="L432" s="1" t="str">
        <f t="shared" si="204"/>
        <v>BPRS</v>
      </c>
      <c r="M432" s="1" t="s">
        <v>1018</v>
      </c>
      <c r="N432" s="5" t="s">
        <v>1134</v>
      </c>
      <c r="P432" s="5">
        <v>117061</v>
      </c>
      <c r="Q432" s="1" t="s">
        <v>91</v>
      </c>
      <c r="R432" s="5">
        <f>VLOOKUP(F432,[1]Sheet1!$G$1:$O$447,9,0)</f>
        <v>3484326</v>
      </c>
      <c r="S432" s="5" t="str">
        <f>VLOOKUP(F432,[1]Sheet1!$G$1:$P$447,10,0)</f>
        <v>GP SH SOFT TATXGP GK09 0.400X900X2500</v>
      </c>
      <c r="T432" s="1" t="s">
        <v>169</v>
      </c>
      <c r="U432" s="5" t="str">
        <f>VLOOKUP(F432,[1]Sheet1!$G$1:$W$447,17,0)</f>
        <v>TATXGP</v>
      </c>
      <c r="V432" s="1" t="s">
        <v>150</v>
      </c>
      <c r="W432" s="1">
        <v>0.4</v>
      </c>
      <c r="X432" s="1">
        <v>900</v>
      </c>
      <c r="Y432" s="1">
        <v>2500</v>
      </c>
      <c r="Z432" s="3">
        <v>90</v>
      </c>
      <c r="AA432" s="3">
        <v>0</v>
      </c>
      <c r="AB432" s="3">
        <v>90</v>
      </c>
      <c r="AC432" s="3">
        <v>0</v>
      </c>
      <c r="AD432" s="3">
        <f t="shared" si="189"/>
        <v>90</v>
      </c>
      <c r="AE432" s="3">
        <v>0</v>
      </c>
      <c r="AF432" s="3">
        <v>0</v>
      </c>
      <c r="AG432" s="3">
        <v>0</v>
      </c>
      <c r="AH432" s="3">
        <v>0</v>
      </c>
      <c r="AI432" s="3">
        <v>90</v>
      </c>
      <c r="AJ432" s="3">
        <f t="shared" si="190"/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3">
        <f t="shared" si="184"/>
        <v>90</v>
      </c>
    </row>
    <row r="433" spans="1:42" x14ac:dyDescent="0.35">
      <c r="A433" s="1">
        <v>743</v>
      </c>
      <c r="B433" s="6">
        <v>45908</v>
      </c>
      <c r="C433" s="5" t="str">
        <f>VLOOKUP(F433,[1]Sheet1!$G$1:$AE$447,25,0)</f>
        <v>ZBTO</v>
      </c>
      <c r="D433" s="1">
        <v>9519086148</v>
      </c>
      <c r="E433" s="1">
        <v>2</v>
      </c>
      <c r="F433" s="1" t="s">
        <v>1082</v>
      </c>
      <c r="G433" s="1" t="s">
        <v>1155</v>
      </c>
      <c r="H433" s="5" t="s">
        <v>63</v>
      </c>
      <c r="I433" s="1" t="s">
        <v>1404</v>
      </c>
      <c r="J433" s="5"/>
      <c r="K433" s="1" t="s">
        <v>970</v>
      </c>
      <c r="L433" s="1" t="str">
        <f t="shared" si="204"/>
        <v>BPRS</v>
      </c>
      <c r="M433" s="1" t="s">
        <v>1018</v>
      </c>
      <c r="N433" s="5" t="s">
        <v>1121</v>
      </c>
      <c r="P433" s="5">
        <v>100922</v>
      </c>
      <c r="Q433" s="1" t="s">
        <v>334</v>
      </c>
      <c r="R433" s="5">
        <f>VLOOKUP(F433,[1]Sheet1!$G$1:$O$447,9,0)</f>
        <v>1142895</v>
      </c>
      <c r="S433" s="5" t="str">
        <f>VLOOKUP(F433,[1]Sheet1!$G$1:$P$447,10,0)</f>
        <v>GP COIL SOFT-TATXGP-GLK1-0.5X900</v>
      </c>
      <c r="T433" s="1" t="s">
        <v>139</v>
      </c>
      <c r="U433" s="5" t="str">
        <f>VLOOKUP(F433,[1]Sheet1!$G$1:$W$447,17,0)</f>
        <v>TATXGP</v>
      </c>
      <c r="V433" s="1" t="s">
        <v>141</v>
      </c>
      <c r="W433" s="1">
        <v>0.5</v>
      </c>
      <c r="X433" s="1">
        <v>900</v>
      </c>
      <c r="Y433" s="1">
        <v>0</v>
      </c>
      <c r="Z433" s="3">
        <v>63</v>
      </c>
      <c r="AA433" s="3">
        <v>0</v>
      </c>
      <c r="AB433" s="3">
        <v>63</v>
      </c>
      <c r="AC433" s="3">
        <v>0</v>
      </c>
      <c r="AD433" s="3">
        <f t="shared" si="189"/>
        <v>63</v>
      </c>
      <c r="AE433" s="3">
        <v>0</v>
      </c>
      <c r="AF433" s="3">
        <v>0</v>
      </c>
      <c r="AG433" s="3">
        <v>0</v>
      </c>
      <c r="AH433" s="3">
        <v>0</v>
      </c>
      <c r="AI433" s="3">
        <v>63</v>
      </c>
      <c r="AJ433" s="3">
        <f t="shared" si="190"/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3">
        <f t="shared" si="184"/>
        <v>63</v>
      </c>
    </row>
    <row r="434" spans="1:42" x14ac:dyDescent="0.35">
      <c r="A434" s="1">
        <v>743</v>
      </c>
      <c r="B434" s="6">
        <v>45908</v>
      </c>
      <c r="C434" s="5" t="str">
        <f>VLOOKUP(F434,[1]Sheet1!$G$1:$AE$447,25,0)</f>
        <v>ZBTO</v>
      </c>
      <c r="D434" s="1">
        <v>9519086148</v>
      </c>
      <c r="E434" s="1">
        <v>1</v>
      </c>
      <c r="F434" s="1" t="s">
        <v>1083</v>
      </c>
      <c r="G434" s="1" t="s">
        <v>1155</v>
      </c>
      <c r="H434" s="5" t="s">
        <v>63</v>
      </c>
      <c r="I434" s="1" t="s">
        <v>1404</v>
      </c>
      <c r="J434" s="5"/>
      <c r="K434" s="1" t="s">
        <v>970</v>
      </c>
      <c r="L434" s="1" t="str">
        <f t="shared" si="204"/>
        <v>BPRS</v>
      </c>
      <c r="M434" s="1" t="s">
        <v>1018</v>
      </c>
      <c r="N434" s="5" t="s">
        <v>1121</v>
      </c>
      <c r="P434" s="5">
        <v>100922</v>
      </c>
      <c r="Q434" s="1" t="s">
        <v>334</v>
      </c>
      <c r="R434" s="5">
        <f>VLOOKUP(F434,[1]Sheet1!$G$1:$O$447,9,0)</f>
        <v>1142897</v>
      </c>
      <c r="S434" s="5" t="str">
        <f>VLOOKUP(F434,[1]Sheet1!$G$1:$P$447,10,0)</f>
        <v>GP COIL SOFT-TATXGP-GLK1-0.6X900</v>
      </c>
      <c r="T434" s="1" t="s">
        <v>139</v>
      </c>
      <c r="U434" s="5" t="str">
        <f>VLOOKUP(F434,[1]Sheet1!$G$1:$W$447,17,0)</f>
        <v>TATXGP</v>
      </c>
      <c r="V434" s="1" t="s">
        <v>141</v>
      </c>
      <c r="W434" s="1">
        <v>0.6</v>
      </c>
      <c r="X434" s="1">
        <v>900</v>
      </c>
      <c r="Y434" s="1">
        <v>0</v>
      </c>
      <c r="Z434" s="3">
        <v>63</v>
      </c>
      <c r="AA434" s="3">
        <v>0</v>
      </c>
      <c r="AB434" s="3">
        <v>63</v>
      </c>
      <c r="AC434" s="3">
        <v>0</v>
      </c>
      <c r="AD434" s="3">
        <f t="shared" si="189"/>
        <v>63</v>
      </c>
      <c r="AE434" s="3">
        <v>0</v>
      </c>
      <c r="AF434" s="3">
        <v>0</v>
      </c>
      <c r="AG434" s="3">
        <v>0</v>
      </c>
      <c r="AH434" s="3">
        <v>0</v>
      </c>
      <c r="AI434" s="3">
        <v>63</v>
      </c>
      <c r="AJ434" s="3">
        <f t="shared" si="190"/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3">
        <f t="shared" si="184"/>
        <v>63</v>
      </c>
    </row>
    <row r="435" spans="1:42" x14ac:dyDescent="0.35">
      <c r="A435" s="1">
        <v>742</v>
      </c>
      <c r="B435" s="6">
        <v>45903</v>
      </c>
      <c r="C435" s="5" t="str">
        <f>VLOOKUP(F435,[1]Sheet1!$G$1:$AE$447,25,0)</f>
        <v>ZBTO</v>
      </c>
      <c r="D435" s="1">
        <v>9519075806</v>
      </c>
      <c r="E435" s="1">
        <v>1</v>
      </c>
      <c r="F435" s="1" t="s">
        <v>1084</v>
      </c>
      <c r="G435" s="1" t="s">
        <v>1367</v>
      </c>
      <c r="H435" s="5" t="s">
        <v>21</v>
      </c>
      <c r="I435" s="5" t="s">
        <v>71</v>
      </c>
      <c r="J435" s="5"/>
      <c r="K435" s="1" t="s">
        <v>970</v>
      </c>
      <c r="L435" s="1" t="str">
        <f t="shared" si="204"/>
        <v>BPRS</v>
      </c>
      <c r="M435" s="1" t="s">
        <v>1018</v>
      </c>
      <c r="N435" s="5" t="s">
        <v>1121</v>
      </c>
      <c r="P435" s="5">
        <v>948783</v>
      </c>
      <c r="Q435" s="1" t="s">
        <v>78</v>
      </c>
      <c r="R435" s="5">
        <f>VLOOKUP(F435,[1]Sheet1!$G$1:$O$447,9,0)</f>
        <v>3533340</v>
      </c>
      <c r="S435" s="5" t="str">
        <f>VLOOKUP(F435,[1]Sheet1!$G$1:$P$447,10,0)</f>
        <v>CRCA SHEET TATCRC SR16 0.450X1120X2000</v>
      </c>
      <c r="T435" s="1" t="s">
        <v>75</v>
      </c>
      <c r="U435" s="5" t="str">
        <f>VLOOKUP(F435,[1]Sheet1!$G$1:$W$447,17,0)</f>
        <v>TATCRC</v>
      </c>
      <c r="V435" s="1" t="s">
        <v>123</v>
      </c>
      <c r="W435" s="1">
        <v>0.45</v>
      </c>
      <c r="X435" s="1">
        <v>1120</v>
      </c>
      <c r="Y435" s="1">
        <v>2000</v>
      </c>
      <c r="Z435" s="3">
        <v>26</v>
      </c>
      <c r="AA435" s="3">
        <v>10.625</v>
      </c>
      <c r="AB435" s="3">
        <v>15.375</v>
      </c>
      <c r="AC435" s="3">
        <v>10.625</v>
      </c>
      <c r="AD435" s="3">
        <f t="shared" si="189"/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f t="shared" si="190"/>
        <v>10.625</v>
      </c>
      <c r="AK435" s="3">
        <f>AC435</f>
        <v>10.625</v>
      </c>
      <c r="AL435" s="1">
        <v>0</v>
      </c>
      <c r="AM435" s="1">
        <v>0</v>
      </c>
      <c r="AN435" s="1">
        <v>0</v>
      </c>
      <c r="AO435" s="1">
        <v>0</v>
      </c>
      <c r="AP435" s="3">
        <f t="shared" si="184"/>
        <v>0</v>
      </c>
    </row>
    <row r="436" spans="1:42" x14ac:dyDescent="0.35">
      <c r="A436" s="1">
        <v>742</v>
      </c>
      <c r="B436" s="6">
        <v>45897</v>
      </c>
      <c r="C436" s="5" t="str">
        <f>VLOOKUP(F436,[1]Sheet1!$G$1:$AE$447,25,0)</f>
        <v>ZBTO</v>
      </c>
      <c r="D436" s="1">
        <v>9519057594</v>
      </c>
      <c r="E436" s="1">
        <v>1</v>
      </c>
      <c r="F436" s="1" t="s">
        <v>1085</v>
      </c>
      <c r="G436" s="1" t="s">
        <v>1155</v>
      </c>
      <c r="H436" s="5" t="s">
        <v>21</v>
      </c>
      <c r="I436" s="5" t="s">
        <v>71</v>
      </c>
      <c r="J436" s="5"/>
      <c r="K436" s="1" t="s">
        <v>970</v>
      </c>
      <c r="L436" s="1" t="str">
        <f t="shared" si="204"/>
        <v>BPRS</v>
      </c>
      <c r="M436" s="1" t="s">
        <v>1018</v>
      </c>
      <c r="N436" s="5" t="s">
        <v>1136</v>
      </c>
      <c r="P436" s="5">
        <v>116649</v>
      </c>
      <c r="Q436" s="1" t="s">
        <v>78</v>
      </c>
      <c r="R436" s="5">
        <f>VLOOKUP(F436,[1]Sheet1!$G$1:$O$447,9,0)</f>
        <v>3239408</v>
      </c>
      <c r="S436" s="5" t="str">
        <f>VLOOKUP(F436,[1]Sheet1!$G$1:$P$447,10,0)</f>
        <v>CRCA SHEET TATCRC SR16 0.300X900X2500</v>
      </c>
      <c r="T436" s="1" t="s">
        <v>75</v>
      </c>
      <c r="U436" s="5" t="str">
        <f>VLOOKUP(F436,[1]Sheet1!$G$1:$W$447,17,0)</f>
        <v>TATCRC</v>
      </c>
      <c r="V436" s="1" t="s">
        <v>123</v>
      </c>
      <c r="W436" s="1">
        <v>0.3</v>
      </c>
      <c r="X436" s="1">
        <v>900</v>
      </c>
      <c r="Y436" s="1">
        <v>2500</v>
      </c>
      <c r="Z436" s="3">
        <v>21</v>
      </c>
      <c r="AA436" s="3">
        <v>0</v>
      </c>
      <c r="AB436" s="3">
        <v>21</v>
      </c>
      <c r="AC436" s="3">
        <v>0</v>
      </c>
      <c r="AD436" s="3">
        <f t="shared" ref="AD436:AD478" si="213">SUM(AE436:AI436)</f>
        <v>21</v>
      </c>
      <c r="AE436" s="3">
        <v>0</v>
      </c>
      <c r="AF436" s="3">
        <v>0</v>
      </c>
      <c r="AG436" s="3">
        <v>21</v>
      </c>
      <c r="AH436" s="3">
        <v>0</v>
      </c>
      <c r="AI436" s="3">
        <v>0</v>
      </c>
      <c r="AJ436" s="3">
        <f t="shared" ref="AJ436:AJ478" si="214">SUM(AK436:AO436)</f>
        <v>21</v>
      </c>
      <c r="AK436" s="1">
        <v>0</v>
      </c>
      <c r="AL436" s="3">
        <f t="shared" ref="AL436:AO437" si="215">AE436</f>
        <v>0</v>
      </c>
      <c r="AM436" s="3">
        <f t="shared" si="215"/>
        <v>0</v>
      </c>
      <c r="AN436" s="3">
        <f t="shared" si="215"/>
        <v>21</v>
      </c>
      <c r="AO436" s="3">
        <f t="shared" si="215"/>
        <v>0</v>
      </c>
      <c r="AP436" s="3">
        <f t="shared" si="184"/>
        <v>0</v>
      </c>
    </row>
    <row r="437" spans="1:42" x14ac:dyDescent="0.35">
      <c r="A437" s="1">
        <v>742</v>
      </c>
      <c r="B437" s="6">
        <v>45888</v>
      </c>
      <c r="C437" s="5" t="str">
        <f>VLOOKUP(F437,[1]Sheet1!$G$1:$AE$447,25,0)</f>
        <v>ZBTO</v>
      </c>
      <c r="D437" s="1">
        <v>9519028902</v>
      </c>
      <c r="E437" s="1">
        <v>1</v>
      </c>
      <c r="F437" s="1" t="s">
        <v>1086</v>
      </c>
      <c r="G437" s="1" t="s">
        <v>1155</v>
      </c>
      <c r="H437" s="5" t="s">
        <v>21</v>
      </c>
      <c r="I437" s="5" t="s">
        <v>22</v>
      </c>
      <c r="J437" s="5"/>
      <c r="K437" s="1" t="s">
        <v>970</v>
      </c>
      <c r="L437" s="1" t="str">
        <f t="shared" si="204"/>
        <v>BPRS</v>
      </c>
      <c r="M437" s="1" t="s">
        <v>1018</v>
      </c>
      <c r="N437" s="5" t="s">
        <v>1121</v>
      </c>
      <c r="P437" s="5">
        <v>154464</v>
      </c>
      <c r="Q437" s="1" t="s">
        <v>24</v>
      </c>
      <c r="R437" s="5">
        <f>VLOOKUP(F437,[1]Sheet1!$G$1:$O$447,9,0)</f>
        <v>2197847</v>
      </c>
      <c r="S437" s="5" t="str">
        <f>VLOOKUP(F437,[1]Sheet1!$G$1:$P$447,10,0)</f>
        <v>CRCA COIL TATXXD AU03 1.950X1250</v>
      </c>
      <c r="T437" s="1" t="s">
        <v>28</v>
      </c>
      <c r="U437" s="5" t="str">
        <f>VLOOKUP(F437,[1]Sheet1!$G$1:$W$447,17,0)</f>
        <v>TATXXD</v>
      </c>
      <c r="V437" s="1" t="s">
        <v>30</v>
      </c>
      <c r="W437" s="1">
        <v>1.95</v>
      </c>
      <c r="X437" s="1">
        <v>1250</v>
      </c>
      <c r="Y437" s="1">
        <v>0</v>
      </c>
      <c r="Z437" s="3">
        <v>86</v>
      </c>
      <c r="AA437" s="3">
        <v>0</v>
      </c>
      <c r="AB437" s="3">
        <v>87</v>
      </c>
      <c r="AC437" s="3">
        <v>0</v>
      </c>
      <c r="AD437" s="3">
        <f t="shared" si="213"/>
        <v>87</v>
      </c>
      <c r="AE437" s="3">
        <v>0</v>
      </c>
      <c r="AF437" s="3">
        <v>0</v>
      </c>
      <c r="AG437" s="3">
        <v>87</v>
      </c>
      <c r="AH437" s="3">
        <v>0</v>
      </c>
      <c r="AI437" s="3">
        <v>0</v>
      </c>
      <c r="AJ437" s="3">
        <f t="shared" si="214"/>
        <v>87</v>
      </c>
      <c r="AK437" s="1">
        <v>0</v>
      </c>
      <c r="AL437" s="3">
        <f t="shared" si="215"/>
        <v>0</v>
      </c>
      <c r="AM437" s="3">
        <f t="shared" si="215"/>
        <v>0</v>
      </c>
      <c r="AN437" s="3">
        <f t="shared" si="215"/>
        <v>87</v>
      </c>
      <c r="AO437" s="3">
        <f t="shared" si="215"/>
        <v>0</v>
      </c>
      <c r="AP437" s="3">
        <f t="shared" si="184"/>
        <v>0</v>
      </c>
    </row>
    <row r="438" spans="1:42" x14ac:dyDescent="0.35">
      <c r="A438" s="1">
        <v>743</v>
      </c>
      <c r="B438" s="6">
        <v>45891</v>
      </c>
      <c r="C438" s="5" t="str">
        <f>VLOOKUP(F438,[1]Sheet1!$G$1:$AE$447,25,0)</f>
        <v>ZBTO</v>
      </c>
      <c r="D438" s="1">
        <v>9519038607</v>
      </c>
      <c r="E438" s="1">
        <v>4</v>
      </c>
      <c r="F438" s="1" t="s">
        <v>1087</v>
      </c>
      <c r="G438" s="1" t="s">
        <v>1155</v>
      </c>
      <c r="H438" s="5" t="s">
        <v>63</v>
      </c>
      <c r="I438" s="1" t="s">
        <v>1404</v>
      </c>
      <c r="J438" s="5"/>
      <c r="K438" s="1" t="s">
        <v>970</v>
      </c>
      <c r="L438" s="1" t="str">
        <f t="shared" si="204"/>
        <v>BPRS</v>
      </c>
      <c r="M438" s="1" t="s">
        <v>1018</v>
      </c>
      <c r="N438" s="5" t="s">
        <v>1121</v>
      </c>
      <c r="P438" s="5">
        <v>100922</v>
      </c>
      <c r="Q438" s="1" t="s">
        <v>334</v>
      </c>
      <c r="R438" s="5">
        <f>VLOOKUP(F438,[1]Sheet1!$G$1:$O$447,9,0)</f>
        <v>1142897</v>
      </c>
      <c r="S438" s="5" t="str">
        <f>VLOOKUP(F438,[1]Sheet1!$G$1:$P$447,10,0)</f>
        <v>GP COIL SOFT-TATXGP-GLK1-0.6X900</v>
      </c>
      <c r="T438" s="1" t="s">
        <v>139</v>
      </c>
      <c r="U438" s="5" t="str">
        <f>VLOOKUP(F438,[1]Sheet1!$G$1:$W$447,17,0)</f>
        <v>TATXGP</v>
      </c>
      <c r="V438" s="1" t="s">
        <v>141</v>
      </c>
      <c r="W438" s="1">
        <v>0.6</v>
      </c>
      <c r="X438" s="1">
        <v>900</v>
      </c>
      <c r="Y438" s="1">
        <v>0</v>
      </c>
      <c r="Z438" s="3">
        <v>63</v>
      </c>
      <c r="AA438" s="3">
        <v>0</v>
      </c>
      <c r="AB438" s="3">
        <v>63</v>
      </c>
      <c r="AC438" s="3">
        <v>0</v>
      </c>
      <c r="AD438" s="3">
        <f t="shared" si="213"/>
        <v>63</v>
      </c>
      <c r="AE438" s="3">
        <v>0</v>
      </c>
      <c r="AF438" s="3">
        <v>0</v>
      </c>
      <c r="AG438" s="3">
        <v>0</v>
      </c>
      <c r="AH438" s="3">
        <v>0</v>
      </c>
      <c r="AI438" s="3">
        <v>63</v>
      </c>
      <c r="AJ438" s="3">
        <f t="shared" si="214"/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3">
        <f t="shared" si="184"/>
        <v>63</v>
      </c>
    </row>
    <row r="439" spans="1:42" x14ac:dyDescent="0.35">
      <c r="A439" s="1">
        <v>743</v>
      </c>
      <c r="B439" s="6">
        <v>45891</v>
      </c>
      <c r="C439" s="5" t="str">
        <f>VLOOKUP(F439,[1]Sheet1!$G$1:$AE$447,25,0)</f>
        <v>ZBTO</v>
      </c>
      <c r="D439" s="1">
        <v>9519038607</v>
      </c>
      <c r="E439" s="1">
        <v>2</v>
      </c>
      <c r="F439" s="1" t="s">
        <v>1088</v>
      </c>
      <c r="G439" s="1" t="s">
        <v>1155</v>
      </c>
      <c r="H439" s="5" t="s">
        <v>63</v>
      </c>
      <c r="I439" s="1" t="s">
        <v>1404</v>
      </c>
      <c r="J439" s="5"/>
      <c r="K439" s="1" t="s">
        <v>970</v>
      </c>
      <c r="L439" s="1" t="str">
        <f t="shared" si="204"/>
        <v>BPRS</v>
      </c>
      <c r="M439" s="1" t="s">
        <v>1018</v>
      </c>
      <c r="N439" s="5" t="s">
        <v>1121</v>
      </c>
      <c r="P439" s="5">
        <v>100922</v>
      </c>
      <c r="Q439" s="1" t="s">
        <v>334</v>
      </c>
      <c r="R439" s="5">
        <f>VLOOKUP(F439,[1]Sheet1!$G$1:$O$447,9,0)</f>
        <v>1142893</v>
      </c>
      <c r="S439" s="5" t="str">
        <f>VLOOKUP(F439,[1]Sheet1!$G$1:$P$447,10,0)</f>
        <v>GP COIL SOFT-TATXGP-GLK1-0.35X900</v>
      </c>
      <c r="T439" s="1" t="s">
        <v>139</v>
      </c>
      <c r="U439" s="5" t="str">
        <f>VLOOKUP(F439,[1]Sheet1!$G$1:$W$447,17,0)</f>
        <v>TATXGP</v>
      </c>
      <c r="V439" s="1" t="s">
        <v>141</v>
      </c>
      <c r="W439" s="1">
        <v>0.35</v>
      </c>
      <c r="X439" s="1">
        <v>900</v>
      </c>
      <c r="Y439" s="1">
        <v>0</v>
      </c>
      <c r="Z439" s="3">
        <v>105</v>
      </c>
      <c r="AA439" s="3">
        <v>0</v>
      </c>
      <c r="AB439" s="3">
        <v>105</v>
      </c>
      <c r="AC439" s="3">
        <v>0</v>
      </c>
      <c r="AD439" s="3">
        <f t="shared" si="213"/>
        <v>105</v>
      </c>
      <c r="AE439" s="3">
        <v>0</v>
      </c>
      <c r="AF439" s="3">
        <v>0</v>
      </c>
      <c r="AG439" s="3">
        <v>0</v>
      </c>
      <c r="AH439" s="3">
        <v>105</v>
      </c>
      <c r="AI439" s="3">
        <v>0</v>
      </c>
      <c r="AJ439" s="3">
        <f t="shared" si="214"/>
        <v>105</v>
      </c>
      <c r="AK439" s="1">
        <v>0</v>
      </c>
      <c r="AL439" s="1">
        <v>0</v>
      </c>
      <c r="AM439" s="1">
        <v>0</v>
      </c>
      <c r="AN439" s="1">
        <v>0</v>
      </c>
      <c r="AO439" s="3">
        <f>AH439</f>
        <v>105</v>
      </c>
      <c r="AP439" s="3">
        <f t="shared" si="184"/>
        <v>0</v>
      </c>
    </row>
    <row r="440" spans="1:42" x14ac:dyDescent="0.35">
      <c r="A440" s="1">
        <v>743</v>
      </c>
      <c r="B440" s="6">
        <v>45891</v>
      </c>
      <c r="C440" s="5" t="str">
        <f>VLOOKUP(F440,[1]Sheet1!$G$1:$AE$447,25,0)</f>
        <v>ZBTO</v>
      </c>
      <c r="D440" s="1">
        <v>9519038607</v>
      </c>
      <c r="E440" s="1">
        <v>1</v>
      </c>
      <c r="F440" s="1" t="s">
        <v>1089</v>
      </c>
      <c r="G440" s="1" t="s">
        <v>1155</v>
      </c>
      <c r="H440" s="5" t="s">
        <v>63</v>
      </c>
      <c r="I440" s="1" t="s">
        <v>1404</v>
      </c>
      <c r="J440" s="5"/>
      <c r="K440" s="1" t="s">
        <v>970</v>
      </c>
      <c r="L440" s="1" t="str">
        <f t="shared" si="204"/>
        <v>BPRS</v>
      </c>
      <c r="M440" s="1" t="s">
        <v>1018</v>
      </c>
      <c r="N440" s="5" t="s">
        <v>1121</v>
      </c>
      <c r="P440" s="5">
        <v>100922</v>
      </c>
      <c r="Q440" s="1" t="s">
        <v>334</v>
      </c>
      <c r="R440" s="5">
        <f>VLOOKUP(F440,[1]Sheet1!$G$1:$O$447,9,0)</f>
        <v>1191955</v>
      </c>
      <c r="S440" s="5" t="str">
        <f>VLOOKUP(F440,[1]Sheet1!$G$1:$P$447,10,0)</f>
        <v>GP COIL SOFT-TATXGP-GK09-0.3X900</v>
      </c>
      <c r="T440" s="1" t="s">
        <v>139</v>
      </c>
      <c r="U440" s="5" t="str">
        <f>VLOOKUP(F440,[1]Sheet1!$G$1:$W$447,17,0)</f>
        <v>TATXGP</v>
      </c>
      <c r="V440" s="1" t="s">
        <v>150</v>
      </c>
      <c r="W440" s="1">
        <v>0.3</v>
      </c>
      <c r="X440" s="1">
        <v>900</v>
      </c>
      <c r="Y440" s="1">
        <v>0</v>
      </c>
      <c r="Z440" s="3">
        <v>63</v>
      </c>
      <c r="AA440" s="3">
        <v>0</v>
      </c>
      <c r="AB440" s="3">
        <v>63</v>
      </c>
      <c r="AC440" s="3">
        <v>0</v>
      </c>
      <c r="AD440" s="3">
        <f t="shared" si="213"/>
        <v>63</v>
      </c>
      <c r="AE440" s="3">
        <v>0</v>
      </c>
      <c r="AF440" s="3">
        <v>0</v>
      </c>
      <c r="AG440" s="3">
        <v>0</v>
      </c>
      <c r="AH440" s="3">
        <v>0</v>
      </c>
      <c r="AI440" s="3">
        <v>63</v>
      </c>
      <c r="AJ440" s="3">
        <f t="shared" si="214"/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3">
        <f t="shared" si="184"/>
        <v>63</v>
      </c>
    </row>
    <row r="441" spans="1:42" x14ac:dyDescent="0.35">
      <c r="A441" s="1">
        <v>742</v>
      </c>
      <c r="B441" s="6">
        <v>45920</v>
      </c>
      <c r="C441" s="5" t="s">
        <v>64</v>
      </c>
      <c r="D441" s="1">
        <v>9519123100</v>
      </c>
      <c r="E441" s="1">
        <v>2</v>
      </c>
      <c r="F441" s="1" t="s">
        <v>1093</v>
      </c>
      <c r="G441" s="1" t="s">
        <v>1155</v>
      </c>
      <c r="H441" s="5" t="s">
        <v>21</v>
      </c>
      <c r="I441" s="1" t="s">
        <v>969</v>
      </c>
      <c r="J441" s="5"/>
      <c r="K441" s="1" t="s">
        <v>969</v>
      </c>
      <c r="L441" s="1" t="str">
        <f t="shared" si="204"/>
        <v>IPP</v>
      </c>
      <c r="M441" s="1" t="s">
        <v>1229</v>
      </c>
      <c r="N441" s="1" t="s">
        <v>1113</v>
      </c>
      <c r="P441" s="1">
        <v>188238</v>
      </c>
      <c r="Q441" s="1" t="s">
        <v>366</v>
      </c>
      <c r="R441" s="5">
        <v>2170009</v>
      </c>
      <c r="S441" s="5" t="s">
        <v>377</v>
      </c>
      <c r="T441" s="1" t="s">
        <v>28</v>
      </c>
      <c r="U441" s="5" t="s">
        <v>29</v>
      </c>
      <c r="V441" s="1" t="s">
        <v>101</v>
      </c>
      <c r="W441" s="1">
        <v>1.2</v>
      </c>
      <c r="X441" s="1">
        <v>914</v>
      </c>
      <c r="Y441" s="1">
        <v>0</v>
      </c>
      <c r="Z441" s="3">
        <v>42</v>
      </c>
      <c r="AA441" s="3">
        <v>0</v>
      </c>
      <c r="AB441" s="3">
        <v>42</v>
      </c>
      <c r="AC441" s="3">
        <v>0</v>
      </c>
      <c r="AD441" s="3">
        <f t="shared" si="213"/>
        <v>42</v>
      </c>
      <c r="AE441" s="3">
        <v>0</v>
      </c>
      <c r="AF441" s="3">
        <v>0</v>
      </c>
      <c r="AG441" s="3">
        <v>0</v>
      </c>
      <c r="AH441" s="3">
        <v>0</v>
      </c>
      <c r="AI441" s="3">
        <v>42</v>
      </c>
      <c r="AJ441" s="3">
        <f t="shared" si="214"/>
        <v>42</v>
      </c>
      <c r="AK441" s="1">
        <v>0</v>
      </c>
      <c r="AL441" s="1">
        <v>0</v>
      </c>
      <c r="AM441" s="1">
        <v>0</v>
      </c>
      <c r="AN441" s="1">
        <v>0</v>
      </c>
      <c r="AO441" s="3">
        <f>AI441</f>
        <v>42</v>
      </c>
      <c r="AP441" s="3">
        <f t="shared" si="184"/>
        <v>0</v>
      </c>
    </row>
    <row r="442" spans="1:42" x14ac:dyDescent="0.35">
      <c r="A442" s="1">
        <v>742</v>
      </c>
      <c r="B442" s="6">
        <v>45920</v>
      </c>
      <c r="C442" s="5" t="s">
        <v>64</v>
      </c>
      <c r="D442" s="1">
        <v>9519123118</v>
      </c>
      <c r="E442" s="1">
        <v>1</v>
      </c>
      <c r="F442" s="1" t="s">
        <v>1094</v>
      </c>
      <c r="G442" s="1" t="s">
        <v>1155</v>
      </c>
      <c r="H442" s="5" t="s">
        <v>21</v>
      </c>
      <c r="I442" s="1" t="s">
        <v>969</v>
      </c>
      <c r="J442" s="5"/>
      <c r="K442" s="1" t="s">
        <v>969</v>
      </c>
      <c r="L442" s="1" t="str">
        <f t="shared" si="204"/>
        <v>IPP</v>
      </c>
      <c r="M442" s="1" t="s">
        <v>1229</v>
      </c>
      <c r="N442" s="1" t="s">
        <v>1114</v>
      </c>
      <c r="P442" s="1">
        <v>187214</v>
      </c>
      <c r="Q442" s="1" t="s">
        <v>324</v>
      </c>
      <c r="R442" s="5">
        <v>2164792</v>
      </c>
      <c r="S442" s="5" t="s">
        <v>329</v>
      </c>
      <c r="T442" s="1" t="s">
        <v>28</v>
      </c>
      <c r="U442" s="5" t="s">
        <v>29</v>
      </c>
      <c r="V442" s="1" t="s">
        <v>101</v>
      </c>
      <c r="W442" s="1">
        <v>0.9</v>
      </c>
      <c r="X442" s="1">
        <v>913</v>
      </c>
      <c r="Y442" s="1">
        <v>0</v>
      </c>
      <c r="Z442" s="3">
        <v>21</v>
      </c>
      <c r="AA442" s="3">
        <v>0</v>
      </c>
      <c r="AB442" s="3">
        <v>21</v>
      </c>
      <c r="AC442" s="3">
        <v>0</v>
      </c>
      <c r="AD442" s="3">
        <f t="shared" si="213"/>
        <v>21</v>
      </c>
      <c r="AE442" s="3">
        <v>0</v>
      </c>
      <c r="AF442" s="3">
        <v>0</v>
      </c>
      <c r="AG442" s="3">
        <v>21</v>
      </c>
      <c r="AH442" s="3">
        <v>0</v>
      </c>
      <c r="AI442" s="3">
        <v>0</v>
      </c>
      <c r="AJ442" s="3">
        <f t="shared" si="214"/>
        <v>21</v>
      </c>
      <c r="AK442" s="1">
        <v>0</v>
      </c>
      <c r="AL442" s="1">
        <v>0</v>
      </c>
      <c r="AM442" s="1">
        <v>0</v>
      </c>
      <c r="AN442" s="3">
        <f>AG442</f>
        <v>21</v>
      </c>
      <c r="AO442" s="1">
        <v>0</v>
      </c>
      <c r="AP442" s="3">
        <f t="shared" si="184"/>
        <v>0</v>
      </c>
    </row>
    <row r="443" spans="1:42" x14ac:dyDescent="0.35">
      <c r="A443" s="1">
        <v>742</v>
      </c>
      <c r="B443" s="6">
        <v>45920</v>
      </c>
      <c r="C443" s="5" t="s">
        <v>64</v>
      </c>
      <c r="D443" s="1">
        <v>9519123118</v>
      </c>
      <c r="E443" s="1">
        <v>2</v>
      </c>
      <c r="F443" s="1" t="s">
        <v>1095</v>
      </c>
      <c r="G443" s="1" t="s">
        <v>1155</v>
      </c>
      <c r="H443" s="5" t="s">
        <v>21</v>
      </c>
      <c r="I443" s="1" t="s">
        <v>969</v>
      </c>
      <c r="J443" s="5"/>
      <c r="K443" s="1" t="s">
        <v>969</v>
      </c>
      <c r="L443" s="1" t="str">
        <f t="shared" si="204"/>
        <v>IPP</v>
      </c>
      <c r="M443" s="1" t="s">
        <v>1229</v>
      </c>
      <c r="N443" s="1" t="s">
        <v>1114</v>
      </c>
      <c r="P443" s="1">
        <v>187214</v>
      </c>
      <c r="Q443" s="1" t="s">
        <v>324</v>
      </c>
      <c r="R443" s="5">
        <v>2164800</v>
      </c>
      <c r="S443" s="5" t="s">
        <v>325</v>
      </c>
      <c r="T443" s="1" t="s">
        <v>28</v>
      </c>
      <c r="U443" s="5" t="s">
        <v>29</v>
      </c>
      <c r="V443" s="1" t="s">
        <v>101</v>
      </c>
      <c r="W443" s="1">
        <v>0.97</v>
      </c>
      <c r="X443" s="1">
        <v>913</v>
      </c>
      <c r="Y443" s="1">
        <v>0</v>
      </c>
      <c r="Z443" s="3">
        <v>210</v>
      </c>
      <c r="AA443" s="3">
        <v>0</v>
      </c>
      <c r="AB443" s="3">
        <v>210</v>
      </c>
      <c r="AC443" s="3">
        <v>0</v>
      </c>
      <c r="AD443" s="3">
        <f t="shared" si="213"/>
        <v>210</v>
      </c>
      <c r="AE443" s="3">
        <v>0</v>
      </c>
      <c r="AF443" s="3">
        <v>0</v>
      </c>
      <c r="AG443" s="3">
        <v>0</v>
      </c>
      <c r="AH443" s="3">
        <v>0</v>
      </c>
      <c r="AI443" s="3">
        <v>210</v>
      </c>
      <c r="AJ443" s="3">
        <f t="shared" si="214"/>
        <v>210</v>
      </c>
      <c r="AK443" s="1">
        <v>0</v>
      </c>
      <c r="AL443" s="1">
        <v>0</v>
      </c>
      <c r="AM443" s="1">
        <v>0</v>
      </c>
      <c r="AN443" s="1">
        <v>0</v>
      </c>
      <c r="AO443" s="3">
        <f>AI443</f>
        <v>210</v>
      </c>
      <c r="AP443" s="3">
        <f t="shared" si="184"/>
        <v>0</v>
      </c>
    </row>
    <row r="444" spans="1:42" x14ac:dyDescent="0.35">
      <c r="A444" s="1">
        <v>742</v>
      </c>
      <c r="B444" s="6">
        <v>45920</v>
      </c>
      <c r="C444" s="5" t="s">
        <v>64</v>
      </c>
      <c r="D444" s="1">
        <v>9519123118</v>
      </c>
      <c r="E444" s="1">
        <v>3</v>
      </c>
      <c r="F444" s="1" t="s">
        <v>1096</v>
      </c>
      <c r="G444" s="1" t="s">
        <v>1155</v>
      </c>
      <c r="H444" s="5" t="s">
        <v>21</v>
      </c>
      <c r="I444" s="1" t="s">
        <v>969</v>
      </c>
      <c r="J444" s="5"/>
      <c r="K444" s="1" t="s">
        <v>969</v>
      </c>
      <c r="L444" s="1" t="str">
        <f t="shared" si="204"/>
        <v>IPP</v>
      </c>
      <c r="M444" s="1" t="s">
        <v>1229</v>
      </c>
      <c r="N444" s="1" t="s">
        <v>1114</v>
      </c>
      <c r="P444" s="1">
        <v>187214</v>
      </c>
      <c r="Q444" s="1" t="s">
        <v>324</v>
      </c>
      <c r="R444" s="5">
        <v>2164803</v>
      </c>
      <c r="S444" s="5" t="s">
        <v>326</v>
      </c>
      <c r="T444" s="1" t="s">
        <v>28</v>
      </c>
      <c r="U444" s="5" t="s">
        <v>29</v>
      </c>
      <c r="V444" s="1" t="s">
        <v>101</v>
      </c>
      <c r="W444" s="1">
        <v>1.2</v>
      </c>
      <c r="X444" s="1">
        <v>910</v>
      </c>
      <c r="Y444" s="1">
        <v>0</v>
      </c>
      <c r="Z444" s="3">
        <v>63</v>
      </c>
      <c r="AA444" s="3">
        <v>0</v>
      </c>
      <c r="AB444" s="3">
        <v>42</v>
      </c>
      <c r="AC444" s="3">
        <v>0</v>
      </c>
      <c r="AD444" s="3">
        <f t="shared" si="213"/>
        <v>42</v>
      </c>
      <c r="AE444" s="3">
        <v>0</v>
      </c>
      <c r="AF444" s="3">
        <v>0</v>
      </c>
      <c r="AG444" s="3">
        <v>0</v>
      </c>
      <c r="AH444" s="3">
        <v>42</v>
      </c>
      <c r="AI444" s="3">
        <v>0</v>
      </c>
      <c r="AJ444" s="3">
        <f t="shared" si="214"/>
        <v>42</v>
      </c>
      <c r="AK444" s="1">
        <v>0</v>
      </c>
      <c r="AL444" s="1">
        <v>0</v>
      </c>
      <c r="AM444" s="1">
        <v>0</v>
      </c>
      <c r="AN444" s="3">
        <f>AH444</f>
        <v>42</v>
      </c>
      <c r="AO444" s="3">
        <v>0</v>
      </c>
      <c r="AP444" s="3">
        <f t="shared" si="184"/>
        <v>0</v>
      </c>
    </row>
    <row r="445" spans="1:42" x14ac:dyDescent="0.35">
      <c r="A445" s="1">
        <v>742</v>
      </c>
      <c r="B445" s="6">
        <v>45921</v>
      </c>
      <c r="C445" s="5" t="s">
        <v>64</v>
      </c>
      <c r="D445" s="1">
        <v>9519123183</v>
      </c>
      <c r="E445" s="1">
        <v>1</v>
      </c>
      <c r="F445" s="1" t="s">
        <v>1097</v>
      </c>
      <c r="G445" s="1" t="s">
        <v>1155</v>
      </c>
      <c r="H445" s="5" t="s">
        <v>21</v>
      </c>
      <c r="I445" s="1" t="s">
        <v>969</v>
      </c>
      <c r="J445" s="5"/>
      <c r="K445" s="1" t="s">
        <v>969</v>
      </c>
      <c r="L445" s="1" t="str">
        <f t="shared" si="204"/>
        <v>IPP</v>
      </c>
      <c r="M445" s="1" t="s">
        <v>1231</v>
      </c>
      <c r="N445" s="1" t="s">
        <v>1115</v>
      </c>
      <c r="P445" s="1">
        <v>189430</v>
      </c>
      <c r="Q445" s="1" t="s">
        <v>386</v>
      </c>
      <c r="R445" s="5">
        <v>2164792</v>
      </c>
      <c r="S445" s="5" t="s">
        <v>329</v>
      </c>
      <c r="T445" s="1" t="s">
        <v>28</v>
      </c>
      <c r="U445" s="5" t="s">
        <v>29</v>
      </c>
      <c r="V445" s="1" t="s">
        <v>101</v>
      </c>
      <c r="W445" s="1">
        <v>0.9</v>
      </c>
      <c r="X445" s="1">
        <v>913</v>
      </c>
      <c r="Y445" s="1">
        <v>0</v>
      </c>
      <c r="Z445" s="3">
        <v>21</v>
      </c>
      <c r="AA445" s="3">
        <v>0</v>
      </c>
      <c r="AB445" s="3">
        <v>21</v>
      </c>
      <c r="AC445" s="3">
        <v>0</v>
      </c>
      <c r="AD445" s="3">
        <f t="shared" si="213"/>
        <v>21</v>
      </c>
      <c r="AE445" s="3">
        <v>0</v>
      </c>
      <c r="AF445" s="3">
        <v>0</v>
      </c>
      <c r="AG445" s="3">
        <v>21</v>
      </c>
      <c r="AH445" s="3">
        <v>0</v>
      </c>
      <c r="AI445" s="3">
        <v>0</v>
      </c>
      <c r="AJ445" s="3">
        <f t="shared" si="214"/>
        <v>21</v>
      </c>
      <c r="AK445" s="1">
        <v>0</v>
      </c>
      <c r="AL445" s="1">
        <v>0</v>
      </c>
      <c r="AM445" s="1">
        <v>0</v>
      </c>
      <c r="AN445" s="3">
        <f>AG445</f>
        <v>21</v>
      </c>
      <c r="AO445" s="1">
        <v>0</v>
      </c>
      <c r="AP445" s="3">
        <f t="shared" si="184"/>
        <v>0</v>
      </c>
    </row>
    <row r="446" spans="1:42" x14ac:dyDescent="0.35">
      <c r="A446" s="1">
        <v>742</v>
      </c>
      <c r="B446" s="6">
        <v>45921</v>
      </c>
      <c r="C446" s="5" t="s">
        <v>64</v>
      </c>
      <c r="D446" s="1">
        <v>9519123183</v>
      </c>
      <c r="E446" s="1">
        <v>2</v>
      </c>
      <c r="F446" s="1" t="s">
        <v>1098</v>
      </c>
      <c r="G446" s="1" t="s">
        <v>1155</v>
      </c>
      <c r="H446" s="5" t="s">
        <v>21</v>
      </c>
      <c r="I446" s="1" t="s">
        <v>969</v>
      </c>
      <c r="J446" s="5"/>
      <c r="K446" s="1" t="s">
        <v>969</v>
      </c>
      <c r="L446" s="1" t="str">
        <f t="shared" si="204"/>
        <v>IPP</v>
      </c>
      <c r="M446" s="1" t="s">
        <v>1231</v>
      </c>
      <c r="N446" s="1" t="s">
        <v>1115</v>
      </c>
      <c r="P446" s="1">
        <v>189430</v>
      </c>
      <c r="Q446" s="1" t="s">
        <v>386</v>
      </c>
      <c r="R446" s="5">
        <v>2164800</v>
      </c>
      <c r="S446" s="5" t="s">
        <v>325</v>
      </c>
      <c r="T446" s="1" t="s">
        <v>28</v>
      </c>
      <c r="U446" s="5" t="s">
        <v>29</v>
      </c>
      <c r="V446" s="1" t="s">
        <v>101</v>
      </c>
      <c r="W446" s="1">
        <v>0.97</v>
      </c>
      <c r="X446" s="1">
        <v>913</v>
      </c>
      <c r="Y446" s="1">
        <v>0</v>
      </c>
      <c r="Z446" s="3">
        <v>210</v>
      </c>
      <c r="AA446" s="3">
        <v>0</v>
      </c>
      <c r="AB446" s="3">
        <v>210</v>
      </c>
      <c r="AC446" s="3">
        <v>0</v>
      </c>
      <c r="AD446" s="3">
        <f t="shared" si="213"/>
        <v>210</v>
      </c>
      <c r="AE446" s="3">
        <v>0</v>
      </c>
      <c r="AF446" s="3">
        <v>0</v>
      </c>
      <c r="AG446" s="3">
        <v>0</v>
      </c>
      <c r="AH446" s="3">
        <v>0</v>
      </c>
      <c r="AI446" s="3">
        <v>210</v>
      </c>
      <c r="AJ446" s="3">
        <f t="shared" si="214"/>
        <v>210</v>
      </c>
      <c r="AK446" s="1">
        <v>0</v>
      </c>
      <c r="AL446" s="1">
        <v>0</v>
      </c>
      <c r="AM446" s="1">
        <v>0</v>
      </c>
      <c r="AN446" s="1">
        <v>0</v>
      </c>
      <c r="AO446" s="3">
        <f>AI446</f>
        <v>210</v>
      </c>
      <c r="AP446" s="3">
        <f t="shared" si="184"/>
        <v>0</v>
      </c>
    </row>
    <row r="447" spans="1:42" x14ac:dyDescent="0.35">
      <c r="A447" s="1">
        <v>742</v>
      </c>
      <c r="B447" s="6">
        <v>45921</v>
      </c>
      <c r="C447" s="5" t="s">
        <v>64</v>
      </c>
      <c r="D447" s="1">
        <v>9519123183</v>
      </c>
      <c r="E447" s="1">
        <v>3</v>
      </c>
      <c r="F447" s="1" t="s">
        <v>1099</v>
      </c>
      <c r="G447" s="1" t="s">
        <v>1155</v>
      </c>
      <c r="H447" s="5" t="s">
        <v>21</v>
      </c>
      <c r="I447" s="1" t="s">
        <v>969</v>
      </c>
      <c r="J447" s="5"/>
      <c r="K447" s="1" t="s">
        <v>969</v>
      </c>
      <c r="L447" s="1" t="str">
        <f t="shared" si="204"/>
        <v>IPP</v>
      </c>
      <c r="M447" s="1" t="s">
        <v>1231</v>
      </c>
      <c r="N447" s="1" t="s">
        <v>1115</v>
      </c>
      <c r="P447" s="1">
        <v>189430</v>
      </c>
      <c r="Q447" s="1" t="s">
        <v>386</v>
      </c>
      <c r="R447" s="5">
        <v>2164803</v>
      </c>
      <c r="S447" s="5" t="s">
        <v>326</v>
      </c>
      <c r="T447" s="1" t="s">
        <v>28</v>
      </c>
      <c r="U447" s="5" t="s">
        <v>29</v>
      </c>
      <c r="V447" s="1" t="s">
        <v>101</v>
      </c>
      <c r="W447" s="1">
        <v>1.2</v>
      </c>
      <c r="X447" s="1">
        <v>910</v>
      </c>
      <c r="Y447" s="1">
        <v>0</v>
      </c>
      <c r="Z447" s="3">
        <v>21</v>
      </c>
      <c r="AA447" s="3">
        <v>0</v>
      </c>
      <c r="AB447" s="3">
        <v>21</v>
      </c>
      <c r="AC447" s="3">
        <v>0</v>
      </c>
      <c r="AD447" s="3">
        <f t="shared" si="213"/>
        <v>21</v>
      </c>
      <c r="AE447" s="3">
        <v>0</v>
      </c>
      <c r="AF447" s="3">
        <v>0</v>
      </c>
      <c r="AG447" s="3">
        <v>0</v>
      </c>
      <c r="AH447" s="3">
        <v>21</v>
      </c>
      <c r="AI447" s="3">
        <v>0</v>
      </c>
      <c r="AJ447" s="3">
        <f t="shared" si="214"/>
        <v>21</v>
      </c>
      <c r="AK447" s="1">
        <v>0</v>
      </c>
      <c r="AL447" s="1">
        <v>0</v>
      </c>
      <c r="AM447" s="1">
        <v>0</v>
      </c>
      <c r="AN447" s="3">
        <f>AH447</f>
        <v>21</v>
      </c>
      <c r="AO447" s="3">
        <v>0</v>
      </c>
      <c r="AP447" s="3">
        <f t="shared" si="184"/>
        <v>0</v>
      </c>
    </row>
    <row r="448" spans="1:42" x14ac:dyDescent="0.35">
      <c r="A448" s="1">
        <v>742</v>
      </c>
      <c r="B448" s="6">
        <v>45920</v>
      </c>
      <c r="C448" s="5" t="s">
        <v>64</v>
      </c>
      <c r="D448" s="1">
        <v>9519123053</v>
      </c>
      <c r="E448" s="1">
        <v>1</v>
      </c>
      <c r="F448" s="1" t="s">
        <v>1100</v>
      </c>
      <c r="G448" s="1" t="s">
        <v>1155</v>
      </c>
      <c r="H448" s="5" t="s">
        <v>21</v>
      </c>
      <c r="I448" s="1" t="s">
        <v>969</v>
      </c>
      <c r="J448" s="5"/>
      <c r="K448" s="1" t="s">
        <v>969</v>
      </c>
      <c r="L448" s="1" t="str">
        <f t="shared" si="204"/>
        <v>IPP</v>
      </c>
      <c r="M448" s="1" t="s">
        <v>1228</v>
      </c>
      <c r="N448" s="1" t="s">
        <v>1116</v>
      </c>
      <c r="P448" s="1">
        <v>189405</v>
      </c>
      <c r="Q448" s="1" t="s">
        <v>327</v>
      </c>
      <c r="R448" s="5">
        <v>2164792</v>
      </c>
      <c r="S448" s="5" t="s">
        <v>329</v>
      </c>
      <c r="T448" s="1" t="s">
        <v>28</v>
      </c>
      <c r="U448" s="5" t="s">
        <v>29</v>
      </c>
      <c r="V448" s="1" t="s">
        <v>101</v>
      </c>
      <c r="W448" s="1">
        <v>0.9</v>
      </c>
      <c r="X448" s="1">
        <v>913</v>
      </c>
      <c r="Y448" s="1">
        <v>0</v>
      </c>
      <c r="Z448" s="3">
        <v>231</v>
      </c>
      <c r="AA448" s="3">
        <v>0</v>
      </c>
      <c r="AB448" s="3">
        <v>231</v>
      </c>
      <c r="AC448" s="3">
        <v>0</v>
      </c>
      <c r="AD448" s="3">
        <f t="shared" si="213"/>
        <v>231</v>
      </c>
      <c r="AE448" s="3">
        <v>0</v>
      </c>
      <c r="AF448" s="3">
        <v>0</v>
      </c>
      <c r="AG448" s="3">
        <v>231</v>
      </c>
      <c r="AH448" s="3">
        <v>0</v>
      </c>
      <c r="AI448" s="3">
        <v>0</v>
      </c>
      <c r="AJ448" s="3">
        <f t="shared" si="214"/>
        <v>231</v>
      </c>
      <c r="AK448" s="1">
        <v>0</v>
      </c>
      <c r="AL448" s="1">
        <v>0</v>
      </c>
      <c r="AM448" s="1">
        <v>0</v>
      </c>
      <c r="AN448" s="3">
        <f>AG448</f>
        <v>231</v>
      </c>
      <c r="AO448" s="1">
        <v>0</v>
      </c>
      <c r="AP448" s="3">
        <f t="shared" si="184"/>
        <v>0</v>
      </c>
    </row>
    <row r="449" spans="1:42" x14ac:dyDescent="0.35">
      <c r="A449" s="1">
        <v>742</v>
      </c>
      <c r="B449" s="6">
        <v>45920</v>
      </c>
      <c r="C449" s="5" t="s">
        <v>64</v>
      </c>
      <c r="D449" s="1">
        <v>9519123053</v>
      </c>
      <c r="E449" s="1">
        <v>2</v>
      </c>
      <c r="F449" s="1" t="s">
        <v>1101</v>
      </c>
      <c r="G449" s="1" t="s">
        <v>1155</v>
      </c>
      <c r="H449" s="5" t="s">
        <v>21</v>
      </c>
      <c r="I449" s="1" t="s">
        <v>969</v>
      </c>
      <c r="J449" s="5"/>
      <c r="K449" s="1" t="s">
        <v>969</v>
      </c>
      <c r="L449" s="1" t="str">
        <f t="shared" si="204"/>
        <v>IPP</v>
      </c>
      <c r="M449" s="1" t="s">
        <v>1228</v>
      </c>
      <c r="N449" s="1" t="s">
        <v>1116</v>
      </c>
      <c r="P449" s="1">
        <v>189405</v>
      </c>
      <c r="Q449" s="1" t="s">
        <v>327</v>
      </c>
      <c r="R449" s="5">
        <v>2164803</v>
      </c>
      <c r="S449" s="5" t="s">
        <v>326</v>
      </c>
      <c r="T449" s="1" t="s">
        <v>28</v>
      </c>
      <c r="U449" s="5" t="s">
        <v>29</v>
      </c>
      <c r="V449" s="1" t="s">
        <v>101</v>
      </c>
      <c r="W449" s="1">
        <v>1.2</v>
      </c>
      <c r="X449" s="1">
        <v>910</v>
      </c>
      <c r="Y449" s="1">
        <v>0</v>
      </c>
      <c r="Z449" s="3">
        <v>189</v>
      </c>
      <c r="AA449" s="3">
        <v>0</v>
      </c>
      <c r="AB449" s="3">
        <v>189</v>
      </c>
      <c r="AC449" s="3">
        <v>0</v>
      </c>
      <c r="AD449" s="3">
        <f t="shared" si="213"/>
        <v>189</v>
      </c>
      <c r="AE449" s="3">
        <v>0</v>
      </c>
      <c r="AF449" s="3">
        <v>0</v>
      </c>
      <c r="AG449" s="3">
        <v>0</v>
      </c>
      <c r="AH449" s="3">
        <v>189</v>
      </c>
      <c r="AI449" s="3">
        <v>0</v>
      </c>
      <c r="AJ449" s="3">
        <f t="shared" si="214"/>
        <v>189</v>
      </c>
      <c r="AK449" s="1">
        <v>0</v>
      </c>
      <c r="AL449" s="1">
        <v>0</v>
      </c>
      <c r="AM449" s="1">
        <v>0</v>
      </c>
      <c r="AN449" s="3">
        <f>AH449</f>
        <v>189</v>
      </c>
      <c r="AO449" s="3">
        <v>0</v>
      </c>
      <c r="AP449" s="3">
        <f t="shared" ref="AP449:AP512" si="216">(AC449+AD449)-AJ449</f>
        <v>0</v>
      </c>
    </row>
    <row r="450" spans="1:42" x14ac:dyDescent="0.35">
      <c r="A450" s="1">
        <v>742</v>
      </c>
      <c r="B450" s="6">
        <v>45920</v>
      </c>
      <c r="C450" s="5" t="s">
        <v>64</v>
      </c>
      <c r="D450" s="1">
        <v>9519123053</v>
      </c>
      <c r="E450" s="1">
        <v>3</v>
      </c>
      <c r="F450" s="1" t="s">
        <v>1102</v>
      </c>
      <c r="G450" s="1" t="s">
        <v>1155</v>
      </c>
      <c r="H450" s="5" t="s">
        <v>21</v>
      </c>
      <c r="I450" s="1" t="s">
        <v>969</v>
      </c>
      <c r="J450" s="5"/>
      <c r="K450" s="1" t="s">
        <v>969</v>
      </c>
      <c r="L450" s="1" t="str">
        <f t="shared" si="204"/>
        <v>IPP</v>
      </c>
      <c r="M450" s="1" t="s">
        <v>1228</v>
      </c>
      <c r="N450" s="1" t="s">
        <v>1116</v>
      </c>
      <c r="P450" s="1">
        <v>189405</v>
      </c>
      <c r="Q450" s="1" t="s">
        <v>327</v>
      </c>
      <c r="R450" s="5">
        <v>2170009</v>
      </c>
      <c r="S450" s="5" t="s">
        <v>377</v>
      </c>
      <c r="T450" s="1" t="s">
        <v>28</v>
      </c>
      <c r="U450" s="5" t="s">
        <v>29</v>
      </c>
      <c r="V450" s="1" t="s">
        <v>101</v>
      </c>
      <c r="W450" s="1">
        <v>1.2</v>
      </c>
      <c r="X450" s="1">
        <v>914</v>
      </c>
      <c r="Y450" s="1">
        <v>0</v>
      </c>
      <c r="Z450" s="3">
        <v>21</v>
      </c>
      <c r="AA450" s="3">
        <v>0</v>
      </c>
      <c r="AB450" s="3">
        <v>21</v>
      </c>
      <c r="AC450" s="3">
        <v>0</v>
      </c>
      <c r="AD450" s="3">
        <f t="shared" si="213"/>
        <v>21</v>
      </c>
      <c r="AE450" s="3">
        <v>0</v>
      </c>
      <c r="AF450" s="3">
        <v>0</v>
      </c>
      <c r="AG450" s="3">
        <v>0</v>
      </c>
      <c r="AH450" s="3">
        <v>0</v>
      </c>
      <c r="AI450" s="3">
        <v>21</v>
      </c>
      <c r="AJ450" s="3">
        <f t="shared" si="214"/>
        <v>21</v>
      </c>
      <c r="AK450" s="1">
        <v>0</v>
      </c>
      <c r="AL450" s="1">
        <v>0</v>
      </c>
      <c r="AM450" s="1">
        <v>0</v>
      </c>
      <c r="AN450" s="1">
        <v>0</v>
      </c>
      <c r="AO450" s="3">
        <f>AI450</f>
        <v>21</v>
      </c>
      <c r="AP450" s="3">
        <f t="shared" si="216"/>
        <v>0</v>
      </c>
    </row>
    <row r="451" spans="1:42" x14ac:dyDescent="0.35">
      <c r="A451" s="1">
        <v>742</v>
      </c>
      <c r="B451" s="6">
        <v>45920</v>
      </c>
      <c r="C451" s="5" t="s">
        <v>64</v>
      </c>
      <c r="D451" s="1">
        <v>9519123053</v>
      </c>
      <c r="E451" s="1">
        <v>4</v>
      </c>
      <c r="F451" s="1" t="s">
        <v>1103</v>
      </c>
      <c r="G451" s="1" t="s">
        <v>1155</v>
      </c>
      <c r="H451" s="5" t="s">
        <v>21</v>
      </c>
      <c r="I451" s="1" t="s">
        <v>969</v>
      </c>
      <c r="J451" s="5"/>
      <c r="K451" s="1" t="s">
        <v>969</v>
      </c>
      <c r="L451" s="1" t="str">
        <f t="shared" si="204"/>
        <v>IPP</v>
      </c>
      <c r="M451" s="1" t="s">
        <v>1228</v>
      </c>
      <c r="N451" s="1" t="s">
        <v>1116</v>
      </c>
      <c r="P451" s="1">
        <v>189405</v>
      </c>
      <c r="Q451" s="1" t="s">
        <v>327</v>
      </c>
      <c r="R451" s="5">
        <v>2164800</v>
      </c>
      <c r="S451" s="5" t="s">
        <v>325</v>
      </c>
      <c r="T451" s="1" t="s">
        <v>28</v>
      </c>
      <c r="U451" s="5" t="s">
        <v>29</v>
      </c>
      <c r="V451" s="1" t="s">
        <v>101</v>
      </c>
      <c r="W451" s="1">
        <v>0.97</v>
      </c>
      <c r="X451" s="1">
        <v>913</v>
      </c>
      <c r="Y451" s="1">
        <v>0</v>
      </c>
      <c r="Z451" s="3">
        <v>294</v>
      </c>
      <c r="AA451" s="3">
        <v>0</v>
      </c>
      <c r="AB451" s="3">
        <v>294</v>
      </c>
      <c r="AC451" s="3">
        <v>0</v>
      </c>
      <c r="AD451" s="3">
        <f t="shared" si="213"/>
        <v>294</v>
      </c>
      <c r="AE451" s="3">
        <v>0</v>
      </c>
      <c r="AF451" s="3">
        <v>0</v>
      </c>
      <c r="AG451" s="3">
        <v>0</v>
      </c>
      <c r="AH451" s="3">
        <v>0</v>
      </c>
      <c r="AI451" s="3">
        <v>294</v>
      </c>
      <c r="AJ451" s="3">
        <f t="shared" si="214"/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3">
        <f t="shared" si="216"/>
        <v>294</v>
      </c>
    </row>
    <row r="452" spans="1:42" x14ac:dyDescent="0.35">
      <c r="A452" s="1">
        <v>742</v>
      </c>
      <c r="B452" s="6">
        <v>45920</v>
      </c>
      <c r="C452" s="5" t="s">
        <v>64</v>
      </c>
      <c r="D452" s="1">
        <v>9519123053</v>
      </c>
      <c r="E452" s="1">
        <v>5</v>
      </c>
      <c r="F452" s="1" t="s">
        <v>1104</v>
      </c>
      <c r="G452" s="1" t="s">
        <v>1155</v>
      </c>
      <c r="H452" s="5" t="s">
        <v>21</v>
      </c>
      <c r="I452" s="1" t="s">
        <v>969</v>
      </c>
      <c r="J452" s="5"/>
      <c r="K452" s="1" t="s">
        <v>969</v>
      </c>
      <c r="L452" s="1" t="str">
        <f t="shared" si="204"/>
        <v>IPP</v>
      </c>
      <c r="M452" s="1" t="s">
        <v>1228</v>
      </c>
      <c r="N452" s="1" t="s">
        <v>1116</v>
      </c>
      <c r="P452" s="1">
        <v>189405</v>
      </c>
      <c r="Q452" s="1" t="s">
        <v>327</v>
      </c>
      <c r="R452" s="5">
        <v>2164800</v>
      </c>
      <c r="S452" s="5" t="s">
        <v>325</v>
      </c>
      <c r="T452" s="1" t="s">
        <v>28</v>
      </c>
      <c r="U452" s="5" t="s">
        <v>29</v>
      </c>
      <c r="V452" s="1" t="s">
        <v>101</v>
      </c>
      <c r="W452" s="1">
        <v>0.97</v>
      </c>
      <c r="X452" s="1">
        <v>913</v>
      </c>
      <c r="Y452" s="1">
        <v>0</v>
      </c>
      <c r="Z452" s="3">
        <v>252</v>
      </c>
      <c r="AA452" s="3">
        <v>0</v>
      </c>
      <c r="AB452" s="3">
        <v>252</v>
      </c>
      <c r="AC452" s="3">
        <v>0</v>
      </c>
      <c r="AD452" s="3">
        <f t="shared" si="213"/>
        <v>252</v>
      </c>
      <c r="AE452" s="3">
        <v>0</v>
      </c>
      <c r="AF452" s="3">
        <v>0</v>
      </c>
      <c r="AG452" s="3">
        <v>0</v>
      </c>
      <c r="AH452" s="3">
        <v>0</v>
      </c>
      <c r="AI452" s="3">
        <v>252</v>
      </c>
      <c r="AJ452" s="3">
        <f t="shared" si="214"/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3">
        <f t="shared" si="216"/>
        <v>252</v>
      </c>
    </row>
    <row r="453" spans="1:42" x14ac:dyDescent="0.35">
      <c r="A453" s="1">
        <v>742</v>
      </c>
      <c r="B453" s="6">
        <v>45920</v>
      </c>
      <c r="C453" s="5" t="s">
        <v>64</v>
      </c>
      <c r="D453" s="1">
        <v>9519123053</v>
      </c>
      <c r="E453" s="1">
        <v>6</v>
      </c>
      <c r="F453" s="1" t="s">
        <v>1105</v>
      </c>
      <c r="G453" s="1" t="s">
        <v>1155</v>
      </c>
      <c r="H453" s="5" t="s">
        <v>21</v>
      </c>
      <c r="I453" s="1" t="s">
        <v>969</v>
      </c>
      <c r="J453" s="5">
        <v>4800</v>
      </c>
      <c r="K453" s="1" t="s">
        <v>969</v>
      </c>
      <c r="L453" s="1" t="str">
        <f t="shared" si="204"/>
        <v>IPP</v>
      </c>
      <c r="M453" s="1" t="s">
        <v>1228</v>
      </c>
      <c r="N453" s="1" t="s">
        <v>1116</v>
      </c>
      <c r="P453" s="1">
        <v>189405</v>
      </c>
      <c r="Q453" s="1" t="s">
        <v>327</v>
      </c>
      <c r="R453" s="5">
        <v>2403240</v>
      </c>
      <c r="S453" s="5" t="s">
        <v>1127</v>
      </c>
      <c r="T453" s="1" t="s">
        <v>28</v>
      </c>
      <c r="U453" s="5" t="s">
        <v>29</v>
      </c>
      <c r="V453" s="1" t="s">
        <v>101</v>
      </c>
      <c r="W453" s="1">
        <v>0.8</v>
      </c>
      <c r="X453" s="1">
        <v>925</v>
      </c>
      <c r="Y453" s="1">
        <v>0</v>
      </c>
      <c r="Z453" s="3">
        <v>42</v>
      </c>
      <c r="AA453" s="3">
        <v>0</v>
      </c>
      <c r="AB453" s="3">
        <v>42</v>
      </c>
      <c r="AC453" s="3">
        <v>0</v>
      </c>
      <c r="AD453" s="3">
        <f t="shared" si="213"/>
        <v>42</v>
      </c>
      <c r="AE453" s="3">
        <v>0</v>
      </c>
      <c r="AF453" s="3">
        <v>0</v>
      </c>
      <c r="AG453" s="3">
        <v>0</v>
      </c>
      <c r="AH453" s="3">
        <v>0</v>
      </c>
      <c r="AI453" s="3">
        <v>42</v>
      </c>
      <c r="AJ453" s="3">
        <f t="shared" si="214"/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3">
        <f t="shared" si="216"/>
        <v>42</v>
      </c>
    </row>
    <row r="454" spans="1:42" x14ac:dyDescent="0.35">
      <c r="A454" s="1">
        <v>742</v>
      </c>
      <c r="B454" s="6">
        <v>45920</v>
      </c>
      <c r="C454" s="5" t="s">
        <v>64</v>
      </c>
      <c r="D454" s="1">
        <v>9519123075</v>
      </c>
      <c r="E454" s="1">
        <v>1</v>
      </c>
      <c r="F454" s="1" t="s">
        <v>1106</v>
      </c>
      <c r="G454" s="1" t="s">
        <v>1155</v>
      </c>
      <c r="H454" s="5" t="s">
        <v>21</v>
      </c>
      <c r="I454" s="1" t="s">
        <v>969</v>
      </c>
      <c r="J454" s="5"/>
      <c r="K454" s="1" t="s">
        <v>969</v>
      </c>
      <c r="L454" s="1" t="str">
        <f t="shared" si="204"/>
        <v>IPP</v>
      </c>
      <c r="M454" s="1" t="s">
        <v>1228</v>
      </c>
      <c r="N454" s="1" t="s">
        <v>1116</v>
      </c>
      <c r="P454" s="1">
        <v>189405</v>
      </c>
      <c r="Q454" s="1" t="s">
        <v>327</v>
      </c>
      <c r="R454" s="5">
        <v>3655054</v>
      </c>
      <c r="S454" s="5" t="s">
        <v>482</v>
      </c>
      <c r="T454" s="1" t="s">
        <v>28</v>
      </c>
      <c r="U454" s="5" t="s">
        <v>29</v>
      </c>
      <c r="V454" s="1" t="s">
        <v>349</v>
      </c>
      <c r="W454" s="1">
        <v>1.2</v>
      </c>
      <c r="X454" s="1">
        <v>1215</v>
      </c>
      <c r="Y454" s="1">
        <v>0</v>
      </c>
      <c r="Z454" s="3">
        <v>56</v>
      </c>
      <c r="AA454" s="3">
        <v>0</v>
      </c>
      <c r="AB454" s="3">
        <v>56</v>
      </c>
      <c r="AC454" s="3">
        <v>0</v>
      </c>
      <c r="AD454" s="3">
        <f t="shared" si="213"/>
        <v>56</v>
      </c>
      <c r="AE454" s="3">
        <v>0</v>
      </c>
      <c r="AF454" s="3">
        <v>0</v>
      </c>
      <c r="AG454" s="3">
        <v>0</v>
      </c>
      <c r="AH454" s="3">
        <v>56</v>
      </c>
      <c r="AI454" s="3">
        <v>0</v>
      </c>
      <c r="AJ454" s="3">
        <f t="shared" si="214"/>
        <v>56</v>
      </c>
      <c r="AK454" s="1">
        <v>0</v>
      </c>
      <c r="AL454" s="1">
        <v>0</v>
      </c>
      <c r="AM454" s="1">
        <v>0</v>
      </c>
      <c r="AN454" s="3">
        <f>AH454</f>
        <v>56</v>
      </c>
      <c r="AO454" s="3">
        <v>0</v>
      </c>
      <c r="AP454" s="3">
        <f t="shared" si="216"/>
        <v>0</v>
      </c>
    </row>
    <row r="455" spans="1:42" x14ac:dyDescent="0.35">
      <c r="A455" s="1">
        <v>743</v>
      </c>
      <c r="B455" s="6">
        <v>45919</v>
      </c>
      <c r="C455" s="5" t="s">
        <v>64</v>
      </c>
      <c r="D455" s="1">
        <v>9519119802</v>
      </c>
      <c r="E455" s="1">
        <v>1</v>
      </c>
      <c r="F455" s="1" t="s">
        <v>1107</v>
      </c>
      <c r="G455" s="1" t="s">
        <v>1155</v>
      </c>
      <c r="H455" s="5" t="s">
        <v>63</v>
      </c>
      <c r="I455" s="1" t="s">
        <v>1368</v>
      </c>
      <c r="J455" s="5"/>
      <c r="K455" s="1" t="s">
        <v>970</v>
      </c>
      <c r="L455" s="1" t="str">
        <f t="shared" si="204"/>
        <v>BPRS</v>
      </c>
      <c r="M455" s="1" t="s">
        <v>1228</v>
      </c>
      <c r="N455" s="1" t="s">
        <v>1118</v>
      </c>
      <c r="P455" s="1">
        <v>930519</v>
      </c>
      <c r="Q455" s="1" t="s">
        <v>1123</v>
      </c>
      <c r="R455" s="5">
        <v>1334725</v>
      </c>
      <c r="S455" s="5" t="s">
        <v>288</v>
      </c>
      <c r="T455" s="1" t="s">
        <v>139</v>
      </c>
      <c r="U455" s="5" t="s">
        <v>140</v>
      </c>
      <c r="V455" s="1" t="s">
        <v>150</v>
      </c>
      <c r="W455" s="1">
        <v>0.6</v>
      </c>
      <c r="X455" s="1">
        <v>1220</v>
      </c>
      <c r="Y455" s="1">
        <v>0</v>
      </c>
      <c r="Z455" s="3">
        <v>168</v>
      </c>
      <c r="AA455" s="3">
        <v>150.45500000000001</v>
      </c>
      <c r="AB455" s="3">
        <v>17.545000000000002</v>
      </c>
      <c r="AC455" s="3">
        <v>4.54</v>
      </c>
      <c r="AD455" s="3">
        <f t="shared" si="213"/>
        <v>17.545000000000002</v>
      </c>
      <c r="AE455" s="3">
        <v>0</v>
      </c>
      <c r="AF455" s="3">
        <v>17.545000000000002</v>
      </c>
      <c r="AG455" s="3">
        <v>0</v>
      </c>
      <c r="AH455" s="3">
        <v>0</v>
      </c>
      <c r="AI455" s="3">
        <v>0</v>
      </c>
      <c r="AJ455" s="3">
        <f t="shared" si="214"/>
        <v>22.085000000000001</v>
      </c>
      <c r="AK455" s="1">
        <v>0</v>
      </c>
      <c r="AL455" s="1">
        <v>0</v>
      </c>
      <c r="AM455" s="3">
        <f>AF455+AC455</f>
        <v>22.085000000000001</v>
      </c>
      <c r="AN455" s="1">
        <v>0</v>
      </c>
      <c r="AO455" s="1">
        <v>0</v>
      </c>
      <c r="AP455" s="3">
        <f t="shared" si="216"/>
        <v>0</v>
      </c>
    </row>
    <row r="456" spans="1:42" x14ac:dyDescent="0.35">
      <c r="A456" s="1">
        <v>742</v>
      </c>
      <c r="B456" s="6">
        <v>45919</v>
      </c>
      <c r="C456" s="5" t="s">
        <v>64</v>
      </c>
      <c r="D456" s="1">
        <v>9519117547</v>
      </c>
      <c r="E456" s="1">
        <v>8</v>
      </c>
      <c r="F456" s="1" t="s">
        <v>1108</v>
      </c>
      <c r="G456" s="1" t="s">
        <v>1155</v>
      </c>
      <c r="H456" s="5" t="s">
        <v>21</v>
      </c>
      <c r="I456" s="5" t="s">
        <v>71</v>
      </c>
      <c r="J456" s="5"/>
      <c r="K456" s="1" t="s">
        <v>970</v>
      </c>
      <c r="L456" s="1" t="str">
        <f t="shared" si="204"/>
        <v>BPRS</v>
      </c>
      <c r="M456" s="1" t="s">
        <v>1230</v>
      </c>
      <c r="N456" s="1" t="s">
        <v>1119</v>
      </c>
      <c r="P456" s="1">
        <v>139336</v>
      </c>
      <c r="Q456" s="1" t="s">
        <v>1124</v>
      </c>
      <c r="R456" s="5">
        <v>3240826</v>
      </c>
      <c r="S456" s="5" t="s">
        <v>1128</v>
      </c>
      <c r="T456" s="1" t="s">
        <v>75</v>
      </c>
      <c r="U456" s="5" t="s">
        <v>76</v>
      </c>
      <c r="V456" s="1" t="s">
        <v>77</v>
      </c>
      <c r="W456" s="1">
        <v>0.95</v>
      </c>
      <c r="X456" s="1">
        <v>1250</v>
      </c>
      <c r="Y456" s="1">
        <v>2500</v>
      </c>
      <c r="Z456" s="3">
        <v>29</v>
      </c>
      <c r="AA456" s="3">
        <v>0</v>
      </c>
      <c r="AB456" s="3">
        <v>29</v>
      </c>
      <c r="AC456" s="3">
        <v>0</v>
      </c>
      <c r="AD456" s="3">
        <f t="shared" si="213"/>
        <v>29</v>
      </c>
      <c r="AE456" s="3">
        <v>0</v>
      </c>
      <c r="AF456" s="3">
        <v>0</v>
      </c>
      <c r="AG456" s="3">
        <v>0</v>
      </c>
      <c r="AH456" s="3">
        <v>29</v>
      </c>
      <c r="AI456" s="3">
        <v>0</v>
      </c>
      <c r="AJ456" s="3">
        <f t="shared" si="214"/>
        <v>29</v>
      </c>
      <c r="AK456" s="1">
        <v>0</v>
      </c>
      <c r="AL456" s="3">
        <f>AE456</f>
        <v>0</v>
      </c>
      <c r="AM456" s="3">
        <f>AF456</f>
        <v>0</v>
      </c>
      <c r="AN456" s="3">
        <f>AG456</f>
        <v>0</v>
      </c>
      <c r="AO456" s="3">
        <f>AH456</f>
        <v>29</v>
      </c>
      <c r="AP456" s="3">
        <f t="shared" si="216"/>
        <v>0</v>
      </c>
    </row>
    <row r="457" spans="1:42" x14ac:dyDescent="0.35">
      <c r="A457" s="1">
        <v>743</v>
      </c>
      <c r="B457" s="6">
        <v>45917</v>
      </c>
      <c r="C457" s="5" t="s">
        <v>64</v>
      </c>
      <c r="D457" s="1">
        <v>9519113387</v>
      </c>
      <c r="E457" s="1">
        <v>1</v>
      </c>
      <c r="F457" s="1" t="s">
        <v>1109</v>
      </c>
      <c r="G457" s="1" t="s">
        <v>1155</v>
      </c>
      <c r="H457" s="5" t="s">
        <v>63</v>
      </c>
      <c r="I457" s="1" t="s">
        <v>1292</v>
      </c>
      <c r="J457" s="5"/>
      <c r="K457" s="1" t="s">
        <v>970</v>
      </c>
      <c r="L457" s="1" t="str">
        <f t="shared" si="204"/>
        <v>BPRS</v>
      </c>
      <c r="M457" s="1" t="s">
        <v>1231</v>
      </c>
      <c r="N457" s="1" t="s">
        <v>1120</v>
      </c>
      <c r="P457" s="1">
        <v>115190</v>
      </c>
      <c r="Q457" s="1" t="s">
        <v>330</v>
      </c>
      <c r="R457" s="5">
        <v>3897428</v>
      </c>
      <c r="S457" s="5" t="s">
        <v>1129</v>
      </c>
      <c r="T457" s="1" t="s">
        <v>68</v>
      </c>
      <c r="U457" s="5" t="s">
        <v>406</v>
      </c>
      <c r="V457" s="1" t="s">
        <v>407</v>
      </c>
      <c r="W457" s="1">
        <v>0.3</v>
      </c>
      <c r="X457" s="1">
        <v>900</v>
      </c>
      <c r="Y457" s="1">
        <v>0</v>
      </c>
      <c r="Z457" s="3">
        <v>21</v>
      </c>
      <c r="AA457" s="3">
        <v>0</v>
      </c>
      <c r="AB457" s="3">
        <v>21</v>
      </c>
      <c r="AC457" s="3">
        <v>0</v>
      </c>
      <c r="AD457" s="3">
        <f t="shared" si="213"/>
        <v>21</v>
      </c>
      <c r="AE457" s="3">
        <v>0</v>
      </c>
      <c r="AF457" s="3">
        <v>0</v>
      </c>
      <c r="AG457" s="3">
        <v>0</v>
      </c>
      <c r="AH457" s="3">
        <v>0</v>
      </c>
      <c r="AI457" s="3">
        <v>21</v>
      </c>
      <c r="AJ457" s="3">
        <f t="shared" si="214"/>
        <v>21</v>
      </c>
      <c r="AK457" s="1">
        <v>0</v>
      </c>
      <c r="AL457" s="1">
        <v>0</v>
      </c>
      <c r="AM457" s="1">
        <v>0</v>
      </c>
      <c r="AN457" s="1">
        <v>0</v>
      </c>
      <c r="AO457" s="3">
        <f>AI457</f>
        <v>21</v>
      </c>
      <c r="AP457" s="3">
        <f t="shared" si="216"/>
        <v>0</v>
      </c>
    </row>
    <row r="458" spans="1:42" x14ac:dyDescent="0.35">
      <c r="A458" s="1">
        <v>8214</v>
      </c>
      <c r="B458" s="6">
        <v>45919</v>
      </c>
      <c r="C458" s="5" t="s">
        <v>46</v>
      </c>
      <c r="D458" s="1">
        <v>9519120008</v>
      </c>
      <c r="E458" s="1">
        <v>3</v>
      </c>
      <c r="F458" s="1" t="s">
        <v>1110</v>
      </c>
      <c r="G458" s="1" t="s">
        <v>1155</v>
      </c>
      <c r="H458" s="5" t="s">
        <v>21</v>
      </c>
      <c r="I458" s="5" t="s">
        <v>974</v>
      </c>
      <c r="J458" s="5"/>
      <c r="K458" s="1" t="s">
        <v>969</v>
      </c>
      <c r="L458" s="1" t="s">
        <v>1421</v>
      </c>
      <c r="M458" s="1" t="s">
        <v>1230</v>
      </c>
      <c r="N458" s="1" t="s">
        <v>1121</v>
      </c>
      <c r="P458" s="1">
        <v>600250</v>
      </c>
      <c r="Q458" s="1" t="s">
        <v>1125</v>
      </c>
      <c r="R458" s="5">
        <v>2439203</v>
      </c>
      <c r="S458" s="5" t="s">
        <v>146</v>
      </c>
      <c r="T458" s="1" t="s">
        <v>28</v>
      </c>
      <c r="U458" s="5" t="s">
        <v>117</v>
      </c>
      <c r="V458" s="1" t="s">
        <v>118</v>
      </c>
      <c r="W458" s="1">
        <v>0.5</v>
      </c>
      <c r="X458" s="1">
        <v>1160</v>
      </c>
      <c r="Y458" s="1">
        <v>0</v>
      </c>
      <c r="Z458" s="3">
        <v>297</v>
      </c>
      <c r="AA458" s="3">
        <v>0</v>
      </c>
      <c r="AB458" s="3">
        <v>297</v>
      </c>
      <c r="AC458" s="3">
        <v>0</v>
      </c>
      <c r="AD458" s="3">
        <f t="shared" si="213"/>
        <v>297</v>
      </c>
      <c r="AE458" s="3">
        <v>0</v>
      </c>
      <c r="AF458" s="3">
        <v>0</v>
      </c>
      <c r="AG458" s="3">
        <v>0</v>
      </c>
      <c r="AH458" s="3">
        <v>297</v>
      </c>
      <c r="AI458" s="3">
        <v>0</v>
      </c>
      <c r="AJ458" s="3">
        <f t="shared" si="214"/>
        <v>297</v>
      </c>
      <c r="AK458" s="1">
        <v>0</v>
      </c>
      <c r="AL458" s="3">
        <f t="shared" ref="AL458:AL460" si="217">AE458</f>
        <v>0</v>
      </c>
      <c r="AM458" s="3">
        <f t="shared" ref="AM458:AM460" si="218">AF458</f>
        <v>0</v>
      </c>
      <c r="AN458" s="3">
        <f t="shared" ref="AN458:AN460" si="219">AG458</f>
        <v>0</v>
      </c>
      <c r="AO458" s="3">
        <f t="shared" ref="AO458:AO459" si="220">AH458</f>
        <v>297</v>
      </c>
      <c r="AP458" s="3">
        <f t="shared" si="216"/>
        <v>0</v>
      </c>
    </row>
    <row r="459" spans="1:42" x14ac:dyDescent="0.35">
      <c r="A459" s="1">
        <v>8214</v>
      </c>
      <c r="B459" s="6">
        <v>45919</v>
      </c>
      <c r="C459" s="5" t="s">
        <v>46</v>
      </c>
      <c r="D459" s="1">
        <v>9519120008</v>
      </c>
      <c r="E459" s="1">
        <v>4</v>
      </c>
      <c r="F459" s="1" t="s">
        <v>1111</v>
      </c>
      <c r="G459" s="1" t="s">
        <v>1155</v>
      </c>
      <c r="H459" s="5" t="s">
        <v>21</v>
      </c>
      <c r="I459" s="5" t="s">
        <v>974</v>
      </c>
      <c r="J459" s="5">
        <v>3500</v>
      </c>
      <c r="K459" s="1" t="s">
        <v>969</v>
      </c>
      <c r="L459" s="1" t="s">
        <v>1421</v>
      </c>
      <c r="M459" s="1" t="s">
        <v>1230</v>
      </c>
      <c r="N459" s="1" t="s">
        <v>1121</v>
      </c>
      <c r="P459" s="1">
        <v>600250</v>
      </c>
      <c r="Q459" s="1" t="s">
        <v>1125</v>
      </c>
      <c r="R459" s="5">
        <v>3587949</v>
      </c>
      <c r="S459" s="5" t="s">
        <v>368</v>
      </c>
      <c r="T459" s="1" t="s">
        <v>28</v>
      </c>
      <c r="U459" s="5" t="s">
        <v>117</v>
      </c>
      <c r="V459" s="1" t="s">
        <v>118</v>
      </c>
      <c r="W459" s="1">
        <v>0.5</v>
      </c>
      <c r="X459" s="1">
        <v>1250</v>
      </c>
      <c r="Y459" s="1">
        <v>0</v>
      </c>
      <c r="Z459" s="3">
        <v>290</v>
      </c>
      <c r="AA459" s="3">
        <v>12.74</v>
      </c>
      <c r="AB459" s="3">
        <v>277.26</v>
      </c>
      <c r="AC459" s="3">
        <v>0</v>
      </c>
      <c r="AD459" s="3">
        <f t="shared" si="213"/>
        <v>277.26</v>
      </c>
      <c r="AE459" s="3">
        <v>0</v>
      </c>
      <c r="AF459" s="3">
        <v>0</v>
      </c>
      <c r="AG459" s="3">
        <v>0</v>
      </c>
      <c r="AH459" s="3">
        <v>0</v>
      </c>
      <c r="AI459" s="3">
        <v>277.26</v>
      </c>
      <c r="AJ459" s="3">
        <f t="shared" si="214"/>
        <v>0</v>
      </c>
      <c r="AK459" s="1">
        <v>0</v>
      </c>
      <c r="AL459" s="3">
        <f t="shared" si="217"/>
        <v>0</v>
      </c>
      <c r="AM459" s="3">
        <f t="shared" si="218"/>
        <v>0</v>
      </c>
      <c r="AN459" s="3">
        <f t="shared" si="219"/>
        <v>0</v>
      </c>
      <c r="AO459" s="3">
        <f t="shared" si="220"/>
        <v>0</v>
      </c>
      <c r="AP459" s="3">
        <f t="shared" si="216"/>
        <v>277.26</v>
      </c>
    </row>
    <row r="460" spans="1:42" x14ac:dyDescent="0.35">
      <c r="A460" s="1">
        <v>8214</v>
      </c>
      <c r="B460" s="6">
        <v>45919</v>
      </c>
      <c r="C460" s="5" t="s">
        <v>46</v>
      </c>
      <c r="D460" s="1">
        <v>9519120008</v>
      </c>
      <c r="E460" s="1">
        <v>5</v>
      </c>
      <c r="F460" s="1" t="s">
        <v>1112</v>
      </c>
      <c r="G460" s="1" t="s">
        <v>1155</v>
      </c>
      <c r="H460" s="5" t="s">
        <v>21</v>
      </c>
      <c r="I460" s="5" t="s">
        <v>974</v>
      </c>
      <c r="J460" s="5"/>
      <c r="K460" s="1" t="s">
        <v>969</v>
      </c>
      <c r="L460" s="1" t="s">
        <v>1421</v>
      </c>
      <c r="M460" s="1" t="s">
        <v>1230</v>
      </c>
      <c r="N460" s="1" t="s">
        <v>1121</v>
      </c>
      <c r="P460" s="1">
        <v>600250</v>
      </c>
      <c r="Q460" s="1" t="s">
        <v>1125</v>
      </c>
      <c r="R460" s="5">
        <v>3587949</v>
      </c>
      <c r="S460" s="5" t="s">
        <v>368</v>
      </c>
      <c r="T460" s="1" t="s">
        <v>28</v>
      </c>
      <c r="U460" s="5" t="s">
        <v>117</v>
      </c>
      <c r="V460" s="1" t="s">
        <v>118</v>
      </c>
      <c r="W460" s="1">
        <v>0.5</v>
      </c>
      <c r="X460" s="1">
        <v>1250</v>
      </c>
      <c r="Y460" s="1">
        <v>0</v>
      </c>
      <c r="Z460" s="3">
        <v>290</v>
      </c>
      <c r="AA460" s="3">
        <v>0</v>
      </c>
      <c r="AB460" s="3">
        <v>290</v>
      </c>
      <c r="AC460" s="3">
        <v>0</v>
      </c>
      <c r="AD460" s="3">
        <f t="shared" si="213"/>
        <v>290</v>
      </c>
      <c r="AE460" s="3">
        <v>0</v>
      </c>
      <c r="AF460" s="3">
        <v>0</v>
      </c>
      <c r="AG460" s="3">
        <v>0</v>
      </c>
      <c r="AH460" s="3">
        <v>0</v>
      </c>
      <c r="AI460" s="3">
        <v>290</v>
      </c>
      <c r="AJ460" s="3">
        <f t="shared" si="214"/>
        <v>290</v>
      </c>
      <c r="AK460" s="1">
        <v>0</v>
      </c>
      <c r="AL460" s="3">
        <f t="shared" si="217"/>
        <v>0</v>
      </c>
      <c r="AM460" s="3">
        <f t="shared" si="218"/>
        <v>0</v>
      </c>
      <c r="AN460" s="3">
        <f t="shared" si="219"/>
        <v>0</v>
      </c>
      <c r="AO460" s="3">
        <f>AI460</f>
        <v>290</v>
      </c>
      <c r="AP460" s="3">
        <f t="shared" si="216"/>
        <v>0</v>
      </c>
    </row>
    <row r="461" spans="1:42" x14ac:dyDescent="0.35">
      <c r="A461" s="1">
        <v>744</v>
      </c>
      <c r="B461" s="6">
        <v>45920</v>
      </c>
      <c r="C461" s="5" t="s">
        <v>64</v>
      </c>
      <c r="D461" s="1">
        <v>9519121602</v>
      </c>
      <c r="E461" s="1">
        <v>1</v>
      </c>
      <c r="F461" s="1" t="s">
        <v>1137</v>
      </c>
      <c r="G461" s="1" t="s">
        <v>1155</v>
      </c>
      <c r="H461" s="5" t="s">
        <v>86</v>
      </c>
      <c r="I461" s="5" t="s">
        <v>968</v>
      </c>
      <c r="J461" s="5">
        <v>7500</v>
      </c>
      <c r="K461" s="1" t="s">
        <v>969</v>
      </c>
      <c r="L461" s="1" t="str">
        <f t="shared" ref="L461:L474" si="221">K461</f>
        <v>IPP</v>
      </c>
      <c r="M461" s="1" t="s">
        <v>1232</v>
      </c>
      <c r="N461" s="1" t="s">
        <v>1135</v>
      </c>
      <c r="P461" s="1">
        <v>941597</v>
      </c>
      <c r="Q461" s="1" t="s">
        <v>87</v>
      </c>
      <c r="R461" s="5">
        <v>3902332</v>
      </c>
      <c r="S461" s="5" t="s">
        <v>142</v>
      </c>
      <c r="T461" s="1" t="s">
        <v>88</v>
      </c>
      <c r="U461" s="5" t="s">
        <v>89</v>
      </c>
      <c r="V461" s="1" t="s">
        <v>143</v>
      </c>
      <c r="W461" s="1">
        <v>0.5</v>
      </c>
      <c r="X461" s="1">
        <v>1220</v>
      </c>
      <c r="Y461" s="1">
        <v>0</v>
      </c>
      <c r="Z461" s="3">
        <v>56</v>
      </c>
      <c r="AA461" s="3">
        <v>26.87</v>
      </c>
      <c r="AB461" s="3">
        <v>29.13</v>
      </c>
      <c r="AC461" s="3">
        <v>22.11</v>
      </c>
      <c r="AD461" s="3">
        <f t="shared" si="213"/>
        <v>29.13</v>
      </c>
      <c r="AE461" s="3">
        <v>0</v>
      </c>
      <c r="AF461" s="3">
        <v>29.13</v>
      </c>
      <c r="AG461" s="3">
        <v>0</v>
      </c>
      <c r="AH461" s="3">
        <v>0</v>
      </c>
      <c r="AI461" s="3">
        <v>0</v>
      </c>
      <c r="AJ461" s="3">
        <f t="shared" si="214"/>
        <v>51.239999999999995</v>
      </c>
      <c r="AK461" s="1">
        <v>0</v>
      </c>
      <c r="AL461" s="1">
        <v>0</v>
      </c>
      <c r="AM461" s="1">
        <v>0</v>
      </c>
      <c r="AN461" s="3">
        <f>AF461+AC461</f>
        <v>51.239999999999995</v>
      </c>
      <c r="AO461" s="1">
        <v>0</v>
      </c>
      <c r="AP461" s="3">
        <f t="shared" si="216"/>
        <v>0</v>
      </c>
    </row>
    <row r="462" spans="1:42" x14ac:dyDescent="0.35">
      <c r="A462" s="1">
        <v>742</v>
      </c>
      <c r="B462" s="6">
        <v>45920</v>
      </c>
      <c r="C462" s="5" t="s">
        <v>64</v>
      </c>
      <c r="D462" s="1">
        <v>9519123053</v>
      </c>
      <c r="E462" s="1">
        <v>8</v>
      </c>
      <c r="F462" s="1" t="s">
        <v>1138</v>
      </c>
      <c r="G462" s="1" t="s">
        <v>1155</v>
      </c>
      <c r="H462" s="5" t="s">
        <v>21</v>
      </c>
      <c r="I462" s="1" t="s">
        <v>969</v>
      </c>
      <c r="J462" s="5"/>
      <c r="K462" s="1" t="s">
        <v>969</v>
      </c>
      <c r="L462" s="1" t="str">
        <f t="shared" si="221"/>
        <v>IPP</v>
      </c>
      <c r="M462" s="1" t="s">
        <v>1228</v>
      </c>
      <c r="N462" s="1" t="s">
        <v>328</v>
      </c>
      <c r="P462" s="1">
        <v>189405</v>
      </c>
      <c r="Q462" s="1" t="s">
        <v>327</v>
      </c>
      <c r="R462" s="5">
        <v>3655054</v>
      </c>
      <c r="S462" s="5" t="s">
        <v>482</v>
      </c>
      <c r="T462" s="1" t="s">
        <v>28</v>
      </c>
      <c r="U462" s="5" t="s">
        <v>29</v>
      </c>
      <c r="V462" s="1" t="s">
        <v>349</v>
      </c>
      <c r="W462" s="1">
        <v>1.2</v>
      </c>
      <c r="X462" s="1">
        <v>1215</v>
      </c>
      <c r="Y462" s="1">
        <v>0</v>
      </c>
      <c r="Z462" s="3">
        <v>56</v>
      </c>
      <c r="AA462" s="3">
        <v>0</v>
      </c>
      <c r="AB462" s="3">
        <v>56</v>
      </c>
      <c r="AC462" s="3">
        <v>0</v>
      </c>
      <c r="AD462" s="3">
        <f t="shared" si="213"/>
        <v>56</v>
      </c>
      <c r="AE462" s="3">
        <v>0</v>
      </c>
      <c r="AF462" s="3">
        <v>0</v>
      </c>
      <c r="AG462" s="3">
        <v>0</v>
      </c>
      <c r="AH462" s="3">
        <v>56</v>
      </c>
      <c r="AI462" s="3">
        <v>0</v>
      </c>
      <c r="AJ462" s="3">
        <f t="shared" si="214"/>
        <v>56</v>
      </c>
      <c r="AK462" s="1">
        <v>0</v>
      </c>
      <c r="AL462" s="1">
        <v>0</v>
      </c>
      <c r="AM462" s="1">
        <v>0</v>
      </c>
      <c r="AN462" s="3">
        <f>AH462</f>
        <v>56</v>
      </c>
      <c r="AO462" s="3">
        <v>0</v>
      </c>
      <c r="AP462" s="3">
        <f t="shared" si="216"/>
        <v>0</v>
      </c>
    </row>
    <row r="463" spans="1:42" x14ac:dyDescent="0.35">
      <c r="A463" s="1">
        <v>742</v>
      </c>
      <c r="B463" s="6">
        <v>45920</v>
      </c>
      <c r="C463" s="5" t="s">
        <v>64</v>
      </c>
      <c r="D463" s="1">
        <v>9519123053</v>
      </c>
      <c r="E463" s="1">
        <v>9</v>
      </c>
      <c r="F463" s="1" t="s">
        <v>1139</v>
      </c>
      <c r="G463" s="1" t="s">
        <v>1155</v>
      </c>
      <c r="H463" s="5" t="s">
        <v>21</v>
      </c>
      <c r="I463" s="1" t="s">
        <v>969</v>
      </c>
      <c r="J463" s="5"/>
      <c r="K463" s="1" t="s">
        <v>969</v>
      </c>
      <c r="L463" s="1" t="str">
        <f t="shared" si="221"/>
        <v>IPP</v>
      </c>
      <c r="M463" s="1" t="s">
        <v>1228</v>
      </c>
      <c r="N463" s="1" t="s">
        <v>328</v>
      </c>
      <c r="P463" s="1">
        <v>189405</v>
      </c>
      <c r="Q463" s="1" t="s">
        <v>327</v>
      </c>
      <c r="R463" s="5">
        <v>3655053</v>
      </c>
      <c r="S463" s="5" t="s">
        <v>1148</v>
      </c>
      <c r="T463" s="1" t="s">
        <v>28</v>
      </c>
      <c r="U463" s="5" t="s">
        <v>29</v>
      </c>
      <c r="V463" s="1" t="s">
        <v>349</v>
      </c>
      <c r="W463" s="1">
        <v>0.9</v>
      </c>
      <c r="X463" s="1">
        <v>1215</v>
      </c>
      <c r="Y463" s="1">
        <v>0</v>
      </c>
      <c r="Z463" s="3">
        <v>56</v>
      </c>
      <c r="AA463" s="3">
        <v>0</v>
      </c>
      <c r="AB463" s="3">
        <v>56</v>
      </c>
      <c r="AC463" s="3">
        <v>0</v>
      </c>
      <c r="AD463" s="3">
        <f t="shared" si="213"/>
        <v>56</v>
      </c>
      <c r="AE463" s="3">
        <v>0</v>
      </c>
      <c r="AF463" s="3">
        <v>56</v>
      </c>
      <c r="AG463" s="3">
        <v>0</v>
      </c>
      <c r="AH463" s="3">
        <v>0</v>
      </c>
      <c r="AI463" s="3">
        <v>0</v>
      </c>
      <c r="AJ463" s="3">
        <f t="shared" si="214"/>
        <v>56</v>
      </c>
      <c r="AK463" s="1">
        <v>0</v>
      </c>
      <c r="AL463" s="1">
        <v>0</v>
      </c>
      <c r="AM463" s="3">
        <f>AF463</f>
        <v>56</v>
      </c>
      <c r="AN463" s="1">
        <v>0</v>
      </c>
      <c r="AO463" s="1">
        <v>0</v>
      </c>
      <c r="AP463" s="3">
        <f t="shared" si="216"/>
        <v>0</v>
      </c>
    </row>
    <row r="464" spans="1:42" x14ac:dyDescent="0.35">
      <c r="A464" s="1">
        <v>742</v>
      </c>
      <c r="B464" s="6">
        <v>45920</v>
      </c>
      <c r="C464" s="5" t="s">
        <v>64</v>
      </c>
      <c r="D464" s="1">
        <v>9519123118</v>
      </c>
      <c r="E464" s="1">
        <v>5</v>
      </c>
      <c r="F464" s="1" t="s">
        <v>1140</v>
      </c>
      <c r="G464" s="1" t="s">
        <v>1155</v>
      </c>
      <c r="H464" s="5" t="s">
        <v>21</v>
      </c>
      <c r="I464" s="1" t="s">
        <v>969</v>
      </c>
      <c r="J464" s="5"/>
      <c r="K464" s="1" t="s">
        <v>969</v>
      </c>
      <c r="L464" s="1" t="str">
        <f t="shared" si="221"/>
        <v>IPP</v>
      </c>
      <c r="M464" s="1" t="s">
        <v>1229</v>
      </c>
      <c r="N464" s="1" t="s">
        <v>137</v>
      </c>
      <c r="P464" s="1">
        <v>187214</v>
      </c>
      <c r="Q464" s="1" t="s">
        <v>324</v>
      </c>
      <c r="R464" s="5">
        <v>2164807</v>
      </c>
      <c r="S464" s="5" t="s">
        <v>1149</v>
      </c>
      <c r="T464" s="1" t="s">
        <v>28</v>
      </c>
      <c r="U464" s="5" t="s">
        <v>29</v>
      </c>
      <c r="V464" s="1" t="s">
        <v>349</v>
      </c>
      <c r="W464" s="1">
        <v>1.2</v>
      </c>
      <c r="X464" s="1">
        <v>1315</v>
      </c>
      <c r="Y464" s="1">
        <v>0</v>
      </c>
      <c r="Z464" s="3">
        <v>60</v>
      </c>
      <c r="AA464" s="3">
        <v>0</v>
      </c>
      <c r="AB464" s="3">
        <v>60</v>
      </c>
      <c r="AC464" s="3">
        <v>0</v>
      </c>
      <c r="AD464" s="3">
        <f t="shared" si="213"/>
        <v>60</v>
      </c>
      <c r="AE464" s="3">
        <v>0</v>
      </c>
      <c r="AF464" s="3">
        <v>0</v>
      </c>
      <c r="AG464" s="3">
        <v>0</v>
      </c>
      <c r="AH464" s="3">
        <v>60</v>
      </c>
      <c r="AI464" s="3">
        <v>0</v>
      </c>
      <c r="AJ464" s="3">
        <f t="shared" si="214"/>
        <v>60</v>
      </c>
      <c r="AK464" s="1">
        <v>0</v>
      </c>
      <c r="AL464" s="1">
        <v>0</v>
      </c>
      <c r="AM464" s="1">
        <v>0</v>
      </c>
      <c r="AN464" s="3">
        <f t="shared" ref="AN464:AN465" si="222">AH464</f>
        <v>60</v>
      </c>
      <c r="AO464" s="3">
        <v>0</v>
      </c>
      <c r="AP464" s="3">
        <f t="shared" si="216"/>
        <v>0</v>
      </c>
    </row>
    <row r="465" spans="1:42" x14ac:dyDescent="0.35">
      <c r="A465" s="1">
        <v>742</v>
      </c>
      <c r="B465" s="6">
        <v>45920</v>
      </c>
      <c r="C465" s="5" t="s">
        <v>64</v>
      </c>
      <c r="D465" s="1">
        <v>9519123167</v>
      </c>
      <c r="E465" s="1">
        <v>1</v>
      </c>
      <c r="F465" s="1" t="s">
        <v>1141</v>
      </c>
      <c r="G465" s="1" t="s">
        <v>1155</v>
      </c>
      <c r="H465" s="5" t="s">
        <v>21</v>
      </c>
      <c r="I465" s="1" t="s">
        <v>969</v>
      </c>
      <c r="J465" s="5"/>
      <c r="K465" s="1" t="s">
        <v>969</v>
      </c>
      <c r="L465" s="1" t="str">
        <f t="shared" si="221"/>
        <v>IPP</v>
      </c>
      <c r="M465" s="1" t="s">
        <v>1231</v>
      </c>
      <c r="N465" s="1" t="s">
        <v>25</v>
      </c>
      <c r="P465" s="1">
        <v>189430</v>
      </c>
      <c r="Q465" s="1" t="s">
        <v>386</v>
      </c>
      <c r="R465" s="5">
        <v>2279492</v>
      </c>
      <c r="S465" s="5" t="s">
        <v>1150</v>
      </c>
      <c r="T465" s="1" t="s">
        <v>28</v>
      </c>
      <c r="U465" s="5" t="s">
        <v>29</v>
      </c>
      <c r="V465" s="1" t="s">
        <v>349</v>
      </c>
      <c r="W465" s="1">
        <v>0.9</v>
      </c>
      <c r="X465" s="1">
        <v>1220</v>
      </c>
      <c r="Y465" s="1">
        <v>0</v>
      </c>
      <c r="Z465" s="3">
        <v>28</v>
      </c>
      <c r="AA465" s="3">
        <v>0</v>
      </c>
      <c r="AB465" s="3">
        <v>28</v>
      </c>
      <c r="AC465" s="3">
        <v>0</v>
      </c>
      <c r="AD465" s="3">
        <f t="shared" si="213"/>
        <v>28</v>
      </c>
      <c r="AE465" s="3">
        <v>0</v>
      </c>
      <c r="AF465" s="3">
        <v>0</v>
      </c>
      <c r="AG465" s="3">
        <v>0</v>
      </c>
      <c r="AH465" s="3">
        <v>28</v>
      </c>
      <c r="AI465" s="3">
        <v>0</v>
      </c>
      <c r="AJ465" s="3">
        <f t="shared" si="214"/>
        <v>28</v>
      </c>
      <c r="AK465" s="1">
        <v>0</v>
      </c>
      <c r="AL465" s="1">
        <v>0</v>
      </c>
      <c r="AM465" s="1">
        <v>0</v>
      </c>
      <c r="AN465" s="3">
        <f t="shared" si="222"/>
        <v>28</v>
      </c>
      <c r="AO465" s="3">
        <v>0</v>
      </c>
      <c r="AP465" s="3">
        <f t="shared" si="216"/>
        <v>0</v>
      </c>
    </row>
    <row r="466" spans="1:42" x14ac:dyDescent="0.35">
      <c r="A466" s="1">
        <v>742</v>
      </c>
      <c r="B466" s="6">
        <v>45920</v>
      </c>
      <c r="C466" s="5" t="s">
        <v>64</v>
      </c>
      <c r="D466" s="1">
        <v>9519123167</v>
      </c>
      <c r="E466" s="1">
        <v>2</v>
      </c>
      <c r="F466" s="1" t="s">
        <v>1142</v>
      </c>
      <c r="G466" s="1" t="s">
        <v>1155</v>
      </c>
      <c r="H466" s="5" t="s">
        <v>21</v>
      </c>
      <c r="I466" s="1" t="s">
        <v>969</v>
      </c>
      <c r="J466" s="5"/>
      <c r="K466" s="1" t="s">
        <v>969</v>
      </c>
      <c r="L466" s="1" t="str">
        <f t="shared" si="221"/>
        <v>IPP</v>
      </c>
      <c r="M466" s="1" t="s">
        <v>1231</v>
      </c>
      <c r="N466" s="1" t="s">
        <v>25</v>
      </c>
      <c r="P466" s="1">
        <v>189430</v>
      </c>
      <c r="Q466" s="1" t="s">
        <v>386</v>
      </c>
      <c r="R466" s="5">
        <v>2170008</v>
      </c>
      <c r="S466" s="5" t="s">
        <v>443</v>
      </c>
      <c r="T466" s="1" t="s">
        <v>28</v>
      </c>
      <c r="U466" s="5" t="s">
        <v>29</v>
      </c>
      <c r="V466" s="1" t="s">
        <v>349</v>
      </c>
      <c r="W466" s="1">
        <v>0.97</v>
      </c>
      <c r="X466" s="1">
        <v>1220</v>
      </c>
      <c r="Y466" s="1">
        <v>0</v>
      </c>
      <c r="Z466" s="3">
        <v>84</v>
      </c>
      <c r="AA466" s="3">
        <v>0</v>
      </c>
      <c r="AB466" s="3">
        <v>84</v>
      </c>
      <c r="AC466" s="3">
        <v>0</v>
      </c>
      <c r="AD466" s="3">
        <f t="shared" si="213"/>
        <v>84</v>
      </c>
      <c r="AE466" s="3">
        <v>0</v>
      </c>
      <c r="AF466" s="3">
        <v>0</v>
      </c>
      <c r="AG466" s="3">
        <v>0</v>
      </c>
      <c r="AH466" s="3">
        <v>84</v>
      </c>
      <c r="AI466" s="3">
        <v>0</v>
      </c>
      <c r="AJ466" s="3">
        <f t="shared" si="214"/>
        <v>84</v>
      </c>
      <c r="AK466" s="1">
        <v>0</v>
      </c>
      <c r="AL466" s="1">
        <v>0</v>
      </c>
      <c r="AM466" s="1">
        <v>0</v>
      </c>
      <c r="AN466" s="1">
        <v>0</v>
      </c>
      <c r="AO466" s="3">
        <f t="shared" ref="AO466:AO467" si="223">AH466</f>
        <v>84</v>
      </c>
      <c r="AP466" s="3">
        <f t="shared" si="216"/>
        <v>0</v>
      </c>
    </row>
    <row r="467" spans="1:42" x14ac:dyDescent="0.35">
      <c r="A467" s="1">
        <v>742</v>
      </c>
      <c r="B467" s="6">
        <v>45920</v>
      </c>
      <c r="C467" s="5" t="s">
        <v>64</v>
      </c>
      <c r="D467" s="1">
        <v>9519123167</v>
      </c>
      <c r="E467" s="1">
        <v>3</v>
      </c>
      <c r="F467" s="1" t="s">
        <v>1143</v>
      </c>
      <c r="G467" s="1" t="s">
        <v>1155</v>
      </c>
      <c r="H467" s="5" t="s">
        <v>21</v>
      </c>
      <c r="I467" s="1" t="s">
        <v>969</v>
      </c>
      <c r="J467" s="5"/>
      <c r="K467" s="1" t="s">
        <v>969</v>
      </c>
      <c r="L467" s="1" t="str">
        <f t="shared" si="221"/>
        <v>IPP</v>
      </c>
      <c r="M467" s="1" t="s">
        <v>1231</v>
      </c>
      <c r="N467" s="1" t="s">
        <v>25</v>
      </c>
      <c r="P467" s="1">
        <v>189430</v>
      </c>
      <c r="Q467" s="1" t="s">
        <v>386</v>
      </c>
      <c r="R467" s="5">
        <v>2170030</v>
      </c>
      <c r="S467" s="5" t="s">
        <v>1151</v>
      </c>
      <c r="T467" s="1" t="s">
        <v>28</v>
      </c>
      <c r="U467" s="5" t="s">
        <v>29</v>
      </c>
      <c r="V467" s="1" t="s">
        <v>349</v>
      </c>
      <c r="W467" s="1">
        <v>1.2</v>
      </c>
      <c r="X467" s="1">
        <v>1220</v>
      </c>
      <c r="Y467" s="1">
        <v>0</v>
      </c>
      <c r="Z467" s="3">
        <v>28</v>
      </c>
      <c r="AA467" s="3">
        <v>0</v>
      </c>
      <c r="AB467" s="3">
        <v>28</v>
      </c>
      <c r="AC467" s="3">
        <v>0</v>
      </c>
      <c r="AD467" s="3">
        <f t="shared" si="213"/>
        <v>28</v>
      </c>
      <c r="AE467" s="3">
        <v>0</v>
      </c>
      <c r="AF467" s="3">
        <v>0</v>
      </c>
      <c r="AG467" s="3">
        <v>0</v>
      </c>
      <c r="AH467" s="3">
        <v>28</v>
      </c>
      <c r="AI467" s="3">
        <v>0</v>
      </c>
      <c r="AJ467" s="3">
        <f t="shared" si="214"/>
        <v>28</v>
      </c>
      <c r="AK467" s="1">
        <v>0</v>
      </c>
      <c r="AL467" s="1">
        <v>0</v>
      </c>
      <c r="AM467" s="1">
        <v>0</v>
      </c>
      <c r="AN467" s="1">
        <v>0</v>
      </c>
      <c r="AO467" s="3">
        <f t="shared" si="223"/>
        <v>28</v>
      </c>
      <c r="AP467" s="3">
        <f t="shared" si="216"/>
        <v>0</v>
      </c>
    </row>
    <row r="468" spans="1:42" x14ac:dyDescent="0.35">
      <c r="A468" s="1">
        <v>742</v>
      </c>
      <c r="B468" s="6">
        <v>45920</v>
      </c>
      <c r="C468" s="5" t="s">
        <v>64</v>
      </c>
      <c r="D468" s="1">
        <v>9519123053</v>
      </c>
      <c r="E468" s="1">
        <v>7</v>
      </c>
      <c r="F468" s="1" t="s">
        <v>1144</v>
      </c>
      <c r="G468" s="1" t="s">
        <v>1155</v>
      </c>
      <c r="H468" s="5" t="s">
        <v>21</v>
      </c>
      <c r="I468" s="1" t="s">
        <v>969</v>
      </c>
      <c r="J468" s="5"/>
      <c r="K468" s="1" t="s">
        <v>969</v>
      </c>
      <c r="L468" s="1" t="str">
        <f t="shared" si="221"/>
        <v>IPP</v>
      </c>
      <c r="M468" s="1" t="s">
        <v>1228</v>
      </c>
      <c r="N468" s="1" t="s">
        <v>328</v>
      </c>
      <c r="P468" s="1">
        <v>189405</v>
      </c>
      <c r="Q468" s="1" t="s">
        <v>327</v>
      </c>
      <c r="R468" s="5">
        <v>3683012</v>
      </c>
      <c r="S468" s="5" t="s">
        <v>447</v>
      </c>
      <c r="T468" s="1" t="s">
        <v>28</v>
      </c>
      <c r="U468" s="5" t="s">
        <v>29</v>
      </c>
      <c r="V468" s="1" t="s">
        <v>349</v>
      </c>
      <c r="W468" s="1">
        <v>0.97</v>
      </c>
      <c r="X468" s="1">
        <v>1215</v>
      </c>
      <c r="Y468" s="1">
        <v>0</v>
      </c>
      <c r="Z468" s="3">
        <v>252</v>
      </c>
      <c r="AA468" s="3">
        <v>15.675000000000001</v>
      </c>
      <c r="AB468" s="3">
        <v>236.32499999999999</v>
      </c>
      <c r="AC468" s="3">
        <v>15.675000000000001</v>
      </c>
      <c r="AD468" s="3">
        <f t="shared" si="213"/>
        <v>236.32499999999999</v>
      </c>
      <c r="AE468" s="3">
        <v>0</v>
      </c>
      <c r="AF468" s="3">
        <v>0</v>
      </c>
      <c r="AG468" s="3">
        <v>0</v>
      </c>
      <c r="AH468" s="3">
        <v>236.32499999999999</v>
      </c>
      <c r="AI468" s="3">
        <v>0</v>
      </c>
      <c r="AJ468" s="3">
        <f t="shared" si="214"/>
        <v>252</v>
      </c>
      <c r="AK468" s="1">
        <v>0</v>
      </c>
      <c r="AL468" s="1">
        <v>0</v>
      </c>
      <c r="AM468" s="1">
        <v>0</v>
      </c>
      <c r="AN468" s="1">
        <v>0</v>
      </c>
      <c r="AO468" s="3">
        <f>AH468+AC468</f>
        <v>252</v>
      </c>
      <c r="AP468" s="3">
        <f t="shared" si="216"/>
        <v>0</v>
      </c>
    </row>
    <row r="469" spans="1:42" x14ac:dyDescent="0.35">
      <c r="A469" s="1">
        <v>742</v>
      </c>
      <c r="B469" s="6">
        <v>45920</v>
      </c>
      <c r="C469" s="5" t="s">
        <v>64</v>
      </c>
      <c r="D469" s="1">
        <v>9519123125</v>
      </c>
      <c r="E469" s="1">
        <v>1</v>
      </c>
      <c r="F469" s="1" t="s">
        <v>1145</v>
      </c>
      <c r="G469" s="1" t="s">
        <v>1155</v>
      </c>
      <c r="H469" s="5" t="s">
        <v>21</v>
      </c>
      <c r="I469" s="1" t="s">
        <v>969</v>
      </c>
      <c r="J469" s="5"/>
      <c r="K469" s="1" t="s">
        <v>969</v>
      </c>
      <c r="L469" s="1" t="str">
        <f t="shared" si="221"/>
        <v>IPP</v>
      </c>
      <c r="M469" s="1" t="s">
        <v>1229</v>
      </c>
      <c r="N469" s="1" t="s">
        <v>137</v>
      </c>
      <c r="P469" s="1">
        <v>187214</v>
      </c>
      <c r="Q469" s="1" t="s">
        <v>324</v>
      </c>
      <c r="R469" s="5">
        <v>2421724</v>
      </c>
      <c r="S469" s="5" t="s">
        <v>359</v>
      </c>
      <c r="T469" s="1" t="s">
        <v>28</v>
      </c>
      <c r="U469" s="5" t="s">
        <v>29</v>
      </c>
      <c r="V469" s="1" t="s">
        <v>349</v>
      </c>
      <c r="W469" s="1">
        <v>0.97</v>
      </c>
      <c r="X469" s="1">
        <v>1310</v>
      </c>
      <c r="Y469" s="1">
        <v>0</v>
      </c>
      <c r="Z469" s="3">
        <v>60</v>
      </c>
      <c r="AA469" s="3">
        <v>0</v>
      </c>
      <c r="AB469" s="3">
        <v>60</v>
      </c>
      <c r="AC469" s="3">
        <v>0</v>
      </c>
      <c r="AD469" s="3">
        <f t="shared" si="213"/>
        <v>60</v>
      </c>
      <c r="AE469" s="3">
        <v>0</v>
      </c>
      <c r="AF469" s="3">
        <v>0</v>
      </c>
      <c r="AG469" s="3">
        <v>0</v>
      </c>
      <c r="AH469" s="3">
        <v>60</v>
      </c>
      <c r="AI469" s="3">
        <v>0</v>
      </c>
      <c r="AJ469" s="3">
        <f t="shared" si="214"/>
        <v>60</v>
      </c>
      <c r="AK469" s="1">
        <v>0</v>
      </c>
      <c r="AL469" s="1">
        <v>0</v>
      </c>
      <c r="AM469" s="1">
        <v>0</v>
      </c>
      <c r="AN469" s="1">
        <v>0</v>
      </c>
      <c r="AO469" s="3">
        <f t="shared" ref="AO469:AO470" si="224">AH469</f>
        <v>60</v>
      </c>
      <c r="AP469" s="3">
        <f t="shared" si="216"/>
        <v>0</v>
      </c>
    </row>
    <row r="470" spans="1:42" x14ac:dyDescent="0.35">
      <c r="A470" s="1">
        <v>742</v>
      </c>
      <c r="B470" s="6">
        <v>45920</v>
      </c>
      <c r="C470" s="5" t="s">
        <v>64</v>
      </c>
      <c r="D470" s="1">
        <v>9519123118</v>
      </c>
      <c r="E470" s="1">
        <v>4</v>
      </c>
      <c r="F470" s="1" t="s">
        <v>1146</v>
      </c>
      <c r="G470" s="1" t="s">
        <v>1155</v>
      </c>
      <c r="H470" s="5" t="s">
        <v>21</v>
      </c>
      <c r="I470" s="1" t="s">
        <v>969</v>
      </c>
      <c r="J470" s="5"/>
      <c r="K470" s="1" t="s">
        <v>969</v>
      </c>
      <c r="L470" s="1" t="str">
        <f t="shared" si="221"/>
        <v>IPP</v>
      </c>
      <c r="M470" s="1" t="s">
        <v>1229</v>
      </c>
      <c r="N470" s="1" t="s">
        <v>137</v>
      </c>
      <c r="P470" s="1">
        <v>187214</v>
      </c>
      <c r="Q470" s="1" t="s">
        <v>324</v>
      </c>
      <c r="R470" s="5">
        <v>2421724</v>
      </c>
      <c r="S470" s="5" t="s">
        <v>359</v>
      </c>
      <c r="T470" s="1" t="s">
        <v>28</v>
      </c>
      <c r="U470" s="5" t="s">
        <v>29</v>
      </c>
      <c r="V470" s="1" t="s">
        <v>349</v>
      </c>
      <c r="W470" s="1">
        <v>0.97</v>
      </c>
      <c r="X470" s="1">
        <v>1310</v>
      </c>
      <c r="Y470" s="1">
        <v>0</v>
      </c>
      <c r="Z470" s="3">
        <v>60</v>
      </c>
      <c r="AA470" s="3">
        <v>0</v>
      </c>
      <c r="AB470" s="3">
        <v>60</v>
      </c>
      <c r="AC470" s="3">
        <v>0</v>
      </c>
      <c r="AD470" s="3">
        <f t="shared" si="213"/>
        <v>60</v>
      </c>
      <c r="AE470" s="3">
        <v>0</v>
      </c>
      <c r="AF470" s="3">
        <v>0</v>
      </c>
      <c r="AG470" s="3">
        <v>0</v>
      </c>
      <c r="AH470" s="3">
        <v>60</v>
      </c>
      <c r="AI470" s="3">
        <v>0</v>
      </c>
      <c r="AJ470" s="3">
        <f t="shared" si="214"/>
        <v>60</v>
      </c>
      <c r="AK470" s="1">
        <v>0</v>
      </c>
      <c r="AL470" s="1">
        <v>0</v>
      </c>
      <c r="AM470" s="1">
        <v>0</v>
      </c>
      <c r="AN470" s="1">
        <v>0</v>
      </c>
      <c r="AO470" s="3">
        <f t="shared" si="224"/>
        <v>60</v>
      </c>
      <c r="AP470" s="3">
        <f t="shared" si="216"/>
        <v>0</v>
      </c>
    </row>
    <row r="471" spans="1:42" x14ac:dyDescent="0.35">
      <c r="A471" s="1">
        <v>744</v>
      </c>
      <c r="B471" s="6">
        <v>45920</v>
      </c>
      <c r="C471" s="5" t="s">
        <v>64</v>
      </c>
      <c r="D471" s="1">
        <v>9519121345</v>
      </c>
      <c r="E471" s="1">
        <v>1</v>
      </c>
      <c r="F471" s="1" t="s">
        <v>1147</v>
      </c>
      <c r="G471" s="1" t="s">
        <v>1155</v>
      </c>
      <c r="H471" s="5" t="s">
        <v>86</v>
      </c>
      <c r="I471" s="5" t="s">
        <v>968</v>
      </c>
      <c r="J471" s="5"/>
      <c r="K471" s="1" t="s">
        <v>969</v>
      </c>
      <c r="L471" s="1" t="str">
        <f t="shared" si="221"/>
        <v>IPP</v>
      </c>
      <c r="M471" s="1" t="s">
        <v>1232</v>
      </c>
      <c r="N471" s="1" t="s">
        <v>108</v>
      </c>
      <c r="P471" s="1">
        <v>940016</v>
      </c>
      <c r="Q471" s="1" t="s">
        <v>107</v>
      </c>
      <c r="R471" s="5">
        <v>4120439</v>
      </c>
      <c r="S471" s="5" t="s">
        <v>1152</v>
      </c>
      <c r="T471" s="1" t="s">
        <v>88</v>
      </c>
      <c r="U471" s="5" t="s">
        <v>89</v>
      </c>
      <c r="V471" s="1" t="s">
        <v>217</v>
      </c>
      <c r="W471" s="1">
        <v>0.31</v>
      </c>
      <c r="X471" s="1">
        <v>1220</v>
      </c>
      <c r="Y471" s="1">
        <v>0</v>
      </c>
      <c r="Z471" s="3">
        <v>196</v>
      </c>
      <c r="AA471" s="3">
        <v>0</v>
      </c>
      <c r="AB471" s="3">
        <v>196</v>
      </c>
      <c r="AC471" s="3">
        <v>0</v>
      </c>
      <c r="AD471" s="3">
        <f t="shared" si="213"/>
        <v>196</v>
      </c>
      <c r="AE471" s="3">
        <v>0</v>
      </c>
      <c r="AF471" s="3">
        <v>196</v>
      </c>
      <c r="AG471" s="3">
        <v>0</v>
      </c>
      <c r="AH471" s="3">
        <v>0</v>
      </c>
      <c r="AI471" s="3">
        <v>0</v>
      </c>
      <c r="AJ471" s="3">
        <f t="shared" si="214"/>
        <v>196</v>
      </c>
      <c r="AK471" s="1">
        <v>0</v>
      </c>
      <c r="AL471" s="3">
        <f>AF471</f>
        <v>196</v>
      </c>
      <c r="AM471" s="1">
        <v>0</v>
      </c>
      <c r="AN471" s="1">
        <v>0</v>
      </c>
      <c r="AO471" s="1">
        <v>0</v>
      </c>
      <c r="AP471" s="3">
        <f t="shared" si="216"/>
        <v>0</v>
      </c>
    </row>
    <row r="472" spans="1:42" x14ac:dyDescent="0.35">
      <c r="A472" s="1">
        <v>743</v>
      </c>
      <c r="B472" s="2">
        <v>45915</v>
      </c>
      <c r="C472" s="1" t="s">
        <v>64</v>
      </c>
      <c r="D472" s="1">
        <v>9519105662</v>
      </c>
      <c r="E472" s="1">
        <v>10</v>
      </c>
      <c r="F472" s="1" t="s">
        <v>1164</v>
      </c>
      <c r="G472" s="1" t="s">
        <v>1155</v>
      </c>
      <c r="H472" s="1" t="s">
        <v>63</v>
      </c>
      <c r="I472" s="1" t="s">
        <v>1368</v>
      </c>
      <c r="K472" s="1" t="s">
        <v>970</v>
      </c>
      <c r="L472" s="1" t="str">
        <f t="shared" si="221"/>
        <v>BPRS</v>
      </c>
      <c r="M472" s="1" t="s">
        <v>1230</v>
      </c>
      <c r="N472" s="1" t="s">
        <v>156</v>
      </c>
      <c r="O472" s="1" t="s">
        <v>157</v>
      </c>
      <c r="P472" s="1">
        <v>103227</v>
      </c>
      <c r="Q472" s="1" t="s">
        <v>155</v>
      </c>
      <c r="R472" s="1">
        <v>1851101</v>
      </c>
      <c r="S472" s="1" t="s">
        <v>278</v>
      </c>
      <c r="T472" s="1" t="s">
        <v>139</v>
      </c>
      <c r="U472" s="1" t="s">
        <v>140</v>
      </c>
      <c r="V472" s="1" t="s">
        <v>150</v>
      </c>
      <c r="W472" s="1">
        <v>0.5</v>
      </c>
      <c r="X472" s="1">
        <v>1220</v>
      </c>
      <c r="Y472" s="1">
        <v>0</v>
      </c>
      <c r="Z472" s="3">
        <v>56</v>
      </c>
      <c r="AA472" s="3">
        <v>16.239999999999998</v>
      </c>
      <c r="AB472" s="3">
        <v>25.76</v>
      </c>
      <c r="AC472" s="3">
        <v>16.239999999999998</v>
      </c>
      <c r="AD472" s="3">
        <f t="shared" si="213"/>
        <v>25.76</v>
      </c>
      <c r="AE472" s="3">
        <v>25.76</v>
      </c>
      <c r="AF472" s="3">
        <v>0</v>
      </c>
      <c r="AG472" s="3">
        <v>0</v>
      </c>
      <c r="AH472" s="3">
        <v>0</v>
      </c>
      <c r="AI472" s="3">
        <v>0</v>
      </c>
      <c r="AJ472" s="3">
        <f t="shared" si="214"/>
        <v>42</v>
      </c>
      <c r="AK472" s="1">
        <v>0</v>
      </c>
      <c r="AL472" s="3">
        <f>AE472+AC472</f>
        <v>42</v>
      </c>
      <c r="AM472" s="1">
        <v>0</v>
      </c>
      <c r="AN472" s="1">
        <v>0</v>
      </c>
      <c r="AO472" s="1">
        <v>0</v>
      </c>
      <c r="AP472" s="3">
        <f t="shared" si="216"/>
        <v>0</v>
      </c>
    </row>
    <row r="473" spans="1:42" x14ac:dyDescent="0.35">
      <c r="A473" s="1">
        <v>742</v>
      </c>
      <c r="B473" s="2">
        <v>45917</v>
      </c>
      <c r="C473" s="1" t="s">
        <v>64</v>
      </c>
      <c r="D473" s="1">
        <v>9519113281</v>
      </c>
      <c r="E473" s="1">
        <v>1</v>
      </c>
      <c r="F473" s="1" t="s">
        <v>1165</v>
      </c>
      <c r="G473" s="1" t="s">
        <v>1155</v>
      </c>
      <c r="H473" s="1" t="s">
        <v>21</v>
      </c>
      <c r="I473" s="1" t="s">
        <v>975</v>
      </c>
      <c r="K473" s="1" t="s">
        <v>970</v>
      </c>
      <c r="L473" s="1" t="str">
        <f t="shared" si="221"/>
        <v>BPRS</v>
      </c>
      <c r="M473" s="1" t="s">
        <v>1229</v>
      </c>
      <c r="N473" s="1" t="s">
        <v>35</v>
      </c>
      <c r="O473" s="1" t="s">
        <v>32</v>
      </c>
      <c r="P473" s="1">
        <v>939268</v>
      </c>
      <c r="Q473" s="1" t="s">
        <v>24</v>
      </c>
      <c r="R473" s="1">
        <v>2420508</v>
      </c>
      <c r="S473" s="1" t="s">
        <v>454</v>
      </c>
      <c r="T473" s="1" t="s">
        <v>28</v>
      </c>
      <c r="U473" s="1" t="s">
        <v>29</v>
      </c>
      <c r="V473" s="1" t="s">
        <v>287</v>
      </c>
      <c r="W473" s="1">
        <v>0.5</v>
      </c>
      <c r="X473" s="1">
        <v>1250</v>
      </c>
      <c r="Y473" s="1">
        <v>0</v>
      </c>
      <c r="Z473" s="3">
        <v>58</v>
      </c>
      <c r="AA473" s="3">
        <v>0</v>
      </c>
      <c r="AB473" s="3">
        <v>58</v>
      </c>
      <c r="AC473" s="3">
        <v>0</v>
      </c>
      <c r="AD473" s="3">
        <f t="shared" si="213"/>
        <v>58</v>
      </c>
      <c r="AE473" s="3">
        <v>0</v>
      </c>
      <c r="AF473" s="3">
        <v>58</v>
      </c>
      <c r="AG473" s="3">
        <v>0</v>
      </c>
      <c r="AH473" s="3">
        <v>0</v>
      </c>
      <c r="AI473" s="3">
        <v>0</v>
      </c>
      <c r="AJ473" s="3">
        <f t="shared" si="214"/>
        <v>58</v>
      </c>
      <c r="AK473" s="1">
        <v>0</v>
      </c>
      <c r="AL473" s="3">
        <f>AE473</f>
        <v>0</v>
      </c>
      <c r="AM473" s="3">
        <f>AF473</f>
        <v>58</v>
      </c>
      <c r="AN473" s="3">
        <f>AG473</f>
        <v>0</v>
      </c>
      <c r="AO473" s="3">
        <f>AH473</f>
        <v>0</v>
      </c>
      <c r="AP473" s="3">
        <f t="shared" si="216"/>
        <v>0</v>
      </c>
    </row>
    <row r="474" spans="1:42" x14ac:dyDescent="0.35">
      <c r="A474" s="1">
        <v>743</v>
      </c>
      <c r="B474" s="2">
        <v>45916</v>
      </c>
      <c r="C474" s="1" t="s">
        <v>64</v>
      </c>
      <c r="D474" s="1">
        <v>9519107794</v>
      </c>
      <c r="E474" s="1">
        <v>1</v>
      </c>
      <c r="F474" s="1" t="s">
        <v>1166</v>
      </c>
      <c r="G474" s="1" t="s">
        <v>1155</v>
      </c>
      <c r="H474" s="1" t="s">
        <v>56</v>
      </c>
      <c r="I474" s="1" t="s">
        <v>968</v>
      </c>
      <c r="K474" s="1" t="s">
        <v>969</v>
      </c>
      <c r="L474" s="1" t="str">
        <f t="shared" si="221"/>
        <v>IPP</v>
      </c>
      <c r="M474" s="1" t="s">
        <v>1232</v>
      </c>
      <c r="N474" s="1" t="s">
        <v>187</v>
      </c>
      <c r="O474" s="1" t="s">
        <v>54</v>
      </c>
      <c r="P474" s="1">
        <v>942284</v>
      </c>
      <c r="Q474" s="1" t="s">
        <v>87</v>
      </c>
      <c r="R474" s="1">
        <v>4108810</v>
      </c>
      <c r="S474" s="1" t="s">
        <v>411</v>
      </c>
      <c r="T474" s="1" t="s">
        <v>60</v>
      </c>
      <c r="U474" s="1" t="s">
        <v>61</v>
      </c>
      <c r="V474" s="1" t="s">
        <v>412</v>
      </c>
      <c r="W474" s="1">
        <v>0.35</v>
      </c>
      <c r="X474" s="1">
        <v>1220</v>
      </c>
      <c r="Y474" s="1">
        <v>0</v>
      </c>
      <c r="Z474" s="3">
        <v>28</v>
      </c>
      <c r="AA474" s="3">
        <v>3.9</v>
      </c>
      <c r="AB474" s="3">
        <v>24.1</v>
      </c>
      <c r="AC474" s="3">
        <v>3.9</v>
      </c>
      <c r="AD474" s="3">
        <f t="shared" si="213"/>
        <v>24.1</v>
      </c>
      <c r="AE474" s="3">
        <v>0</v>
      </c>
      <c r="AF474" s="3">
        <v>0</v>
      </c>
      <c r="AG474" s="3">
        <v>24.1</v>
      </c>
      <c r="AH474" s="3">
        <v>0</v>
      </c>
      <c r="AI474" s="3">
        <v>0</v>
      </c>
      <c r="AJ474" s="3">
        <f t="shared" si="214"/>
        <v>28</v>
      </c>
      <c r="AK474" s="1">
        <v>0</v>
      </c>
      <c r="AL474" s="1">
        <v>0</v>
      </c>
      <c r="AM474" s="1">
        <v>0</v>
      </c>
      <c r="AN474" s="3">
        <f>AG474+AC474</f>
        <v>28</v>
      </c>
      <c r="AO474" s="1">
        <v>0</v>
      </c>
      <c r="AP474" s="3">
        <f t="shared" si="216"/>
        <v>0</v>
      </c>
    </row>
    <row r="475" spans="1:42" x14ac:dyDescent="0.35">
      <c r="A475" s="1">
        <v>742</v>
      </c>
      <c r="B475" s="2">
        <v>45919</v>
      </c>
      <c r="C475" s="1" t="s">
        <v>46</v>
      </c>
      <c r="D475" s="1">
        <v>9519120008</v>
      </c>
      <c r="E475" s="1">
        <v>1</v>
      </c>
      <c r="F475" s="1" t="s">
        <v>1167</v>
      </c>
      <c r="G475" s="1" t="s">
        <v>1155</v>
      </c>
      <c r="H475" s="1" t="s">
        <v>21</v>
      </c>
      <c r="I475" s="1" t="s">
        <v>974</v>
      </c>
      <c r="K475" s="1" t="s">
        <v>969</v>
      </c>
      <c r="L475" s="1" t="s">
        <v>1421</v>
      </c>
      <c r="M475" s="1" t="s">
        <v>1230</v>
      </c>
      <c r="N475" s="1" t="s">
        <v>100</v>
      </c>
      <c r="O475" s="1" t="s">
        <v>145</v>
      </c>
      <c r="P475" s="1">
        <v>600250</v>
      </c>
      <c r="Q475" s="1" t="s">
        <v>43</v>
      </c>
      <c r="R475" s="1">
        <v>2439203</v>
      </c>
      <c r="S475" s="1" t="s">
        <v>146</v>
      </c>
      <c r="T475" s="1" t="s">
        <v>28</v>
      </c>
      <c r="U475" s="1" t="s">
        <v>117</v>
      </c>
      <c r="V475" s="1" t="s">
        <v>118</v>
      </c>
      <c r="W475" s="1">
        <v>0.5</v>
      </c>
      <c r="X475" s="1">
        <v>1160</v>
      </c>
      <c r="Y475" s="1">
        <v>0</v>
      </c>
      <c r="Z475" s="3">
        <v>297</v>
      </c>
      <c r="AA475" s="3">
        <v>0</v>
      </c>
      <c r="AB475" s="3">
        <v>297</v>
      </c>
      <c r="AC475" s="3">
        <v>0</v>
      </c>
      <c r="AD475" s="3">
        <f t="shared" si="213"/>
        <v>297</v>
      </c>
      <c r="AE475" s="3">
        <v>0</v>
      </c>
      <c r="AF475" s="3">
        <v>0</v>
      </c>
      <c r="AG475" s="3">
        <v>0</v>
      </c>
      <c r="AH475" s="3">
        <v>297</v>
      </c>
      <c r="AI475" s="3">
        <v>0</v>
      </c>
      <c r="AJ475" s="3">
        <f t="shared" si="214"/>
        <v>297</v>
      </c>
      <c r="AK475" s="1">
        <v>0</v>
      </c>
      <c r="AL475" s="3">
        <f t="shared" ref="AL475:AL476" si="225">AE475</f>
        <v>0</v>
      </c>
      <c r="AM475" s="3">
        <f t="shared" ref="AM475:AM476" si="226">AF475</f>
        <v>0</v>
      </c>
      <c r="AN475" s="3">
        <f t="shared" ref="AN475:AN476" si="227">AG475</f>
        <v>0</v>
      </c>
      <c r="AO475" s="3">
        <f t="shared" ref="AO475:AO476" si="228">AH475</f>
        <v>297</v>
      </c>
      <c r="AP475" s="3">
        <f t="shared" si="216"/>
        <v>0</v>
      </c>
    </row>
    <row r="476" spans="1:42" x14ac:dyDescent="0.35">
      <c r="A476" s="1">
        <v>742</v>
      </c>
      <c r="B476" s="2">
        <v>45919</v>
      </c>
      <c r="C476" s="1" t="s">
        <v>46</v>
      </c>
      <c r="D476" s="1">
        <v>9519120008</v>
      </c>
      <c r="E476" s="1">
        <v>2</v>
      </c>
      <c r="F476" s="1" t="s">
        <v>1168</v>
      </c>
      <c r="G476" s="1" t="s">
        <v>1155</v>
      </c>
      <c r="H476" s="1" t="s">
        <v>21</v>
      </c>
      <c r="I476" s="1" t="s">
        <v>974</v>
      </c>
      <c r="K476" s="1" t="s">
        <v>969</v>
      </c>
      <c r="L476" s="1" t="s">
        <v>1421</v>
      </c>
      <c r="M476" s="1" t="s">
        <v>1230</v>
      </c>
      <c r="N476" s="1" t="s">
        <v>100</v>
      </c>
      <c r="O476" s="1" t="s">
        <v>145</v>
      </c>
      <c r="P476" s="1">
        <v>600250</v>
      </c>
      <c r="Q476" s="1" t="s">
        <v>43</v>
      </c>
      <c r="R476" s="1">
        <v>2439203</v>
      </c>
      <c r="S476" s="1" t="s">
        <v>146</v>
      </c>
      <c r="T476" s="1" t="s">
        <v>28</v>
      </c>
      <c r="U476" s="1" t="s">
        <v>117</v>
      </c>
      <c r="V476" s="1" t="s">
        <v>118</v>
      </c>
      <c r="W476" s="1">
        <v>0.5</v>
      </c>
      <c r="X476" s="1">
        <v>1160</v>
      </c>
      <c r="Y476" s="1">
        <v>0</v>
      </c>
      <c r="Z476" s="3">
        <v>297</v>
      </c>
      <c r="AA476" s="3">
        <v>0</v>
      </c>
      <c r="AB476" s="3">
        <v>297</v>
      </c>
      <c r="AC476" s="3">
        <v>0</v>
      </c>
      <c r="AD476" s="3">
        <f t="shared" si="213"/>
        <v>297</v>
      </c>
      <c r="AE476" s="3">
        <v>0</v>
      </c>
      <c r="AF476" s="3">
        <v>0</v>
      </c>
      <c r="AG476" s="3">
        <v>0</v>
      </c>
      <c r="AH476" s="3">
        <v>297</v>
      </c>
      <c r="AI476" s="3">
        <v>0</v>
      </c>
      <c r="AJ476" s="3">
        <f t="shared" si="214"/>
        <v>297</v>
      </c>
      <c r="AK476" s="1">
        <v>0</v>
      </c>
      <c r="AL476" s="3">
        <f t="shared" si="225"/>
        <v>0</v>
      </c>
      <c r="AM476" s="3">
        <f t="shared" si="226"/>
        <v>0</v>
      </c>
      <c r="AN476" s="3">
        <f t="shared" si="227"/>
        <v>0</v>
      </c>
      <c r="AO476" s="3">
        <f t="shared" si="228"/>
        <v>297</v>
      </c>
      <c r="AP476" s="3">
        <f t="shared" si="216"/>
        <v>0</v>
      </c>
    </row>
    <row r="477" spans="1:42" x14ac:dyDescent="0.35">
      <c r="A477" s="1">
        <v>743</v>
      </c>
      <c r="B477" s="2">
        <v>45922</v>
      </c>
      <c r="C477" s="1" t="s">
        <v>64</v>
      </c>
      <c r="D477" s="1">
        <v>9519132309</v>
      </c>
      <c r="E477" s="1">
        <v>1</v>
      </c>
      <c r="F477" s="1" t="s">
        <v>1169</v>
      </c>
      <c r="G477" s="1" t="s">
        <v>1367</v>
      </c>
      <c r="H477" s="1" t="s">
        <v>63</v>
      </c>
      <c r="I477" s="1" t="s">
        <v>1368</v>
      </c>
      <c r="K477" s="1" t="s">
        <v>970</v>
      </c>
      <c r="L477" s="1" t="str">
        <f t="shared" ref="L477:L513" si="229">K477</f>
        <v>BPRS</v>
      </c>
      <c r="M477" s="1" t="s">
        <v>1228</v>
      </c>
      <c r="N477" s="1" t="s">
        <v>370</v>
      </c>
      <c r="O477" s="1" t="s">
        <v>54</v>
      </c>
      <c r="P477" s="1">
        <v>931911</v>
      </c>
      <c r="Q477" s="1" t="s">
        <v>148</v>
      </c>
      <c r="R477" s="1">
        <v>1854399</v>
      </c>
      <c r="S477" s="1" t="s">
        <v>201</v>
      </c>
      <c r="T477" s="1" t="s">
        <v>139</v>
      </c>
      <c r="U477" s="1" t="s">
        <v>140</v>
      </c>
      <c r="V477" s="1" t="s">
        <v>150</v>
      </c>
      <c r="W477" s="1">
        <v>0.35</v>
      </c>
      <c r="X477" s="1">
        <v>1220</v>
      </c>
      <c r="Y477" s="1">
        <v>0</v>
      </c>
      <c r="Z477" s="3">
        <v>28</v>
      </c>
      <c r="AA477" s="3">
        <v>27.385000000000002</v>
      </c>
      <c r="AB477" s="3">
        <v>0.61499999999999999</v>
      </c>
      <c r="AC477" s="3">
        <v>8.7799999999999994</v>
      </c>
      <c r="AD477" s="3">
        <f t="shared" si="213"/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f t="shared" si="214"/>
        <v>8.7799999999999994</v>
      </c>
      <c r="AK477" s="3">
        <f>AC477</f>
        <v>8.7799999999999994</v>
      </c>
      <c r="AL477" s="1">
        <v>0</v>
      </c>
      <c r="AM477" s="1">
        <v>0</v>
      </c>
      <c r="AN477" s="1">
        <v>0</v>
      </c>
      <c r="AO477" s="1">
        <v>0</v>
      </c>
      <c r="AP477" s="3">
        <f t="shared" si="216"/>
        <v>0</v>
      </c>
    </row>
    <row r="478" spans="1:42" x14ac:dyDescent="0.35">
      <c r="A478" s="1">
        <v>743</v>
      </c>
      <c r="B478" s="2">
        <v>45922</v>
      </c>
      <c r="C478" s="1" t="s">
        <v>64</v>
      </c>
      <c r="D478" s="1">
        <v>9519132309</v>
      </c>
      <c r="E478" s="1">
        <v>2</v>
      </c>
      <c r="F478" s="1" t="s">
        <v>1170</v>
      </c>
      <c r="G478" s="1" t="s">
        <v>1367</v>
      </c>
      <c r="H478" s="1" t="s">
        <v>63</v>
      </c>
      <c r="I478" s="1" t="s">
        <v>1368</v>
      </c>
      <c r="K478" s="1" t="s">
        <v>970</v>
      </c>
      <c r="L478" s="1" t="str">
        <f t="shared" si="229"/>
        <v>BPRS</v>
      </c>
      <c r="M478" s="1" t="s">
        <v>1228</v>
      </c>
      <c r="N478" s="1" t="s">
        <v>370</v>
      </c>
      <c r="O478" s="1" t="s">
        <v>54</v>
      </c>
      <c r="P478" s="1">
        <v>931911</v>
      </c>
      <c r="Q478" s="1" t="s">
        <v>148</v>
      </c>
      <c r="R478" s="1">
        <v>1854410</v>
      </c>
      <c r="S478" s="1" t="s">
        <v>149</v>
      </c>
      <c r="T478" s="1" t="s">
        <v>139</v>
      </c>
      <c r="U478" s="1" t="s">
        <v>140</v>
      </c>
      <c r="V478" s="1" t="s">
        <v>150</v>
      </c>
      <c r="W478" s="1">
        <v>0.4</v>
      </c>
      <c r="X478" s="1">
        <v>1220</v>
      </c>
      <c r="Y478" s="1">
        <v>0</v>
      </c>
      <c r="Z478" s="3">
        <v>28</v>
      </c>
      <c r="AA478" s="3">
        <v>27.265000000000001</v>
      </c>
      <c r="AB478" s="3">
        <v>0.73499999999999999</v>
      </c>
      <c r="AC478" s="3">
        <v>4.53</v>
      </c>
      <c r="AD478" s="3">
        <f t="shared" si="213"/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f t="shared" si="214"/>
        <v>4.53</v>
      </c>
      <c r="AK478" s="3">
        <f>AC478</f>
        <v>4.53</v>
      </c>
      <c r="AL478" s="1">
        <v>0</v>
      </c>
      <c r="AM478" s="1">
        <v>0</v>
      </c>
      <c r="AN478" s="1">
        <v>0</v>
      </c>
      <c r="AO478" s="1">
        <v>0</v>
      </c>
      <c r="AP478" s="3">
        <f t="shared" si="216"/>
        <v>0</v>
      </c>
    </row>
    <row r="479" spans="1:42" x14ac:dyDescent="0.35">
      <c r="A479" s="1">
        <v>743</v>
      </c>
      <c r="B479" s="2">
        <v>45922</v>
      </c>
      <c r="C479" s="1" t="s">
        <v>64</v>
      </c>
      <c r="D479" s="1">
        <v>9519132309</v>
      </c>
      <c r="E479" s="1">
        <v>4</v>
      </c>
      <c r="F479" s="1" t="s">
        <v>1171</v>
      </c>
      <c r="G479" s="1" t="s">
        <v>1367</v>
      </c>
      <c r="H479" s="1" t="s">
        <v>63</v>
      </c>
      <c r="I479" s="1" t="s">
        <v>1368</v>
      </c>
      <c r="K479" s="1" t="s">
        <v>970</v>
      </c>
      <c r="L479" s="1" t="str">
        <f t="shared" si="229"/>
        <v>BPRS</v>
      </c>
      <c r="M479" s="1" t="s">
        <v>1228</v>
      </c>
      <c r="N479" s="1" t="s">
        <v>370</v>
      </c>
      <c r="O479" s="1" t="s">
        <v>54</v>
      </c>
      <c r="P479" s="1">
        <v>931911</v>
      </c>
      <c r="Q479" s="1" t="s">
        <v>148</v>
      </c>
      <c r="R479" s="1">
        <v>1851101</v>
      </c>
      <c r="S479" s="1" t="s">
        <v>278</v>
      </c>
      <c r="T479" s="1" t="s">
        <v>139</v>
      </c>
      <c r="U479" s="1" t="s">
        <v>140</v>
      </c>
      <c r="V479" s="1" t="s">
        <v>150</v>
      </c>
      <c r="W479" s="1">
        <v>0.5</v>
      </c>
      <c r="X479" s="1">
        <v>1220</v>
      </c>
      <c r="Y479" s="1">
        <v>0</v>
      </c>
      <c r="Z479" s="3">
        <v>28</v>
      </c>
      <c r="AA479" s="3">
        <v>26.844999999999999</v>
      </c>
      <c r="AB479" s="3">
        <v>1.155</v>
      </c>
      <c r="AC479" s="3">
        <v>8.9700000000000006</v>
      </c>
      <c r="AD479" s="3">
        <f t="shared" ref="AD479:AD529" si="230">SUM(AE479:AI479)</f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f t="shared" ref="AJ479:AJ529" si="231">SUM(AK479:AO479)</f>
        <v>8.9700000000000006</v>
      </c>
      <c r="AK479" s="3">
        <f>AC479</f>
        <v>8.9700000000000006</v>
      </c>
      <c r="AL479" s="1">
        <v>0</v>
      </c>
      <c r="AM479" s="1">
        <v>0</v>
      </c>
      <c r="AN479" s="1">
        <v>0</v>
      </c>
      <c r="AO479" s="1">
        <v>0</v>
      </c>
      <c r="AP479" s="3">
        <f t="shared" si="216"/>
        <v>0</v>
      </c>
    </row>
    <row r="480" spans="1:42" x14ac:dyDescent="0.35">
      <c r="A480" s="1">
        <v>743</v>
      </c>
      <c r="B480" s="2">
        <v>45922</v>
      </c>
      <c r="C480" s="1" t="s">
        <v>64</v>
      </c>
      <c r="D480" s="1">
        <v>9519130976</v>
      </c>
      <c r="E480" s="1">
        <v>1</v>
      </c>
      <c r="F480" s="1" t="s">
        <v>1172</v>
      </c>
      <c r="G480" s="1" t="s">
        <v>1367</v>
      </c>
      <c r="H480" s="1" t="s">
        <v>63</v>
      </c>
      <c r="I480" s="1" t="s">
        <v>1368</v>
      </c>
      <c r="K480" s="1" t="s">
        <v>970</v>
      </c>
      <c r="L480" s="1" t="str">
        <f t="shared" si="229"/>
        <v>BPRS</v>
      </c>
      <c r="M480" s="1" t="s">
        <v>1230</v>
      </c>
      <c r="N480" s="1" t="s">
        <v>166</v>
      </c>
      <c r="O480" s="1" t="s">
        <v>167</v>
      </c>
      <c r="P480" s="1">
        <v>944695</v>
      </c>
      <c r="Q480" s="1" t="s">
        <v>53</v>
      </c>
      <c r="R480" s="1">
        <v>1851102</v>
      </c>
      <c r="S480" s="1" t="s">
        <v>399</v>
      </c>
      <c r="T480" s="1" t="s">
        <v>139</v>
      </c>
      <c r="U480" s="1" t="s">
        <v>140</v>
      </c>
      <c r="V480" s="1" t="s">
        <v>150</v>
      </c>
      <c r="W480" s="1">
        <v>0.5</v>
      </c>
      <c r="X480" s="1">
        <v>1250</v>
      </c>
      <c r="Y480" s="1">
        <v>0</v>
      </c>
      <c r="Z480" s="3">
        <v>29</v>
      </c>
      <c r="AA480" s="3">
        <v>26.844999999999999</v>
      </c>
      <c r="AB480" s="3">
        <v>2.1549999999999998</v>
      </c>
      <c r="AC480" s="3">
        <v>4.5149999999999997</v>
      </c>
      <c r="AD480" s="3">
        <f t="shared" si="230"/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f t="shared" si="231"/>
        <v>4.5149999999999997</v>
      </c>
      <c r="AK480" s="3">
        <f>AC480</f>
        <v>4.5149999999999997</v>
      </c>
      <c r="AL480" s="1">
        <v>0</v>
      </c>
      <c r="AM480" s="1">
        <v>0</v>
      </c>
      <c r="AN480" s="1">
        <v>0</v>
      </c>
      <c r="AO480" s="1">
        <v>0</v>
      </c>
      <c r="AP480" s="3">
        <f t="shared" si="216"/>
        <v>0</v>
      </c>
    </row>
    <row r="481" spans="1:42" x14ac:dyDescent="0.35">
      <c r="A481" s="1">
        <v>743</v>
      </c>
      <c r="B481" s="2">
        <v>45922</v>
      </c>
      <c r="C481" s="1" t="s">
        <v>64</v>
      </c>
      <c r="D481" s="1">
        <v>9519130976</v>
      </c>
      <c r="E481" s="1">
        <v>2</v>
      </c>
      <c r="F481" s="1" t="s">
        <v>1173</v>
      </c>
      <c r="G481" s="1" t="s">
        <v>1367</v>
      </c>
      <c r="H481" s="1" t="s">
        <v>63</v>
      </c>
      <c r="I481" s="1" t="s">
        <v>1368</v>
      </c>
      <c r="K481" s="1" t="s">
        <v>970</v>
      </c>
      <c r="L481" s="1" t="str">
        <f t="shared" si="229"/>
        <v>BPRS</v>
      </c>
      <c r="M481" s="1" t="s">
        <v>1230</v>
      </c>
      <c r="N481" s="1" t="s">
        <v>166</v>
      </c>
      <c r="O481" s="1" t="s">
        <v>167</v>
      </c>
      <c r="P481" s="1">
        <v>944695</v>
      </c>
      <c r="Q481" s="1" t="s">
        <v>53</v>
      </c>
      <c r="R481" s="1">
        <v>1851106</v>
      </c>
      <c r="S481" s="1" t="s">
        <v>301</v>
      </c>
      <c r="T481" s="1" t="s">
        <v>139</v>
      </c>
      <c r="U481" s="1" t="s">
        <v>140</v>
      </c>
      <c r="V481" s="1" t="s">
        <v>150</v>
      </c>
      <c r="W481" s="1">
        <v>0.6</v>
      </c>
      <c r="X481" s="1">
        <v>1250</v>
      </c>
      <c r="Y481" s="1">
        <v>0</v>
      </c>
      <c r="Z481" s="3">
        <v>29</v>
      </c>
      <c r="AA481" s="3">
        <v>27.625</v>
      </c>
      <c r="AB481" s="3">
        <v>1.375</v>
      </c>
      <c r="AC481" s="3">
        <v>13.864999999999998</v>
      </c>
      <c r="AD481" s="3">
        <f t="shared" si="230"/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f t="shared" si="231"/>
        <v>13.864999999999998</v>
      </c>
      <c r="AK481" s="3">
        <f>AC481</f>
        <v>13.864999999999998</v>
      </c>
      <c r="AL481" s="1">
        <v>0</v>
      </c>
      <c r="AM481" s="1">
        <v>0</v>
      </c>
      <c r="AN481" s="1">
        <v>0</v>
      </c>
      <c r="AO481" s="1">
        <v>0</v>
      </c>
      <c r="AP481" s="3">
        <f t="shared" si="216"/>
        <v>0</v>
      </c>
    </row>
    <row r="482" spans="1:42" x14ac:dyDescent="0.35">
      <c r="A482" s="1">
        <v>743</v>
      </c>
      <c r="B482" s="2">
        <v>45923</v>
      </c>
      <c r="C482" s="1" t="s">
        <v>64</v>
      </c>
      <c r="D482" s="1">
        <v>9519134286</v>
      </c>
      <c r="E482" s="1">
        <v>1</v>
      </c>
      <c r="F482" s="35" t="str">
        <f>D482&amp;-E482</f>
        <v>9519134286-1</v>
      </c>
      <c r="G482" s="1" t="s">
        <v>1155</v>
      </c>
      <c r="H482" s="1" t="s">
        <v>56</v>
      </c>
      <c r="I482" s="1" t="s">
        <v>968</v>
      </c>
      <c r="K482" s="1" t="s">
        <v>969</v>
      </c>
      <c r="L482" s="1" t="str">
        <f t="shared" si="229"/>
        <v>IPP</v>
      </c>
      <c r="M482" s="1" t="s">
        <v>1232</v>
      </c>
      <c r="P482" s="5">
        <v>942284</v>
      </c>
      <c r="Q482" s="1" t="s">
        <v>1174</v>
      </c>
      <c r="R482" s="1">
        <v>4108810</v>
      </c>
      <c r="S482" s="1" t="s">
        <v>411</v>
      </c>
      <c r="T482" s="1" t="s">
        <v>60</v>
      </c>
      <c r="U482" s="1" t="s">
        <v>61</v>
      </c>
      <c r="V482" s="1" t="s">
        <v>412</v>
      </c>
      <c r="W482" s="1">
        <v>0.35</v>
      </c>
      <c r="X482" s="1">
        <v>1220</v>
      </c>
      <c r="Y482" s="1">
        <v>0</v>
      </c>
      <c r="Z482" s="3">
        <v>28</v>
      </c>
      <c r="AA482" s="3">
        <v>0</v>
      </c>
      <c r="AB482" s="3">
        <v>28</v>
      </c>
      <c r="AC482" s="3">
        <v>0</v>
      </c>
      <c r="AD482" s="3">
        <f t="shared" si="230"/>
        <v>28</v>
      </c>
      <c r="AE482" s="3">
        <v>0</v>
      </c>
      <c r="AF482" s="3">
        <v>0</v>
      </c>
      <c r="AG482" s="3">
        <v>28</v>
      </c>
      <c r="AH482" s="3">
        <v>0</v>
      </c>
      <c r="AI482" s="3">
        <v>0</v>
      </c>
      <c r="AJ482" s="3">
        <f t="shared" si="231"/>
        <v>28</v>
      </c>
      <c r="AK482" s="1">
        <v>0</v>
      </c>
      <c r="AL482" s="1">
        <v>0</v>
      </c>
      <c r="AM482" s="3">
        <f>AG482</f>
        <v>28</v>
      </c>
      <c r="AN482" s="1">
        <v>0</v>
      </c>
      <c r="AO482" s="1">
        <v>0</v>
      </c>
      <c r="AP482" s="3">
        <f t="shared" si="216"/>
        <v>0</v>
      </c>
    </row>
    <row r="483" spans="1:42" x14ac:dyDescent="0.35">
      <c r="A483" s="1">
        <v>743</v>
      </c>
      <c r="B483" s="2">
        <v>45923</v>
      </c>
      <c r="C483" s="1" t="s">
        <v>64</v>
      </c>
      <c r="D483" s="1">
        <v>9519134326</v>
      </c>
      <c r="E483" s="1">
        <v>1</v>
      </c>
      <c r="F483" s="1" t="str">
        <f t="shared" ref="F483:F518" si="232">D483&amp;-E483</f>
        <v>9519134326-1</v>
      </c>
      <c r="G483" s="1" t="s">
        <v>1155</v>
      </c>
      <c r="H483" s="1" t="s">
        <v>56</v>
      </c>
      <c r="I483" s="1" t="s">
        <v>968</v>
      </c>
      <c r="K483" s="1" t="s">
        <v>969</v>
      </c>
      <c r="L483" s="1" t="str">
        <f t="shared" si="229"/>
        <v>IPP</v>
      </c>
      <c r="M483" s="1" t="s">
        <v>1232</v>
      </c>
      <c r="P483" s="5">
        <v>942293</v>
      </c>
      <c r="Q483" s="1" t="s">
        <v>1174</v>
      </c>
      <c r="R483" s="1">
        <v>3946362</v>
      </c>
      <c r="S483" s="1" t="s">
        <v>206</v>
      </c>
      <c r="T483" s="1" t="s">
        <v>60</v>
      </c>
      <c r="U483" s="1" t="s">
        <v>61</v>
      </c>
      <c r="V483" s="1" t="s">
        <v>207</v>
      </c>
      <c r="W483" s="1">
        <v>0.47</v>
      </c>
      <c r="X483" s="1">
        <v>1220</v>
      </c>
      <c r="Y483" s="1">
        <v>0</v>
      </c>
      <c r="Z483" s="3">
        <v>168</v>
      </c>
      <c r="AA483" s="3">
        <v>0</v>
      </c>
      <c r="AB483" s="3">
        <v>168</v>
      </c>
      <c r="AC483" s="3">
        <v>0</v>
      </c>
      <c r="AD483" s="3">
        <f t="shared" si="230"/>
        <v>168</v>
      </c>
      <c r="AE483" s="3">
        <v>0</v>
      </c>
      <c r="AF483" s="3">
        <v>168</v>
      </c>
      <c r="AG483" s="3">
        <v>0</v>
      </c>
      <c r="AH483" s="3">
        <v>0</v>
      </c>
      <c r="AI483" s="3">
        <v>0</v>
      </c>
      <c r="AJ483" s="3">
        <f t="shared" si="231"/>
        <v>0</v>
      </c>
      <c r="AK483" s="1">
        <v>0</v>
      </c>
      <c r="AL483" s="1">
        <v>0</v>
      </c>
      <c r="AM483" s="3">
        <v>0</v>
      </c>
      <c r="AN483" s="1">
        <v>0</v>
      </c>
      <c r="AO483" s="1">
        <v>0</v>
      </c>
      <c r="AP483" s="3">
        <f t="shared" si="216"/>
        <v>168</v>
      </c>
    </row>
    <row r="484" spans="1:42" x14ac:dyDescent="0.35">
      <c r="A484" s="1">
        <v>743</v>
      </c>
      <c r="B484" s="2">
        <v>45923</v>
      </c>
      <c r="C484" s="1" t="s">
        <v>64</v>
      </c>
      <c r="D484" s="1">
        <v>9519134326</v>
      </c>
      <c r="E484" s="1">
        <v>2</v>
      </c>
      <c r="F484" s="1" t="str">
        <f t="shared" si="232"/>
        <v>9519134326-2</v>
      </c>
      <c r="G484" s="1" t="s">
        <v>1155</v>
      </c>
      <c r="H484" s="1" t="s">
        <v>56</v>
      </c>
      <c r="I484" s="1" t="s">
        <v>968</v>
      </c>
      <c r="K484" s="1" t="s">
        <v>969</v>
      </c>
      <c r="L484" s="1" t="str">
        <f t="shared" si="229"/>
        <v>IPP</v>
      </c>
      <c r="M484" s="1" t="s">
        <v>1232</v>
      </c>
      <c r="P484" s="5">
        <v>942293</v>
      </c>
      <c r="Q484" s="1" t="s">
        <v>1174</v>
      </c>
      <c r="R484" s="1">
        <v>3946364</v>
      </c>
      <c r="S484" s="1" t="s">
        <v>378</v>
      </c>
      <c r="T484" s="1" t="s">
        <v>60</v>
      </c>
      <c r="U484" s="1" t="s">
        <v>61</v>
      </c>
      <c r="V484" s="1" t="s">
        <v>207</v>
      </c>
      <c r="W484" s="1">
        <v>0.5</v>
      </c>
      <c r="X484" s="1">
        <v>1220</v>
      </c>
      <c r="Y484" s="1">
        <v>0</v>
      </c>
      <c r="Z484" s="3">
        <v>56</v>
      </c>
      <c r="AA484" s="3">
        <v>0</v>
      </c>
      <c r="AB484" s="3">
        <v>56</v>
      </c>
      <c r="AC484" s="3">
        <v>0</v>
      </c>
      <c r="AD484" s="3">
        <f t="shared" si="230"/>
        <v>56</v>
      </c>
      <c r="AE484" s="3">
        <v>56</v>
      </c>
      <c r="AF484" s="3">
        <v>0</v>
      </c>
      <c r="AG484" s="3">
        <v>0</v>
      </c>
      <c r="AH484" s="3">
        <v>0</v>
      </c>
      <c r="AI484" s="3">
        <v>0</v>
      </c>
      <c r="AJ484" s="3">
        <f t="shared" si="231"/>
        <v>56</v>
      </c>
      <c r="AK484" s="1">
        <v>0</v>
      </c>
      <c r="AL484" s="3">
        <f>AE484</f>
        <v>56</v>
      </c>
      <c r="AM484" s="1">
        <v>0</v>
      </c>
      <c r="AN484" s="1">
        <v>0</v>
      </c>
      <c r="AO484" s="1">
        <v>0</v>
      </c>
      <c r="AP484" s="3">
        <f t="shared" si="216"/>
        <v>0</v>
      </c>
    </row>
    <row r="485" spans="1:42" x14ac:dyDescent="0.35">
      <c r="A485" s="1">
        <v>743</v>
      </c>
      <c r="B485" s="2">
        <v>45923</v>
      </c>
      <c r="C485" s="1" t="s">
        <v>64</v>
      </c>
      <c r="D485" s="1">
        <v>9519134358</v>
      </c>
      <c r="E485" s="1">
        <v>1</v>
      </c>
      <c r="F485" s="1" t="str">
        <f t="shared" si="232"/>
        <v>9519134358-1</v>
      </c>
      <c r="G485" s="1" t="s">
        <v>1155</v>
      </c>
      <c r="H485" s="1" t="s">
        <v>56</v>
      </c>
      <c r="I485" s="1" t="s">
        <v>968</v>
      </c>
      <c r="K485" s="1" t="s">
        <v>969</v>
      </c>
      <c r="L485" s="1" t="str">
        <f t="shared" si="229"/>
        <v>IPP</v>
      </c>
      <c r="M485" s="1" t="s">
        <v>1232</v>
      </c>
      <c r="P485" s="5">
        <v>942294</v>
      </c>
      <c r="Q485" s="1" t="s">
        <v>1174</v>
      </c>
      <c r="R485" s="1">
        <v>3946362</v>
      </c>
      <c r="S485" s="1" t="s">
        <v>206</v>
      </c>
      <c r="T485" s="1" t="s">
        <v>60</v>
      </c>
      <c r="U485" s="1" t="s">
        <v>61</v>
      </c>
      <c r="V485" s="1" t="s">
        <v>207</v>
      </c>
      <c r="W485" s="1">
        <v>0.47</v>
      </c>
      <c r="X485" s="1">
        <v>1220</v>
      </c>
      <c r="Y485" s="1">
        <v>0</v>
      </c>
      <c r="Z485" s="3">
        <v>252</v>
      </c>
      <c r="AA485" s="3">
        <v>83.19</v>
      </c>
      <c r="AB485" s="3">
        <v>168.81</v>
      </c>
      <c r="AC485" s="3">
        <v>0</v>
      </c>
      <c r="AD485" s="3">
        <f t="shared" si="230"/>
        <v>168.81</v>
      </c>
      <c r="AE485" s="3">
        <v>0</v>
      </c>
      <c r="AF485" s="3">
        <v>168.81</v>
      </c>
      <c r="AG485" s="3">
        <v>0</v>
      </c>
      <c r="AH485" s="3">
        <v>0</v>
      </c>
      <c r="AI485" s="3">
        <v>0</v>
      </c>
      <c r="AJ485" s="3">
        <f t="shared" si="231"/>
        <v>0</v>
      </c>
      <c r="AK485" s="1">
        <v>0</v>
      </c>
      <c r="AL485" s="1">
        <v>0</v>
      </c>
      <c r="AM485" s="3">
        <v>0</v>
      </c>
      <c r="AN485" s="1">
        <v>0</v>
      </c>
      <c r="AO485" s="1">
        <v>0</v>
      </c>
      <c r="AP485" s="3">
        <f t="shared" si="216"/>
        <v>168.81</v>
      </c>
    </row>
    <row r="486" spans="1:42" x14ac:dyDescent="0.35">
      <c r="A486" s="1">
        <v>743</v>
      </c>
      <c r="B486" s="2">
        <v>45923</v>
      </c>
      <c r="C486" s="1" t="s">
        <v>64</v>
      </c>
      <c r="D486" s="1">
        <v>9519134358</v>
      </c>
      <c r="E486" s="1">
        <v>2</v>
      </c>
      <c r="F486" s="1" t="str">
        <f t="shared" si="232"/>
        <v>9519134358-2</v>
      </c>
      <c r="G486" s="1" t="s">
        <v>1155</v>
      </c>
      <c r="H486" s="1" t="s">
        <v>56</v>
      </c>
      <c r="I486" s="1" t="s">
        <v>968</v>
      </c>
      <c r="K486" s="1" t="s">
        <v>969</v>
      </c>
      <c r="L486" s="1" t="str">
        <f t="shared" si="229"/>
        <v>IPP</v>
      </c>
      <c r="M486" s="1" t="s">
        <v>1232</v>
      </c>
      <c r="P486" s="5">
        <v>942294</v>
      </c>
      <c r="Q486" s="1" t="s">
        <v>1174</v>
      </c>
      <c r="R486" s="1">
        <v>3946364</v>
      </c>
      <c r="S486" s="1" t="s">
        <v>378</v>
      </c>
      <c r="T486" s="1" t="s">
        <v>60</v>
      </c>
      <c r="U486" s="1" t="s">
        <v>61</v>
      </c>
      <c r="V486" s="1" t="s">
        <v>207</v>
      </c>
      <c r="W486" s="1">
        <v>0.5</v>
      </c>
      <c r="X486" s="1">
        <v>1220</v>
      </c>
      <c r="Y486" s="1">
        <v>0</v>
      </c>
      <c r="Z486" s="3">
        <v>28</v>
      </c>
      <c r="AA486" s="3">
        <v>0</v>
      </c>
      <c r="AB486" s="3">
        <v>28</v>
      </c>
      <c r="AC486" s="3">
        <v>0</v>
      </c>
      <c r="AD486" s="3">
        <f t="shared" si="230"/>
        <v>28</v>
      </c>
      <c r="AE486" s="3">
        <v>28</v>
      </c>
      <c r="AF486" s="3">
        <v>0</v>
      </c>
      <c r="AG486" s="3">
        <v>0</v>
      </c>
      <c r="AH486" s="3">
        <v>0</v>
      </c>
      <c r="AI486" s="3">
        <v>0</v>
      </c>
      <c r="AJ486" s="3">
        <f t="shared" si="231"/>
        <v>28</v>
      </c>
      <c r="AK486" s="1">
        <v>0</v>
      </c>
      <c r="AL486" s="3">
        <f>AE486</f>
        <v>28</v>
      </c>
      <c r="AM486" s="1">
        <v>0</v>
      </c>
      <c r="AN486" s="1">
        <v>0</v>
      </c>
      <c r="AO486" s="1">
        <v>0</v>
      </c>
      <c r="AP486" s="3">
        <f t="shared" si="216"/>
        <v>0</v>
      </c>
    </row>
    <row r="487" spans="1:42" x14ac:dyDescent="0.35">
      <c r="A487" s="1">
        <v>743</v>
      </c>
      <c r="B487" s="2">
        <v>45923</v>
      </c>
      <c r="C487" s="1" t="s">
        <v>64</v>
      </c>
      <c r="D487" s="1">
        <v>9519134378</v>
      </c>
      <c r="E487" s="1">
        <v>1</v>
      </c>
      <c r="F487" s="1" t="str">
        <f t="shared" si="232"/>
        <v>9519134378-1</v>
      </c>
      <c r="G487" s="1" t="s">
        <v>1155</v>
      </c>
      <c r="H487" s="1" t="s">
        <v>56</v>
      </c>
      <c r="I487" s="1" t="s">
        <v>968</v>
      </c>
      <c r="K487" s="1" t="s">
        <v>969</v>
      </c>
      <c r="L487" s="1" t="str">
        <f t="shared" si="229"/>
        <v>IPP</v>
      </c>
      <c r="M487" s="1" t="s">
        <v>1232</v>
      </c>
      <c r="P487" s="5">
        <v>942284</v>
      </c>
      <c r="Q487" s="1" t="s">
        <v>1174</v>
      </c>
      <c r="R487" s="1">
        <v>3946364</v>
      </c>
      <c r="S487" s="1" t="s">
        <v>378</v>
      </c>
      <c r="T487" s="1" t="s">
        <v>60</v>
      </c>
      <c r="U487" s="1" t="s">
        <v>61</v>
      </c>
      <c r="V487" s="1" t="s">
        <v>207</v>
      </c>
      <c r="W487" s="1">
        <v>0.5</v>
      </c>
      <c r="X487" s="1">
        <v>1220</v>
      </c>
      <c r="Y487" s="1">
        <v>0</v>
      </c>
      <c r="Z487" s="3">
        <v>280</v>
      </c>
      <c r="AA487" s="3">
        <v>151.69999999999999</v>
      </c>
      <c r="AB487" s="3">
        <v>128.30000000000001</v>
      </c>
      <c r="AC487" s="3">
        <v>147.03999999999996</v>
      </c>
      <c r="AD487" s="3">
        <f t="shared" si="230"/>
        <v>128.30000000000001</v>
      </c>
      <c r="AE487" s="3">
        <v>128.30000000000001</v>
      </c>
      <c r="AF487" s="3">
        <v>0</v>
      </c>
      <c r="AG487" s="3">
        <v>0</v>
      </c>
      <c r="AH487" s="3">
        <v>0</v>
      </c>
      <c r="AI487" s="3">
        <v>0</v>
      </c>
      <c r="AJ487" s="3">
        <f t="shared" si="231"/>
        <v>0</v>
      </c>
      <c r="AK487" s="1">
        <v>0</v>
      </c>
      <c r="AL487" s="3">
        <v>0</v>
      </c>
      <c r="AM487" s="1">
        <v>0</v>
      </c>
      <c r="AN487" s="1">
        <v>0</v>
      </c>
      <c r="AO487" s="1">
        <v>0</v>
      </c>
      <c r="AP487" s="3">
        <f t="shared" si="216"/>
        <v>275.33999999999997</v>
      </c>
    </row>
    <row r="488" spans="1:42" x14ac:dyDescent="0.35">
      <c r="A488" s="1">
        <v>743</v>
      </c>
      <c r="B488" s="2">
        <v>45923</v>
      </c>
      <c r="C488" s="1" t="s">
        <v>64</v>
      </c>
      <c r="D488" s="1">
        <v>9519134378</v>
      </c>
      <c r="E488" s="1">
        <v>2</v>
      </c>
      <c r="F488" s="1" t="str">
        <f t="shared" si="232"/>
        <v>9519134378-2</v>
      </c>
      <c r="G488" s="1" t="s">
        <v>1155</v>
      </c>
      <c r="H488" s="1" t="s">
        <v>56</v>
      </c>
      <c r="I488" s="1" t="s">
        <v>968</v>
      </c>
      <c r="K488" s="1" t="s">
        <v>969</v>
      </c>
      <c r="L488" s="1" t="str">
        <f t="shared" si="229"/>
        <v>IPP</v>
      </c>
      <c r="M488" s="1" t="s">
        <v>1232</v>
      </c>
      <c r="P488" s="5">
        <v>942284</v>
      </c>
      <c r="Q488" s="1" t="s">
        <v>1174</v>
      </c>
      <c r="R488" s="1">
        <v>3946364</v>
      </c>
      <c r="S488" s="1" t="s">
        <v>378</v>
      </c>
      <c r="T488" s="1" t="s">
        <v>60</v>
      </c>
      <c r="U488" s="1" t="s">
        <v>61</v>
      </c>
      <c r="V488" s="1" t="s">
        <v>207</v>
      </c>
      <c r="W488" s="1">
        <v>0.5</v>
      </c>
      <c r="X488" s="1">
        <v>1220</v>
      </c>
      <c r="Y488" s="1">
        <v>0</v>
      </c>
      <c r="Z488" s="3">
        <v>168</v>
      </c>
      <c r="AA488" s="3">
        <v>32.89</v>
      </c>
      <c r="AB488" s="3">
        <v>135.11000000000001</v>
      </c>
      <c r="AC488" s="3">
        <v>28.4</v>
      </c>
      <c r="AD488" s="3">
        <f t="shared" si="230"/>
        <v>339.6</v>
      </c>
      <c r="AE488" s="3">
        <v>339.6</v>
      </c>
      <c r="AF488" s="3">
        <v>0</v>
      </c>
      <c r="AG488" s="3">
        <v>0</v>
      </c>
      <c r="AH488" s="3">
        <v>0</v>
      </c>
      <c r="AI488" s="3">
        <v>0</v>
      </c>
      <c r="AJ488" s="3">
        <f t="shared" si="231"/>
        <v>0</v>
      </c>
      <c r="AK488" s="1">
        <v>0</v>
      </c>
      <c r="AL488" s="3">
        <v>0</v>
      </c>
      <c r="AM488" s="1">
        <v>0</v>
      </c>
      <c r="AN488" s="1">
        <v>0</v>
      </c>
      <c r="AO488" s="1">
        <v>0</v>
      </c>
      <c r="AP488" s="3">
        <f t="shared" si="216"/>
        <v>368</v>
      </c>
    </row>
    <row r="489" spans="1:42" x14ac:dyDescent="0.35">
      <c r="A489" s="1">
        <v>743</v>
      </c>
      <c r="B489" s="2">
        <v>45923</v>
      </c>
      <c r="C489" s="1" t="s">
        <v>64</v>
      </c>
      <c r="D489" s="1">
        <v>9519134436</v>
      </c>
      <c r="E489" s="1">
        <v>1</v>
      </c>
      <c r="F489" s="1" t="str">
        <f t="shared" si="232"/>
        <v>9519134436-1</v>
      </c>
      <c r="G489" s="1" t="s">
        <v>1155</v>
      </c>
      <c r="H489" s="1" t="s">
        <v>56</v>
      </c>
      <c r="I489" s="1" t="s">
        <v>968</v>
      </c>
      <c r="K489" s="1" t="s">
        <v>969</v>
      </c>
      <c r="L489" s="1" t="str">
        <f t="shared" si="229"/>
        <v>IPP</v>
      </c>
      <c r="M489" s="1" t="s">
        <v>1232</v>
      </c>
      <c r="P489" s="5">
        <v>942284</v>
      </c>
      <c r="Q489" s="1" t="s">
        <v>1174</v>
      </c>
      <c r="R489" s="1">
        <v>3931932</v>
      </c>
      <c r="S489" s="1" t="s">
        <v>312</v>
      </c>
      <c r="T489" s="1" t="s">
        <v>60</v>
      </c>
      <c r="U489" s="1" t="s">
        <v>61</v>
      </c>
      <c r="V489" s="1" t="s">
        <v>313</v>
      </c>
      <c r="W489" s="1">
        <v>0.35</v>
      </c>
      <c r="X489" s="1">
        <v>900</v>
      </c>
      <c r="Y489" s="1">
        <v>0</v>
      </c>
      <c r="Z489" s="3">
        <v>84</v>
      </c>
      <c r="AA489" s="3">
        <v>0</v>
      </c>
      <c r="AB489" s="3">
        <v>84</v>
      </c>
      <c r="AC489" s="3">
        <v>0</v>
      </c>
      <c r="AD489" s="3">
        <f t="shared" si="230"/>
        <v>84</v>
      </c>
      <c r="AE489" s="3">
        <v>0</v>
      </c>
      <c r="AF489" s="3">
        <v>0</v>
      </c>
      <c r="AG489" s="3">
        <v>0</v>
      </c>
      <c r="AH489" s="3">
        <v>0</v>
      </c>
      <c r="AI489" s="3">
        <v>84</v>
      </c>
      <c r="AJ489" s="3">
        <f t="shared" si="231"/>
        <v>0</v>
      </c>
      <c r="AK489" s="1">
        <v>0</v>
      </c>
      <c r="AL489" s="1">
        <v>0</v>
      </c>
      <c r="AM489" s="1">
        <v>0</v>
      </c>
      <c r="AN489" s="1">
        <v>0</v>
      </c>
      <c r="AO489" s="3">
        <v>0</v>
      </c>
      <c r="AP489" s="3">
        <f t="shared" si="216"/>
        <v>84</v>
      </c>
    </row>
    <row r="490" spans="1:42" x14ac:dyDescent="0.35">
      <c r="A490" s="1">
        <v>744</v>
      </c>
      <c r="B490" s="2">
        <v>45923</v>
      </c>
      <c r="C490" s="1" t="s">
        <v>64</v>
      </c>
      <c r="D490" s="1">
        <v>9519134753</v>
      </c>
      <c r="E490" s="1">
        <v>1</v>
      </c>
      <c r="F490" s="1" t="str">
        <f t="shared" si="232"/>
        <v>9519134753-1</v>
      </c>
      <c r="G490" s="1" t="s">
        <v>1155</v>
      </c>
      <c r="H490" s="1" t="s">
        <v>86</v>
      </c>
      <c r="I490" s="1" t="s">
        <v>968</v>
      </c>
      <c r="K490" s="1" t="s">
        <v>969</v>
      </c>
      <c r="L490" s="1" t="str">
        <f t="shared" si="229"/>
        <v>IPP</v>
      </c>
      <c r="M490" s="1" t="s">
        <v>1232</v>
      </c>
      <c r="P490" s="5">
        <v>941597</v>
      </c>
      <c r="Q490" s="1" t="s">
        <v>1174</v>
      </c>
      <c r="R490" s="1">
        <v>3902332</v>
      </c>
      <c r="S490" s="1" t="s">
        <v>142</v>
      </c>
      <c r="T490" s="1" t="s">
        <v>88</v>
      </c>
      <c r="U490" s="1" t="s">
        <v>89</v>
      </c>
      <c r="V490" s="1" t="s">
        <v>143</v>
      </c>
      <c r="W490" s="1">
        <v>0.5</v>
      </c>
      <c r="X490" s="1">
        <v>1220</v>
      </c>
      <c r="Y490" s="1">
        <v>0</v>
      </c>
      <c r="Z490" s="3">
        <v>168</v>
      </c>
      <c r="AA490" s="3">
        <v>0</v>
      </c>
      <c r="AB490" s="3">
        <v>168</v>
      </c>
      <c r="AC490" s="3">
        <v>0</v>
      </c>
      <c r="AD490" s="3">
        <f t="shared" si="230"/>
        <v>168</v>
      </c>
      <c r="AE490" s="3">
        <v>0</v>
      </c>
      <c r="AF490" s="3">
        <v>0</v>
      </c>
      <c r="AG490" s="3">
        <v>168</v>
      </c>
      <c r="AH490" s="3">
        <v>0</v>
      </c>
      <c r="AI490" s="3">
        <v>0</v>
      </c>
      <c r="AJ490" s="3">
        <f t="shared" si="231"/>
        <v>168</v>
      </c>
      <c r="AK490" s="1">
        <v>0</v>
      </c>
      <c r="AL490" s="1">
        <v>0</v>
      </c>
      <c r="AM490" s="3">
        <v>0</v>
      </c>
      <c r="AN490" s="1">
        <v>0</v>
      </c>
      <c r="AO490" s="3">
        <f>AG490</f>
        <v>168</v>
      </c>
      <c r="AP490" s="3">
        <f t="shared" si="216"/>
        <v>0</v>
      </c>
    </row>
    <row r="491" spans="1:42" x14ac:dyDescent="0.35">
      <c r="A491" s="1">
        <v>744</v>
      </c>
      <c r="B491" s="2">
        <v>45923</v>
      </c>
      <c r="C491" s="1" t="s">
        <v>64</v>
      </c>
      <c r="D491" s="1">
        <v>9519134753</v>
      </c>
      <c r="E491" s="1">
        <v>2</v>
      </c>
      <c r="F491" s="1" t="str">
        <f t="shared" si="232"/>
        <v>9519134753-2</v>
      </c>
      <c r="G491" s="1" t="s">
        <v>1155</v>
      </c>
      <c r="H491" s="1" t="s">
        <v>86</v>
      </c>
      <c r="I491" s="1" t="s">
        <v>968</v>
      </c>
      <c r="K491" s="1" t="s">
        <v>969</v>
      </c>
      <c r="L491" s="1" t="str">
        <f t="shared" si="229"/>
        <v>IPP</v>
      </c>
      <c r="M491" s="1" t="s">
        <v>1232</v>
      </c>
      <c r="P491" s="5">
        <v>941597</v>
      </c>
      <c r="Q491" s="1" t="s">
        <v>1174</v>
      </c>
      <c r="R491" s="1">
        <v>3902332</v>
      </c>
      <c r="S491" s="1" t="s">
        <v>142</v>
      </c>
      <c r="T491" s="1" t="s">
        <v>88</v>
      </c>
      <c r="U491" s="1" t="s">
        <v>89</v>
      </c>
      <c r="V491" s="1" t="s">
        <v>143</v>
      </c>
      <c r="W491" s="1">
        <v>0.5</v>
      </c>
      <c r="X491" s="1">
        <v>1220</v>
      </c>
      <c r="Y491" s="1">
        <v>0</v>
      </c>
      <c r="Z491" s="3">
        <v>56</v>
      </c>
      <c r="AA491" s="3">
        <v>0</v>
      </c>
      <c r="AB491" s="3">
        <v>56</v>
      </c>
      <c r="AC491" s="3">
        <v>0</v>
      </c>
      <c r="AD491" s="3">
        <f t="shared" si="230"/>
        <v>56</v>
      </c>
      <c r="AE491" s="3">
        <v>0</v>
      </c>
      <c r="AF491" s="3">
        <v>56</v>
      </c>
      <c r="AG491" s="3">
        <v>0</v>
      </c>
      <c r="AH491" s="3">
        <v>0</v>
      </c>
      <c r="AI491" s="3">
        <v>0</v>
      </c>
      <c r="AJ491" s="3">
        <f t="shared" si="231"/>
        <v>56</v>
      </c>
      <c r="AK491" s="1">
        <v>0</v>
      </c>
      <c r="AL491" s="3">
        <f>AF491</f>
        <v>56</v>
      </c>
      <c r="AM491" s="1">
        <v>0</v>
      </c>
      <c r="AN491" s="1">
        <v>0</v>
      </c>
      <c r="AO491" s="1">
        <v>0</v>
      </c>
      <c r="AP491" s="3">
        <f t="shared" si="216"/>
        <v>0</v>
      </c>
    </row>
    <row r="492" spans="1:42" x14ac:dyDescent="0.35">
      <c r="A492" s="1">
        <v>744</v>
      </c>
      <c r="B492" s="2">
        <v>45923</v>
      </c>
      <c r="C492" s="1" t="s">
        <v>64</v>
      </c>
      <c r="D492" s="1">
        <v>9519134753</v>
      </c>
      <c r="E492" s="1">
        <v>3</v>
      </c>
      <c r="F492" s="1" t="str">
        <f t="shared" si="232"/>
        <v>9519134753-3</v>
      </c>
      <c r="G492" s="1" t="s">
        <v>1155</v>
      </c>
      <c r="H492" s="1" t="s">
        <v>86</v>
      </c>
      <c r="I492" s="1" t="s">
        <v>968</v>
      </c>
      <c r="K492" s="1" t="s">
        <v>969</v>
      </c>
      <c r="L492" s="1" t="str">
        <f t="shared" si="229"/>
        <v>IPP</v>
      </c>
      <c r="M492" s="1" t="s">
        <v>1232</v>
      </c>
      <c r="P492" s="5">
        <v>941597</v>
      </c>
      <c r="Q492" s="1" t="s">
        <v>1174</v>
      </c>
      <c r="R492" s="1">
        <v>3902332</v>
      </c>
      <c r="S492" s="1" t="s">
        <v>142</v>
      </c>
      <c r="T492" s="1" t="s">
        <v>88</v>
      </c>
      <c r="U492" s="1" t="s">
        <v>89</v>
      </c>
      <c r="V492" s="1" t="s">
        <v>143</v>
      </c>
      <c r="W492" s="1">
        <v>0.5</v>
      </c>
      <c r="X492" s="1">
        <v>1220</v>
      </c>
      <c r="Y492" s="1">
        <v>0</v>
      </c>
      <c r="Z492" s="3">
        <v>28</v>
      </c>
      <c r="AA492" s="3">
        <v>0</v>
      </c>
      <c r="AB492" s="3">
        <v>28</v>
      </c>
      <c r="AC492" s="3">
        <v>0</v>
      </c>
      <c r="AD492" s="3">
        <f t="shared" si="230"/>
        <v>28</v>
      </c>
      <c r="AE492" s="3">
        <v>0</v>
      </c>
      <c r="AF492" s="3">
        <v>0</v>
      </c>
      <c r="AG492" s="3">
        <v>28</v>
      </c>
      <c r="AH492" s="3">
        <v>0</v>
      </c>
      <c r="AI492" s="3">
        <v>0</v>
      </c>
      <c r="AJ492" s="3">
        <f t="shared" si="231"/>
        <v>28</v>
      </c>
      <c r="AK492" s="1">
        <v>0</v>
      </c>
      <c r="AL492" s="1">
        <v>0</v>
      </c>
      <c r="AM492" s="3">
        <v>0</v>
      </c>
      <c r="AN492" s="1">
        <v>0</v>
      </c>
      <c r="AO492" s="3">
        <f>AG492</f>
        <v>28</v>
      </c>
      <c r="AP492" s="3">
        <f t="shared" si="216"/>
        <v>0</v>
      </c>
    </row>
    <row r="493" spans="1:42" x14ac:dyDescent="0.35">
      <c r="A493" s="1">
        <v>744</v>
      </c>
      <c r="B493" s="2">
        <v>45923</v>
      </c>
      <c r="C493" s="1" t="s">
        <v>64</v>
      </c>
      <c r="D493" s="1">
        <v>9519134753</v>
      </c>
      <c r="E493" s="1">
        <v>4</v>
      </c>
      <c r="F493" s="1" t="str">
        <f t="shared" si="232"/>
        <v>9519134753-4</v>
      </c>
      <c r="G493" s="1" t="s">
        <v>1155</v>
      </c>
      <c r="H493" s="1" t="s">
        <v>86</v>
      </c>
      <c r="I493" s="1" t="s">
        <v>968</v>
      </c>
      <c r="K493" s="1" t="s">
        <v>969</v>
      </c>
      <c r="L493" s="1" t="str">
        <f t="shared" si="229"/>
        <v>IPP</v>
      </c>
      <c r="M493" s="1" t="s">
        <v>1232</v>
      </c>
      <c r="P493" s="5">
        <v>941597</v>
      </c>
      <c r="Q493" s="1" t="s">
        <v>1174</v>
      </c>
      <c r="R493" s="1">
        <v>3902332</v>
      </c>
      <c r="S493" s="1" t="s">
        <v>142</v>
      </c>
      <c r="T493" s="1" t="s">
        <v>88</v>
      </c>
      <c r="U493" s="1" t="s">
        <v>89</v>
      </c>
      <c r="V493" s="1" t="s">
        <v>143</v>
      </c>
      <c r="W493" s="1">
        <v>0.5</v>
      </c>
      <c r="X493" s="1">
        <v>1220</v>
      </c>
      <c r="Y493" s="1">
        <v>0</v>
      </c>
      <c r="Z493" s="3">
        <v>140</v>
      </c>
      <c r="AA493" s="3">
        <v>0</v>
      </c>
      <c r="AB493" s="3">
        <v>140</v>
      </c>
      <c r="AC493" s="3">
        <v>0</v>
      </c>
      <c r="AD493" s="3">
        <f t="shared" si="230"/>
        <v>140</v>
      </c>
      <c r="AE493" s="3">
        <v>0</v>
      </c>
      <c r="AF493" s="3">
        <v>0</v>
      </c>
      <c r="AG493" s="3">
        <v>0</v>
      </c>
      <c r="AH493" s="3">
        <v>140</v>
      </c>
      <c r="AI493" s="3">
        <v>0</v>
      </c>
      <c r="AJ493" s="3">
        <f t="shared" si="231"/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3">
        <f t="shared" si="216"/>
        <v>140</v>
      </c>
    </row>
    <row r="494" spans="1:42" x14ac:dyDescent="0.35">
      <c r="A494" s="1">
        <v>744</v>
      </c>
      <c r="B494" s="2">
        <v>45923</v>
      </c>
      <c r="C494" s="1" t="s">
        <v>64</v>
      </c>
      <c r="D494" s="1">
        <v>9519134753</v>
      </c>
      <c r="E494" s="1">
        <v>5</v>
      </c>
      <c r="F494" s="1" t="str">
        <f t="shared" si="232"/>
        <v>9519134753-5</v>
      </c>
      <c r="G494" s="1" t="s">
        <v>1155</v>
      </c>
      <c r="H494" s="1" t="s">
        <v>86</v>
      </c>
      <c r="I494" s="1" t="s">
        <v>968</v>
      </c>
      <c r="K494" s="1" t="s">
        <v>969</v>
      </c>
      <c r="L494" s="1" t="str">
        <f t="shared" si="229"/>
        <v>IPP</v>
      </c>
      <c r="M494" s="1" t="s">
        <v>1232</v>
      </c>
      <c r="P494" s="5">
        <v>941597</v>
      </c>
      <c r="Q494" s="1" t="s">
        <v>1174</v>
      </c>
      <c r="R494" s="1">
        <v>3902332</v>
      </c>
      <c r="S494" s="1" t="s">
        <v>142</v>
      </c>
      <c r="T494" s="1" t="s">
        <v>88</v>
      </c>
      <c r="U494" s="1" t="s">
        <v>89</v>
      </c>
      <c r="V494" s="1" t="s">
        <v>143</v>
      </c>
      <c r="W494" s="1">
        <v>0.5</v>
      </c>
      <c r="X494" s="1">
        <v>1220</v>
      </c>
      <c r="Y494" s="1">
        <v>0</v>
      </c>
      <c r="Z494" s="3">
        <v>280</v>
      </c>
      <c r="AA494" s="3">
        <v>0</v>
      </c>
      <c r="AB494" s="3">
        <v>280</v>
      </c>
      <c r="AC494" s="3">
        <v>0</v>
      </c>
      <c r="AD494" s="3">
        <f t="shared" si="230"/>
        <v>280</v>
      </c>
      <c r="AE494" s="3">
        <v>0</v>
      </c>
      <c r="AF494" s="3">
        <v>0</v>
      </c>
      <c r="AG494" s="3">
        <v>280</v>
      </c>
      <c r="AH494" s="3">
        <v>0</v>
      </c>
      <c r="AI494" s="3">
        <v>0</v>
      </c>
      <c r="AJ494" s="3">
        <f t="shared" si="231"/>
        <v>280</v>
      </c>
      <c r="AK494" s="1">
        <v>0</v>
      </c>
      <c r="AL494" s="1">
        <v>0</v>
      </c>
      <c r="AM494" s="3">
        <v>0</v>
      </c>
      <c r="AN494" s="1">
        <v>0</v>
      </c>
      <c r="AO494" s="3">
        <f>AG494</f>
        <v>280</v>
      </c>
      <c r="AP494" s="3">
        <f t="shared" si="216"/>
        <v>0</v>
      </c>
    </row>
    <row r="495" spans="1:42" x14ac:dyDescent="0.35">
      <c r="A495" s="1">
        <v>744</v>
      </c>
      <c r="B495" s="2">
        <v>45923</v>
      </c>
      <c r="C495" s="1" t="s">
        <v>64</v>
      </c>
      <c r="D495" s="1">
        <v>9519134753</v>
      </c>
      <c r="E495" s="1">
        <v>6</v>
      </c>
      <c r="F495" s="1" t="str">
        <f t="shared" si="232"/>
        <v>9519134753-6</v>
      </c>
      <c r="G495" s="1" t="s">
        <v>1155</v>
      </c>
      <c r="H495" s="1" t="s">
        <v>86</v>
      </c>
      <c r="I495" s="1" t="s">
        <v>968</v>
      </c>
      <c r="K495" s="1" t="s">
        <v>969</v>
      </c>
      <c r="L495" s="1" t="str">
        <f t="shared" si="229"/>
        <v>IPP</v>
      </c>
      <c r="M495" s="1" t="s">
        <v>1232</v>
      </c>
      <c r="P495" s="5">
        <v>941597</v>
      </c>
      <c r="Q495" s="1" t="s">
        <v>1174</v>
      </c>
      <c r="R495" s="1">
        <v>3902332</v>
      </c>
      <c r="S495" s="1" t="s">
        <v>142</v>
      </c>
      <c r="T495" s="1" t="s">
        <v>88</v>
      </c>
      <c r="U495" s="1" t="s">
        <v>89</v>
      </c>
      <c r="V495" s="1" t="s">
        <v>143</v>
      </c>
      <c r="W495" s="1">
        <v>0.5</v>
      </c>
      <c r="X495" s="1">
        <v>1220</v>
      </c>
      <c r="Y495" s="1">
        <v>0</v>
      </c>
      <c r="Z495" s="3">
        <v>28</v>
      </c>
      <c r="AA495" s="3">
        <v>0</v>
      </c>
      <c r="AB495" s="3">
        <v>28</v>
      </c>
      <c r="AC495" s="3">
        <v>0</v>
      </c>
      <c r="AD495" s="3">
        <f t="shared" si="230"/>
        <v>28</v>
      </c>
      <c r="AE495" s="3">
        <v>0</v>
      </c>
      <c r="AF495" s="3">
        <v>0</v>
      </c>
      <c r="AG495" s="3">
        <v>28</v>
      </c>
      <c r="AH495" s="3">
        <v>0</v>
      </c>
      <c r="AI495" s="3">
        <v>0</v>
      </c>
      <c r="AJ495" s="3">
        <f t="shared" si="231"/>
        <v>28</v>
      </c>
      <c r="AK495" s="1">
        <v>0</v>
      </c>
      <c r="AL495" s="1">
        <v>0</v>
      </c>
      <c r="AM495" s="1">
        <v>0</v>
      </c>
      <c r="AN495" s="3">
        <v>0</v>
      </c>
      <c r="AO495" s="3">
        <f>AG495</f>
        <v>28</v>
      </c>
      <c r="AP495" s="3">
        <f t="shared" si="216"/>
        <v>0</v>
      </c>
    </row>
    <row r="496" spans="1:42" x14ac:dyDescent="0.35">
      <c r="A496" s="1">
        <v>744</v>
      </c>
      <c r="B496" s="2">
        <v>45923</v>
      </c>
      <c r="C496" s="1" t="s">
        <v>64</v>
      </c>
      <c r="D496" s="1">
        <v>9519134753</v>
      </c>
      <c r="E496" s="1">
        <v>7</v>
      </c>
      <c r="F496" s="1" t="str">
        <f t="shared" si="232"/>
        <v>9519134753-7</v>
      </c>
      <c r="G496" s="1" t="s">
        <v>1155</v>
      </c>
      <c r="H496" s="1" t="s">
        <v>86</v>
      </c>
      <c r="I496" s="1" t="s">
        <v>968</v>
      </c>
      <c r="K496" s="1" t="s">
        <v>969</v>
      </c>
      <c r="L496" s="1" t="str">
        <f t="shared" si="229"/>
        <v>IPP</v>
      </c>
      <c r="M496" s="1" t="s">
        <v>1232</v>
      </c>
      <c r="P496" s="5">
        <v>941597</v>
      </c>
      <c r="Q496" s="1" t="s">
        <v>1174</v>
      </c>
      <c r="R496" s="1">
        <v>3902332</v>
      </c>
      <c r="S496" s="1" t="s">
        <v>142</v>
      </c>
      <c r="T496" s="1" t="s">
        <v>88</v>
      </c>
      <c r="U496" s="1" t="s">
        <v>89</v>
      </c>
      <c r="V496" s="1" t="s">
        <v>143</v>
      </c>
      <c r="W496" s="1">
        <v>0.5</v>
      </c>
      <c r="X496" s="1">
        <v>1220</v>
      </c>
      <c r="Y496" s="1">
        <v>0</v>
      </c>
      <c r="Z496" s="3">
        <v>28</v>
      </c>
      <c r="AA496" s="3">
        <v>0</v>
      </c>
      <c r="AB496" s="3">
        <v>28</v>
      </c>
      <c r="AC496" s="3">
        <v>0</v>
      </c>
      <c r="AD496" s="3">
        <f t="shared" si="230"/>
        <v>28</v>
      </c>
      <c r="AE496" s="3">
        <v>0</v>
      </c>
      <c r="AF496" s="3">
        <v>28</v>
      </c>
      <c r="AG496" s="3">
        <v>0</v>
      </c>
      <c r="AH496" s="3">
        <v>0</v>
      </c>
      <c r="AI496" s="3">
        <v>0</v>
      </c>
      <c r="AJ496" s="3">
        <f t="shared" si="231"/>
        <v>28</v>
      </c>
      <c r="AK496" s="1">
        <v>0</v>
      </c>
      <c r="AL496" s="3">
        <f>AF496</f>
        <v>28</v>
      </c>
      <c r="AM496" s="1">
        <v>0</v>
      </c>
      <c r="AN496" s="1">
        <v>0</v>
      </c>
      <c r="AO496" s="1">
        <v>0</v>
      </c>
      <c r="AP496" s="3">
        <f t="shared" si="216"/>
        <v>0</v>
      </c>
    </row>
    <row r="497" spans="1:42" x14ac:dyDescent="0.35">
      <c r="A497" s="1">
        <v>744</v>
      </c>
      <c r="B497" s="2">
        <v>45923</v>
      </c>
      <c r="C497" s="1" t="s">
        <v>64</v>
      </c>
      <c r="D497" s="1">
        <v>9519134753</v>
      </c>
      <c r="E497" s="1">
        <v>8</v>
      </c>
      <c r="F497" s="1" t="str">
        <f t="shared" si="232"/>
        <v>9519134753-8</v>
      </c>
      <c r="G497" s="1" t="s">
        <v>1155</v>
      </c>
      <c r="H497" s="1" t="s">
        <v>86</v>
      </c>
      <c r="I497" s="1" t="s">
        <v>968</v>
      </c>
      <c r="K497" s="1" t="s">
        <v>969</v>
      </c>
      <c r="L497" s="1" t="str">
        <f t="shared" si="229"/>
        <v>IPP</v>
      </c>
      <c r="M497" s="1" t="s">
        <v>1232</v>
      </c>
      <c r="P497" s="5">
        <v>941597</v>
      </c>
      <c r="Q497" s="1" t="s">
        <v>1174</v>
      </c>
      <c r="R497" s="1">
        <v>3902332</v>
      </c>
      <c r="S497" s="1" t="s">
        <v>142</v>
      </c>
      <c r="T497" s="1" t="s">
        <v>88</v>
      </c>
      <c r="U497" s="1" t="s">
        <v>89</v>
      </c>
      <c r="V497" s="1" t="s">
        <v>143</v>
      </c>
      <c r="W497" s="1">
        <v>0.5</v>
      </c>
      <c r="X497" s="1">
        <v>1220</v>
      </c>
      <c r="Y497" s="1">
        <v>0</v>
      </c>
      <c r="Z497" s="3">
        <v>28</v>
      </c>
      <c r="AA497" s="3">
        <v>0</v>
      </c>
      <c r="AB497" s="3">
        <v>28</v>
      </c>
      <c r="AC497" s="3">
        <v>0</v>
      </c>
      <c r="AD497" s="3">
        <f t="shared" si="230"/>
        <v>28</v>
      </c>
      <c r="AE497" s="3">
        <v>0</v>
      </c>
      <c r="AF497" s="3">
        <v>0</v>
      </c>
      <c r="AG497" s="3">
        <v>28</v>
      </c>
      <c r="AH497" s="3">
        <v>0</v>
      </c>
      <c r="AI497" s="3">
        <v>0</v>
      </c>
      <c r="AJ497" s="3">
        <f t="shared" si="231"/>
        <v>28</v>
      </c>
      <c r="AK497" s="1">
        <v>0</v>
      </c>
      <c r="AL497" s="1">
        <v>0</v>
      </c>
      <c r="AM497" s="1">
        <v>0</v>
      </c>
      <c r="AN497" s="3">
        <v>0</v>
      </c>
      <c r="AO497" s="3">
        <f>AG497</f>
        <v>28</v>
      </c>
      <c r="AP497" s="3">
        <f t="shared" si="216"/>
        <v>0</v>
      </c>
    </row>
    <row r="498" spans="1:42" x14ac:dyDescent="0.35">
      <c r="A498" s="1">
        <v>744</v>
      </c>
      <c r="B498" s="2">
        <v>45923</v>
      </c>
      <c r="C498" s="1" t="s">
        <v>64</v>
      </c>
      <c r="D498" s="1">
        <v>9519134753</v>
      </c>
      <c r="E498" s="1">
        <v>9</v>
      </c>
      <c r="F498" s="1" t="str">
        <f t="shared" si="232"/>
        <v>9519134753-9</v>
      </c>
      <c r="G498" s="1" t="s">
        <v>1155</v>
      </c>
      <c r="H498" s="1" t="s">
        <v>86</v>
      </c>
      <c r="I498" s="1" t="s">
        <v>968</v>
      </c>
      <c r="K498" s="1" t="s">
        <v>969</v>
      </c>
      <c r="L498" s="1" t="str">
        <f t="shared" si="229"/>
        <v>IPP</v>
      </c>
      <c r="M498" s="1" t="s">
        <v>1232</v>
      </c>
      <c r="P498" s="5">
        <v>941597</v>
      </c>
      <c r="Q498" s="1" t="s">
        <v>1174</v>
      </c>
      <c r="R498" s="1">
        <v>3902332</v>
      </c>
      <c r="S498" s="1" t="s">
        <v>142</v>
      </c>
      <c r="T498" s="1" t="s">
        <v>88</v>
      </c>
      <c r="U498" s="1" t="s">
        <v>89</v>
      </c>
      <c r="V498" s="1" t="s">
        <v>143</v>
      </c>
      <c r="W498" s="1">
        <v>0.5</v>
      </c>
      <c r="X498" s="1">
        <v>1220</v>
      </c>
      <c r="Y498" s="1">
        <v>0</v>
      </c>
      <c r="Z498" s="3">
        <v>252</v>
      </c>
      <c r="AA498" s="3">
        <v>0</v>
      </c>
      <c r="AB498" s="3">
        <v>252</v>
      </c>
      <c r="AC498" s="3">
        <v>0</v>
      </c>
      <c r="AD498" s="3">
        <f t="shared" si="230"/>
        <v>252</v>
      </c>
      <c r="AE498" s="3">
        <v>0</v>
      </c>
      <c r="AF498" s="3">
        <v>0</v>
      </c>
      <c r="AG498" s="3">
        <v>0</v>
      </c>
      <c r="AH498" s="3">
        <v>252</v>
      </c>
      <c r="AI498" s="3">
        <v>0</v>
      </c>
      <c r="AJ498" s="3">
        <f t="shared" si="231"/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3">
        <f t="shared" si="216"/>
        <v>252</v>
      </c>
    </row>
    <row r="499" spans="1:42" x14ac:dyDescent="0.35">
      <c r="A499" s="1">
        <v>744</v>
      </c>
      <c r="B499" s="2">
        <v>45923</v>
      </c>
      <c r="C499" s="1" t="s">
        <v>64</v>
      </c>
      <c r="D499" s="1">
        <v>9519134753</v>
      </c>
      <c r="E499" s="1">
        <v>10</v>
      </c>
      <c r="F499" s="1" t="str">
        <f t="shared" si="232"/>
        <v>9519134753-10</v>
      </c>
      <c r="G499" s="1" t="s">
        <v>1155</v>
      </c>
      <c r="H499" s="1" t="s">
        <v>86</v>
      </c>
      <c r="I499" s="1" t="s">
        <v>968</v>
      </c>
      <c r="K499" s="1" t="s">
        <v>969</v>
      </c>
      <c r="L499" s="1" t="str">
        <f t="shared" si="229"/>
        <v>IPP</v>
      </c>
      <c r="M499" s="1" t="s">
        <v>1232</v>
      </c>
      <c r="P499" s="5">
        <v>941597</v>
      </c>
      <c r="Q499" s="1" t="s">
        <v>1174</v>
      </c>
      <c r="R499" s="1">
        <v>3902332</v>
      </c>
      <c r="S499" s="1" t="s">
        <v>142</v>
      </c>
      <c r="T499" s="1" t="s">
        <v>88</v>
      </c>
      <c r="U499" s="1" t="s">
        <v>89</v>
      </c>
      <c r="V499" s="1" t="s">
        <v>143</v>
      </c>
      <c r="W499" s="1">
        <v>0.5</v>
      </c>
      <c r="X499" s="1">
        <v>1220</v>
      </c>
      <c r="Y499" s="1">
        <v>0</v>
      </c>
      <c r="Z499" s="3">
        <v>280</v>
      </c>
      <c r="AA499" s="3">
        <v>0</v>
      </c>
      <c r="AB499" s="3">
        <v>280</v>
      </c>
      <c r="AC499" s="3">
        <v>0</v>
      </c>
      <c r="AD499" s="3">
        <f t="shared" si="230"/>
        <v>280</v>
      </c>
      <c r="AE499" s="3">
        <v>0</v>
      </c>
      <c r="AF499" s="3">
        <v>0</v>
      </c>
      <c r="AG499" s="3">
        <v>280</v>
      </c>
      <c r="AH499" s="3">
        <v>0</v>
      </c>
      <c r="AI499" s="3">
        <v>0</v>
      </c>
      <c r="AJ499" s="3">
        <f t="shared" si="231"/>
        <v>280</v>
      </c>
      <c r="AK499" s="1">
        <v>0</v>
      </c>
      <c r="AL499" s="1">
        <v>0</v>
      </c>
      <c r="AM499" s="1">
        <v>0</v>
      </c>
      <c r="AN499" s="3">
        <v>0</v>
      </c>
      <c r="AO499" s="3">
        <f>AG499</f>
        <v>280</v>
      </c>
      <c r="AP499" s="3">
        <f t="shared" si="216"/>
        <v>0</v>
      </c>
    </row>
    <row r="500" spans="1:42" x14ac:dyDescent="0.35">
      <c r="A500" s="1">
        <v>744</v>
      </c>
      <c r="B500" s="2">
        <v>45923</v>
      </c>
      <c r="C500" s="1" t="s">
        <v>64</v>
      </c>
      <c r="D500" s="1">
        <v>9519134753</v>
      </c>
      <c r="E500" s="1">
        <v>11</v>
      </c>
      <c r="F500" s="1" t="str">
        <f t="shared" si="232"/>
        <v>9519134753-11</v>
      </c>
      <c r="G500" s="1" t="s">
        <v>1155</v>
      </c>
      <c r="H500" s="1" t="s">
        <v>86</v>
      </c>
      <c r="I500" s="1" t="s">
        <v>968</v>
      </c>
      <c r="K500" s="1" t="s">
        <v>969</v>
      </c>
      <c r="L500" s="1" t="str">
        <f t="shared" si="229"/>
        <v>IPP</v>
      </c>
      <c r="M500" s="1" t="s">
        <v>1232</v>
      </c>
      <c r="P500" s="5">
        <v>941597</v>
      </c>
      <c r="Q500" s="1" t="s">
        <v>1174</v>
      </c>
      <c r="R500" s="1">
        <v>3902332</v>
      </c>
      <c r="S500" s="1" t="s">
        <v>142</v>
      </c>
      <c r="T500" s="1" t="s">
        <v>88</v>
      </c>
      <c r="U500" s="1" t="s">
        <v>89</v>
      </c>
      <c r="V500" s="1" t="s">
        <v>143</v>
      </c>
      <c r="W500" s="1">
        <v>0.5</v>
      </c>
      <c r="X500" s="1">
        <v>1220</v>
      </c>
      <c r="Y500" s="1">
        <v>0</v>
      </c>
      <c r="Z500" s="3">
        <v>140</v>
      </c>
      <c r="AA500" s="3">
        <v>0</v>
      </c>
      <c r="AB500" s="3">
        <v>140</v>
      </c>
      <c r="AC500" s="3">
        <v>0</v>
      </c>
      <c r="AD500" s="3">
        <f t="shared" si="230"/>
        <v>140</v>
      </c>
      <c r="AE500" s="3">
        <v>0</v>
      </c>
      <c r="AF500" s="3">
        <v>140</v>
      </c>
      <c r="AG500" s="3">
        <v>0</v>
      </c>
      <c r="AH500" s="3">
        <v>0</v>
      </c>
      <c r="AI500" s="3">
        <v>0</v>
      </c>
      <c r="AJ500" s="3">
        <f t="shared" si="231"/>
        <v>140</v>
      </c>
      <c r="AK500" s="1">
        <v>0</v>
      </c>
      <c r="AL500" s="3">
        <f>AF500</f>
        <v>140</v>
      </c>
      <c r="AM500" s="1">
        <v>0</v>
      </c>
      <c r="AN500" s="1">
        <v>0</v>
      </c>
      <c r="AO500" s="1">
        <v>0</v>
      </c>
      <c r="AP500" s="3">
        <f t="shared" si="216"/>
        <v>0</v>
      </c>
    </row>
    <row r="501" spans="1:42" x14ac:dyDescent="0.35">
      <c r="A501" s="1">
        <v>744</v>
      </c>
      <c r="B501" s="2">
        <v>45923</v>
      </c>
      <c r="C501" s="1" t="s">
        <v>64</v>
      </c>
      <c r="D501" s="1">
        <v>9519134753</v>
      </c>
      <c r="E501" s="1">
        <v>12</v>
      </c>
      <c r="F501" s="1" t="str">
        <f t="shared" si="232"/>
        <v>9519134753-12</v>
      </c>
      <c r="G501" s="1" t="s">
        <v>1155</v>
      </c>
      <c r="H501" s="1" t="s">
        <v>86</v>
      </c>
      <c r="I501" s="1" t="s">
        <v>968</v>
      </c>
      <c r="K501" s="1" t="s">
        <v>969</v>
      </c>
      <c r="L501" s="1" t="str">
        <f t="shared" si="229"/>
        <v>IPP</v>
      </c>
      <c r="M501" s="1" t="s">
        <v>1232</v>
      </c>
      <c r="P501" s="5">
        <v>941597</v>
      </c>
      <c r="Q501" s="1" t="s">
        <v>1174</v>
      </c>
      <c r="R501" s="1">
        <v>3902332</v>
      </c>
      <c r="S501" s="1" t="s">
        <v>142</v>
      </c>
      <c r="T501" s="1" t="s">
        <v>88</v>
      </c>
      <c r="U501" s="1" t="s">
        <v>89</v>
      </c>
      <c r="V501" s="1" t="s">
        <v>143</v>
      </c>
      <c r="W501" s="1">
        <v>0.5</v>
      </c>
      <c r="X501" s="1">
        <v>1220</v>
      </c>
      <c r="Y501" s="1">
        <v>0</v>
      </c>
      <c r="Z501" s="3">
        <v>112</v>
      </c>
      <c r="AA501" s="3">
        <v>0</v>
      </c>
      <c r="AB501" s="3">
        <v>112</v>
      </c>
      <c r="AC501" s="3">
        <v>0</v>
      </c>
      <c r="AD501" s="3">
        <f t="shared" si="230"/>
        <v>112</v>
      </c>
      <c r="AE501" s="3">
        <v>0</v>
      </c>
      <c r="AF501" s="3">
        <v>0</v>
      </c>
      <c r="AG501" s="3">
        <v>112</v>
      </c>
      <c r="AH501" s="3">
        <v>0</v>
      </c>
      <c r="AI501" s="3">
        <v>0</v>
      </c>
      <c r="AJ501" s="3">
        <f t="shared" si="231"/>
        <v>112</v>
      </c>
      <c r="AK501" s="1">
        <v>0</v>
      </c>
      <c r="AL501" s="1">
        <v>0</v>
      </c>
      <c r="AM501" s="1">
        <v>0</v>
      </c>
      <c r="AN501" s="3">
        <v>0</v>
      </c>
      <c r="AO501" s="3">
        <f t="shared" ref="AO501:AO502" si="233">AG501</f>
        <v>112</v>
      </c>
      <c r="AP501" s="3">
        <f t="shared" si="216"/>
        <v>0</v>
      </c>
    </row>
    <row r="502" spans="1:42" x14ac:dyDescent="0.35">
      <c r="A502" s="1">
        <v>744</v>
      </c>
      <c r="B502" s="2">
        <v>45923</v>
      </c>
      <c r="C502" s="1" t="s">
        <v>64</v>
      </c>
      <c r="D502" s="1">
        <v>9519134753</v>
      </c>
      <c r="E502" s="1">
        <v>13</v>
      </c>
      <c r="F502" s="1" t="str">
        <f t="shared" si="232"/>
        <v>9519134753-13</v>
      </c>
      <c r="G502" s="1" t="s">
        <v>1155</v>
      </c>
      <c r="H502" s="1" t="s">
        <v>86</v>
      </c>
      <c r="I502" s="1" t="s">
        <v>968</v>
      </c>
      <c r="K502" s="1" t="s">
        <v>969</v>
      </c>
      <c r="L502" s="1" t="str">
        <f t="shared" si="229"/>
        <v>IPP</v>
      </c>
      <c r="M502" s="1" t="s">
        <v>1232</v>
      </c>
      <c r="P502" s="5">
        <v>941597</v>
      </c>
      <c r="Q502" s="1" t="s">
        <v>1174</v>
      </c>
      <c r="R502" s="1">
        <v>3902332</v>
      </c>
      <c r="S502" s="1" t="s">
        <v>142</v>
      </c>
      <c r="T502" s="1" t="s">
        <v>88</v>
      </c>
      <c r="U502" s="1" t="s">
        <v>89</v>
      </c>
      <c r="V502" s="1" t="s">
        <v>143</v>
      </c>
      <c r="W502" s="1">
        <v>0.5</v>
      </c>
      <c r="X502" s="1">
        <v>1220</v>
      </c>
      <c r="Y502" s="1">
        <v>0</v>
      </c>
      <c r="Z502" s="3">
        <v>140</v>
      </c>
      <c r="AA502" s="3">
        <v>0</v>
      </c>
      <c r="AB502" s="3">
        <v>140</v>
      </c>
      <c r="AC502" s="3">
        <v>0</v>
      </c>
      <c r="AD502" s="3">
        <f t="shared" si="230"/>
        <v>140</v>
      </c>
      <c r="AE502" s="3">
        <v>0</v>
      </c>
      <c r="AF502" s="3">
        <v>0</v>
      </c>
      <c r="AG502" s="3">
        <v>140</v>
      </c>
      <c r="AH502" s="3">
        <v>0</v>
      </c>
      <c r="AI502" s="3">
        <v>0</v>
      </c>
      <c r="AJ502" s="3">
        <f t="shared" si="231"/>
        <v>140</v>
      </c>
      <c r="AK502" s="1">
        <v>0</v>
      </c>
      <c r="AL502" s="1">
        <v>0</v>
      </c>
      <c r="AM502" s="1">
        <v>0</v>
      </c>
      <c r="AN502" s="3">
        <v>0</v>
      </c>
      <c r="AO502" s="3">
        <f t="shared" si="233"/>
        <v>140</v>
      </c>
      <c r="AP502" s="3">
        <f t="shared" si="216"/>
        <v>0</v>
      </c>
    </row>
    <row r="503" spans="1:42" x14ac:dyDescent="0.35">
      <c r="A503" s="1">
        <v>744</v>
      </c>
      <c r="B503" s="2">
        <v>45923</v>
      </c>
      <c r="C503" s="1" t="s">
        <v>64</v>
      </c>
      <c r="D503" s="1">
        <v>9519134753</v>
      </c>
      <c r="E503" s="1">
        <v>14</v>
      </c>
      <c r="F503" s="1" t="str">
        <f t="shared" si="232"/>
        <v>9519134753-14</v>
      </c>
      <c r="G503" s="1" t="s">
        <v>1155</v>
      </c>
      <c r="H503" s="1" t="s">
        <v>86</v>
      </c>
      <c r="I503" s="1" t="s">
        <v>968</v>
      </c>
      <c r="K503" s="1" t="s">
        <v>969</v>
      </c>
      <c r="L503" s="1" t="str">
        <f t="shared" si="229"/>
        <v>IPP</v>
      </c>
      <c r="M503" s="1" t="s">
        <v>1232</v>
      </c>
      <c r="P503" s="5">
        <v>941597</v>
      </c>
      <c r="Q503" s="1" t="s">
        <v>1174</v>
      </c>
      <c r="R503" s="1">
        <v>3902332</v>
      </c>
      <c r="S503" s="1" t="s">
        <v>142</v>
      </c>
      <c r="T503" s="1" t="s">
        <v>88</v>
      </c>
      <c r="U503" s="1" t="s">
        <v>89</v>
      </c>
      <c r="V503" s="1" t="s">
        <v>143</v>
      </c>
      <c r="W503" s="1">
        <v>0.5</v>
      </c>
      <c r="X503" s="1">
        <v>1220</v>
      </c>
      <c r="Y503" s="1">
        <v>0</v>
      </c>
      <c r="Z503" s="3">
        <v>196</v>
      </c>
      <c r="AA503" s="3">
        <v>0</v>
      </c>
      <c r="AB503" s="3">
        <v>196</v>
      </c>
      <c r="AC503" s="3">
        <v>0</v>
      </c>
      <c r="AD503" s="3">
        <f t="shared" si="230"/>
        <v>196</v>
      </c>
      <c r="AE503" s="3">
        <v>0</v>
      </c>
      <c r="AF503" s="3">
        <v>0</v>
      </c>
      <c r="AG503" s="3">
        <v>0</v>
      </c>
      <c r="AH503" s="3">
        <v>196</v>
      </c>
      <c r="AI503" s="3">
        <v>0</v>
      </c>
      <c r="AJ503" s="3">
        <f t="shared" si="231"/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3">
        <f t="shared" si="216"/>
        <v>196</v>
      </c>
    </row>
    <row r="504" spans="1:42" x14ac:dyDescent="0.35">
      <c r="A504" s="1">
        <v>744</v>
      </c>
      <c r="B504" s="2">
        <v>45923</v>
      </c>
      <c r="C504" s="1" t="s">
        <v>64</v>
      </c>
      <c r="D504" s="1">
        <v>9519134753</v>
      </c>
      <c r="E504" s="1">
        <v>15</v>
      </c>
      <c r="F504" s="1" t="str">
        <f t="shared" si="232"/>
        <v>9519134753-15</v>
      </c>
      <c r="G504" s="1" t="s">
        <v>1155</v>
      </c>
      <c r="H504" s="1" t="s">
        <v>86</v>
      </c>
      <c r="I504" s="1" t="s">
        <v>968</v>
      </c>
      <c r="K504" s="1" t="s">
        <v>969</v>
      </c>
      <c r="L504" s="1" t="str">
        <f t="shared" si="229"/>
        <v>IPP</v>
      </c>
      <c r="M504" s="1" t="s">
        <v>1232</v>
      </c>
      <c r="P504" s="5">
        <v>941597</v>
      </c>
      <c r="Q504" s="1" t="s">
        <v>1174</v>
      </c>
      <c r="R504" s="1">
        <v>3940122</v>
      </c>
      <c r="S504" s="1" t="s">
        <v>281</v>
      </c>
      <c r="T504" s="1" t="s">
        <v>88</v>
      </c>
      <c r="U504" s="1" t="s">
        <v>89</v>
      </c>
      <c r="V504" s="1" t="s">
        <v>143</v>
      </c>
      <c r="W504" s="1">
        <v>0.47</v>
      </c>
      <c r="X504" s="1">
        <v>1220</v>
      </c>
      <c r="Y504" s="1">
        <v>0</v>
      </c>
      <c r="Z504" s="3">
        <v>56</v>
      </c>
      <c r="AA504" s="3">
        <v>0</v>
      </c>
      <c r="AB504" s="3">
        <v>56</v>
      </c>
      <c r="AC504" s="3">
        <v>0</v>
      </c>
      <c r="AD504" s="3">
        <f t="shared" si="230"/>
        <v>56</v>
      </c>
      <c r="AE504" s="3">
        <v>0</v>
      </c>
      <c r="AF504" s="3">
        <v>56</v>
      </c>
      <c r="AG504" s="3">
        <v>0</v>
      </c>
      <c r="AH504" s="3">
        <v>0</v>
      </c>
      <c r="AI504" s="3">
        <v>0</v>
      </c>
      <c r="AJ504" s="3">
        <f t="shared" si="231"/>
        <v>56</v>
      </c>
      <c r="AK504" s="1">
        <v>0</v>
      </c>
      <c r="AL504" s="3">
        <f>AF504</f>
        <v>56</v>
      </c>
      <c r="AM504" s="1">
        <v>0</v>
      </c>
      <c r="AN504" s="1">
        <v>0</v>
      </c>
      <c r="AO504" s="1">
        <v>0</v>
      </c>
      <c r="AP504" s="3">
        <f t="shared" si="216"/>
        <v>0</v>
      </c>
    </row>
    <row r="505" spans="1:42" x14ac:dyDescent="0.35">
      <c r="A505" s="1">
        <v>744</v>
      </c>
      <c r="B505" s="2">
        <v>45923</v>
      </c>
      <c r="C505" s="1" t="s">
        <v>64</v>
      </c>
      <c r="D505" s="1">
        <v>9519134753</v>
      </c>
      <c r="E505" s="1">
        <v>16</v>
      </c>
      <c r="F505" s="1" t="str">
        <f t="shared" si="232"/>
        <v>9519134753-16</v>
      </c>
      <c r="G505" s="1" t="s">
        <v>1155</v>
      </c>
      <c r="H505" s="1" t="s">
        <v>86</v>
      </c>
      <c r="I505" s="1" t="s">
        <v>968</v>
      </c>
      <c r="K505" s="1" t="s">
        <v>969</v>
      </c>
      <c r="L505" s="1" t="str">
        <f t="shared" si="229"/>
        <v>IPP</v>
      </c>
      <c r="M505" s="1" t="s">
        <v>1232</v>
      </c>
      <c r="P505" s="5">
        <v>941597</v>
      </c>
      <c r="Q505" s="1" t="s">
        <v>1174</v>
      </c>
      <c r="R505" s="1">
        <v>3940122</v>
      </c>
      <c r="S505" s="1" t="s">
        <v>281</v>
      </c>
      <c r="T505" s="1" t="s">
        <v>88</v>
      </c>
      <c r="U505" s="1" t="s">
        <v>89</v>
      </c>
      <c r="V505" s="1" t="s">
        <v>143</v>
      </c>
      <c r="W505" s="1">
        <v>0.47</v>
      </c>
      <c r="X505" s="1">
        <v>1220</v>
      </c>
      <c r="Y505" s="1">
        <v>0</v>
      </c>
      <c r="Z505" s="3">
        <v>56</v>
      </c>
      <c r="AA505" s="3">
        <v>0</v>
      </c>
      <c r="AB505" s="3">
        <v>56</v>
      </c>
      <c r="AC505" s="3">
        <v>0</v>
      </c>
      <c r="AD505" s="3">
        <f t="shared" si="230"/>
        <v>56</v>
      </c>
      <c r="AE505" s="3">
        <v>0</v>
      </c>
      <c r="AF505" s="3">
        <v>0</v>
      </c>
      <c r="AG505" s="3">
        <v>0</v>
      </c>
      <c r="AH505" s="3">
        <v>56</v>
      </c>
      <c r="AI505" s="3">
        <v>0</v>
      </c>
      <c r="AJ505" s="3">
        <f t="shared" si="231"/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3">
        <f t="shared" si="216"/>
        <v>56</v>
      </c>
    </row>
    <row r="506" spans="1:42" x14ac:dyDescent="0.35">
      <c r="A506" s="1">
        <v>744</v>
      </c>
      <c r="B506" s="2">
        <v>45923</v>
      </c>
      <c r="C506" s="1" t="s">
        <v>64</v>
      </c>
      <c r="D506" s="1">
        <v>9519134753</v>
      </c>
      <c r="E506" s="1">
        <v>17</v>
      </c>
      <c r="F506" s="1" t="str">
        <f t="shared" si="232"/>
        <v>9519134753-17</v>
      </c>
      <c r="G506" s="1" t="s">
        <v>1155</v>
      </c>
      <c r="H506" s="1" t="s">
        <v>86</v>
      </c>
      <c r="I506" s="1" t="s">
        <v>968</v>
      </c>
      <c r="K506" s="1" t="s">
        <v>969</v>
      </c>
      <c r="L506" s="1" t="str">
        <f t="shared" si="229"/>
        <v>IPP</v>
      </c>
      <c r="M506" s="1" t="s">
        <v>1232</v>
      </c>
      <c r="P506" s="5">
        <v>941597</v>
      </c>
      <c r="Q506" s="1" t="s">
        <v>1174</v>
      </c>
      <c r="R506" s="1">
        <v>3902332</v>
      </c>
      <c r="S506" s="1" t="s">
        <v>142</v>
      </c>
      <c r="T506" s="1" t="s">
        <v>88</v>
      </c>
      <c r="U506" s="1" t="s">
        <v>89</v>
      </c>
      <c r="V506" s="1" t="s">
        <v>143</v>
      </c>
      <c r="W506" s="1">
        <v>0.5</v>
      </c>
      <c r="X506" s="1">
        <v>1220</v>
      </c>
      <c r="Y506" s="1">
        <v>0</v>
      </c>
      <c r="Z506" s="3">
        <v>56</v>
      </c>
      <c r="AA506" s="3">
        <v>0</v>
      </c>
      <c r="AB506" s="3">
        <v>56</v>
      </c>
      <c r="AC506" s="3">
        <v>0</v>
      </c>
      <c r="AD506" s="3">
        <f t="shared" si="230"/>
        <v>56</v>
      </c>
      <c r="AE506" s="3">
        <v>0</v>
      </c>
      <c r="AF506" s="3">
        <v>0</v>
      </c>
      <c r="AG506" s="3">
        <v>0</v>
      </c>
      <c r="AH506" s="3">
        <v>56</v>
      </c>
      <c r="AI506" s="3">
        <v>0</v>
      </c>
      <c r="AJ506" s="3">
        <f t="shared" si="231"/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3">
        <f t="shared" si="216"/>
        <v>56</v>
      </c>
    </row>
    <row r="507" spans="1:42" x14ac:dyDescent="0.35">
      <c r="A507" s="1">
        <v>744</v>
      </c>
      <c r="B507" s="2">
        <v>45923</v>
      </c>
      <c r="C507" s="1" t="s">
        <v>64</v>
      </c>
      <c r="D507" s="1">
        <v>9519134753</v>
      </c>
      <c r="E507" s="1">
        <v>18</v>
      </c>
      <c r="F507" s="1" t="str">
        <f t="shared" si="232"/>
        <v>9519134753-18</v>
      </c>
      <c r="G507" s="1" t="s">
        <v>1155</v>
      </c>
      <c r="H507" s="1" t="s">
        <v>86</v>
      </c>
      <c r="I507" s="1" t="s">
        <v>968</v>
      </c>
      <c r="K507" s="1" t="s">
        <v>969</v>
      </c>
      <c r="L507" s="1" t="str">
        <f t="shared" si="229"/>
        <v>IPP</v>
      </c>
      <c r="M507" s="1" t="s">
        <v>1232</v>
      </c>
      <c r="P507" s="5">
        <v>941597</v>
      </c>
      <c r="Q507" s="1" t="s">
        <v>1174</v>
      </c>
      <c r="R507" s="1">
        <v>3902332</v>
      </c>
      <c r="S507" s="1" t="s">
        <v>142</v>
      </c>
      <c r="T507" s="1" t="s">
        <v>88</v>
      </c>
      <c r="U507" s="1" t="s">
        <v>89</v>
      </c>
      <c r="V507" s="1" t="s">
        <v>143</v>
      </c>
      <c r="W507" s="1">
        <v>0.5</v>
      </c>
      <c r="X507" s="1">
        <v>1220</v>
      </c>
      <c r="Y507" s="1">
        <v>0</v>
      </c>
      <c r="Z507" s="3">
        <v>56</v>
      </c>
      <c r="AA507" s="3">
        <v>0</v>
      </c>
      <c r="AB507" s="3">
        <v>56</v>
      </c>
      <c r="AC507" s="3">
        <v>0</v>
      </c>
      <c r="AD507" s="3">
        <f t="shared" si="230"/>
        <v>56</v>
      </c>
      <c r="AE507" s="3">
        <v>0</v>
      </c>
      <c r="AF507" s="3">
        <v>56</v>
      </c>
      <c r="AG507" s="3">
        <v>0</v>
      </c>
      <c r="AH507" s="3">
        <v>0</v>
      </c>
      <c r="AI507" s="3">
        <v>0</v>
      </c>
      <c r="AJ507" s="3">
        <f t="shared" si="231"/>
        <v>56</v>
      </c>
      <c r="AK507" s="1">
        <v>0</v>
      </c>
      <c r="AL507" s="1">
        <v>0</v>
      </c>
      <c r="AM507" s="3">
        <f>AF507</f>
        <v>56</v>
      </c>
      <c r="AN507" s="1">
        <v>0</v>
      </c>
      <c r="AO507" s="1">
        <v>0</v>
      </c>
      <c r="AP507" s="3">
        <f t="shared" si="216"/>
        <v>0</v>
      </c>
    </row>
    <row r="508" spans="1:42" x14ac:dyDescent="0.35">
      <c r="A508" s="1">
        <v>744</v>
      </c>
      <c r="B508" s="2">
        <v>45923</v>
      </c>
      <c r="C508" s="1" t="s">
        <v>64</v>
      </c>
      <c r="D508" s="1">
        <v>9519134753</v>
      </c>
      <c r="E508" s="1">
        <v>19</v>
      </c>
      <c r="F508" s="1" t="str">
        <f t="shared" si="232"/>
        <v>9519134753-19</v>
      </c>
      <c r="G508" s="1" t="s">
        <v>1155</v>
      </c>
      <c r="H508" s="1" t="s">
        <v>86</v>
      </c>
      <c r="I508" s="1" t="s">
        <v>968</v>
      </c>
      <c r="K508" s="1" t="s">
        <v>969</v>
      </c>
      <c r="L508" s="1" t="str">
        <f t="shared" si="229"/>
        <v>IPP</v>
      </c>
      <c r="M508" s="1" t="s">
        <v>1232</v>
      </c>
      <c r="P508" s="5">
        <v>941597</v>
      </c>
      <c r="Q508" s="1" t="s">
        <v>1174</v>
      </c>
      <c r="R508" s="1">
        <v>3902332</v>
      </c>
      <c r="S508" s="1" t="s">
        <v>142</v>
      </c>
      <c r="T508" s="1" t="s">
        <v>88</v>
      </c>
      <c r="U508" s="1" t="s">
        <v>89</v>
      </c>
      <c r="V508" s="1" t="s">
        <v>143</v>
      </c>
      <c r="W508" s="1">
        <v>0.5</v>
      </c>
      <c r="X508" s="1">
        <v>1220</v>
      </c>
      <c r="Y508" s="1">
        <v>0</v>
      </c>
      <c r="Z508" s="3">
        <v>28</v>
      </c>
      <c r="AA508" s="3">
        <v>0</v>
      </c>
      <c r="AB508" s="3">
        <v>28</v>
      </c>
      <c r="AC508" s="3">
        <v>0</v>
      </c>
      <c r="AD508" s="3">
        <f t="shared" si="230"/>
        <v>28</v>
      </c>
      <c r="AE508" s="3">
        <v>0</v>
      </c>
      <c r="AF508" s="3">
        <v>0</v>
      </c>
      <c r="AG508" s="3">
        <v>28</v>
      </c>
      <c r="AH508" s="3">
        <v>0</v>
      </c>
      <c r="AI508" s="3">
        <v>0</v>
      </c>
      <c r="AJ508" s="3">
        <f t="shared" si="231"/>
        <v>28</v>
      </c>
      <c r="AK508" s="1">
        <v>0</v>
      </c>
      <c r="AL508" s="1">
        <v>0</v>
      </c>
      <c r="AM508" s="1">
        <v>0</v>
      </c>
      <c r="AN508" s="3">
        <v>0</v>
      </c>
      <c r="AO508" s="3">
        <f t="shared" ref="AO508:AO509" si="234">AG508</f>
        <v>28</v>
      </c>
      <c r="AP508" s="3">
        <f t="shared" si="216"/>
        <v>0</v>
      </c>
    </row>
    <row r="509" spans="1:42" x14ac:dyDescent="0.35">
      <c r="A509" s="1">
        <v>744</v>
      </c>
      <c r="B509" s="2">
        <v>45923</v>
      </c>
      <c r="C509" s="1" t="s">
        <v>64</v>
      </c>
      <c r="D509" s="1">
        <v>9519134753</v>
      </c>
      <c r="E509" s="1">
        <v>20</v>
      </c>
      <c r="F509" s="1" t="str">
        <f t="shared" si="232"/>
        <v>9519134753-20</v>
      </c>
      <c r="G509" s="1" t="s">
        <v>1155</v>
      </c>
      <c r="H509" s="1" t="s">
        <v>86</v>
      </c>
      <c r="I509" s="1" t="s">
        <v>968</v>
      </c>
      <c r="K509" s="1" t="s">
        <v>969</v>
      </c>
      <c r="L509" s="1" t="str">
        <f t="shared" si="229"/>
        <v>IPP</v>
      </c>
      <c r="M509" s="1" t="s">
        <v>1232</v>
      </c>
      <c r="P509" s="5">
        <v>941597</v>
      </c>
      <c r="Q509" s="1" t="s">
        <v>1174</v>
      </c>
      <c r="R509" s="1">
        <v>3902332</v>
      </c>
      <c r="S509" s="1" t="s">
        <v>142</v>
      </c>
      <c r="T509" s="1" t="s">
        <v>88</v>
      </c>
      <c r="U509" s="1" t="s">
        <v>89</v>
      </c>
      <c r="V509" s="1" t="s">
        <v>143</v>
      </c>
      <c r="W509" s="1">
        <v>0.5</v>
      </c>
      <c r="X509" s="1">
        <v>1220</v>
      </c>
      <c r="Y509" s="1">
        <v>0</v>
      </c>
      <c r="Z509" s="3">
        <v>84</v>
      </c>
      <c r="AA509" s="3">
        <v>0</v>
      </c>
      <c r="AB509" s="3">
        <v>84</v>
      </c>
      <c r="AC509" s="3">
        <v>0</v>
      </c>
      <c r="AD509" s="3">
        <f t="shared" si="230"/>
        <v>84</v>
      </c>
      <c r="AE509" s="3">
        <v>0</v>
      </c>
      <c r="AF509" s="3">
        <v>0</v>
      </c>
      <c r="AG509" s="3">
        <v>84</v>
      </c>
      <c r="AH509" s="3">
        <v>0</v>
      </c>
      <c r="AI509" s="3">
        <v>0</v>
      </c>
      <c r="AJ509" s="3">
        <f t="shared" si="231"/>
        <v>84</v>
      </c>
      <c r="AK509" s="1">
        <v>0</v>
      </c>
      <c r="AL509" s="1">
        <v>0</v>
      </c>
      <c r="AM509" s="1">
        <v>0</v>
      </c>
      <c r="AN509" s="3">
        <v>0</v>
      </c>
      <c r="AO509" s="3">
        <f t="shared" si="234"/>
        <v>84</v>
      </c>
      <c r="AP509" s="3">
        <f t="shared" si="216"/>
        <v>0</v>
      </c>
    </row>
    <row r="510" spans="1:42" x14ac:dyDescent="0.35">
      <c r="A510" s="1">
        <v>744</v>
      </c>
      <c r="B510" s="2">
        <v>45923</v>
      </c>
      <c r="C510" s="1" t="s">
        <v>64</v>
      </c>
      <c r="D510" s="1">
        <v>9519134753</v>
      </c>
      <c r="E510" s="1">
        <v>21</v>
      </c>
      <c r="F510" s="1" t="str">
        <f t="shared" si="232"/>
        <v>9519134753-21</v>
      </c>
      <c r="G510" s="1" t="s">
        <v>1155</v>
      </c>
      <c r="H510" s="1" t="s">
        <v>86</v>
      </c>
      <c r="I510" s="1" t="s">
        <v>968</v>
      </c>
      <c r="K510" s="1" t="s">
        <v>969</v>
      </c>
      <c r="L510" s="1" t="str">
        <f t="shared" si="229"/>
        <v>IPP</v>
      </c>
      <c r="M510" s="1" t="s">
        <v>1232</v>
      </c>
      <c r="P510" s="5">
        <v>941597</v>
      </c>
      <c r="Q510" s="1" t="s">
        <v>1174</v>
      </c>
      <c r="R510" s="1">
        <v>3902332</v>
      </c>
      <c r="S510" s="1" t="s">
        <v>142</v>
      </c>
      <c r="T510" s="1" t="s">
        <v>88</v>
      </c>
      <c r="U510" s="1" t="s">
        <v>89</v>
      </c>
      <c r="V510" s="1" t="s">
        <v>143</v>
      </c>
      <c r="W510" s="1">
        <v>0.5</v>
      </c>
      <c r="X510" s="1">
        <v>1220</v>
      </c>
      <c r="Y510" s="1">
        <v>0</v>
      </c>
      <c r="Z510" s="3">
        <v>28</v>
      </c>
      <c r="AA510" s="3">
        <v>0</v>
      </c>
      <c r="AB510" s="3">
        <v>28</v>
      </c>
      <c r="AC510" s="3">
        <v>0</v>
      </c>
      <c r="AD510" s="3">
        <f t="shared" si="230"/>
        <v>28</v>
      </c>
      <c r="AE510" s="3">
        <v>0</v>
      </c>
      <c r="AF510" s="3">
        <v>28</v>
      </c>
      <c r="AG510" s="3">
        <v>0</v>
      </c>
      <c r="AH510" s="3">
        <v>0</v>
      </c>
      <c r="AI510" s="3">
        <v>0</v>
      </c>
      <c r="AJ510" s="3">
        <f t="shared" si="231"/>
        <v>28</v>
      </c>
      <c r="AK510" s="1">
        <v>0</v>
      </c>
      <c r="AL510" s="1">
        <v>0</v>
      </c>
      <c r="AM510" s="3">
        <f>AF510</f>
        <v>28</v>
      </c>
      <c r="AN510" s="1">
        <v>0</v>
      </c>
      <c r="AO510" s="1">
        <v>0</v>
      </c>
      <c r="AP510" s="3">
        <f t="shared" si="216"/>
        <v>0</v>
      </c>
    </row>
    <row r="511" spans="1:42" x14ac:dyDescent="0.35">
      <c r="A511" s="1">
        <v>743</v>
      </c>
      <c r="B511" s="2">
        <v>45923</v>
      </c>
      <c r="C511" s="1" t="s">
        <v>64</v>
      </c>
      <c r="D511" s="1">
        <v>9519135056</v>
      </c>
      <c r="E511" s="1">
        <v>1</v>
      </c>
      <c r="F511" s="1" t="str">
        <f t="shared" si="232"/>
        <v>9519135056-1</v>
      </c>
      <c r="G511" s="1" t="s">
        <v>1155</v>
      </c>
      <c r="H511" s="1" t="s">
        <v>56</v>
      </c>
      <c r="I511" s="1" t="s">
        <v>968</v>
      </c>
      <c r="K511" s="1" t="s">
        <v>969</v>
      </c>
      <c r="L511" s="1" t="str">
        <f t="shared" si="229"/>
        <v>IPP</v>
      </c>
      <c r="M511" s="1" t="s">
        <v>1232</v>
      </c>
      <c r="P511" s="5">
        <v>942283</v>
      </c>
      <c r="Q511" s="1" t="s">
        <v>1174</v>
      </c>
      <c r="R511" s="1">
        <v>1881988</v>
      </c>
      <c r="S511" s="1" t="s">
        <v>401</v>
      </c>
      <c r="T511" s="1" t="s">
        <v>60</v>
      </c>
      <c r="U511" s="1" t="s">
        <v>61</v>
      </c>
      <c r="V511" s="1" t="s">
        <v>103</v>
      </c>
      <c r="W511" s="1">
        <v>0.5</v>
      </c>
      <c r="X511" s="1">
        <v>1220</v>
      </c>
      <c r="Y511" s="1">
        <v>0</v>
      </c>
      <c r="Z511" s="3">
        <v>84</v>
      </c>
      <c r="AA511" s="3">
        <v>0</v>
      </c>
      <c r="AB511" s="3">
        <v>84</v>
      </c>
      <c r="AC511" s="3">
        <v>0</v>
      </c>
      <c r="AD511" s="3">
        <f t="shared" si="230"/>
        <v>84</v>
      </c>
      <c r="AE511" s="3">
        <v>84</v>
      </c>
      <c r="AF511" s="3">
        <v>0</v>
      </c>
      <c r="AG511" s="3">
        <v>0</v>
      </c>
      <c r="AH511" s="3">
        <v>0</v>
      </c>
      <c r="AI511" s="3">
        <v>0</v>
      </c>
      <c r="AJ511" s="3">
        <f t="shared" si="231"/>
        <v>84</v>
      </c>
      <c r="AK511" s="1">
        <v>0</v>
      </c>
      <c r="AL511" s="3">
        <f t="shared" ref="AL511:AL512" si="235">AE511</f>
        <v>84</v>
      </c>
      <c r="AM511" s="1">
        <v>0</v>
      </c>
      <c r="AN511" s="1">
        <v>0</v>
      </c>
      <c r="AO511" s="1">
        <v>0</v>
      </c>
      <c r="AP511" s="3">
        <f t="shared" si="216"/>
        <v>0</v>
      </c>
    </row>
    <row r="512" spans="1:42" x14ac:dyDescent="0.35">
      <c r="A512" s="1">
        <v>743</v>
      </c>
      <c r="B512" s="2">
        <v>45923</v>
      </c>
      <c r="C512" s="1" t="s">
        <v>64</v>
      </c>
      <c r="D512" s="1">
        <v>9519135056</v>
      </c>
      <c r="E512" s="1">
        <v>2</v>
      </c>
      <c r="F512" s="1" t="str">
        <f t="shared" si="232"/>
        <v>9519135056-2</v>
      </c>
      <c r="G512" s="1" t="s">
        <v>1155</v>
      </c>
      <c r="H512" s="1" t="s">
        <v>56</v>
      </c>
      <c r="I512" s="1" t="s">
        <v>968</v>
      </c>
      <c r="K512" s="1" t="s">
        <v>969</v>
      </c>
      <c r="L512" s="1" t="str">
        <f t="shared" si="229"/>
        <v>IPP</v>
      </c>
      <c r="M512" s="1" t="s">
        <v>1232</v>
      </c>
      <c r="P512" s="5">
        <v>942283</v>
      </c>
      <c r="Q512" s="1" t="s">
        <v>1174</v>
      </c>
      <c r="R512" s="1">
        <v>1881969</v>
      </c>
      <c r="S512" s="1" t="s">
        <v>112</v>
      </c>
      <c r="T512" s="1" t="s">
        <v>60</v>
      </c>
      <c r="U512" s="1" t="s">
        <v>61</v>
      </c>
      <c r="V512" s="1" t="s">
        <v>103</v>
      </c>
      <c r="W512" s="1">
        <v>0.45</v>
      </c>
      <c r="X512" s="1">
        <v>1220</v>
      </c>
      <c r="Y512" s="1">
        <v>0</v>
      </c>
      <c r="Z512" s="3">
        <v>112</v>
      </c>
      <c r="AA512" s="3">
        <v>13.305</v>
      </c>
      <c r="AB512" s="3">
        <v>98.694999999999993</v>
      </c>
      <c r="AC512" s="3">
        <v>0</v>
      </c>
      <c r="AD512" s="3">
        <f t="shared" si="230"/>
        <v>112</v>
      </c>
      <c r="AE512" s="3">
        <v>112</v>
      </c>
      <c r="AF512" s="3">
        <v>0</v>
      </c>
      <c r="AG512" s="3">
        <v>0</v>
      </c>
      <c r="AH512" s="3">
        <v>0</v>
      </c>
      <c r="AI512" s="3">
        <v>0</v>
      </c>
      <c r="AJ512" s="3">
        <f t="shared" si="231"/>
        <v>112</v>
      </c>
      <c r="AK512" s="1">
        <v>0</v>
      </c>
      <c r="AL512" s="3">
        <f t="shared" si="235"/>
        <v>112</v>
      </c>
      <c r="AM512" s="1">
        <v>0</v>
      </c>
      <c r="AN512" s="1">
        <v>0</v>
      </c>
      <c r="AO512" s="1">
        <v>0</v>
      </c>
      <c r="AP512" s="3">
        <f t="shared" si="216"/>
        <v>0</v>
      </c>
    </row>
    <row r="513" spans="1:42" x14ac:dyDescent="0.35">
      <c r="A513" s="1">
        <v>743</v>
      </c>
      <c r="B513" s="2">
        <v>45923</v>
      </c>
      <c r="C513" s="1" t="s">
        <v>64</v>
      </c>
      <c r="D513" s="1">
        <v>9519135056</v>
      </c>
      <c r="E513" s="1">
        <v>3</v>
      </c>
      <c r="F513" s="1" t="str">
        <f t="shared" si="232"/>
        <v>9519135056-3</v>
      </c>
      <c r="G513" s="1" t="s">
        <v>1155</v>
      </c>
      <c r="H513" s="1" t="s">
        <v>56</v>
      </c>
      <c r="I513" s="1" t="s">
        <v>968</v>
      </c>
      <c r="K513" s="1" t="s">
        <v>969</v>
      </c>
      <c r="L513" s="1" t="str">
        <f t="shared" si="229"/>
        <v>IPP</v>
      </c>
      <c r="M513" s="1" t="s">
        <v>1232</v>
      </c>
      <c r="P513" s="5">
        <v>942283</v>
      </c>
      <c r="Q513" s="1" t="s">
        <v>1174</v>
      </c>
      <c r="R513" s="1">
        <v>1881969</v>
      </c>
      <c r="S513" s="1" t="s">
        <v>112</v>
      </c>
      <c r="T513" s="1" t="s">
        <v>60</v>
      </c>
      <c r="U513" s="1" t="s">
        <v>61</v>
      </c>
      <c r="V513" s="1" t="s">
        <v>103</v>
      </c>
      <c r="W513" s="1">
        <v>0.45</v>
      </c>
      <c r="X513" s="1">
        <v>1220</v>
      </c>
      <c r="Y513" s="1">
        <v>0</v>
      </c>
      <c r="Z513" s="3">
        <v>224</v>
      </c>
      <c r="AA513" s="3">
        <v>0</v>
      </c>
      <c r="AB513" s="3">
        <v>224</v>
      </c>
      <c r="AC513" s="3">
        <v>0</v>
      </c>
      <c r="AD513" s="3">
        <f t="shared" si="230"/>
        <v>224</v>
      </c>
      <c r="AE513" s="3">
        <v>0</v>
      </c>
      <c r="AF513" s="3">
        <v>224</v>
      </c>
      <c r="AG513" s="3">
        <v>0</v>
      </c>
      <c r="AH513" s="3">
        <v>0</v>
      </c>
      <c r="AI513" s="3">
        <v>0</v>
      </c>
      <c r="AJ513" s="3">
        <f t="shared" si="231"/>
        <v>224</v>
      </c>
      <c r="AK513" s="1">
        <v>0</v>
      </c>
      <c r="AL513" s="1">
        <v>0</v>
      </c>
      <c r="AM513" s="3">
        <f>AF513</f>
        <v>224</v>
      </c>
      <c r="AN513" s="1">
        <v>0</v>
      </c>
      <c r="AO513" s="1">
        <v>0</v>
      </c>
      <c r="AP513" s="3">
        <f t="shared" ref="AP513:AP576" si="236">(AC513+AD513)-AJ513</f>
        <v>0</v>
      </c>
    </row>
    <row r="514" spans="1:42" x14ac:dyDescent="0.35">
      <c r="A514" s="1">
        <v>2341</v>
      </c>
      <c r="B514" s="2">
        <v>45923</v>
      </c>
      <c r="C514" s="1" t="s">
        <v>46</v>
      </c>
      <c r="D514" s="1">
        <v>9519110380</v>
      </c>
      <c r="E514" s="1">
        <v>1</v>
      </c>
      <c r="F514" s="1" t="str">
        <f t="shared" si="232"/>
        <v>9519110380-1</v>
      </c>
      <c r="G514" s="1" t="s">
        <v>1155</v>
      </c>
      <c r="H514" s="1" t="s">
        <v>21</v>
      </c>
      <c r="I514" s="1" t="s">
        <v>969</v>
      </c>
      <c r="K514" s="1" t="s">
        <v>969</v>
      </c>
      <c r="L514" s="1" t="s">
        <v>1421</v>
      </c>
      <c r="M514" s="1" t="s">
        <v>1017</v>
      </c>
      <c r="P514" s="5">
        <v>925428</v>
      </c>
      <c r="Q514" s="1" t="s">
        <v>1175</v>
      </c>
      <c r="R514" s="1">
        <v>3741588</v>
      </c>
      <c r="S514" s="1" t="s">
        <v>1176</v>
      </c>
      <c r="T514" s="1" t="s">
        <v>28</v>
      </c>
      <c r="U514" s="1" t="s">
        <v>293</v>
      </c>
      <c r="V514" s="1" t="s">
        <v>294</v>
      </c>
      <c r="W514" s="1">
        <v>1.1499999999999999</v>
      </c>
      <c r="X514" s="1">
        <v>1250</v>
      </c>
      <c r="Y514" s="1">
        <v>0</v>
      </c>
      <c r="Z514" s="3">
        <v>232</v>
      </c>
      <c r="AA514" s="3">
        <v>0</v>
      </c>
      <c r="AB514" s="3">
        <v>231.999</v>
      </c>
      <c r="AC514" s="3">
        <v>0</v>
      </c>
      <c r="AD514" s="3">
        <f t="shared" si="230"/>
        <v>231.999</v>
      </c>
      <c r="AE514" s="3">
        <v>0</v>
      </c>
      <c r="AF514" s="3">
        <v>0</v>
      </c>
      <c r="AG514" s="3">
        <v>0</v>
      </c>
      <c r="AH514" s="3">
        <v>0</v>
      </c>
      <c r="AI514" s="3">
        <v>231.999</v>
      </c>
      <c r="AJ514" s="3">
        <f t="shared" si="231"/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3">
        <f t="shared" si="236"/>
        <v>231.999</v>
      </c>
    </row>
    <row r="515" spans="1:42" x14ac:dyDescent="0.35">
      <c r="A515" s="1">
        <v>2341</v>
      </c>
      <c r="B515" s="2">
        <v>45923</v>
      </c>
      <c r="C515" s="1" t="s">
        <v>46</v>
      </c>
      <c r="D515" s="1">
        <v>9519110380</v>
      </c>
      <c r="E515" s="1">
        <v>2</v>
      </c>
      <c r="F515" s="1" t="str">
        <f t="shared" si="232"/>
        <v>9519110380-2</v>
      </c>
      <c r="G515" s="1" t="s">
        <v>1155</v>
      </c>
      <c r="H515" s="1" t="s">
        <v>21</v>
      </c>
      <c r="I515" s="1" t="s">
        <v>969</v>
      </c>
      <c r="K515" s="1" t="s">
        <v>969</v>
      </c>
      <c r="L515" s="1" t="s">
        <v>1421</v>
      </c>
      <c r="M515" s="1" t="s">
        <v>1017</v>
      </c>
      <c r="P515" s="5">
        <v>925428</v>
      </c>
      <c r="Q515" s="1" t="s">
        <v>1175</v>
      </c>
      <c r="R515" s="1">
        <v>3741589</v>
      </c>
      <c r="S515" s="1" t="s">
        <v>292</v>
      </c>
      <c r="T515" s="1" t="s">
        <v>28</v>
      </c>
      <c r="U515" s="1" t="s">
        <v>293</v>
      </c>
      <c r="V515" s="1" t="s">
        <v>294</v>
      </c>
      <c r="W515" s="1">
        <v>1.5</v>
      </c>
      <c r="X515" s="1">
        <v>1250</v>
      </c>
      <c r="Y515" s="1">
        <v>0</v>
      </c>
      <c r="Z515" s="3">
        <v>290</v>
      </c>
      <c r="AA515" s="3">
        <v>0</v>
      </c>
      <c r="AB515" s="3">
        <v>289.99900000000002</v>
      </c>
      <c r="AC515" s="3">
        <v>0</v>
      </c>
      <c r="AD515" s="3">
        <f t="shared" si="230"/>
        <v>289.99900000000002</v>
      </c>
      <c r="AE515" s="3">
        <v>0</v>
      </c>
      <c r="AF515" s="3">
        <v>0</v>
      </c>
      <c r="AG515" s="3">
        <v>0</v>
      </c>
      <c r="AH515" s="3">
        <v>289.99900000000002</v>
      </c>
      <c r="AI515" s="3">
        <v>0</v>
      </c>
      <c r="AJ515" s="3">
        <f t="shared" si="231"/>
        <v>289.99900000000002</v>
      </c>
      <c r="AK515" s="1">
        <v>0</v>
      </c>
      <c r="AL515" s="1">
        <v>0</v>
      </c>
      <c r="AM515" s="1">
        <v>0</v>
      </c>
      <c r="AN515" s="1">
        <v>0</v>
      </c>
      <c r="AO515" s="3">
        <f t="shared" ref="AO515:AO516" si="237">AH515</f>
        <v>289.99900000000002</v>
      </c>
      <c r="AP515" s="3">
        <f t="shared" si="236"/>
        <v>0</v>
      </c>
    </row>
    <row r="516" spans="1:42" x14ac:dyDescent="0.35">
      <c r="A516" s="1">
        <v>2341</v>
      </c>
      <c r="B516" s="2">
        <v>45923</v>
      </c>
      <c r="C516" s="1" t="s">
        <v>46</v>
      </c>
      <c r="D516" s="1">
        <v>9519110380</v>
      </c>
      <c r="E516" s="1">
        <v>3</v>
      </c>
      <c r="F516" s="1" t="str">
        <f t="shared" si="232"/>
        <v>9519110380-3</v>
      </c>
      <c r="G516" s="1" t="s">
        <v>1155</v>
      </c>
      <c r="H516" s="1" t="s">
        <v>21</v>
      </c>
      <c r="I516" s="1" t="s">
        <v>969</v>
      </c>
      <c r="K516" s="1" t="s">
        <v>969</v>
      </c>
      <c r="L516" s="1" t="s">
        <v>1421</v>
      </c>
      <c r="M516" s="1" t="s">
        <v>1017</v>
      </c>
      <c r="P516" s="5">
        <v>925428</v>
      </c>
      <c r="Q516" s="1" t="s">
        <v>1175</v>
      </c>
      <c r="R516" s="1">
        <v>2413191</v>
      </c>
      <c r="S516" s="1" t="s">
        <v>1177</v>
      </c>
      <c r="T516" s="1" t="s">
        <v>28</v>
      </c>
      <c r="U516" s="1" t="s">
        <v>293</v>
      </c>
      <c r="V516" s="1" t="s">
        <v>294</v>
      </c>
      <c r="W516" s="1">
        <v>1.38</v>
      </c>
      <c r="X516" s="1">
        <v>1250</v>
      </c>
      <c r="Y516" s="1">
        <v>0</v>
      </c>
      <c r="Z516" s="3">
        <v>58</v>
      </c>
      <c r="AA516" s="3">
        <v>0</v>
      </c>
      <c r="AB516" s="3">
        <v>57.999000000000002</v>
      </c>
      <c r="AC516" s="3">
        <v>0</v>
      </c>
      <c r="AD516" s="3">
        <f t="shared" si="230"/>
        <v>57.999000000000002</v>
      </c>
      <c r="AE516" s="3">
        <v>0</v>
      </c>
      <c r="AF516" s="3">
        <v>0</v>
      </c>
      <c r="AG516" s="3">
        <v>0</v>
      </c>
      <c r="AH516" s="3">
        <v>57.999000000000002</v>
      </c>
      <c r="AI516" s="3">
        <v>0</v>
      </c>
      <c r="AJ516" s="3">
        <f t="shared" si="231"/>
        <v>57.999000000000002</v>
      </c>
      <c r="AK516" s="1">
        <v>0</v>
      </c>
      <c r="AL516" s="1">
        <v>0</v>
      </c>
      <c r="AM516" s="1">
        <v>0</v>
      </c>
      <c r="AN516" s="1">
        <v>0</v>
      </c>
      <c r="AO516" s="3">
        <f t="shared" si="237"/>
        <v>57.999000000000002</v>
      </c>
      <c r="AP516" s="3">
        <f t="shared" si="236"/>
        <v>0</v>
      </c>
    </row>
    <row r="517" spans="1:42" x14ac:dyDescent="0.35">
      <c r="A517" s="1">
        <v>2341</v>
      </c>
      <c r="B517" s="2">
        <v>45923</v>
      </c>
      <c r="C517" s="1" t="s">
        <v>46</v>
      </c>
      <c r="D517" s="1">
        <v>9519110380</v>
      </c>
      <c r="E517" s="1">
        <v>4</v>
      </c>
      <c r="F517" s="1" t="str">
        <f t="shared" si="232"/>
        <v>9519110380-4</v>
      </c>
      <c r="G517" s="1" t="s">
        <v>1155</v>
      </c>
      <c r="H517" s="1" t="s">
        <v>21</v>
      </c>
      <c r="I517" s="1" t="s">
        <v>969</v>
      </c>
      <c r="K517" s="1" t="s">
        <v>969</v>
      </c>
      <c r="L517" s="1" t="s">
        <v>1421</v>
      </c>
      <c r="M517" s="1" t="s">
        <v>1017</v>
      </c>
      <c r="P517" s="5">
        <v>925428</v>
      </c>
      <c r="Q517" s="1" t="s">
        <v>1175</v>
      </c>
      <c r="R517" s="1">
        <v>3741588</v>
      </c>
      <c r="S517" s="1" t="s">
        <v>1176</v>
      </c>
      <c r="T517" s="1" t="s">
        <v>28</v>
      </c>
      <c r="U517" s="1" t="s">
        <v>293</v>
      </c>
      <c r="V517" s="1" t="s">
        <v>294</v>
      </c>
      <c r="W517" s="1">
        <v>1.1499999999999999</v>
      </c>
      <c r="X517" s="1">
        <v>1250</v>
      </c>
      <c r="Y517" s="1">
        <v>0</v>
      </c>
      <c r="Z517" s="3">
        <v>261</v>
      </c>
      <c r="AA517" s="3">
        <v>0</v>
      </c>
      <c r="AB517" s="3">
        <v>260.99900000000002</v>
      </c>
      <c r="AC517" s="3">
        <v>0</v>
      </c>
      <c r="AD517" s="3">
        <f t="shared" si="230"/>
        <v>260.99900000000002</v>
      </c>
      <c r="AE517" s="3">
        <v>0</v>
      </c>
      <c r="AF517" s="3">
        <v>0</v>
      </c>
      <c r="AG517" s="3">
        <v>0</v>
      </c>
      <c r="AH517" s="3">
        <v>0</v>
      </c>
      <c r="AI517" s="3">
        <v>260.99900000000002</v>
      </c>
      <c r="AJ517" s="3">
        <f t="shared" si="231"/>
        <v>260.99900000000002</v>
      </c>
      <c r="AK517" s="1">
        <v>0</v>
      </c>
      <c r="AL517" s="1">
        <v>0</v>
      </c>
      <c r="AM517" s="1">
        <v>0</v>
      </c>
      <c r="AN517" s="1">
        <v>0</v>
      </c>
      <c r="AO517" s="3">
        <f>AI517</f>
        <v>260.99900000000002</v>
      </c>
      <c r="AP517" s="3">
        <f t="shared" si="236"/>
        <v>0</v>
      </c>
    </row>
    <row r="518" spans="1:42" x14ac:dyDescent="0.35">
      <c r="A518" s="1">
        <v>2341</v>
      </c>
      <c r="B518" s="2">
        <v>45923</v>
      </c>
      <c r="C518" s="1" t="s">
        <v>46</v>
      </c>
      <c r="D518" s="1">
        <v>9519110380</v>
      </c>
      <c r="E518" s="1">
        <v>5</v>
      </c>
      <c r="F518" s="1" t="str">
        <f t="shared" si="232"/>
        <v>9519110380-5</v>
      </c>
      <c r="G518" s="1" t="s">
        <v>1155</v>
      </c>
      <c r="H518" s="1" t="s">
        <v>21</v>
      </c>
      <c r="I518" s="1" t="s">
        <v>969</v>
      </c>
      <c r="K518" s="1" t="s">
        <v>969</v>
      </c>
      <c r="L518" s="1" t="s">
        <v>1421</v>
      </c>
      <c r="M518" s="1" t="s">
        <v>1017</v>
      </c>
      <c r="P518" s="5">
        <v>925428</v>
      </c>
      <c r="Q518" s="1" t="s">
        <v>1175</v>
      </c>
      <c r="R518" s="1">
        <v>3741589</v>
      </c>
      <c r="S518" s="1" t="s">
        <v>292</v>
      </c>
      <c r="T518" s="1" t="s">
        <v>28</v>
      </c>
      <c r="U518" s="1" t="s">
        <v>293</v>
      </c>
      <c r="V518" s="1" t="s">
        <v>294</v>
      </c>
      <c r="W518" s="1">
        <v>1.5</v>
      </c>
      <c r="X518" s="1">
        <v>1250</v>
      </c>
      <c r="Y518" s="1">
        <v>0</v>
      </c>
      <c r="Z518" s="3">
        <v>290</v>
      </c>
      <c r="AA518" s="3">
        <v>0</v>
      </c>
      <c r="AB518" s="3">
        <v>289.99900000000002</v>
      </c>
      <c r="AC518" s="3">
        <v>0</v>
      </c>
      <c r="AD518" s="3">
        <f t="shared" si="230"/>
        <v>289.99900000000002</v>
      </c>
      <c r="AE518" s="3">
        <v>0</v>
      </c>
      <c r="AF518" s="3">
        <v>0</v>
      </c>
      <c r="AG518" s="3">
        <v>289.99900000000002</v>
      </c>
      <c r="AH518" s="3">
        <v>0</v>
      </c>
      <c r="AI518" s="3">
        <v>0</v>
      </c>
      <c r="AJ518" s="3">
        <f t="shared" si="231"/>
        <v>289.99900000000002</v>
      </c>
      <c r="AK518" s="1">
        <v>0</v>
      </c>
      <c r="AL518" s="1">
        <v>0</v>
      </c>
      <c r="AM518" s="1">
        <v>0</v>
      </c>
      <c r="AN518" s="3">
        <f>AG518</f>
        <v>289.99900000000002</v>
      </c>
      <c r="AO518" s="1">
        <v>0</v>
      </c>
      <c r="AP518" s="3">
        <f t="shared" si="236"/>
        <v>0</v>
      </c>
    </row>
    <row r="519" spans="1:42" x14ac:dyDescent="0.35">
      <c r="A519" s="1">
        <v>744</v>
      </c>
      <c r="B519" s="2">
        <v>45924</v>
      </c>
      <c r="C519" s="1" t="s">
        <v>64</v>
      </c>
      <c r="D519" s="1">
        <v>9519138217</v>
      </c>
      <c r="E519" s="1">
        <v>1</v>
      </c>
      <c r="F519" s="1" t="s">
        <v>1181</v>
      </c>
      <c r="G519" s="1" t="s">
        <v>1155</v>
      </c>
      <c r="H519" s="1" t="s">
        <v>86</v>
      </c>
      <c r="I519" s="1" t="s">
        <v>968</v>
      </c>
      <c r="K519" s="1" t="s">
        <v>969</v>
      </c>
      <c r="L519" s="1" t="str">
        <f t="shared" ref="L519:L561" si="238">K519</f>
        <v>IPP</v>
      </c>
      <c r="M519" s="1" t="s">
        <v>1232</v>
      </c>
      <c r="N519" s="1" t="s">
        <v>230</v>
      </c>
      <c r="O519" s="1" t="s">
        <v>54</v>
      </c>
      <c r="P519" s="1">
        <v>940008</v>
      </c>
      <c r="Q519" s="1" t="s">
        <v>107</v>
      </c>
      <c r="R519" s="1">
        <v>3522241</v>
      </c>
      <c r="S519" s="1" t="s">
        <v>216</v>
      </c>
      <c r="T519" s="1" t="s">
        <v>88</v>
      </c>
      <c r="U519" s="1" t="s">
        <v>89</v>
      </c>
      <c r="V519" s="1" t="s">
        <v>217</v>
      </c>
      <c r="W519" s="1">
        <v>0.43</v>
      </c>
      <c r="X519" s="1">
        <v>1220</v>
      </c>
      <c r="Y519" s="1">
        <v>0</v>
      </c>
      <c r="Z519" s="3">
        <v>196</v>
      </c>
      <c r="AA519" s="3">
        <v>159.785</v>
      </c>
      <c r="AB519" s="3">
        <v>36.213999999999999</v>
      </c>
      <c r="AC519" s="3">
        <v>159.78500000000003</v>
      </c>
      <c r="AD519" s="3">
        <f t="shared" si="230"/>
        <v>36.213999999999999</v>
      </c>
      <c r="AE519" s="3">
        <v>0</v>
      </c>
      <c r="AF519" s="3">
        <v>36.213999999999999</v>
      </c>
      <c r="AG519" s="3">
        <v>0</v>
      </c>
      <c r="AH519" s="3">
        <v>0</v>
      </c>
      <c r="AI519" s="3">
        <v>0</v>
      </c>
      <c r="AJ519" s="3">
        <f t="shared" si="231"/>
        <v>195.99900000000002</v>
      </c>
      <c r="AK519" s="1">
        <v>0</v>
      </c>
      <c r="AL519" s="1">
        <v>0</v>
      </c>
      <c r="AM519" s="1">
        <v>0</v>
      </c>
      <c r="AN519" s="3">
        <f>AF519+AC519</f>
        <v>195.99900000000002</v>
      </c>
      <c r="AO519" s="1">
        <v>0</v>
      </c>
      <c r="AP519" s="3">
        <f t="shared" si="236"/>
        <v>0</v>
      </c>
    </row>
    <row r="520" spans="1:42" x14ac:dyDescent="0.35">
      <c r="A520" s="1">
        <v>744</v>
      </c>
      <c r="B520" s="2">
        <v>45924</v>
      </c>
      <c r="C520" s="1" t="s">
        <v>64</v>
      </c>
      <c r="D520" s="1">
        <v>9519138217</v>
      </c>
      <c r="E520" s="1">
        <v>2</v>
      </c>
      <c r="F520" s="1" t="s">
        <v>1182</v>
      </c>
      <c r="G520" s="1" t="s">
        <v>1155</v>
      </c>
      <c r="H520" s="1" t="s">
        <v>86</v>
      </c>
      <c r="I520" s="1" t="s">
        <v>968</v>
      </c>
      <c r="K520" s="1" t="s">
        <v>969</v>
      </c>
      <c r="L520" s="1" t="str">
        <f t="shared" si="238"/>
        <v>IPP</v>
      </c>
      <c r="M520" s="1" t="s">
        <v>1232</v>
      </c>
      <c r="N520" s="1" t="s">
        <v>230</v>
      </c>
      <c r="O520" s="1" t="s">
        <v>54</v>
      </c>
      <c r="P520" s="1">
        <v>940008</v>
      </c>
      <c r="Q520" s="1" t="s">
        <v>107</v>
      </c>
      <c r="R520" s="1">
        <v>3522241</v>
      </c>
      <c r="S520" s="1" t="s">
        <v>216</v>
      </c>
      <c r="T520" s="1" t="s">
        <v>88</v>
      </c>
      <c r="U520" s="1" t="s">
        <v>89</v>
      </c>
      <c r="V520" s="1" t="s">
        <v>217</v>
      </c>
      <c r="W520" s="1">
        <v>0.43</v>
      </c>
      <c r="X520" s="1">
        <v>1220</v>
      </c>
      <c r="Y520" s="1">
        <v>0</v>
      </c>
      <c r="Z520" s="3">
        <v>84</v>
      </c>
      <c r="AA520" s="3">
        <v>0</v>
      </c>
      <c r="AB520" s="3">
        <v>84</v>
      </c>
      <c r="AC520" s="3">
        <v>0</v>
      </c>
      <c r="AD520" s="3">
        <f t="shared" si="230"/>
        <v>84</v>
      </c>
      <c r="AE520" s="3">
        <v>84</v>
      </c>
      <c r="AF520" s="3">
        <v>0</v>
      </c>
      <c r="AG520" s="3">
        <v>0</v>
      </c>
      <c r="AH520" s="3">
        <v>0</v>
      </c>
      <c r="AI520" s="3">
        <v>0</v>
      </c>
      <c r="AJ520" s="3">
        <f t="shared" si="231"/>
        <v>84</v>
      </c>
      <c r="AK520" s="1">
        <v>0</v>
      </c>
      <c r="AL520" s="3">
        <f>AE520</f>
        <v>84</v>
      </c>
      <c r="AM520" s="1">
        <v>0</v>
      </c>
      <c r="AN520" s="1">
        <v>0</v>
      </c>
      <c r="AO520" s="1">
        <v>0</v>
      </c>
      <c r="AP520" s="3">
        <f t="shared" si="236"/>
        <v>0</v>
      </c>
    </row>
    <row r="521" spans="1:42" x14ac:dyDescent="0.35">
      <c r="A521" s="1">
        <v>744</v>
      </c>
      <c r="B521" s="2">
        <v>45924</v>
      </c>
      <c r="C521" s="1" t="s">
        <v>64</v>
      </c>
      <c r="D521" s="1">
        <v>9519138217</v>
      </c>
      <c r="E521" s="1">
        <v>3</v>
      </c>
      <c r="F521" s="1" t="s">
        <v>1183</v>
      </c>
      <c r="G521" s="1" t="s">
        <v>1155</v>
      </c>
      <c r="H521" s="1" t="s">
        <v>86</v>
      </c>
      <c r="I521" s="1" t="s">
        <v>968</v>
      </c>
      <c r="K521" s="1" t="s">
        <v>969</v>
      </c>
      <c r="L521" s="1" t="str">
        <f t="shared" si="238"/>
        <v>IPP</v>
      </c>
      <c r="M521" s="1" t="s">
        <v>1232</v>
      </c>
      <c r="N521" s="1" t="s">
        <v>230</v>
      </c>
      <c r="O521" s="1" t="s">
        <v>54</v>
      </c>
      <c r="P521" s="1">
        <v>940008</v>
      </c>
      <c r="Q521" s="1" t="s">
        <v>107</v>
      </c>
      <c r="R521" s="1">
        <v>3522241</v>
      </c>
      <c r="S521" s="1" t="s">
        <v>216</v>
      </c>
      <c r="T521" s="1" t="s">
        <v>88</v>
      </c>
      <c r="U521" s="1" t="s">
        <v>89</v>
      </c>
      <c r="V521" s="1" t="s">
        <v>217</v>
      </c>
      <c r="W521" s="1">
        <v>0.43</v>
      </c>
      <c r="X521" s="1">
        <v>1220</v>
      </c>
      <c r="Y521" s="1">
        <v>0</v>
      </c>
      <c r="Z521" s="3">
        <v>28</v>
      </c>
      <c r="AA521" s="3">
        <v>0</v>
      </c>
      <c r="AB521" s="3">
        <v>28</v>
      </c>
      <c r="AC521" s="3">
        <v>0</v>
      </c>
      <c r="AD521" s="3">
        <f t="shared" si="230"/>
        <v>28</v>
      </c>
      <c r="AE521" s="3">
        <v>0</v>
      </c>
      <c r="AF521" s="3">
        <v>28</v>
      </c>
      <c r="AG521" s="3">
        <v>0</v>
      </c>
      <c r="AH521" s="3">
        <v>0</v>
      </c>
      <c r="AI521" s="3">
        <v>0</v>
      </c>
      <c r="AJ521" s="3">
        <f t="shared" si="231"/>
        <v>28</v>
      </c>
      <c r="AK521" s="1">
        <v>0</v>
      </c>
      <c r="AL521" s="1">
        <v>0</v>
      </c>
      <c r="AM521" s="3">
        <f t="shared" ref="AM521:AM522" si="239">AF521</f>
        <v>28</v>
      </c>
      <c r="AN521" s="1">
        <v>0</v>
      </c>
      <c r="AO521" s="1">
        <v>0</v>
      </c>
      <c r="AP521" s="3">
        <f t="shared" si="236"/>
        <v>0</v>
      </c>
    </row>
    <row r="522" spans="1:42" x14ac:dyDescent="0.35">
      <c r="A522" s="1">
        <v>744</v>
      </c>
      <c r="B522" s="2">
        <v>45924</v>
      </c>
      <c r="C522" s="1" t="s">
        <v>64</v>
      </c>
      <c r="D522" s="1">
        <v>9519138217</v>
      </c>
      <c r="E522" s="1">
        <v>5</v>
      </c>
      <c r="F522" s="1" t="s">
        <v>1184</v>
      </c>
      <c r="G522" s="1" t="s">
        <v>1155</v>
      </c>
      <c r="H522" s="1" t="s">
        <v>86</v>
      </c>
      <c r="I522" s="1" t="s">
        <v>968</v>
      </c>
      <c r="K522" s="1" t="s">
        <v>969</v>
      </c>
      <c r="L522" s="1" t="str">
        <f t="shared" si="238"/>
        <v>IPP</v>
      </c>
      <c r="M522" s="1" t="s">
        <v>1232</v>
      </c>
      <c r="N522" s="1" t="s">
        <v>230</v>
      </c>
      <c r="O522" s="1" t="s">
        <v>54</v>
      </c>
      <c r="P522" s="1">
        <v>940008</v>
      </c>
      <c r="Q522" s="1" t="s">
        <v>107</v>
      </c>
      <c r="R522" s="1">
        <v>3522241</v>
      </c>
      <c r="S522" s="1" t="s">
        <v>216</v>
      </c>
      <c r="T522" s="1" t="s">
        <v>88</v>
      </c>
      <c r="U522" s="1" t="s">
        <v>89</v>
      </c>
      <c r="V522" s="1" t="s">
        <v>217</v>
      </c>
      <c r="W522" s="1">
        <v>0.43</v>
      </c>
      <c r="X522" s="1">
        <v>1220</v>
      </c>
      <c r="Y522" s="1">
        <v>0</v>
      </c>
      <c r="Z522" s="3">
        <v>28</v>
      </c>
      <c r="AA522" s="3">
        <v>0</v>
      </c>
      <c r="AB522" s="3">
        <v>28</v>
      </c>
      <c r="AC522" s="3">
        <v>0</v>
      </c>
      <c r="AD522" s="3">
        <f t="shared" si="230"/>
        <v>28</v>
      </c>
      <c r="AE522" s="3">
        <v>0</v>
      </c>
      <c r="AF522" s="3">
        <v>28</v>
      </c>
      <c r="AG522" s="3">
        <v>0</v>
      </c>
      <c r="AH522" s="3">
        <v>0</v>
      </c>
      <c r="AI522" s="3">
        <v>0</v>
      </c>
      <c r="AJ522" s="3">
        <f t="shared" si="231"/>
        <v>28</v>
      </c>
      <c r="AK522" s="1">
        <v>0</v>
      </c>
      <c r="AL522" s="1">
        <v>0</v>
      </c>
      <c r="AM522" s="3">
        <f t="shared" si="239"/>
        <v>28</v>
      </c>
      <c r="AN522" s="1">
        <v>0</v>
      </c>
      <c r="AO522" s="1">
        <v>0</v>
      </c>
      <c r="AP522" s="3">
        <f t="shared" si="236"/>
        <v>0</v>
      </c>
    </row>
    <row r="523" spans="1:42" x14ac:dyDescent="0.35">
      <c r="A523" s="1">
        <v>744</v>
      </c>
      <c r="B523" s="2">
        <v>45924</v>
      </c>
      <c r="C523" s="1" t="s">
        <v>64</v>
      </c>
      <c r="D523" s="1">
        <v>9519138217</v>
      </c>
      <c r="E523" s="1">
        <v>6</v>
      </c>
      <c r="F523" s="1" t="s">
        <v>1185</v>
      </c>
      <c r="G523" s="1" t="s">
        <v>1155</v>
      </c>
      <c r="H523" s="1" t="s">
        <v>86</v>
      </c>
      <c r="I523" s="1" t="s">
        <v>968</v>
      </c>
      <c r="K523" s="1" t="s">
        <v>969</v>
      </c>
      <c r="L523" s="1" t="str">
        <f t="shared" si="238"/>
        <v>IPP</v>
      </c>
      <c r="M523" s="1" t="s">
        <v>1232</v>
      </c>
      <c r="N523" s="1" t="s">
        <v>230</v>
      </c>
      <c r="O523" s="1" t="s">
        <v>54</v>
      </c>
      <c r="P523" s="1">
        <v>940008</v>
      </c>
      <c r="Q523" s="1" t="s">
        <v>107</v>
      </c>
      <c r="R523" s="1">
        <v>3522241</v>
      </c>
      <c r="S523" s="1" t="s">
        <v>216</v>
      </c>
      <c r="T523" s="1" t="s">
        <v>88</v>
      </c>
      <c r="U523" s="1" t="s">
        <v>89</v>
      </c>
      <c r="V523" s="1" t="s">
        <v>217</v>
      </c>
      <c r="W523" s="1">
        <v>0.43</v>
      </c>
      <c r="X523" s="1">
        <v>1220</v>
      </c>
      <c r="Y523" s="1">
        <v>0</v>
      </c>
      <c r="Z523" s="3">
        <v>56</v>
      </c>
      <c r="AA523" s="3">
        <v>50.65</v>
      </c>
      <c r="AB523" s="3">
        <v>5.35</v>
      </c>
      <c r="AC523" s="3">
        <v>26.424999999999997</v>
      </c>
      <c r="AD523" s="3">
        <f t="shared" si="230"/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f t="shared" si="231"/>
        <v>26.424999999999997</v>
      </c>
      <c r="AK523" s="1">
        <v>0</v>
      </c>
      <c r="AL523" s="3">
        <f>AC523</f>
        <v>26.424999999999997</v>
      </c>
      <c r="AM523" s="1">
        <v>0</v>
      </c>
      <c r="AN523" s="1">
        <v>0</v>
      </c>
      <c r="AO523" s="1">
        <v>0</v>
      </c>
      <c r="AP523" s="3">
        <f t="shared" si="236"/>
        <v>0</v>
      </c>
    </row>
    <row r="524" spans="1:42" x14ac:dyDescent="0.35">
      <c r="A524" s="1">
        <v>743</v>
      </c>
      <c r="B524" s="2">
        <v>45924</v>
      </c>
      <c r="C524" s="1" t="s">
        <v>64</v>
      </c>
      <c r="D524" s="1">
        <v>9519138346</v>
      </c>
      <c r="E524" s="1">
        <v>1</v>
      </c>
      <c r="F524" s="1" t="s">
        <v>1186</v>
      </c>
      <c r="G524" s="1" t="s">
        <v>1155</v>
      </c>
      <c r="H524" s="1" t="s">
        <v>63</v>
      </c>
      <c r="I524" s="1" t="s">
        <v>1368</v>
      </c>
      <c r="J524" s="1">
        <v>1000</v>
      </c>
      <c r="K524" s="1" t="s">
        <v>970</v>
      </c>
      <c r="L524" s="1" t="str">
        <f t="shared" si="238"/>
        <v>BPRS</v>
      </c>
      <c r="M524" s="1" t="s">
        <v>1230</v>
      </c>
      <c r="N524" s="1" t="s">
        <v>300</v>
      </c>
      <c r="O524" s="1" t="s">
        <v>173</v>
      </c>
      <c r="P524" s="1">
        <v>929931</v>
      </c>
      <c r="Q524" s="1" t="s">
        <v>299</v>
      </c>
      <c r="R524" s="1">
        <v>1851091</v>
      </c>
      <c r="S524" s="1" t="s">
        <v>259</v>
      </c>
      <c r="T524" s="1" t="s">
        <v>139</v>
      </c>
      <c r="U524" s="1" t="s">
        <v>140</v>
      </c>
      <c r="V524" s="1" t="s">
        <v>150</v>
      </c>
      <c r="W524" s="1">
        <v>0.4</v>
      </c>
      <c r="X524" s="1">
        <v>1250</v>
      </c>
      <c r="Y524" s="1">
        <v>0</v>
      </c>
      <c r="Z524" s="3">
        <v>29</v>
      </c>
      <c r="AA524" s="3">
        <v>0</v>
      </c>
      <c r="AB524" s="3">
        <v>29</v>
      </c>
      <c r="AC524" s="3">
        <v>0</v>
      </c>
      <c r="AD524" s="3">
        <f t="shared" si="230"/>
        <v>29</v>
      </c>
      <c r="AE524" s="3">
        <v>0</v>
      </c>
      <c r="AF524" s="3">
        <v>29</v>
      </c>
      <c r="AG524" s="3">
        <v>0</v>
      </c>
      <c r="AH524" s="3">
        <v>0</v>
      </c>
      <c r="AI524" s="3">
        <v>0</v>
      </c>
      <c r="AJ524" s="3">
        <f t="shared" si="231"/>
        <v>29</v>
      </c>
      <c r="AK524" s="1">
        <v>0</v>
      </c>
      <c r="AL524" s="1">
        <v>0</v>
      </c>
      <c r="AM524" s="3">
        <f>AF524</f>
        <v>29</v>
      </c>
      <c r="AN524" s="1">
        <v>0</v>
      </c>
      <c r="AO524" s="1">
        <v>0</v>
      </c>
      <c r="AP524" s="3">
        <f t="shared" si="236"/>
        <v>0</v>
      </c>
    </row>
    <row r="525" spans="1:42" x14ac:dyDescent="0.35">
      <c r="A525" s="1">
        <v>743</v>
      </c>
      <c r="B525" s="2">
        <v>45924</v>
      </c>
      <c r="C525" s="1" t="s">
        <v>64</v>
      </c>
      <c r="D525" s="1">
        <v>9519138346</v>
      </c>
      <c r="E525" s="1">
        <v>2</v>
      </c>
      <c r="F525" s="1" t="s">
        <v>1187</v>
      </c>
      <c r="G525" s="1" t="s">
        <v>1155</v>
      </c>
      <c r="H525" s="1" t="s">
        <v>63</v>
      </c>
      <c r="I525" s="1" t="s">
        <v>1368</v>
      </c>
      <c r="K525" s="1" t="s">
        <v>970</v>
      </c>
      <c r="L525" s="1" t="str">
        <f t="shared" si="238"/>
        <v>BPRS</v>
      </c>
      <c r="M525" s="1" t="s">
        <v>1230</v>
      </c>
      <c r="N525" s="1" t="s">
        <v>300</v>
      </c>
      <c r="O525" s="1" t="s">
        <v>173</v>
      </c>
      <c r="P525" s="1">
        <v>929931</v>
      </c>
      <c r="Q525" s="1" t="s">
        <v>299</v>
      </c>
      <c r="R525" s="1">
        <v>1851102</v>
      </c>
      <c r="S525" s="1" t="s">
        <v>399</v>
      </c>
      <c r="T525" s="1" t="s">
        <v>139</v>
      </c>
      <c r="U525" s="1" t="s">
        <v>140</v>
      </c>
      <c r="V525" s="1" t="s">
        <v>150</v>
      </c>
      <c r="W525" s="1">
        <v>0.5</v>
      </c>
      <c r="X525" s="1">
        <v>1250</v>
      </c>
      <c r="Y525" s="1">
        <v>0</v>
      </c>
      <c r="Z525" s="3">
        <v>29</v>
      </c>
      <c r="AA525" s="3">
        <v>0</v>
      </c>
      <c r="AB525" s="3">
        <v>29</v>
      </c>
      <c r="AC525" s="3">
        <v>0</v>
      </c>
      <c r="AD525" s="3">
        <f t="shared" si="230"/>
        <v>29</v>
      </c>
      <c r="AE525" s="3">
        <v>29</v>
      </c>
      <c r="AF525" s="3">
        <v>0</v>
      </c>
      <c r="AG525" s="3">
        <v>0</v>
      </c>
      <c r="AH525" s="3">
        <v>0</v>
      </c>
      <c r="AI525" s="3">
        <v>0</v>
      </c>
      <c r="AJ525" s="3">
        <f t="shared" si="231"/>
        <v>29</v>
      </c>
      <c r="AK525" s="1">
        <v>0</v>
      </c>
      <c r="AL525" s="3">
        <f>AE525</f>
        <v>29</v>
      </c>
      <c r="AM525" s="1">
        <v>0</v>
      </c>
      <c r="AN525" s="1">
        <v>0</v>
      </c>
      <c r="AO525" s="1">
        <v>0</v>
      </c>
      <c r="AP525" s="3">
        <f t="shared" si="236"/>
        <v>0</v>
      </c>
    </row>
    <row r="526" spans="1:42" x14ac:dyDescent="0.35">
      <c r="A526" s="1">
        <v>743</v>
      </c>
      <c r="B526" s="2">
        <v>45924</v>
      </c>
      <c r="C526" s="1" t="s">
        <v>64</v>
      </c>
      <c r="D526" s="1">
        <v>9519138346</v>
      </c>
      <c r="E526" s="1">
        <v>3</v>
      </c>
      <c r="F526" s="1" t="s">
        <v>1188</v>
      </c>
      <c r="G526" s="1" t="s">
        <v>1155</v>
      </c>
      <c r="H526" s="1" t="s">
        <v>63</v>
      </c>
      <c r="I526" s="1" t="s">
        <v>1368</v>
      </c>
      <c r="K526" s="1" t="s">
        <v>970</v>
      </c>
      <c r="L526" s="1" t="str">
        <f t="shared" si="238"/>
        <v>BPRS</v>
      </c>
      <c r="M526" s="1" t="s">
        <v>1230</v>
      </c>
      <c r="N526" s="1" t="s">
        <v>300</v>
      </c>
      <c r="O526" s="1" t="s">
        <v>173</v>
      </c>
      <c r="P526" s="1">
        <v>929931</v>
      </c>
      <c r="Q526" s="1" t="s">
        <v>299</v>
      </c>
      <c r="R526" s="1">
        <v>1851106</v>
      </c>
      <c r="S526" s="1" t="s">
        <v>301</v>
      </c>
      <c r="T526" s="1" t="s">
        <v>139</v>
      </c>
      <c r="U526" s="1" t="s">
        <v>140</v>
      </c>
      <c r="V526" s="1" t="s">
        <v>150</v>
      </c>
      <c r="W526" s="1">
        <v>0.6</v>
      </c>
      <c r="X526" s="1">
        <v>1250</v>
      </c>
      <c r="Y526" s="1">
        <v>0</v>
      </c>
      <c r="Z526" s="3">
        <v>58</v>
      </c>
      <c r="AA526" s="3">
        <v>0</v>
      </c>
      <c r="AB526" s="3">
        <v>58</v>
      </c>
      <c r="AC526" s="3">
        <v>0</v>
      </c>
      <c r="AD526" s="3">
        <f t="shared" si="230"/>
        <v>58</v>
      </c>
      <c r="AE526" s="3">
        <v>0</v>
      </c>
      <c r="AF526" s="3">
        <v>58</v>
      </c>
      <c r="AG526" s="3">
        <v>0</v>
      </c>
      <c r="AH526" s="3">
        <v>0</v>
      </c>
      <c r="AI526" s="3">
        <v>0</v>
      </c>
      <c r="AJ526" s="3">
        <f t="shared" si="231"/>
        <v>58</v>
      </c>
      <c r="AK526" s="1">
        <v>0</v>
      </c>
      <c r="AL526" s="1">
        <v>0</v>
      </c>
      <c r="AM526" s="3">
        <f>AF526</f>
        <v>58</v>
      </c>
      <c r="AN526" s="1">
        <v>0</v>
      </c>
      <c r="AO526" s="1">
        <v>0</v>
      </c>
      <c r="AP526" s="3">
        <f t="shared" si="236"/>
        <v>0</v>
      </c>
    </row>
    <row r="527" spans="1:42" x14ac:dyDescent="0.35">
      <c r="A527" s="1">
        <v>744</v>
      </c>
      <c r="B527" s="2">
        <v>45924</v>
      </c>
      <c r="C527" s="1" t="s">
        <v>64</v>
      </c>
      <c r="D527" s="1">
        <v>9519138060</v>
      </c>
      <c r="E527" s="1">
        <v>3</v>
      </c>
      <c r="F527" s="1" t="s">
        <v>1189</v>
      </c>
      <c r="G527" s="1" t="s">
        <v>1155</v>
      </c>
      <c r="H527" s="1" t="s">
        <v>86</v>
      </c>
      <c r="I527" s="1" t="s">
        <v>968</v>
      </c>
      <c r="K527" s="1" t="s">
        <v>969</v>
      </c>
      <c r="L527" s="1" t="str">
        <f t="shared" si="238"/>
        <v>IPP</v>
      </c>
      <c r="M527" s="1" t="s">
        <v>1232</v>
      </c>
      <c r="N527" s="1" t="s">
        <v>108</v>
      </c>
      <c r="O527" s="1" t="s">
        <v>54</v>
      </c>
      <c r="P527" s="1">
        <v>940016</v>
      </c>
      <c r="Q527" s="1" t="s">
        <v>107</v>
      </c>
      <c r="R527" s="1">
        <v>3522241</v>
      </c>
      <c r="S527" s="1" t="s">
        <v>216</v>
      </c>
      <c r="T527" s="1" t="s">
        <v>88</v>
      </c>
      <c r="U527" s="1" t="s">
        <v>89</v>
      </c>
      <c r="V527" s="1" t="s">
        <v>217</v>
      </c>
      <c r="W527" s="1">
        <v>0.43</v>
      </c>
      <c r="X527" s="1">
        <v>1220</v>
      </c>
      <c r="Y527" s="1">
        <v>0</v>
      </c>
      <c r="Z527" s="3">
        <v>252</v>
      </c>
      <c r="AA527" s="3">
        <v>0</v>
      </c>
      <c r="AB527" s="3">
        <v>252</v>
      </c>
      <c r="AC527" s="3">
        <v>0</v>
      </c>
      <c r="AD527" s="3">
        <f t="shared" si="230"/>
        <v>252</v>
      </c>
      <c r="AE527" s="3">
        <v>0</v>
      </c>
      <c r="AF527" s="3">
        <v>0</v>
      </c>
      <c r="AG527" s="3">
        <v>252</v>
      </c>
      <c r="AH527" s="3">
        <v>0</v>
      </c>
      <c r="AI527" s="3">
        <v>0</v>
      </c>
      <c r="AJ527" s="3">
        <f t="shared" si="231"/>
        <v>252</v>
      </c>
      <c r="AK527" s="1">
        <v>0</v>
      </c>
      <c r="AL527" s="1">
        <v>0</v>
      </c>
      <c r="AM527" s="1">
        <v>0</v>
      </c>
      <c r="AN527" s="3">
        <f>AG527</f>
        <v>252</v>
      </c>
      <c r="AO527" s="1">
        <v>0</v>
      </c>
      <c r="AP527" s="3">
        <f t="shared" si="236"/>
        <v>0</v>
      </c>
    </row>
    <row r="528" spans="1:42" x14ac:dyDescent="0.35">
      <c r="A528" s="1">
        <v>742</v>
      </c>
      <c r="B528" s="2">
        <v>45918</v>
      </c>
      <c r="C528" s="1" t="s">
        <v>64</v>
      </c>
      <c r="D528" s="1">
        <v>9519114845</v>
      </c>
      <c r="E528" s="1">
        <v>3</v>
      </c>
      <c r="F528" s="1" t="s">
        <v>1190</v>
      </c>
      <c r="G528" s="1" t="s">
        <v>1155</v>
      </c>
      <c r="H528" s="1" t="s">
        <v>21</v>
      </c>
      <c r="I528" s="1" t="s">
        <v>22</v>
      </c>
      <c r="K528" s="1" t="s">
        <v>970</v>
      </c>
      <c r="L528" s="1" t="str">
        <f t="shared" si="238"/>
        <v>BPRS</v>
      </c>
      <c r="M528" s="1" t="s">
        <v>1229</v>
      </c>
      <c r="N528" s="1" t="s">
        <v>73</v>
      </c>
      <c r="O528" s="1" t="s">
        <v>74</v>
      </c>
      <c r="P528" s="1">
        <v>946077</v>
      </c>
      <c r="Q528" s="1" t="s">
        <v>72</v>
      </c>
      <c r="R528" s="1">
        <v>2378008</v>
      </c>
      <c r="S528" s="1" t="s">
        <v>449</v>
      </c>
      <c r="T528" s="1" t="s">
        <v>28</v>
      </c>
      <c r="U528" s="1" t="s">
        <v>29</v>
      </c>
      <c r="V528" s="1" t="s">
        <v>30</v>
      </c>
      <c r="W528" s="1">
        <v>0.6</v>
      </c>
      <c r="X528" s="1">
        <v>1120</v>
      </c>
      <c r="Y528" s="1">
        <v>0</v>
      </c>
      <c r="Z528" s="3">
        <v>26</v>
      </c>
      <c r="AA528" s="3">
        <v>0</v>
      </c>
      <c r="AB528" s="3">
        <v>26</v>
      </c>
      <c r="AC528" s="3">
        <v>0</v>
      </c>
      <c r="AD528" s="3">
        <f t="shared" si="230"/>
        <v>26</v>
      </c>
      <c r="AE528" s="3">
        <v>26</v>
      </c>
      <c r="AF528" s="3">
        <v>0</v>
      </c>
      <c r="AG528" s="3">
        <v>0</v>
      </c>
      <c r="AH528" s="3">
        <v>0</v>
      </c>
      <c r="AI528" s="3">
        <v>0</v>
      </c>
      <c r="AJ528" s="3">
        <f t="shared" si="231"/>
        <v>26</v>
      </c>
      <c r="AK528" s="1">
        <v>0</v>
      </c>
      <c r="AL528" s="3">
        <f t="shared" ref="AL528:AL529" si="240">AE528</f>
        <v>26</v>
      </c>
      <c r="AM528" s="3">
        <f t="shared" ref="AM528:AM529" si="241">AF528</f>
        <v>0</v>
      </c>
      <c r="AN528" s="3">
        <f t="shared" ref="AN528:AN529" si="242">AG528</f>
        <v>0</v>
      </c>
      <c r="AO528" s="3">
        <f t="shared" ref="AO528:AO529" si="243">AH528</f>
        <v>0</v>
      </c>
      <c r="AP528" s="3">
        <f t="shared" si="236"/>
        <v>0</v>
      </c>
    </row>
    <row r="529" spans="1:42" x14ac:dyDescent="0.35">
      <c r="A529" s="1">
        <v>742</v>
      </c>
      <c r="B529" s="2">
        <v>45918</v>
      </c>
      <c r="C529" s="1" t="s">
        <v>64</v>
      </c>
      <c r="D529" s="1">
        <v>9519114845</v>
      </c>
      <c r="E529" s="1">
        <v>4</v>
      </c>
      <c r="F529" s="1" t="s">
        <v>1191</v>
      </c>
      <c r="G529" s="1" t="s">
        <v>1155</v>
      </c>
      <c r="H529" s="1" t="s">
        <v>21</v>
      </c>
      <c r="I529" s="1" t="s">
        <v>22</v>
      </c>
      <c r="K529" s="1" t="s">
        <v>970</v>
      </c>
      <c r="L529" s="1" t="str">
        <f t="shared" si="238"/>
        <v>BPRS</v>
      </c>
      <c r="M529" s="1" t="s">
        <v>1229</v>
      </c>
      <c r="N529" s="1" t="s">
        <v>73</v>
      </c>
      <c r="O529" s="1" t="s">
        <v>74</v>
      </c>
      <c r="P529" s="1">
        <v>946077</v>
      </c>
      <c r="Q529" s="1" t="s">
        <v>72</v>
      </c>
      <c r="R529" s="1">
        <v>1804814</v>
      </c>
      <c r="S529" s="1" t="s">
        <v>222</v>
      </c>
      <c r="T529" s="1" t="s">
        <v>28</v>
      </c>
      <c r="U529" s="1" t="s">
        <v>29</v>
      </c>
      <c r="V529" s="1" t="s">
        <v>30</v>
      </c>
      <c r="W529" s="1">
        <v>0.8</v>
      </c>
      <c r="X529" s="1">
        <v>1250</v>
      </c>
      <c r="Y529" s="1">
        <v>0</v>
      </c>
      <c r="Z529" s="3">
        <v>29</v>
      </c>
      <c r="AA529" s="3">
        <v>0</v>
      </c>
      <c r="AB529" s="3">
        <v>29</v>
      </c>
      <c r="AC529" s="3">
        <v>0</v>
      </c>
      <c r="AD529" s="3">
        <f t="shared" si="230"/>
        <v>29</v>
      </c>
      <c r="AE529" s="3">
        <v>29</v>
      </c>
      <c r="AF529" s="3">
        <v>0</v>
      </c>
      <c r="AG529" s="3">
        <v>0</v>
      </c>
      <c r="AH529" s="3">
        <v>0</v>
      </c>
      <c r="AI529" s="3">
        <v>0</v>
      </c>
      <c r="AJ529" s="3">
        <f t="shared" si="231"/>
        <v>29</v>
      </c>
      <c r="AK529" s="1">
        <v>0</v>
      </c>
      <c r="AL529" s="3">
        <f t="shared" si="240"/>
        <v>29</v>
      </c>
      <c r="AM529" s="3">
        <f t="shared" si="241"/>
        <v>0</v>
      </c>
      <c r="AN529" s="3">
        <f t="shared" si="242"/>
        <v>0</v>
      </c>
      <c r="AO529" s="3">
        <f t="shared" si="243"/>
        <v>0</v>
      </c>
      <c r="AP529" s="3">
        <f t="shared" si="236"/>
        <v>0</v>
      </c>
    </row>
    <row r="530" spans="1:42" x14ac:dyDescent="0.35">
      <c r="A530" s="1">
        <v>744</v>
      </c>
      <c r="B530" s="2">
        <v>45924</v>
      </c>
      <c r="C530" s="1" t="s">
        <v>64</v>
      </c>
      <c r="D530" s="1">
        <v>9519138217</v>
      </c>
      <c r="E530" s="1">
        <v>4</v>
      </c>
      <c r="F530" s="1" t="s">
        <v>1192</v>
      </c>
      <c r="G530" s="1" t="s">
        <v>1155</v>
      </c>
      <c r="H530" s="1" t="s">
        <v>86</v>
      </c>
      <c r="I530" s="1" t="s">
        <v>968</v>
      </c>
      <c r="K530" s="1" t="s">
        <v>969</v>
      </c>
      <c r="L530" s="1" t="str">
        <f t="shared" si="238"/>
        <v>IPP</v>
      </c>
      <c r="M530" s="1" t="s">
        <v>1232</v>
      </c>
      <c r="N530" s="1" t="s">
        <v>230</v>
      </c>
      <c r="O530" s="1" t="s">
        <v>54</v>
      </c>
      <c r="P530" s="1">
        <v>940008</v>
      </c>
      <c r="Q530" s="1" t="s">
        <v>107</v>
      </c>
      <c r="R530" s="1">
        <v>3521298</v>
      </c>
      <c r="S530" s="1" t="s">
        <v>1207</v>
      </c>
      <c r="T530" s="1" t="s">
        <v>88</v>
      </c>
      <c r="U530" s="1" t="s">
        <v>89</v>
      </c>
      <c r="V530" s="1" t="s">
        <v>217</v>
      </c>
      <c r="W530" s="1">
        <v>0.33</v>
      </c>
      <c r="X530" s="1">
        <v>1220</v>
      </c>
      <c r="Y530" s="1">
        <v>0</v>
      </c>
      <c r="Z530" s="3">
        <v>84</v>
      </c>
      <c r="AA530" s="3">
        <v>0</v>
      </c>
      <c r="AB530" s="3">
        <v>84</v>
      </c>
      <c r="AC530" s="3">
        <v>0</v>
      </c>
      <c r="AD530" s="3">
        <f t="shared" ref="AD530:AD583" si="244">SUM(AE530:AI530)</f>
        <v>84</v>
      </c>
      <c r="AE530" s="3">
        <v>0</v>
      </c>
      <c r="AF530" s="3">
        <v>84</v>
      </c>
      <c r="AG530" s="3">
        <v>0</v>
      </c>
      <c r="AH530" s="3">
        <v>0</v>
      </c>
      <c r="AI530" s="3">
        <v>0</v>
      </c>
      <c r="AJ530" s="3">
        <f t="shared" ref="AJ530:AJ583" si="245">SUM(AK530:AO530)</f>
        <v>84</v>
      </c>
      <c r="AK530" s="1">
        <v>0</v>
      </c>
      <c r="AL530" s="1">
        <v>0</v>
      </c>
      <c r="AM530" s="3">
        <f>AF530</f>
        <v>84</v>
      </c>
      <c r="AN530" s="1">
        <v>0</v>
      </c>
      <c r="AO530" s="1">
        <v>0</v>
      </c>
      <c r="AP530" s="3">
        <f t="shared" si="236"/>
        <v>0</v>
      </c>
    </row>
    <row r="531" spans="1:42" x14ac:dyDescent="0.35">
      <c r="A531" s="1">
        <v>744</v>
      </c>
      <c r="B531" s="2">
        <v>45924</v>
      </c>
      <c r="C531" s="1" t="s">
        <v>64</v>
      </c>
      <c r="D531" s="1">
        <v>9519138060</v>
      </c>
      <c r="E531" s="1">
        <v>4</v>
      </c>
      <c r="F531" s="1" t="s">
        <v>1193</v>
      </c>
      <c r="G531" s="1" t="s">
        <v>1155</v>
      </c>
      <c r="H531" s="1" t="s">
        <v>86</v>
      </c>
      <c r="I531" s="1" t="s">
        <v>968</v>
      </c>
      <c r="K531" s="1" t="s">
        <v>969</v>
      </c>
      <c r="L531" s="1" t="str">
        <f t="shared" si="238"/>
        <v>IPP</v>
      </c>
      <c r="M531" s="1" t="s">
        <v>1232</v>
      </c>
      <c r="N531" s="1" t="s">
        <v>108</v>
      </c>
      <c r="O531" s="1" t="s">
        <v>54</v>
      </c>
      <c r="P531" s="1">
        <v>940016</v>
      </c>
      <c r="Q531" s="1" t="s">
        <v>107</v>
      </c>
      <c r="R531" s="1">
        <v>3522241</v>
      </c>
      <c r="S531" s="1" t="s">
        <v>216</v>
      </c>
      <c r="T531" s="1" t="s">
        <v>88</v>
      </c>
      <c r="U531" s="1" t="s">
        <v>89</v>
      </c>
      <c r="V531" s="1" t="s">
        <v>217</v>
      </c>
      <c r="W531" s="1">
        <v>0.43</v>
      </c>
      <c r="X531" s="1">
        <v>1220</v>
      </c>
      <c r="Y531" s="1">
        <v>0</v>
      </c>
      <c r="Z531" s="3">
        <v>28</v>
      </c>
      <c r="AA531" s="3">
        <v>0</v>
      </c>
      <c r="AB531" s="3">
        <v>28</v>
      </c>
      <c r="AC531" s="3">
        <v>0</v>
      </c>
      <c r="AD531" s="3">
        <f t="shared" si="244"/>
        <v>28</v>
      </c>
      <c r="AE531" s="3">
        <v>0</v>
      </c>
      <c r="AF531" s="3">
        <v>0</v>
      </c>
      <c r="AG531" s="3">
        <v>28</v>
      </c>
      <c r="AH531" s="3">
        <v>0</v>
      </c>
      <c r="AI531" s="3">
        <v>0</v>
      </c>
      <c r="AJ531" s="3">
        <f t="shared" si="245"/>
        <v>28</v>
      </c>
      <c r="AK531" s="1">
        <v>0</v>
      </c>
      <c r="AL531" s="1">
        <v>0</v>
      </c>
      <c r="AM531" s="1">
        <v>0</v>
      </c>
      <c r="AN531" s="3">
        <f>AG531</f>
        <v>28</v>
      </c>
      <c r="AO531" s="1">
        <v>0</v>
      </c>
      <c r="AP531" s="3">
        <f t="shared" si="236"/>
        <v>0</v>
      </c>
    </row>
    <row r="532" spans="1:42" x14ac:dyDescent="0.35">
      <c r="A532" s="1">
        <v>744</v>
      </c>
      <c r="B532" s="2">
        <v>45923</v>
      </c>
      <c r="C532" s="1" t="s">
        <v>64</v>
      </c>
      <c r="D532" s="1">
        <v>9519135248</v>
      </c>
      <c r="E532" s="1">
        <v>1</v>
      </c>
      <c r="F532" s="1" t="s">
        <v>1194</v>
      </c>
      <c r="G532" s="1" t="s">
        <v>1155</v>
      </c>
      <c r="H532" s="1" t="s">
        <v>86</v>
      </c>
      <c r="I532" s="1" t="s">
        <v>968</v>
      </c>
      <c r="K532" s="1" t="s">
        <v>969</v>
      </c>
      <c r="L532" s="1" t="str">
        <f t="shared" si="238"/>
        <v>IPP</v>
      </c>
      <c r="M532" s="1" t="s">
        <v>1232</v>
      </c>
      <c r="N532" s="1" t="s">
        <v>31</v>
      </c>
      <c r="O532" s="1" t="s">
        <v>54</v>
      </c>
      <c r="P532" s="1">
        <v>941597</v>
      </c>
      <c r="Q532" s="1" t="s">
        <v>87</v>
      </c>
      <c r="R532" s="1">
        <v>3902332</v>
      </c>
      <c r="S532" s="1" t="s">
        <v>142</v>
      </c>
      <c r="T532" s="1" t="s">
        <v>88</v>
      </c>
      <c r="U532" s="1" t="s">
        <v>89</v>
      </c>
      <c r="V532" s="1" t="s">
        <v>143</v>
      </c>
      <c r="W532" s="1">
        <v>0.5</v>
      </c>
      <c r="X532" s="1">
        <v>1220</v>
      </c>
      <c r="Y532" s="1">
        <v>0</v>
      </c>
      <c r="Z532" s="3">
        <v>28</v>
      </c>
      <c r="AA532" s="3">
        <v>0</v>
      </c>
      <c r="AB532" s="3">
        <v>28</v>
      </c>
      <c r="AC532" s="3">
        <v>0</v>
      </c>
      <c r="AD532" s="3">
        <f t="shared" si="244"/>
        <v>28</v>
      </c>
      <c r="AE532" s="3">
        <v>0</v>
      </c>
      <c r="AF532" s="3">
        <v>0</v>
      </c>
      <c r="AG532" s="3">
        <v>28</v>
      </c>
      <c r="AH532" s="3">
        <v>0</v>
      </c>
      <c r="AI532" s="3">
        <v>0</v>
      </c>
      <c r="AJ532" s="3">
        <f t="shared" si="245"/>
        <v>28</v>
      </c>
      <c r="AK532" s="1">
        <v>0</v>
      </c>
      <c r="AL532" s="1">
        <v>0</v>
      </c>
      <c r="AM532" s="1">
        <v>0</v>
      </c>
      <c r="AN532" s="3">
        <f>AG532</f>
        <v>28</v>
      </c>
      <c r="AO532" s="1">
        <v>0</v>
      </c>
      <c r="AP532" s="3">
        <f t="shared" si="236"/>
        <v>0</v>
      </c>
    </row>
    <row r="533" spans="1:42" x14ac:dyDescent="0.35">
      <c r="A533" s="1">
        <v>744</v>
      </c>
      <c r="B533" s="2">
        <v>45923</v>
      </c>
      <c r="C533" s="1" t="s">
        <v>64</v>
      </c>
      <c r="D533" s="1">
        <v>9519135248</v>
      </c>
      <c r="E533" s="1">
        <v>2</v>
      </c>
      <c r="F533" s="1" t="s">
        <v>1195</v>
      </c>
      <c r="G533" s="1" t="s">
        <v>1155</v>
      </c>
      <c r="H533" s="1" t="s">
        <v>86</v>
      </c>
      <c r="I533" s="1" t="s">
        <v>968</v>
      </c>
      <c r="K533" s="1" t="s">
        <v>969</v>
      </c>
      <c r="L533" s="1" t="str">
        <f t="shared" si="238"/>
        <v>IPP</v>
      </c>
      <c r="M533" s="1" t="s">
        <v>1232</v>
      </c>
      <c r="N533" s="1" t="s">
        <v>31</v>
      </c>
      <c r="O533" s="1" t="s">
        <v>54</v>
      </c>
      <c r="P533" s="1">
        <v>941597</v>
      </c>
      <c r="Q533" s="1" t="s">
        <v>87</v>
      </c>
      <c r="R533" s="1">
        <v>3902332</v>
      </c>
      <c r="S533" s="1" t="s">
        <v>142</v>
      </c>
      <c r="T533" s="1" t="s">
        <v>88</v>
      </c>
      <c r="U533" s="1" t="s">
        <v>89</v>
      </c>
      <c r="V533" s="1" t="s">
        <v>143</v>
      </c>
      <c r="W533" s="1">
        <v>0.5</v>
      </c>
      <c r="X533" s="1">
        <v>1220</v>
      </c>
      <c r="Y533" s="1">
        <v>0</v>
      </c>
      <c r="Z533" s="3">
        <v>28</v>
      </c>
      <c r="AA533" s="3">
        <v>0</v>
      </c>
      <c r="AB533" s="3">
        <v>28</v>
      </c>
      <c r="AC533" s="3">
        <v>0</v>
      </c>
      <c r="AD533" s="3">
        <f t="shared" si="244"/>
        <v>28</v>
      </c>
      <c r="AE533" s="3">
        <v>0</v>
      </c>
      <c r="AF533" s="3">
        <v>0</v>
      </c>
      <c r="AG533" s="3">
        <v>0</v>
      </c>
      <c r="AH533" s="3">
        <v>28</v>
      </c>
      <c r="AI533" s="3">
        <v>0</v>
      </c>
      <c r="AJ533" s="3">
        <f t="shared" si="245"/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3">
        <f t="shared" si="236"/>
        <v>28</v>
      </c>
    </row>
    <row r="534" spans="1:42" x14ac:dyDescent="0.35">
      <c r="A534" s="1">
        <v>744</v>
      </c>
      <c r="B534" s="2">
        <v>45924</v>
      </c>
      <c r="C534" s="1" t="s">
        <v>64</v>
      </c>
      <c r="D534" s="1">
        <v>9519138060</v>
      </c>
      <c r="E534" s="1">
        <v>1</v>
      </c>
      <c r="F534" s="1" t="s">
        <v>1196</v>
      </c>
      <c r="G534" s="1" t="s">
        <v>1155</v>
      </c>
      <c r="H534" s="1" t="s">
        <v>86</v>
      </c>
      <c r="I534" s="1" t="s">
        <v>968</v>
      </c>
      <c r="K534" s="1" t="s">
        <v>969</v>
      </c>
      <c r="L534" s="1" t="str">
        <f t="shared" si="238"/>
        <v>IPP</v>
      </c>
      <c r="M534" s="1" t="s">
        <v>1232</v>
      </c>
      <c r="N534" s="1" t="s">
        <v>108</v>
      </c>
      <c r="O534" s="1" t="s">
        <v>54</v>
      </c>
      <c r="P534" s="1">
        <v>940016</v>
      </c>
      <c r="Q534" s="1" t="s">
        <v>107</v>
      </c>
      <c r="R534" s="1">
        <v>3522241</v>
      </c>
      <c r="S534" s="1" t="s">
        <v>216</v>
      </c>
      <c r="T534" s="1" t="s">
        <v>88</v>
      </c>
      <c r="U534" s="1" t="s">
        <v>89</v>
      </c>
      <c r="V534" s="1" t="s">
        <v>217</v>
      </c>
      <c r="W534" s="1">
        <v>0.43</v>
      </c>
      <c r="X534" s="1">
        <v>1220</v>
      </c>
      <c r="Y534" s="1">
        <v>0</v>
      </c>
      <c r="Z534" s="3">
        <v>280</v>
      </c>
      <c r="AA534" s="3">
        <v>146.935</v>
      </c>
      <c r="AB534" s="3">
        <v>133.065</v>
      </c>
      <c r="AC534" s="3">
        <v>146.93500000000003</v>
      </c>
      <c r="AD534" s="3">
        <f t="shared" si="244"/>
        <v>133.065</v>
      </c>
      <c r="AE534" s="3">
        <v>133.065</v>
      </c>
      <c r="AF534" s="3">
        <v>0</v>
      </c>
      <c r="AG534" s="3">
        <v>0</v>
      </c>
      <c r="AH534" s="3">
        <v>0</v>
      </c>
      <c r="AI534" s="3">
        <v>0</v>
      </c>
      <c r="AJ534" s="3">
        <f t="shared" si="245"/>
        <v>0</v>
      </c>
      <c r="AK534" s="1">
        <v>0</v>
      </c>
      <c r="AL534" s="3">
        <v>0</v>
      </c>
      <c r="AM534" s="3">
        <v>0</v>
      </c>
      <c r="AN534" s="1">
        <v>0</v>
      </c>
      <c r="AO534" s="1">
        <v>0</v>
      </c>
      <c r="AP534" s="3">
        <f t="shared" si="236"/>
        <v>280</v>
      </c>
    </row>
    <row r="535" spans="1:42" x14ac:dyDescent="0.35">
      <c r="A535" s="1">
        <v>744</v>
      </c>
      <c r="B535" s="2">
        <v>45924</v>
      </c>
      <c r="C535" s="1" t="s">
        <v>64</v>
      </c>
      <c r="D535" s="1">
        <v>9519138060</v>
      </c>
      <c r="E535" s="1">
        <v>2</v>
      </c>
      <c r="F535" s="1" t="s">
        <v>1197</v>
      </c>
      <c r="G535" s="1" t="s">
        <v>1155</v>
      </c>
      <c r="H535" s="1" t="s">
        <v>86</v>
      </c>
      <c r="I535" s="1" t="s">
        <v>968</v>
      </c>
      <c r="K535" s="1" t="s">
        <v>969</v>
      </c>
      <c r="L535" s="1" t="str">
        <f t="shared" si="238"/>
        <v>IPP</v>
      </c>
      <c r="M535" s="1" t="s">
        <v>1232</v>
      </c>
      <c r="N535" s="1" t="s">
        <v>108</v>
      </c>
      <c r="O535" s="1" t="s">
        <v>54</v>
      </c>
      <c r="P535" s="1">
        <v>940016</v>
      </c>
      <c r="Q535" s="1" t="s">
        <v>107</v>
      </c>
      <c r="R535" s="1">
        <v>3522241</v>
      </c>
      <c r="S535" s="1" t="s">
        <v>216</v>
      </c>
      <c r="T535" s="1" t="s">
        <v>88</v>
      </c>
      <c r="U535" s="1" t="s">
        <v>89</v>
      </c>
      <c r="V535" s="1" t="s">
        <v>217</v>
      </c>
      <c r="W535" s="1">
        <v>0.43</v>
      </c>
      <c r="X535" s="1">
        <v>1220</v>
      </c>
      <c r="Y535" s="1">
        <v>0</v>
      </c>
      <c r="Z535" s="3">
        <v>280</v>
      </c>
      <c r="AA535" s="3">
        <v>131.9</v>
      </c>
      <c r="AB535" s="3">
        <v>148.09899999999999</v>
      </c>
      <c r="AC535" s="3">
        <v>131.89999999999998</v>
      </c>
      <c r="AD535" s="3">
        <f t="shared" si="244"/>
        <v>148.09899999999999</v>
      </c>
      <c r="AE535" s="3">
        <v>0</v>
      </c>
      <c r="AF535" s="3">
        <v>148.09899999999999</v>
      </c>
      <c r="AG535" s="3">
        <v>0</v>
      </c>
      <c r="AH535" s="3">
        <v>0</v>
      </c>
      <c r="AI535" s="3">
        <v>0</v>
      </c>
      <c r="AJ535" s="3">
        <f t="shared" si="245"/>
        <v>279.99899999999997</v>
      </c>
      <c r="AK535" s="1">
        <v>0</v>
      </c>
      <c r="AL535" s="1">
        <v>0</v>
      </c>
      <c r="AM535" s="1">
        <v>0</v>
      </c>
      <c r="AN535" s="3">
        <f>AF535+AC535</f>
        <v>279.99899999999997</v>
      </c>
      <c r="AO535" s="1">
        <v>0</v>
      </c>
      <c r="AP535" s="3">
        <f t="shared" si="236"/>
        <v>0</v>
      </c>
    </row>
    <row r="536" spans="1:42" x14ac:dyDescent="0.35">
      <c r="A536" s="1">
        <v>744</v>
      </c>
      <c r="B536" s="2">
        <v>45924</v>
      </c>
      <c r="C536" s="1" t="s">
        <v>64</v>
      </c>
      <c r="D536" s="1">
        <v>9519138217</v>
      </c>
      <c r="E536" s="1">
        <v>9</v>
      </c>
      <c r="F536" s="1" t="s">
        <v>1198</v>
      </c>
      <c r="G536" s="1" t="s">
        <v>1155</v>
      </c>
      <c r="H536" s="1" t="s">
        <v>86</v>
      </c>
      <c r="I536" s="1" t="s">
        <v>968</v>
      </c>
      <c r="K536" s="1" t="s">
        <v>969</v>
      </c>
      <c r="L536" s="1" t="str">
        <f t="shared" si="238"/>
        <v>IPP</v>
      </c>
      <c r="M536" s="1" t="s">
        <v>1232</v>
      </c>
      <c r="N536" s="1" t="s">
        <v>230</v>
      </c>
      <c r="O536" s="1" t="s">
        <v>54</v>
      </c>
      <c r="P536" s="1">
        <v>940008</v>
      </c>
      <c r="Q536" s="1" t="s">
        <v>107</v>
      </c>
      <c r="R536" s="1">
        <v>3522241</v>
      </c>
      <c r="S536" s="1" t="s">
        <v>216</v>
      </c>
      <c r="T536" s="1" t="s">
        <v>88</v>
      </c>
      <c r="U536" s="1" t="s">
        <v>89</v>
      </c>
      <c r="V536" s="1" t="s">
        <v>217</v>
      </c>
      <c r="W536" s="1">
        <v>0.43</v>
      </c>
      <c r="X536" s="1">
        <v>1220</v>
      </c>
      <c r="Y536" s="1">
        <v>0</v>
      </c>
      <c r="Z536" s="3">
        <v>28</v>
      </c>
      <c r="AA536" s="3">
        <v>0</v>
      </c>
      <c r="AB536" s="3">
        <v>28</v>
      </c>
      <c r="AC536" s="3">
        <v>0</v>
      </c>
      <c r="AD536" s="3">
        <f t="shared" si="244"/>
        <v>28</v>
      </c>
      <c r="AE536" s="3">
        <v>0</v>
      </c>
      <c r="AF536" s="3">
        <v>0</v>
      </c>
      <c r="AG536" s="3">
        <v>0</v>
      </c>
      <c r="AH536" s="3">
        <v>28</v>
      </c>
      <c r="AI536" s="3">
        <v>0</v>
      </c>
      <c r="AJ536" s="3">
        <f t="shared" si="245"/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3">
        <f t="shared" si="236"/>
        <v>28</v>
      </c>
    </row>
    <row r="537" spans="1:42" x14ac:dyDescent="0.35">
      <c r="A537" s="1">
        <v>744</v>
      </c>
      <c r="B537" s="2">
        <v>45924</v>
      </c>
      <c r="C537" s="1" t="s">
        <v>64</v>
      </c>
      <c r="D537" s="1">
        <v>9519138060</v>
      </c>
      <c r="E537" s="1">
        <v>5</v>
      </c>
      <c r="F537" s="1" t="s">
        <v>1199</v>
      </c>
      <c r="G537" s="1" t="s">
        <v>1155</v>
      </c>
      <c r="H537" s="1" t="s">
        <v>86</v>
      </c>
      <c r="I537" s="1" t="s">
        <v>968</v>
      </c>
      <c r="K537" s="1" t="s">
        <v>969</v>
      </c>
      <c r="L537" s="1" t="str">
        <f t="shared" si="238"/>
        <v>IPP</v>
      </c>
      <c r="M537" s="1" t="s">
        <v>1232</v>
      </c>
      <c r="N537" s="1" t="s">
        <v>108</v>
      </c>
      <c r="O537" s="1" t="s">
        <v>54</v>
      </c>
      <c r="P537" s="1">
        <v>940016</v>
      </c>
      <c r="Q537" s="1" t="s">
        <v>107</v>
      </c>
      <c r="R537" s="1">
        <v>3522241</v>
      </c>
      <c r="S537" s="1" t="s">
        <v>216</v>
      </c>
      <c r="T537" s="1" t="s">
        <v>88</v>
      </c>
      <c r="U537" s="1" t="s">
        <v>89</v>
      </c>
      <c r="V537" s="1" t="s">
        <v>217</v>
      </c>
      <c r="W537" s="1">
        <v>0.43</v>
      </c>
      <c r="X537" s="1">
        <v>1220</v>
      </c>
      <c r="Y537" s="1">
        <v>0</v>
      </c>
      <c r="Z537" s="3">
        <v>84</v>
      </c>
      <c r="AA537" s="3">
        <v>69.185000000000002</v>
      </c>
      <c r="AB537" s="3">
        <v>14.814</v>
      </c>
      <c r="AC537" s="3">
        <v>69.184999999999988</v>
      </c>
      <c r="AD537" s="3">
        <f t="shared" si="244"/>
        <v>14.814</v>
      </c>
      <c r="AE537" s="3">
        <v>14.814</v>
      </c>
      <c r="AF537" s="3">
        <v>0</v>
      </c>
      <c r="AG537" s="3">
        <v>0</v>
      </c>
      <c r="AH537" s="3">
        <v>0</v>
      </c>
      <c r="AI537" s="3">
        <v>0</v>
      </c>
      <c r="AJ537" s="3">
        <f t="shared" si="245"/>
        <v>83.998999999999995</v>
      </c>
      <c r="AK537" s="1">
        <v>0</v>
      </c>
      <c r="AL537" s="3">
        <v>0</v>
      </c>
      <c r="AM537" s="3">
        <f>AE537+AC537</f>
        <v>83.998999999999995</v>
      </c>
      <c r="AN537" s="1">
        <v>0</v>
      </c>
      <c r="AO537" s="1">
        <v>0</v>
      </c>
      <c r="AP537" s="3">
        <f t="shared" si="236"/>
        <v>0</v>
      </c>
    </row>
    <row r="538" spans="1:42" x14ac:dyDescent="0.35">
      <c r="A538" s="1">
        <v>744</v>
      </c>
      <c r="B538" s="2">
        <v>45924</v>
      </c>
      <c r="C538" s="1" t="s">
        <v>64</v>
      </c>
      <c r="D538" s="1">
        <v>9519138426</v>
      </c>
      <c r="E538" s="1">
        <v>1</v>
      </c>
      <c r="F538" s="1" t="s">
        <v>1200</v>
      </c>
      <c r="G538" s="1" t="s">
        <v>1155</v>
      </c>
      <c r="H538" s="1" t="s">
        <v>86</v>
      </c>
      <c r="I538" s="1" t="s">
        <v>968</v>
      </c>
      <c r="K538" s="1" t="s">
        <v>969</v>
      </c>
      <c r="L538" s="1" t="str">
        <f t="shared" si="238"/>
        <v>IPP</v>
      </c>
      <c r="M538" s="1" t="s">
        <v>1232</v>
      </c>
      <c r="N538" s="1" t="s">
        <v>108</v>
      </c>
      <c r="O538" s="1" t="s">
        <v>54</v>
      </c>
      <c r="P538" s="1">
        <v>940016</v>
      </c>
      <c r="Q538" s="1" t="s">
        <v>107</v>
      </c>
      <c r="R538" s="1">
        <v>3522241</v>
      </c>
      <c r="S538" s="1" t="s">
        <v>216</v>
      </c>
      <c r="T538" s="1" t="s">
        <v>88</v>
      </c>
      <c r="U538" s="1" t="s">
        <v>89</v>
      </c>
      <c r="V538" s="1" t="s">
        <v>217</v>
      </c>
      <c r="W538" s="1">
        <v>0.43</v>
      </c>
      <c r="X538" s="1">
        <v>1220</v>
      </c>
      <c r="Y538" s="1">
        <v>0</v>
      </c>
      <c r="Z538" s="3">
        <v>28</v>
      </c>
      <c r="AA538" s="3">
        <v>0</v>
      </c>
      <c r="AB538" s="3">
        <v>28</v>
      </c>
      <c r="AC538" s="3">
        <v>0</v>
      </c>
      <c r="AD538" s="3">
        <f t="shared" si="244"/>
        <v>28</v>
      </c>
      <c r="AE538" s="3">
        <v>0</v>
      </c>
      <c r="AF538" s="3">
        <v>28</v>
      </c>
      <c r="AG538" s="3">
        <v>0</v>
      </c>
      <c r="AH538" s="3">
        <v>0</v>
      </c>
      <c r="AI538" s="3">
        <v>0</v>
      </c>
      <c r="AJ538" s="3">
        <f t="shared" si="245"/>
        <v>28</v>
      </c>
      <c r="AK538" s="1">
        <v>0</v>
      </c>
      <c r="AL538" s="1">
        <v>0</v>
      </c>
      <c r="AM538" s="3">
        <v>0</v>
      </c>
      <c r="AN538" s="1">
        <v>0</v>
      </c>
      <c r="AO538" s="3">
        <f>AF538</f>
        <v>28</v>
      </c>
      <c r="AP538" s="3">
        <f t="shared" si="236"/>
        <v>0</v>
      </c>
    </row>
    <row r="539" spans="1:42" x14ac:dyDescent="0.35">
      <c r="A539" s="1">
        <v>744</v>
      </c>
      <c r="B539" s="2">
        <v>45924</v>
      </c>
      <c r="C539" s="1" t="s">
        <v>64</v>
      </c>
      <c r="D539" s="1">
        <v>9519138426</v>
      </c>
      <c r="E539" s="1">
        <v>5</v>
      </c>
      <c r="F539" s="1" t="s">
        <v>1201</v>
      </c>
      <c r="G539" s="1" t="s">
        <v>1155</v>
      </c>
      <c r="H539" s="1" t="s">
        <v>86</v>
      </c>
      <c r="I539" s="1" t="s">
        <v>968</v>
      </c>
      <c r="K539" s="1" t="s">
        <v>969</v>
      </c>
      <c r="L539" s="1" t="str">
        <f t="shared" si="238"/>
        <v>IPP</v>
      </c>
      <c r="M539" s="1" t="s">
        <v>1232</v>
      </c>
      <c r="N539" s="1" t="s">
        <v>108</v>
      </c>
      <c r="O539" s="1" t="s">
        <v>54</v>
      </c>
      <c r="P539" s="1">
        <v>940016</v>
      </c>
      <c r="Q539" s="1" t="s">
        <v>107</v>
      </c>
      <c r="R539" s="1">
        <v>3521298</v>
      </c>
      <c r="S539" s="1" t="s">
        <v>1207</v>
      </c>
      <c r="T539" s="1" t="s">
        <v>88</v>
      </c>
      <c r="U539" s="1" t="s">
        <v>89</v>
      </c>
      <c r="V539" s="1" t="s">
        <v>217</v>
      </c>
      <c r="W539" s="1">
        <v>0.33</v>
      </c>
      <c r="X539" s="1">
        <v>1220</v>
      </c>
      <c r="Y539" s="1">
        <v>0</v>
      </c>
      <c r="Z539" s="3">
        <v>28</v>
      </c>
      <c r="AA539" s="3">
        <v>0</v>
      </c>
      <c r="AB539" s="3">
        <v>28</v>
      </c>
      <c r="AC539" s="3">
        <v>0</v>
      </c>
      <c r="AD539" s="3">
        <f t="shared" si="244"/>
        <v>28</v>
      </c>
      <c r="AE539" s="3">
        <v>0</v>
      </c>
      <c r="AF539" s="3">
        <v>28</v>
      </c>
      <c r="AG539" s="3">
        <v>0</v>
      </c>
      <c r="AH539" s="3">
        <v>0</v>
      </c>
      <c r="AI539" s="3">
        <v>0</v>
      </c>
      <c r="AJ539" s="3">
        <f t="shared" si="245"/>
        <v>28</v>
      </c>
      <c r="AK539" s="1">
        <v>0</v>
      </c>
      <c r="AL539" s="1">
        <v>0</v>
      </c>
      <c r="AM539" s="3">
        <v>0</v>
      </c>
      <c r="AN539" s="1">
        <v>0</v>
      </c>
      <c r="AO539" s="3">
        <f t="shared" ref="AO539" si="246">AF539</f>
        <v>28</v>
      </c>
      <c r="AP539" s="3">
        <f t="shared" si="236"/>
        <v>0</v>
      </c>
    </row>
    <row r="540" spans="1:42" x14ac:dyDescent="0.35">
      <c r="A540" s="1">
        <v>742</v>
      </c>
      <c r="B540" s="2">
        <v>45912</v>
      </c>
      <c r="C540" s="1" t="s">
        <v>64</v>
      </c>
      <c r="D540" s="1">
        <v>9519099083</v>
      </c>
      <c r="E540" s="1">
        <v>2</v>
      </c>
      <c r="F540" s="1" t="s">
        <v>1202</v>
      </c>
      <c r="G540" s="1" t="s">
        <v>1155</v>
      </c>
      <c r="H540" s="1" t="s">
        <v>21</v>
      </c>
      <c r="I540" s="1" t="s">
        <v>22</v>
      </c>
      <c r="K540" s="1" t="s">
        <v>970</v>
      </c>
      <c r="L540" s="1" t="str">
        <f t="shared" si="238"/>
        <v>BPRS</v>
      </c>
      <c r="M540" s="1" t="s">
        <v>1231</v>
      </c>
      <c r="N540" s="1" t="s">
        <v>25</v>
      </c>
      <c r="O540" s="1" t="s">
        <v>26</v>
      </c>
      <c r="P540" s="1">
        <v>926346</v>
      </c>
      <c r="Q540" s="1" t="s">
        <v>317</v>
      </c>
      <c r="R540" s="1">
        <v>1801022</v>
      </c>
      <c r="S540" s="1" t="s">
        <v>196</v>
      </c>
      <c r="T540" s="1" t="s">
        <v>28</v>
      </c>
      <c r="U540" s="1" t="s">
        <v>29</v>
      </c>
      <c r="V540" s="1" t="s">
        <v>30</v>
      </c>
      <c r="W540" s="1">
        <v>0.45</v>
      </c>
      <c r="X540" s="1">
        <v>1250</v>
      </c>
      <c r="Y540" s="1">
        <v>0</v>
      </c>
      <c r="Z540" s="3">
        <v>87</v>
      </c>
      <c r="AA540" s="3">
        <v>0</v>
      </c>
      <c r="AB540" s="3">
        <v>87</v>
      </c>
      <c r="AC540" s="3">
        <v>0</v>
      </c>
      <c r="AD540" s="3">
        <f t="shared" si="244"/>
        <v>87</v>
      </c>
      <c r="AE540" s="3">
        <v>0</v>
      </c>
      <c r="AF540" s="3">
        <v>87</v>
      </c>
      <c r="AG540" s="3">
        <v>0</v>
      </c>
      <c r="AH540" s="3">
        <v>0</v>
      </c>
      <c r="AI540" s="3">
        <v>0</v>
      </c>
      <c r="AJ540" s="3">
        <f t="shared" si="245"/>
        <v>87</v>
      </c>
      <c r="AK540" s="1">
        <v>0</v>
      </c>
      <c r="AL540" s="3">
        <f>AE540</f>
        <v>0</v>
      </c>
      <c r="AM540" s="3">
        <f>AF540</f>
        <v>87</v>
      </c>
      <c r="AN540" s="3">
        <f>AG540</f>
        <v>0</v>
      </c>
      <c r="AO540" s="3">
        <f>AH540</f>
        <v>0</v>
      </c>
      <c r="AP540" s="3">
        <f t="shared" si="236"/>
        <v>0</v>
      </c>
    </row>
    <row r="541" spans="1:42" x14ac:dyDescent="0.35">
      <c r="A541" s="1">
        <v>744</v>
      </c>
      <c r="B541" s="2">
        <v>45924</v>
      </c>
      <c r="C541" s="1" t="s">
        <v>64</v>
      </c>
      <c r="D541" s="1">
        <v>9519138426</v>
      </c>
      <c r="E541" s="1">
        <v>2</v>
      </c>
      <c r="F541" s="1" t="s">
        <v>1203</v>
      </c>
      <c r="G541" s="1" t="s">
        <v>1155</v>
      </c>
      <c r="H541" s="1" t="s">
        <v>86</v>
      </c>
      <c r="I541" s="1" t="s">
        <v>968</v>
      </c>
      <c r="K541" s="1" t="s">
        <v>969</v>
      </c>
      <c r="L541" s="1" t="str">
        <f t="shared" si="238"/>
        <v>IPP</v>
      </c>
      <c r="M541" s="1" t="s">
        <v>1232</v>
      </c>
      <c r="N541" s="1" t="s">
        <v>108</v>
      </c>
      <c r="O541" s="1" t="s">
        <v>54</v>
      </c>
      <c r="P541" s="1">
        <v>940016</v>
      </c>
      <c r="Q541" s="1" t="s">
        <v>107</v>
      </c>
      <c r="R541" s="1">
        <v>3522241</v>
      </c>
      <c r="S541" s="1" t="s">
        <v>216</v>
      </c>
      <c r="T541" s="1" t="s">
        <v>88</v>
      </c>
      <c r="U541" s="1" t="s">
        <v>89</v>
      </c>
      <c r="V541" s="1" t="s">
        <v>217</v>
      </c>
      <c r="W541" s="1">
        <v>0.43</v>
      </c>
      <c r="X541" s="1">
        <v>1220</v>
      </c>
      <c r="Y541" s="1">
        <v>0</v>
      </c>
      <c r="Z541" s="3">
        <v>280</v>
      </c>
      <c r="AA541" s="3">
        <v>0</v>
      </c>
      <c r="AB541" s="3">
        <v>280</v>
      </c>
      <c r="AC541" s="3">
        <v>0</v>
      </c>
      <c r="AD541" s="3">
        <f t="shared" si="244"/>
        <v>280</v>
      </c>
      <c r="AE541" s="3">
        <v>0</v>
      </c>
      <c r="AF541" s="3">
        <v>0</v>
      </c>
      <c r="AG541" s="3">
        <v>0</v>
      </c>
      <c r="AH541" s="3">
        <v>0</v>
      </c>
      <c r="AI541" s="3">
        <v>280</v>
      </c>
      <c r="AJ541" s="3">
        <f t="shared" si="245"/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3">
        <f t="shared" si="236"/>
        <v>280</v>
      </c>
    </row>
    <row r="542" spans="1:42" x14ac:dyDescent="0.35">
      <c r="A542" s="1">
        <v>744</v>
      </c>
      <c r="B542" s="2">
        <v>45924</v>
      </c>
      <c r="C542" s="1" t="s">
        <v>64</v>
      </c>
      <c r="D542" s="1">
        <v>9519138426</v>
      </c>
      <c r="E542" s="1">
        <v>3</v>
      </c>
      <c r="F542" s="1" t="s">
        <v>1204</v>
      </c>
      <c r="G542" s="1" t="s">
        <v>1155</v>
      </c>
      <c r="H542" s="1" t="s">
        <v>86</v>
      </c>
      <c r="I542" s="1" t="s">
        <v>968</v>
      </c>
      <c r="K542" s="1" t="s">
        <v>969</v>
      </c>
      <c r="L542" s="1" t="str">
        <f t="shared" si="238"/>
        <v>IPP</v>
      </c>
      <c r="M542" s="1" t="s">
        <v>1232</v>
      </c>
      <c r="N542" s="1" t="s">
        <v>108</v>
      </c>
      <c r="O542" s="1" t="s">
        <v>54</v>
      </c>
      <c r="P542" s="1">
        <v>940016</v>
      </c>
      <c r="Q542" s="1" t="s">
        <v>107</v>
      </c>
      <c r="R542" s="1">
        <v>3522241</v>
      </c>
      <c r="S542" s="1" t="s">
        <v>216</v>
      </c>
      <c r="T542" s="1" t="s">
        <v>88</v>
      </c>
      <c r="U542" s="1" t="s">
        <v>89</v>
      </c>
      <c r="V542" s="1" t="s">
        <v>217</v>
      </c>
      <c r="W542" s="1">
        <v>0.43</v>
      </c>
      <c r="X542" s="1">
        <v>1220</v>
      </c>
      <c r="Y542" s="1">
        <v>0</v>
      </c>
      <c r="Z542" s="3">
        <v>280</v>
      </c>
      <c r="AA542" s="3">
        <v>0</v>
      </c>
      <c r="AB542" s="3">
        <v>280</v>
      </c>
      <c r="AC542" s="3">
        <v>0</v>
      </c>
      <c r="AD542" s="3">
        <f t="shared" si="244"/>
        <v>280</v>
      </c>
      <c r="AE542" s="3">
        <v>0</v>
      </c>
      <c r="AF542" s="3">
        <v>0</v>
      </c>
      <c r="AG542" s="3">
        <v>0</v>
      </c>
      <c r="AH542" s="3">
        <v>280</v>
      </c>
      <c r="AI542" s="3">
        <v>0</v>
      </c>
      <c r="AJ542" s="3">
        <f t="shared" si="245"/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3">
        <f t="shared" si="236"/>
        <v>280</v>
      </c>
    </row>
    <row r="543" spans="1:42" x14ac:dyDescent="0.35">
      <c r="A543" s="1">
        <v>744</v>
      </c>
      <c r="B543" s="2">
        <v>45924</v>
      </c>
      <c r="C543" s="1" t="s">
        <v>64</v>
      </c>
      <c r="D543" s="1">
        <v>9519138426</v>
      </c>
      <c r="E543" s="1">
        <v>4</v>
      </c>
      <c r="F543" s="1" t="s">
        <v>1205</v>
      </c>
      <c r="G543" s="1" t="s">
        <v>1155</v>
      </c>
      <c r="H543" s="1" t="s">
        <v>86</v>
      </c>
      <c r="I543" s="1" t="s">
        <v>968</v>
      </c>
      <c r="K543" s="1" t="s">
        <v>969</v>
      </c>
      <c r="L543" s="1" t="str">
        <f t="shared" si="238"/>
        <v>IPP</v>
      </c>
      <c r="M543" s="1" t="s">
        <v>1232</v>
      </c>
      <c r="N543" s="1" t="s">
        <v>108</v>
      </c>
      <c r="O543" s="1" t="s">
        <v>54</v>
      </c>
      <c r="P543" s="1">
        <v>940016</v>
      </c>
      <c r="Q543" s="1" t="s">
        <v>107</v>
      </c>
      <c r="R543" s="1">
        <v>3522241</v>
      </c>
      <c r="S543" s="1" t="s">
        <v>216</v>
      </c>
      <c r="T543" s="1" t="s">
        <v>88</v>
      </c>
      <c r="U543" s="1" t="s">
        <v>89</v>
      </c>
      <c r="V543" s="1" t="s">
        <v>217</v>
      </c>
      <c r="W543" s="1">
        <v>0.43</v>
      </c>
      <c r="X543" s="1">
        <v>1220</v>
      </c>
      <c r="Y543" s="1">
        <v>0</v>
      </c>
      <c r="Z543" s="3">
        <v>196</v>
      </c>
      <c r="AA543" s="3">
        <v>0</v>
      </c>
      <c r="AB543" s="3">
        <v>196</v>
      </c>
      <c r="AC543" s="3">
        <v>0</v>
      </c>
      <c r="AD543" s="3">
        <f t="shared" si="244"/>
        <v>196</v>
      </c>
      <c r="AE543" s="3">
        <v>0</v>
      </c>
      <c r="AF543" s="3">
        <v>0</v>
      </c>
      <c r="AG543" s="3">
        <v>0</v>
      </c>
      <c r="AH543" s="3">
        <v>196</v>
      </c>
      <c r="AI543" s="3">
        <v>0</v>
      </c>
      <c r="AJ543" s="3">
        <f t="shared" si="245"/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3">
        <f t="shared" si="236"/>
        <v>196</v>
      </c>
    </row>
    <row r="544" spans="1:42" x14ac:dyDescent="0.35">
      <c r="A544" s="1">
        <v>744</v>
      </c>
      <c r="B544" s="2">
        <v>45924</v>
      </c>
      <c r="C544" s="1" t="s">
        <v>64</v>
      </c>
      <c r="D544" s="1">
        <v>9519138426</v>
      </c>
      <c r="E544" s="1">
        <v>6</v>
      </c>
      <c r="F544" s="1" t="s">
        <v>1206</v>
      </c>
      <c r="G544" s="1" t="s">
        <v>1155</v>
      </c>
      <c r="H544" s="1" t="s">
        <v>86</v>
      </c>
      <c r="I544" s="1" t="s">
        <v>968</v>
      </c>
      <c r="K544" s="1" t="s">
        <v>969</v>
      </c>
      <c r="L544" s="1" t="str">
        <f t="shared" si="238"/>
        <v>IPP</v>
      </c>
      <c r="M544" s="1" t="s">
        <v>1232</v>
      </c>
      <c r="N544" s="1" t="s">
        <v>108</v>
      </c>
      <c r="O544" s="1" t="s">
        <v>54</v>
      </c>
      <c r="P544" s="1">
        <v>940016</v>
      </c>
      <c r="Q544" s="1" t="s">
        <v>107</v>
      </c>
      <c r="R544" s="1">
        <v>3522241</v>
      </c>
      <c r="S544" s="1" t="s">
        <v>216</v>
      </c>
      <c r="T544" s="1" t="s">
        <v>88</v>
      </c>
      <c r="U544" s="1" t="s">
        <v>89</v>
      </c>
      <c r="V544" s="1" t="s">
        <v>217</v>
      </c>
      <c r="W544" s="1">
        <v>0.43</v>
      </c>
      <c r="X544" s="1">
        <v>1220</v>
      </c>
      <c r="Y544" s="1">
        <v>0</v>
      </c>
      <c r="Z544" s="3">
        <v>112</v>
      </c>
      <c r="AA544" s="3">
        <v>0</v>
      </c>
      <c r="AB544" s="3">
        <v>112</v>
      </c>
      <c r="AC544" s="3">
        <v>0</v>
      </c>
      <c r="AD544" s="3">
        <f t="shared" si="244"/>
        <v>112</v>
      </c>
      <c r="AE544" s="3">
        <v>0</v>
      </c>
      <c r="AF544" s="3">
        <v>0</v>
      </c>
      <c r="AG544" s="3">
        <v>112</v>
      </c>
      <c r="AH544" s="3">
        <v>0</v>
      </c>
      <c r="AI544" s="3">
        <v>0</v>
      </c>
      <c r="AJ544" s="3">
        <f t="shared" si="245"/>
        <v>112</v>
      </c>
      <c r="AK544" s="1">
        <v>0</v>
      </c>
      <c r="AL544" s="1">
        <v>0</v>
      </c>
      <c r="AM544" s="1">
        <v>0</v>
      </c>
      <c r="AN544" s="3">
        <f>AG544</f>
        <v>112</v>
      </c>
      <c r="AO544" s="1">
        <v>0</v>
      </c>
      <c r="AP544" s="3">
        <f t="shared" si="236"/>
        <v>0</v>
      </c>
    </row>
    <row r="545" spans="1:42" x14ac:dyDescent="0.35">
      <c r="A545" s="1">
        <v>743</v>
      </c>
      <c r="B545" s="2">
        <v>45927</v>
      </c>
      <c r="C545" s="1" t="s">
        <v>64</v>
      </c>
      <c r="D545" s="1">
        <v>9519137724</v>
      </c>
      <c r="E545" s="1">
        <v>2</v>
      </c>
      <c r="F545" s="1" t="s">
        <v>1208</v>
      </c>
      <c r="G545" s="1" t="s">
        <v>1155</v>
      </c>
      <c r="H545" s="1" t="s">
        <v>63</v>
      </c>
      <c r="I545" s="1" t="s">
        <v>1368</v>
      </c>
      <c r="K545" s="1" t="s">
        <v>970</v>
      </c>
      <c r="L545" s="1" t="str">
        <f t="shared" si="238"/>
        <v>BPRS</v>
      </c>
      <c r="M545" s="1" t="s">
        <v>1018</v>
      </c>
      <c r="P545" s="1">
        <v>936511</v>
      </c>
      <c r="Q545" s="1" t="s">
        <v>410</v>
      </c>
      <c r="R545" s="1">
        <v>1300229</v>
      </c>
      <c r="T545" s="1" t="s">
        <v>139</v>
      </c>
      <c r="V545" s="1" t="s">
        <v>141</v>
      </c>
      <c r="W545" s="1">
        <v>0.4</v>
      </c>
      <c r="X545" s="1">
        <v>1220</v>
      </c>
      <c r="Y545" s="1">
        <v>0</v>
      </c>
      <c r="Z545" s="3">
        <v>56</v>
      </c>
      <c r="AA545" s="3">
        <v>0</v>
      </c>
      <c r="AB545" s="3">
        <v>56</v>
      </c>
      <c r="AC545" s="3">
        <v>0</v>
      </c>
      <c r="AD545" s="3">
        <f t="shared" si="244"/>
        <v>56</v>
      </c>
      <c r="AE545" s="3">
        <v>56</v>
      </c>
      <c r="AF545" s="3">
        <v>0</v>
      </c>
      <c r="AG545" s="3">
        <v>0</v>
      </c>
      <c r="AH545" s="3">
        <v>0</v>
      </c>
      <c r="AI545" s="3">
        <v>0</v>
      </c>
      <c r="AJ545" s="3">
        <f t="shared" si="245"/>
        <v>56</v>
      </c>
      <c r="AK545" s="1">
        <v>0</v>
      </c>
      <c r="AL545" s="3">
        <f>AE545</f>
        <v>56</v>
      </c>
      <c r="AM545" s="1">
        <v>0</v>
      </c>
      <c r="AN545" s="1">
        <v>0</v>
      </c>
      <c r="AO545" s="1">
        <v>0</v>
      </c>
      <c r="AP545" s="3">
        <f t="shared" si="236"/>
        <v>0</v>
      </c>
    </row>
    <row r="546" spans="1:42" x14ac:dyDescent="0.35">
      <c r="A546" s="1">
        <v>743</v>
      </c>
      <c r="B546" s="2">
        <v>45927</v>
      </c>
      <c r="C546" s="1" t="s">
        <v>64</v>
      </c>
      <c r="D546" s="1">
        <v>9519136994</v>
      </c>
      <c r="E546" s="1">
        <v>3</v>
      </c>
      <c r="F546" s="1" t="s">
        <v>1209</v>
      </c>
      <c r="G546" s="1" t="s">
        <v>1155</v>
      </c>
      <c r="H546" s="1" t="s">
        <v>63</v>
      </c>
      <c r="I546" s="1" t="s">
        <v>1292</v>
      </c>
      <c r="K546" s="1" t="s">
        <v>970</v>
      </c>
      <c r="L546" s="1" t="str">
        <f t="shared" si="238"/>
        <v>BPRS</v>
      </c>
      <c r="M546" s="1" t="s">
        <v>1017</v>
      </c>
      <c r="P546" s="1">
        <v>115190</v>
      </c>
      <c r="Q546" s="1" t="s">
        <v>330</v>
      </c>
      <c r="R546" s="1">
        <v>3897501</v>
      </c>
      <c r="T546" s="1" t="s">
        <v>68</v>
      </c>
      <c r="V546" s="1" t="s">
        <v>407</v>
      </c>
      <c r="W546" s="1">
        <v>0.5</v>
      </c>
      <c r="X546" s="1">
        <v>900</v>
      </c>
      <c r="Y546" s="1">
        <v>0</v>
      </c>
      <c r="Z546" s="3">
        <v>63</v>
      </c>
      <c r="AA546" s="3">
        <v>0</v>
      </c>
      <c r="AB546" s="3">
        <v>63</v>
      </c>
      <c r="AC546" s="3">
        <v>0</v>
      </c>
      <c r="AD546" s="3">
        <f t="shared" si="244"/>
        <v>63</v>
      </c>
      <c r="AE546" s="3">
        <v>0</v>
      </c>
      <c r="AF546" s="3">
        <v>0</v>
      </c>
      <c r="AG546" s="3">
        <v>0</v>
      </c>
      <c r="AH546" s="3">
        <v>0</v>
      </c>
      <c r="AI546" s="3">
        <v>63</v>
      </c>
      <c r="AJ546" s="3">
        <f t="shared" si="245"/>
        <v>63</v>
      </c>
      <c r="AK546" s="1">
        <v>0</v>
      </c>
      <c r="AL546" s="1">
        <v>0</v>
      </c>
      <c r="AM546" s="1">
        <v>0</v>
      </c>
      <c r="AN546" s="1">
        <v>0</v>
      </c>
      <c r="AO546" s="3">
        <f t="shared" ref="AO546:AO548" si="247">AI546</f>
        <v>63</v>
      </c>
      <c r="AP546" s="3">
        <f t="shared" si="236"/>
        <v>0</v>
      </c>
    </row>
    <row r="547" spans="1:42" x14ac:dyDescent="0.35">
      <c r="A547" s="1">
        <v>743</v>
      </c>
      <c r="B547" s="2">
        <v>45927</v>
      </c>
      <c r="C547" s="1" t="s">
        <v>64</v>
      </c>
      <c r="D547" s="1">
        <v>9519136994</v>
      </c>
      <c r="E547" s="1">
        <v>2</v>
      </c>
      <c r="F547" s="1" t="s">
        <v>1210</v>
      </c>
      <c r="G547" s="1" t="s">
        <v>1155</v>
      </c>
      <c r="H547" s="1" t="s">
        <v>63</v>
      </c>
      <c r="I547" s="1" t="s">
        <v>1292</v>
      </c>
      <c r="K547" s="1" t="s">
        <v>970</v>
      </c>
      <c r="L547" s="1" t="str">
        <f t="shared" si="238"/>
        <v>BPRS</v>
      </c>
      <c r="M547" s="1" t="s">
        <v>1017</v>
      </c>
      <c r="P547" s="1">
        <v>115190</v>
      </c>
      <c r="Q547" s="1" t="s">
        <v>330</v>
      </c>
      <c r="R547" s="1">
        <v>3897430</v>
      </c>
      <c r="T547" s="1" t="s">
        <v>68</v>
      </c>
      <c r="V547" s="1" t="s">
        <v>407</v>
      </c>
      <c r="W547" s="1">
        <v>0.4</v>
      </c>
      <c r="X547" s="1">
        <v>900</v>
      </c>
      <c r="Y547" s="1">
        <v>0</v>
      </c>
      <c r="Z547" s="3">
        <v>21</v>
      </c>
      <c r="AA547" s="3">
        <v>0</v>
      </c>
      <c r="AB547" s="3">
        <v>21</v>
      </c>
      <c r="AC547" s="3">
        <v>0</v>
      </c>
      <c r="AD547" s="3">
        <f t="shared" si="244"/>
        <v>21</v>
      </c>
      <c r="AE547" s="3">
        <v>0</v>
      </c>
      <c r="AF547" s="3">
        <v>0</v>
      </c>
      <c r="AG547" s="3">
        <v>0</v>
      </c>
      <c r="AH547" s="3">
        <v>0</v>
      </c>
      <c r="AI547" s="3">
        <v>21</v>
      </c>
      <c r="AJ547" s="3">
        <f t="shared" si="245"/>
        <v>21</v>
      </c>
      <c r="AK547" s="1">
        <v>0</v>
      </c>
      <c r="AL547" s="1">
        <v>0</v>
      </c>
      <c r="AM547" s="1">
        <v>0</v>
      </c>
      <c r="AN547" s="1">
        <v>0</v>
      </c>
      <c r="AO547" s="3">
        <f t="shared" si="247"/>
        <v>21</v>
      </c>
      <c r="AP547" s="3">
        <f t="shared" si="236"/>
        <v>0</v>
      </c>
    </row>
    <row r="548" spans="1:42" x14ac:dyDescent="0.35">
      <c r="A548" s="1">
        <v>743</v>
      </c>
      <c r="B548" s="2">
        <v>45927</v>
      </c>
      <c r="C548" s="1" t="s">
        <v>64</v>
      </c>
      <c r="D548" s="1">
        <v>9519136994</v>
      </c>
      <c r="E548" s="1">
        <v>1</v>
      </c>
      <c r="F548" s="1" t="s">
        <v>1211</v>
      </c>
      <c r="G548" s="1" t="s">
        <v>1155</v>
      </c>
      <c r="H548" s="1" t="s">
        <v>63</v>
      </c>
      <c r="I548" s="1" t="s">
        <v>1292</v>
      </c>
      <c r="K548" s="1" t="s">
        <v>970</v>
      </c>
      <c r="L548" s="1" t="str">
        <f t="shared" si="238"/>
        <v>BPRS</v>
      </c>
      <c r="M548" s="1" t="s">
        <v>1017</v>
      </c>
      <c r="P548" s="1">
        <v>115190</v>
      </c>
      <c r="Q548" s="1" t="s">
        <v>330</v>
      </c>
      <c r="R548" s="1">
        <v>3897429</v>
      </c>
      <c r="T548" s="1" t="s">
        <v>68</v>
      </c>
      <c r="V548" s="1" t="s">
        <v>407</v>
      </c>
      <c r="W548" s="1">
        <v>0.35</v>
      </c>
      <c r="X548" s="1">
        <v>900</v>
      </c>
      <c r="Y548" s="1">
        <v>0</v>
      </c>
      <c r="Z548" s="3">
        <v>21</v>
      </c>
      <c r="AA548" s="3">
        <v>0</v>
      </c>
      <c r="AB548" s="3">
        <v>21</v>
      </c>
      <c r="AC548" s="3">
        <v>0</v>
      </c>
      <c r="AD548" s="3">
        <f t="shared" si="244"/>
        <v>21</v>
      </c>
      <c r="AE548" s="3">
        <v>0</v>
      </c>
      <c r="AF548" s="3">
        <v>0</v>
      </c>
      <c r="AG548" s="3">
        <v>0</v>
      </c>
      <c r="AH548" s="3">
        <v>0</v>
      </c>
      <c r="AI548" s="3">
        <v>21</v>
      </c>
      <c r="AJ548" s="3">
        <f t="shared" si="245"/>
        <v>21</v>
      </c>
      <c r="AK548" s="1">
        <v>0</v>
      </c>
      <c r="AL548" s="1">
        <v>0</v>
      </c>
      <c r="AM548" s="1">
        <v>0</v>
      </c>
      <c r="AN548" s="1">
        <v>0</v>
      </c>
      <c r="AO548" s="3">
        <f t="shared" si="247"/>
        <v>21</v>
      </c>
      <c r="AP548" s="3">
        <f t="shared" si="236"/>
        <v>0</v>
      </c>
    </row>
    <row r="549" spans="1:42" x14ac:dyDescent="0.35">
      <c r="A549" s="1">
        <v>743</v>
      </c>
      <c r="B549" s="2">
        <v>45925</v>
      </c>
      <c r="C549" s="1" t="s">
        <v>64</v>
      </c>
      <c r="D549" s="1">
        <v>9519141094</v>
      </c>
      <c r="E549" s="1">
        <v>1</v>
      </c>
      <c r="F549" s="1" t="s">
        <v>1212</v>
      </c>
      <c r="G549" s="1" t="s">
        <v>1155</v>
      </c>
      <c r="H549" s="1" t="s">
        <v>63</v>
      </c>
      <c r="I549" s="1" t="s">
        <v>1404</v>
      </c>
      <c r="K549" s="1" t="s">
        <v>970</v>
      </c>
      <c r="L549" s="1" t="str">
        <f t="shared" si="238"/>
        <v>BPRS</v>
      </c>
      <c r="M549" s="1" t="s">
        <v>1017</v>
      </c>
      <c r="N549" s="1" t="s">
        <v>1117</v>
      </c>
      <c r="P549" s="1">
        <v>933952</v>
      </c>
      <c r="Q549" s="1" t="s">
        <v>95</v>
      </c>
      <c r="R549" s="1">
        <v>1854418</v>
      </c>
      <c r="S549" s="1" t="s">
        <v>176</v>
      </c>
      <c r="T549" s="1" t="s">
        <v>139</v>
      </c>
      <c r="U549" s="1" t="s">
        <v>140</v>
      </c>
      <c r="V549" s="1" t="s">
        <v>150</v>
      </c>
      <c r="W549" s="1">
        <v>0.5</v>
      </c>
      <c r="X549" s="1">
        <v>900</v>
      </c>
      <c r="Y549" s="1">
        <v>0</v>
      </c>
      <c r="Z549" s="3">
        <v>84</v>
      </c>
      <c r="AA549" s="3">
        <v>0</v>
      </c>
      <c r="AB549" s="3">
        <v>84</v>
      </c>
      <c r="AC549" s="3">
        <v>0</v>
      </c>
      <c r="AD549" s="3">
        <f t="shared" si="244"/>
        <v>84</v>
      </c>
      <c r="AE549" s="3">
        <v>0</v>
      </c>
      <c r="AF549" s="3">
        <v>0</v>
      </c>
      <c r="AG549" s="3">
        <v>0</v>
      </c>
      <c r="AH549" s="3">
        <v>0</v>
      </c>
      <c r="AI549" s="3">
        <v>84</v>
      </c>
      <c r="AJ549" s="3">
        <f t="shared" si="245"/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3">
        <f t="shared" si="236"/>
        <v>84</v>
      </c>
    </row>
    <row r="550" spans="1:42" x14ac:dyDescent="0.35">
      <c r="A550" s="1">
        <v>743</v>
      </c>
      <c r="B550" s="2">
        <v>45925</v>
      </c>
      <c r="C550" s="1" t="s">
        <v>64</v>
      </c>
      <c r="D550" s="1">
        <v>9519141143</v>
      </c>
      <c r="E550" s="1">
        <v>1</v>
      </c>
      <c r="F550" s="1" t="s">
        <v>1213</v>
      </c>
      <c r="G550" s="1" t="s">
        <v>1155</v>
      </c>
      <c r="H550" s="1" t="s">
        <v>63</v>
      </c>
      <c r="I550" s="1" t="s">
        <v>1404</v>
      </c>
      <c r="K550" s="1" t="s">
        <v>970</v>
      </c>
      <c r="L550" s="1" t="str">
        <f t="shared" si="238"/>
        <v>BPRS</v>
      </c>
      <c r="M550" s="1" t="s">
        <v>1017</v>
      </c>
      <c r="N550" s="1" t="s">
        <v>1117</v>
      </c>
      <c r="P550" s="1">
        <v>931525</v>
      </c>
      <c r="Q550" s="1" t="s">
        <v>213</v>
      </c>
      <c r="R550" s="1">
        <v>1191955</v>
      </c>
      <c r="S550" s="1" t="s">
        <v>225</v>
      </c>
      <c r="T550" s="1" t="s">
        <v>139</v>
      </c>
      <c r="U550" s="1" t="s">
        <v>140</v>
      </c>
      <c r="V550" s="1" t="s">
        <v>150</v>
      </c>
      <c r="W550" s="1">
        <v>0.3</v>
      </c>
      <c r="X550" s="1">
        <v>900</v>
      </c>
      <c r="Y550" s="1">
        <v>0</v>
      </c>
      <c r="Z550" s="3">
        <v>84</v>
      </c>
      <c r="AA550" s="3">
        <v>0</v>
      </c>
      <c r="AB550" s="3">
        <v>84</v>
      </c>
      <c r="AC550" s="3">
        <v>0</v>
      </c>
      <c r="AD550" s="3">
        <f t="shared" si="244"/>
        <v>84</v>
      </c>
      <c r="AE550" s="3">
        <v>0</v>
      </c>
      <c r="AF550" s="3">
        <v>0</v>
      </c>
      <c r="AG550" s="3">
        <v>0</v>
      </c>
      <c r="AH550" s="3">
        <v>84</v>
      </c>
      <c r="AI550" s="3">
        <v>0</v>
      </c>
      <c r="AJ550" s="3">
        <f t="shared" si="245"/>
        <v>84</v>
      </c>
      <c r="AK550" s="1">
        <v>0</v>
      </c>
      <c r="AL550" s="1">
        <v>0</v>
      </c>
      <c r="AM550" s="1">
        <v>0</v>
      </c>
      <c r="AN550" s="1">
        <v>0</v>
      </c>
      <c r="AO550" s="3">
        <f>AH550</f>
        <v>84</v>
      </c>
      <c r="AP550" s="3">
        <f t="shared" si="236"/>
        <v>0</v>
      </c>
    </row>
    <row r="551" spans="1:42" x14ac:dyDescent="0.35">
      <c r="A551" s="1">
        <v>743</v>
      </c>
      <c r="B551" s="2">
        <v>45925</v>
      </c>
      <c r="C551" s="1" t="s">
        <v>64</v>
      </c>
      <c r="D551" s="1">
        <v>9519141143</v>
      </c>
      <c r="E551" s="1">
        <v>2</v>
      </c>
      <c r="F551" s="1" t="s">
        <v>1214</v>
      </c>
      <c r="G551" s="1" t="s">
        <v>1155</v>
      </c>
      <c r="H551" s="1" t="s">
        <v>63</v>
      </c>
      <c r="I551" s="1" t="s">
        <v>1404</v>
      </c>
      <c r="K551" s="1" t="s">
        <v>970</v>
      </c>
      <c r="L551" s="1" t="str">
        <f t="shared" si="238"/>
        <v>BPRS</v>
      </c>
      <c r="M551" s="1" t="s">
        <v>1017</v>
      </c>
      <c r="N551" s="1" t="s">
        <v>1117</v>
      </c>
      <c r="P551" s="1">
        <v>931525</v>
      </c>
      <c r="Q551" s="1" t="s">
        <v>213</v>
      </c>
      <c r="R551" s="1">
        <v>1191956</v>
      </c>
      <c r="S551" s="1" t="s">
        <v>254</v>
      </c>
      <c r="T551" s="1" t="s">
        <v>139</v>
      </c>
      <c r="U551" s="1" t="s">
        <v>140</v>
      </c>
      <c r="V551" s="1" t="s">
        <v>150</v>
      </c>
      <c r="W551" s="1">
        <v>0.35</v>
      </c>
      <c r="X551" s="1">
        <v>900</v>
      </c>
      <c r="Y551" s="1">
        <v>0</v>
      </c>
      <c r="Z551" s="3">
        <v>84</v>
      </c>
      <c r="AA551" s="3">
        <v>0</v>
      </c>
      <c r="AB551" s="3">
        <v>84</v>
      </c>
      <c r="AC551" s="3">
        <v>0</v>
      </c>
      <c r="AD551" s="3">
        <f t="shared" si="244"/>
        <v>84</v>
      </c>
      <c r="AE551" s="3">
        <v>0</v>
      </c>
      <c r="AF551" s="3">
        <v>0</v>
      </c>
      <c r="AG551" s="3">
        <v>0</v>
      </c>
      <c r="AH551" s="3">
        <v>0</v>
      </c>
      <c r="AI551" s="3">
        <v>84</v>
      </c>
      <c r="AJ551" s="3">
        <f t="shared" si="245"/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3">
        <f t="shared" si="236"/>
        <v>84</v>
      </c>
    </row>
    <row r="552" spans="1:42" x14ac:dyDescent="0.35">
      <c r="A552" s="1">
        <v>743</v>
      </c>
      <c r="B552" s="2">
        <v>45925</v>
      </c>
      <c r="C552" s="1" t="s">
        <v>64</v>
      </c>
      <c r="D552" s="1">
        <v>9519141143</v>
      </c>
      <c r="E552" s="1">
        <v>3</v>
      </c>
      <c r="F552" s="1" t="s">
        <v>1215</v>
      </c>
      <c r="G552" s="1" t="s">
        <v>1155</v>
      </c>
      <c r="H552" s="1" t="s">
        <v>63</v>
      </c>
      <c r="I552" s="1" t="s">
        <v>1404</v>
      </c>
      <c r="K552" s="1" t="s">
        <v>970</v>
      </c>
      <c r="L552" s="1" t="str">
        <f t="shared" si="238"/>
        <v>BPRS</v>
      </c>
      <c r="M552" s="1" t="s">
        <v>1017</v>
      </c>
      <c r="N552" s="1" t="s">
        <v>1117</v>
      </c>
      <c r="P552" s="1">
        <v>931525</v>
      </c>
      <c r="Q552" s="1" t="s">
        <v>213</v>
      </c>
      <c r="R552" s="1">
        <v>1178439</v>
      </c>
      <c r="S552" s="1" t="s">
        <v>202</v>
      </c>
      <c r="T552" s="1" t="s">
        <v>139</v>
      </c>
      <c r="U552" s="1" t="s">
        <v>140</v>
      </c>
      <c r="V552" s="1" t="s">
        <v>150</v>
      </c>
      <c r="W552" s="1">
        <v>0.4</v>
      </c>
      <c r="X552" s="1">
        <v>900</v>
      </c>
      <c r="Y552" s="1">
        <v>0</v>
      </c>
      <c r="Z552" s="3">
        <v>63</v>
      </c>
      <c r="AA552" s="3">
        <v>0</v>
      </c>
      <c r="AB552" s="3">
        <v>63</v>
      </c>
      <c r="AC552" s="3">
        <v>0</v>
      </c>
      <c r="AD552" s="3">
        <f t="shared" si="244"/>
        <v>63</v>
      </c>
      <c r="AE552" s="3">
        <v>0</v>
      </c>
      <c r="AF552" s="3">
        <v>0</v>
      </c>
      <c r="AG552" s="3">
        <v>0</v>
      </c>
      <c r="AH552" s="3">
        <v>0</v>
      </c>
      <c r="AI552" s="3">
        <v>63</v>
      </c>
      <c r="AJ552" s="3">
        <f t="shared" si="245"/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3">
        <f t="shared" si="236"/>
        <v>63</v>
      </c>
    </row>
    <row r="553" spans="1:42" x14ac:dyDescent="0.35">
      <c r="A553" s="1">
        <v>743</v>
      </c>
      <c r="B553" s="2">
        <v>45925</v>
      </c>
      <c r="C553" s="1" t="s">
        <v>64</v>
      </c>
      <c r="D553" s="1">
        <v>9519141143</v>
      </c>
      <c r="E553" s="1">
        <v>4</v>
      </c>
      <c r="F553" s="1" t="s">
        <v>1216</v>
      </c>
      <c r="G553" s="1" t="s">
        <v>1155</v>
      </c>
      <c r="H553" s="1" t="s">
        <v>63</v>
      </c>
      <c r="I553" s="1" t="s">
        <v>1404</v>
      </c>
      <c r="K553" s="1" t="s">
        <v>970</v>
      </c>
      <c r="L553" s="1" t="str">
        <f t="shared" si="238"/>
        <v>BPRS</v>
      </c>
      <c r="M553" s="1" t="s">
        <v>1017</v>
      </c>
      <c r="N553" s="1" t="s">
        <v>1117</v>
      </c>
      <c r="P553" s="1">
        <v>931525</v>
      </c>
      <c r="Q553" s="1" t="s">
        <v>213</v>
      </c>
      <c r="R553" s="1">
        <v>1854418</v>
      </c>
      <c r="S553" s="1" t="s">
        <v>176</v>
      </c>
      <c r="T553" s="1" t="s">
        <v>139</v>
      </c>
      <c r="U553" s="1" t="s">
        <v>140</v>
      </c>
      <c r="V553" s="1" t="s">
        <v>150</v>
      </c>
      <c r="W553" s="1">
        <v>0.5</v>
      </c>
      <c r="X553" s="1">
        <v>900</v>
      </c>
      <c r="Y553" s="1">
        <v>0</v>
      </c>
      <c r="Z553" s="3">
        <v>84</v>
      </c>
      <c r="AA553" s="3">
        <v>0</v>
      </c>
      <c r="AB553" s="3">
        <v>84</v>
      </c>
      <c r="AC553" s="3">
        <v>0</v>
      </c>
      <c r="AD553" s="3">
        <f t="shared" si="244"/>
        <v>84</v>
      </c>
      <c r="AE553" s="3">
        <v>0</v>
      </c>
      <c r="AF553" s="3">
        <v>0</v>
      </c>
      <c r="AG553" s="3">
        <v>0</v>
      </c>
      <c r="AH553" s="3">
        <v>0</v>
      </c>
      <c r="AI553" s="3">
        <v>84</v>
      </c>
      <c r="AJ553" s="3">
        <f t="shared" si="245"/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3">
        <f t="shared" si="236"/>
        <v>84</v>
      </c>
    </row>
    <row r="554" spans="1:42" x14ac:dyDescent="0.35">
      <c r="A554" s="1">
        <v>743</v>
      </c>
      <c r="B554" s="2">
        <v>45924</v>
      </c>
      <c r="C554" s="1" t="s">
        <v>64</v>
      </c>
      <c r="D554" s="1">
        <v>9519137706</v>
      </c>
      <c r="E554" s="1">
        <v>1</v>
      </c>
      <c r="F554" s="1" t="s">
        <v>1217</v>
      </c>
      <c r="G554" s="1" t="s">
        <v>1155</v>
      </c>
      <c r="H554" s="1" t="s">
        <v>63</v>
      </c>
      <c r="I554" s="1" t="s">
        <v>1404</v>
      </c>
      <c r="K554" s="1" t="s">
        <v>970</v>
      </c>
      <c r="L554" s="1" t="str">
        <f t="shared" si="238"/>
        <v>BPRS</v>
      </c>
      <c r="M554" s="1" t="s">
        <v>1018</v>
      </c>
      <c r="N554" s="1" t="s">
        <v>1136</v>
      </c>
      <c r="P554" s="1">
        <v>116649</v>
      </c>
      <c r="Q554" s="1" t="s">
        <v>78</v>
      </c>
      <c r="R554" s="1">
        <v>1853143</v>
      </c>
      <c r="S554" s="1" t="s">
        <v>445</v>
      </c>
      <c r="T554" s="1" t="s">
        <v>139</v>
      </c>
      <c r="U554" s="1" t="s">
        <v>140</v>
      </c>
      <c r="V554" s="1" t="s">
        <v>141</v>
      </c>
      <c r="W554" s="1">
        <v>0.4</v>
      </c>
      <c r="X554" s="1">
        <v>900</v>
      </c>
      <c r="Y554" s="1">
        <v>0</v>
      </c>
      <c r="Z554" s="3">
        <v>42</v>
      </c>
      <c r="AA554" s="3">
        <v>0</v>
      </c>
      <c r="AB554" s="3">
        <v>42</v>
      </c>
      <c r="AC554" s="3">
        <v>0</v>
      </c>
      <c r="AD554" s="3">
        <f t="shared" si="244"/>
        <v>42</v>
      </c>
      <c r="AE554" s="3">
        <v>0</v>
      </c>
      <c r="AF554" s="3">
        <v>0</v>
      </c>
      <c r="AG554" s="3">
        <v>0</v>
      </c>
      <c r="AH554" s="3">
        <v>42</v>
      </c>
      <c r="AI554" s="3">
        <v>0</v>
      </c>
      <c r="AJ554" s="3">
        <f t="shared" si="245"/>
        <v>42</v>
      </c>
      <c r="AK554" s="1">
        <v>0</v>
      </c>
      <c r="AL554" s="1">
        <v>0</v>
      </c>
      <c r="AM554" s="1">
        <v>0</v>
      </c>
      <c r="AN554" s="1">
        <v>0</v>
      </c>
      <c r="AO554" s="3">
        <f t="shared" ref="AO554:AO556" si="248">AH554</f>
        <v>42</v>
      </c>
      <c r="AP554" s="3">
        <f t="shared" si="236"/>
        <v>0</v>
      </c>
    </row>
    <row r="555" spans="1:42" x14ac:dyDescent="0.35">
      <c r="A555" s="1">
        <v>743</v>
      </c>
      <c r="B555" s="2">
        <v>45924</v>
      </c>
      <c r="C555" s="1" t="s">
        <v>64</v>
      </c>
      <c r="D555" s="1">
        <v>9519137706</v>
      </c>
      <c r="E555" s="1">
        <v>2</v>
      </c>
      <c r="F555" s="1" t="s">
        <v>1218</v>
      </c>
      <c r="G555" s="1" t="s">
        <v>1155</v>
      </c>
      <c r="H555" s="1" t="s">
        <v>63</v>
      </c>
      <c r="I555" s="1" t="s">
        <v>1404</v>
      </c>
      <c r="K555" s="1" t="s">
        <v>970</v>
      </c>
      <c r="L555" s="1" t="str">
        <f t="shared" si="238"/>
        <v>BPRS</v>
      </c>
      <c r="M555" s="1" t="s">
        <v>1018</v>
      </c>
      <c r="N555" s="1" t="s">
        <v>1136</v>
      </c>
      <c r="P555" s="1">
        <v>116649</v>
      </c>
      <c r="Q555" s="1" t="s">
        <v>78</v>
      </c>
      <c r="R555" s="1">
        <v>1142896</v>
      </c>
      <c r="S555" s="1" t="s">
        <v>1226</v>
      </c>
      <c r="T555" s="1" t="s">
        <v>139</v>
      </c>
      <c r="U555" s="1" t="s">
        <v>140</v>
      </c>
      <c r="V555" s="1" t="s">
        <v>141</v>
      </c>
      <c r="W555" s="1">
        <v>0.55000000000000004</v>
      </c>
      <c r="X555" s="1">
        <v>900</v>
      </c>
      <c r="Y555" s="1">
        <v>0</v>
      </c>
      <c r="Z555" s="3">
        <v>63</v>
      </c>
      <c r="AA555" s="3">
        <v>0</v>
      </c>
      <c r="AB555" s="3">
        <v>21</v>
      </c>
      <c r="AC555" s="3">
        <v>0</v>
      </c>
      <c r="AD555" s="3">
        <f t="shared" si="244"/>
        <v>21</v>
      </c>
      <c r="AE555" s="3">
        <v>0</v>
      </c>
      <c r="AF555" s="3">
        <v>0</v>
      </c>
      <c r="AG555" s="3">
        <v>0</v>
      </c>
      <c r="AH555" s="3">
        <v>21</v>
      </c>
      <c r="AI555" s="3">
        <v>0</v>
      </c>
      <c r="AJ555" s="3">
        <f t="shared" si="245"/>
        <v>21</v>
      </c>
      <c r="AK555" s="1">
        <v>0</v>
      </c>
      <c r="AL555" s="1">
        <v>0</v>
      </c>
      <c r="AM555" s="1">
        <v>0</v>
      </c>
      <c r="AN555" s="1">
        <v>0</v>
      </c>
      <c r="AO555" s="3">
        <f t="shared" si="248"/>
        <v>21</v>
      </c>
      <c r="AP555" s="3">
        <f t="shared" si="236"/>
        <v>0</v>
      </c>
    </row>
    <row r="556" spans="1:42" x14ac:dyDescent="0.35">
      <c r="A556" s="1">
        <v>743</v>
      </c>
      <c r="B556" s="2">
        <v>45924</v>
      </c>
      <c r="C556" s="1" t="s">
        <v>64</v>
      </c>
      <c r="D556" s="1">
        <v>9519137706</v>
      </c>
      <c r="E556" s="1">
        <v>3</v>
      </c>
      <c r="F556" s="1" t="s">
        <v>1219</v>
      </c>
      <c r="G556" s="1" t="s">
        <v>1155</v>
      </c>
      <c r="H556" s="1" t="s">
        <v>63</v>
      </c>
      <c r="I556" s="1" t="s">
        <v>1404</v>
      </c>
      <c r="K556" s="1" t="s">
        <v>970</v>
      </c>
      <c r="L556" s="1" t="str">
        <f t="shared" si="238"/>
        <v>BPRS</v>
      </c>
      <c r="M556" s="1" t="s">
        <v>1018</v>
      </c>
      <c r="N556" s="1" t="s">
        <v>1136</v>
      </c>
      <c r="P556" s="1">
        <v>116649</v>
      </c>
      <c r="Q556" s="1" t="s">
        <v>78</v>
      </c>
      <c r="R556" s="1">
        <v>1142897</v>
      </c>
      <c r="S556" s="1" t="s">
        <v>274</v>
      </c>
      <c r="T556" s="1" t="s">
        <v>139</v>
      </c>
      <c r="U556" s="1" t="s">
        <v>140</v>
      </c>
      <c r="V556" s="1" t="s">
        <v>141</v>
      </c>
      <c r="W556" s="1">
        <v>0.6</v>
      </c>
      <c r="X556" s="1">
        <v>900</v>
      </c>
      <c r="Y556" s="1">
        <v>0</v>
      </c>
      <c r="Z556" s="3">
        <v>42</v>
      </c>
      <c r="AA556" s="3">
        <v>0</v>
      </c>
      <c r="AB556" s="3">
        <v>42</v>
      </c>
      <c r="AC556" s="3">
        <v>0</v>
      </c>
      <c r="AD556" s="3">
        <f t="shared" si="244"/>
        <v>42</v>
      </c>
      <c r="AE556" s="3">
        <v>0</v>
      </c>
      <c r="AF556" s="3">
        <v>0</v>
      </c>
      <c r="AG556" s="3">
        <v>0</v>
      </c>
      <c r="AH556" s="3">
        <v>42</v>
      </c>
      <c r="AI556" s="3">
        <v>0</v>
      </c>
      <c r="AJ556" s="3">
        <f t="shared" si="245"/>
        <v>42</v>
      </c>
      <c r="AK556" s="1">
        <v>0</v>
      </c>
      <c r="AL556" s="1">
        <v>0</v>
      </c>
      <c r="AM556" s="1">
        <v>0</v>
      </c>
      <c r="AN556" s="1">
        <v>0</v>
      </c>
      <c r="AO556" s="3">
        <f t="shared" si="248"/>
        <v>42</v>
      </c>
      <c r="AP556" s="3">
        <f t="shared" si="236"/>
        <v>0</v>
      </c>
    </row>
    <row r="557" spans="1:42" x14ac:dyDescent="0.35">
      <c r="A557" s="1">
        <v>743</v>
      </c>
      <c r="B557" s="2">
        <v>45924</v>
      </c>
      <c r="C557" s="1" t="s">
        <v>64</v>
      </c>
      <c r="D557" s="1">
        <v>9519137706</v>
      </c>
      <c r="E557" s="1">
        <v>6</v>
      </c>
      <c r="F557" s="1" t="s">
        <v>1220</v>
      </c>
      <c r="G557" s="1" t="s">
        <v>1155</v>
      </c>
      <c r="H557" s="1" t="s">
        <v>63</v>
      </c>
      <c r="I557" s="1" t="s">
        <v>1368</v>
      </c>
      <c r="K557" s="1" t="s">
        <v>970</v>
      </c>
      <c r="L557" s="1" t="str">
        <f t="shared" si="238"/>
        <v>BPRS</v>
      </c>
      <c r="M557" s="1" t="s">
        <v>1018</v>
      </c>
      <c r="N557" s="1" t="s">
        <v>1136</v>
      </c>
      <c r="P557" s="1">
        <v>116649</v>
      </c>
      <c r="Q557" s="1" t="s">
        <v>78</v>
      </c>
      <c r="R557" s="1">
        <v>2233645</v>
      </c>
      <c r="S557" s="1" t="s">
        <v>390</v>
      </c>
      <c r="T557" s="1" t="s">
        <v>139</v>
      </c>
      <c r="U557" s="1" t="s">
        <v>140</v>
      </c>
      <c r="V557" s="1" t="s">
        <v>141</v>
      </c>
      <c r="W557" s="1">
        <v>0.35</v>
      </c>
      <c r="X557" s="1">
        <v>1220</v>
      </c>
      <c r="Y557" s="1">
        <v>0</v>
      </c>
      <c r="Z557" s="3">
        <v>112</v>
      </c>
      <c r="AA557" s="3">
        <v>0</v>
      </c>
      <c r="AB557" s="3">
        <v>112</v>
      </c>
      <c r="AC557" s="3">
        <v>0</v>
      </c>
      <c r="AD557" s="3">
        <f t="shared" si="244"/>
        <v>112</v>
      </c>
      <c r="AE557" s="3">
        <v>112</v>
      </c>
      <c r="AF557" s="3">
        <v>0</v>
      </c>
      <c r="AG557" s="3">
        <v>0</v>
      </c>
      <c r="AH557" s="3">
        <v>0</v>
      </c>
      <c r="AI557" s="3">
        <v>0</v>
      </c>
      <c r="AJ557" s="3">
        <f t="shared" si="245"/>
        <v>112</v>
      </c>
      <c r="AK557" s="1">
        <v>0</v>
      </c>
      <c r="AL557" s="3">
        <f t="shared" ref="AL557:AL558" si="249">AE557</f>
        <v>112</v>
      </c>
      <c r="AM557" s="1">
        <v>0</v>
      </c>
      <c r="AN557" s="1">
        <v>0</v>
      </c>
      <c r="AO557" s="1">
        <v>0</v>
      </c>
      <c r="AP557" s="3">
        <f t="shared" si="236"/>
        <v>0</v>
      </c>
    </row>
    <row r="558" spans="1:42" x14ac:dyDescent="0.35">
      <c r="A558" s="1">
        <v>743</v>
      </c>
      <c r="B558" s="2">
        <v>45924</v>
      </c>
      <c r="C558" s="1" t="s">
        <v>64</v>
      </c>
      <c r="D558" s="1">
        <v>9519137706</v>
      </c>
      <c r="E558" s="1">
        <v>7</v>
      </c>
      <c r="F558" s="1" t="s">
        <v>1221</v>
      </c>
      <c r="G558" s="1" t="s">
        <v>1155</v>
      </c>
      <c r="H558" s="1" t="s">
        <v>63</v>
      </c>
      <c r="I558" s="1" t="s">
        <v>1368</v>
      </c>
      <c r="K558" s="1" t="s">
        <v>970</v>
      </c>
      <c r="L558" s="1" t="str">
        <f t="shared" si="238"/>
        <v>BPRS</v>
      </c>
      <c r="M558" s="1" t="s">
        <v>1018</v>
      </c>
      <c r="N558" s="1" t="s">
        <v>1136</v>
      </c>
      <c r="P558" s="1">
        <v>116649</v>
      </c>
      <c r="Q558" s="1" t="s">
        <v>78</v>
      </c>
      <c r="R558" s="1">
        <v>1300229</v>
      </c>
      <c r="S558" s="1" t="s">
        <v>385</v>
      </c>
      <c r="T558" s="1" t="s">
        <v>139</v>
      </c>
      <c r="U558" s="1" t="s">
        <v>140</v>
      </c>
      <c r="V558" s="1" t="s">
        <v>141</v>
      </c>
      <c r="W558" s="1">
        <v>0.4</v>
      </c>
      <c r="X558" s="1">
        <v>1220</v>
      </c>
      <c r="Y558" s="1">
        <v>0</v>
      </c>
      <c r="Z558" s="3">
        <v>112</v>
      </c>
      <c r="AA558" s="3">
        <v>0</v>
      </c>
      <c r="AB558" s="3">
        <v>112</v>
      </c>
      <c r="AC558" s="3">
        <v>0</v>
      </c>
      <c r="AD558" s="3">
        <f t="shared" si="244"/>
        <v>112</v>
      </c>
      <c r="AE558" s="3">
        <v>112</v>
      </c>
      <c r="AF558" s="3">
        <v>0</v>
      </c>
      <c r="AG558" s="3">
        <v>0</v>
      </c>
      <c r="AH558" s="3">
        <v>0</v>
      </c>
      <c r="AI558" s="3">
        <v>0</v>
      </c>
      <c r="AJ558" s="3">
        <f t="shared" si="245"/>
        <v>112</v>
      </c>
      <c r="AK558" s="1">
        <v>0</v>
      </c>
      <c r="AL558" s="3">
        <f t="shared" si="249"/>
        <v>112</v>
      </c>
      <c r="AM558" s="1">
        <v>0</v>
      </c>
      <c r="AN558" s="1">
        <v>0</v>
      </c>
      <c r="AO558" s="1">
        <v>0</v>
      </c>
      <c r="AP558" s="3">
        <f t="shared" si="236"/>
        <v>0</v>
      </c>
    </row>
    <row r="559" spans="1:42" x14ac:dyDescent="0.35">
      <c r="A559" s="1">
        <v>743</v>
      </c>
      <c r="B559" s="2">
        <v>45924</v>
      </c>
      <c r="C559" s="1" t="s">
        <v>64</v>
      </c>
      <c r="D559" s="1">
        <v>9519137706</v>
      </c>
      <c r="E559" s="1">
        <v>8</v>
      </c>
      <c r="F559" s="1" t="s">
        <v>1222</v>
      </c>
      <c r="G559" s="1" t="s">
        <v>1155</v>
      </c>
      <c r="H559" s="1" t="s">
        <v>63</v>
      </c>
      <c r="I559" s="1" t="s">
        <v>1404</v>
      </c>
      <c r="K559" s="1" t="s">
        <v>970</v>
      </c>
      <c r="L559" s="1" t="str">
        <f t="shared" si="238"/>
        <v>BPRS</v>
      </c>
      <c r="M559" s="1" t="s">
        <v>1018</v>
      </c>
      <c r="N559" s="1" t="s">
        <v>1136</v>
      </c>
      <c r="P559" s="1">
        <v>116649</v>
      </c>
      <c r="Q559" s="1" t="s">
        <v>78</v>
      </c>
      <c r="R559" s="1">
        <v>1142893</v>
      </c>
      <c r="S559" s="1" t="s">
        <v>439</v>
      </c>
      <c r="T559" s="1" t="s">
        <v>139</v>
      </c>
      <c r="U559" s="1" t="s">
        <v>140</v>
      </c>
      <c r="V559" s="1" t="s">
        <v>141</v>
      </c>
      <c r="W559" s="1">
        <v>0.35</v>
      </c>
      <c r="X559" s="1">
        <v>900</v>
      </c>
      <c r="Y559" s="1">
        <v>0</v>
      </c>
      <c r="Z559" s="3">
        <v>42</v>
      </c>
      <c r="AA559" s="3">
        <v>0</v>
      </c>
      <c r="AB559" s="3">
        <v>42</v>
      </c>
      <c r="AC559" s="3">
        <v>0</v>
      </c>
      <c r="AD559" s="3">
        <f t="shared" si="244"/>
        <v>42</v>
      </c>
      <c r="AE559" s="3">
        <v>0</v>
      </c>
      <c r="AF559" s="3">
        <v>0</v>
      </c>
      <c r="AG559" s="3">
        <v>0</v>
      </c>
      <c r="AH559" s="3">
        <v>42</v>
      </c>
      <c r="AI559" s="3">
        <v>0</v>
      </c>
      <c r="AJ559" s="3">
        <f t="shared" si="245"/>
        <v>42</v>
      </c>
      <c r="AK559" s="1">
        <v>0</v>
      </c>
      <c r="AL559" s="1">
        <v>0</v>
      </c>
      <c r="AM559" s="1">
        <v>0</v>
      </c>
      <c r="AN559" s="1">
        <v>0</v>
      </c>
      <c r="AO559" s="3">
        <f>AH559</f>
        <v>42</v>
      </c>
      <c r="AP559" s="3">
        <f t="shared" si="236"/>
        <v>0</v>
      </c>
    </row>
    <row r="560" spans="1:42" x14ac:dyDescent="0.35">
      <c r="A560" s="1">
        <v>743</v>
      </c>
      <c r="B560" s="2">
        <v>45924</v>
      </c>
      <c r="C560" s="1" t="s">
        <v>64</v>
      </c>
      <c r="D560" s="1">
        <v>9519137724</v>
      </c>
      <c r="E560" s="1">
        <v>1</v>
      </c>
      <c r="F560" s="1" t="s">
        <v>1223</v>
      </c>
      <c r="G560" s="1" t="s">
        <v>1155</v>
      </c>
      <c r="H560" s="1" t="s">
        <v>63</v>
      </c>
      <c r="I560" s="1" t="s">
        <v>1368</v>
      </c>
      <c r="K560" s="1" t="s">
        <v>970</v>
      </c>
      <c r="L560" s="1" t="str">
        <f t="shared" si="238"/>
        <v>BPRS</v>
      </c>
      <c r="M560" s="1" t="s">
        <v>1018</v>
      </c>
      <c r="N560" s="1" t="s">
        <v>1136</v>
      </c>
      <c r="P560" s="1">
        <v>936511</v>
      </c>
      <c r="Q560" s="1" t="s">
        <v>1225</v>
      </c>
      <c r="R560" s="1">
        <v>2233645</v>
      </c>
      <c r="S560" s="1" t="s">
        <v>390</v>
      </c>
      <c r="T560" s="1" t="s">
        <v>139</v>
      </c>
      <c r="U560" s="1" t="s">
        <v>140</v>
      </c>
      <c r="V560" s="1" t="s">
        <v>141</v>
      </c>
      <c r="W560" s="1">
        <v>0.35</v>
      </c>
      <c r="X560" s="1">
        <v>1220</v>
      </c>
      <c r="Y560" s="1">
        <v>0</v>
      </c>
      <c r="Z560" s="3">
        <v>56</v>
      </c>
      <c r="AA560" s="3">
        <v>0</v>
      </c>
      <c r="AB560" s="3">
        <v>28</v>
      </c>
      <c r="AC560" s="3">
        <v>0</v>
      </c>
      <c r="AD560" s="3">
        <f t="shared" si="244"/>
        <v>28</v>
      </c>
      <c r="AE560" s="3">
        <v>28</v>
      </c>
      <c r="AF560" s="3">
        <v>0</v>
      </c>
      <c r="AG560" s="3">
        <v>0</v>
      </c>
      <c r="AH560" s="3">
        <v>0</v>
      </c>
      <c r="AI560" s="3">
        <v>0</v>
      </c>
      <c r="AJ560" s="3">
        <f t="shared" si="245"/>
        <v>28</v>
      </c>
      <c r="AK560" s="1">
        <v>0</v>
      </c>
      <c r="AL560" s="3">
        <f t="shared" ref="AL560:AL561" si="250">AE560</f>
        <v>28</v>
      </c>
      <c r="AM560" s="1">
        <v>0</v>
      </c>
      <c r="AN560" s="1">
        <v>0</v>
      </c>
      <c r="AO560" s="1">
        <v>0</v>
      </c>
      <c r="AP560" s="3">
        <f t="shared" si="236"/>
        <v>0</v>
      </c>
    </row>
    <row r="561" spans="1:42" x14ac:dyDescent="0.35">
      <c r="A561" s="1">
        <v>743</v>
      </c>
      <c r="B561" s="2">
        <v>45924</v>
      </c>
      <c r="C561" s="1" t="s">
        <v>64</v>
      </c>
      <c r="D561" s="1">
        <v>9519137724</v>
      </c>
      <c r="E561" s="1">
        <v>5</v>
      </c>
      <c r="F561" s="1" t="s">
        <v>1224</v>
      </c>
      <c r="G561" s="1" t="s">
        <v>1155</v>
      </c>
      <c r="H561" s="1" t="s">
        <v>63</v>
      </c>
      <c r="I561" s="1" t="s">
        <v>1368</v>
      </c>
      <c r="K561" s="1" t="s">
        <v>970</v>
      </c>
      <c r="L561" s="1" t="str">
        <f t="shared" si="238"/>
        <v>BPRS</v>
      </c>
      <c r="M561" s="1" t="s">
        <v>1018</v>
      </c>
      <c r="N561" s="1" t="s">
        <v>1136</v>
      </c>
      <c r="P561" s="1">
        <v>936511</v>
      </c>
      <c r="Q561" s="1" t="s">
        <v>1225</v>
      </c>
      <c r="R561" s="1">
        <v>3671523</v>
      </c>
      <c r="S561" s="1" t="s">
        <v>1227</v>
      </c>
      <c r="T561" s="1" t="s">
        <v>139</v>
      </c>
      <c r="U561" s="1" t="s">
        <v>140</v>
      </c>
      <c r="V561" s="1" t="s">
        <v>234</v>
      </c>
      <c r="W561" s="1">
        <v>0.45</v>
      </c>
      <c r="X561" s="1">
        <v>1220</v>
      </c>
      <c r="Y561" s="1">
        <v>0</v>
      </c>
      <c r="Z561" s="3">
        <v>28</v>
      </c>
      <c r="AA561" s="3">
        <v>0</v>
      </c>
      <c r="AB561" s="3">
        <v>28</v>
      </c>
      <c r="AC561" s="3">
        <v>0</v>
      </c>
      <c r="AD561" s="3">
        <f t="shared" si="244"/>
        <v>28</v>
      </c>
      <c r="AE561" s="3">
        <v>28</v>
      </c>
      <c r="AF561" s="3">
        <v>0</v>
      </c>
      <c r="AG561" s="3">
        <v>0</v>
      </c>
      <c r="AH561" s="3">
        <v>0</v>
      </c>
      <c r="AI561" s="3">
        <v>0</v>
      </c>
      <c r="AJ561" s="3">
        <f t="shared" si="245"/>
        <v>28</v>
      </c>
      <c r="AK561" s="1">
        <v>0</v>
      </c>
      <c r="AL561" s="3">
        <f t="shared" si="250"/>
        <v>28</v>
      </c>
      <c r="AM561" s="1">
        <v>0</v>
      </c>
      <c r="AN561" s="1">
        <v>0</v>
      </c>
      <c r="AO561" s="1">
        <v>0</v>
      </c>
      <c r="AP561" s="3">
        <f t="shared" si="236"/>
        <v>0</v>
      </c>
    </row>
    <row r="562" spans="1:42" x14ac:dyDescent="0.35">
      <c r="A562" s="1">
        <v>4210</v>
      </c>
      <c r="B562" s="2">
        <v>45918</v>
      </c>
      <c r="C562" s="1" t="s">
        <v>46</v>
      </c>
      <c r="D562" s="1">
        <v>9519115421</v>
      </c>
      <c r="E562" s="1">
        <v>1</v>
      </c>
      <c r="F562" s="1" t="s">
        <v>1233</v>
      </c>
      <c r="G562" s="1" t="s">
        <v>1155</v>
      </c>
      <c r="H562" s="1" t="s">
        <v>21</v>
      </c>
      <c r="I562" s="1" t="s">
        <v>971</v>
      </c>
      <c r="K562" s="1" t="s">
        <v>971</v>
      </c>
      <c r="L562" s="1" t="s">
        <v>971</v>
      </c>
      <c r="M562" s="1" t="s">
        <v>1229</v>
      </c>
      <c r="P562" s="1">
        <v>76004</v>
      </c>
      <c r="Q562" s="1" t="s">
        <v>466</v>
      </c>
      <c r="R562" s="1">
        <v>2150940</v>
      </c>
      <c r="S562" s="1" t="s">
        <v>343</v>
      </c>
      <c r="T562" s="1" t="s">
        <v>28</v>
      </c>
      <c r="U562" s="1" t="s">
        <v>344</v>
      </c>
      <c r="V562" s="1" t="s">
        <v>345</v>
      </c>
      <c r="W562" s="1">
        <v>1.2</v>
      </c>
      <c r="X562" s="1">
        <v>1250</v>
      </c>
      <c r="Y562" s="1">
        <v>0</v>
      </c>
      <c r="Z562" s="3">
        <v>203</v>
      </c>
      <c r="AA562" s="3">
        <v>0</v>
      </c>
      <c r="AB562" s="3">
        <v>203</v>
      </c>
      <c r="AC562" s="3">
        <v>0</v>
      </c>
      <c r="AD562" s="3">
        <f t="shared" si="244"/>
        <v>203</v>
      </c>
      <c r="AE562" s="3">
        <v>0</v>
      </c>
      <c r="AF562" s="3">
        <v>0</v>
      </c>
      <c r="AG562" s="3">
        <v>0</v>
      </c>
      <c r="AH562" s="3">
        <v>203</v>
      </c>
      <c r="AI562" s="3">
        <v>0</v>
      </c>
      <c r="AJ562" s="3">
        <f t="shared" si="245"/>
        <v>203</v>
      </c>
      <c r="AK562" s="1">
        <v>0</v>
      </c>
      <c r="AL562" s="1">
        <v>0</v>
      </c>
      <c r="AM562" s="3">
        <f t="shared" ref="AM562:AM566" si="251">AG562</f>
        <v>0</v>
      </c>
      <c r="AN562" s="3">
        <f>AH562</f>
        <v>203</v>
      </c>
      <c r="AO562" s="1">
        <v>0</v>
      </c>
      <c r="AP562" s="3">
        <f t="shared" si="236"/>
        <v>0</v>
      </c>
    </row>
    <row r="563" spans="1:42" x14ac:dyDescent="0.35">
      <c r="A563" s="1">
        <v>4210</v>
      </c>
      <c r="B563" s="2">
        <v>45918</v>
      </c>
      <c r="C563" s="1" t="s">
        <v>46</v>
      </c>
      <c r="D563" s="1">
        <v>9519115421</v>
      </c>
      <c r="E563" s="1">
        <v>3</v>
      </c>
      <c r="F563" s="1" t="s">
        <v>1234</v>
      </c>
      <c r="G563" s="1" t="s">
        <v>1155</v>
      </c>
      <c r="H563" s="1" t="s">
        <v>21</v>
      </c>
      <c r="I563" s="1" t="s">
        <v>971</v>
      </c>
      <c r="K563" s="1" t="s">
        <v>971</v>
      </c>
      <c r="L563" s="1" t="s">
        <v>971</v>
      </c>
      <c r="M563" s="1" t="s">
        <v>1229</v>
      </c>
      <c r="P563" s="1">
        <v>76004</v>
      </c>
      <c r="Q563" s="1" t="s">
        <v>466</v>
      </c>
      <c r="R563" s="1">
        <v>2150938</v>
      </c>
      <c r="S563" s="1" t="s">
        <v>1244</v>
      </c>
      <c r="T563" s="1" t="s">
        <v>28</v>
      </c>
      <c r="U563" s="1" t="s">
        <v>344</v>
      </c>
      <c r="V563" s="1" t="s">
        <v>345</v>
      </c>
      <c r="W563" s="1">
        <v>1</v>
      </c>
      <c r="X563" s="1">
        <v>1250</v>
      </c>
      <c r="Y563" s="1">
        <v>0</v>
      </c>
      <c r="Z563" s="3">
        <v>116</v>
      </c>
      <c r="AA563" s="3">
        <v>0</v>
      </c>
      <c r="AB563" s="3">
        <v>116</v>
      </c>
      <c r="AC563" s="3">
        <v>0</v>
      </c>
      <c r="AD563" s="3">
        <f t="shared" si="244"/>
        <v>116</v>
      </c>
      <c r="AE563" s="3">
        <v>0</v>
      </c>
      <c r="AF563" s="3">
        <v>0</v>
      </c>
      <c r="AG563" s="3">
        <v>116</v>
      </c>
      <c r="AH563" s="3">
        <v>0</v>
      </c>
      <c r="AI563" s="3">
        <v>0</v>
      </c>
      <c r="AJ563" s="3">
        <f t="shared" si="245"/>
        <v>116</v>
      </c>
      <c r="AK563" s="1">
        <v>0</v>
      </c>
      <c r="AL563" s="1">
        <v>0</v>
      </c>
      <c r="AM563" s="3">
        <f t="shared" si="251"/>
        <v>116</v>
      </c>
      <c r="AN563" s="3">
        <f t="shared" ref="AN563:AN564" si="252">AH563</f>
        <v>0</v>
      </c>
      <c r="AO563" s="1">
        <v>0</v>
      </c>
      <c r="AP563" s="3">
        <f t="shared" si="236"/>
        <v>0</v>
      </c>
    </row>
    <row r="564" spans="1:42" x14ac:dyDescent="0.35">
      <c r="A564" s="1">
        <v>4210</v>
      </c>
      <c r="B564" s="2">
        <v>45918</v>
      </c>
      <c r="C564" s="1" t="s">
        <v>46</v>
      </c>
      <c r="D564" s="1">
        <v>9519115421</v>
      </c>
      <c r="E564" s="1">
        <v>4</v>
      </c>
      <c r="F564" s="1" t="s">
        <v>1235</v>
      </c>
      <c r="G564" s="1" t="s">
        <v>1155</v>
      </c>
      <c r="H564" s="1" t="s">
        <v>21</v>
      </c>
      <c r="I564" s="1" t="s">
        <v>971</v>
      </c>
      <c r="K564" s="1" t="s">
        <v>971</v>
      </c>
      <c r="L564" s="1" t="s">
        <v>971</v>
      </c>
      <c r="M564" s="1" t="s">
        <v>1229</v>
      </c>
      <c r="P564" s="1">
        <v>76004</v>
      </c>
      <c r="Q564" s="1" t="s">
        <v>466</v>
      </c>
      <c r="R564" s="1">
        <v>2150942</v>
      </c>
      <c r="S564" s="1" t="s">
        <v>470</v>
      </c>
      <c r="T564" s="1" t="s">
        <v>28</v>
      </c>
      <c r="U564" s="1" t="s">
        <v>344</v>
      </c>
      <c r="V564" s="1" t="s">
        <v>345</v>
      </c>
      <c r="W564" s="1">
        <v>1.6</v>
      </c>
      <c r="X564" s="1">
        <v>1250</v>
      </c>
      <c r="Y564" s="1">
        <v>0</v>
      </c>
      <c r="Z564" s="3">
        <v>203</v>
      </c>
      <c r="AA564" s="3">
        <v>0</v>
      </c>
      <c r="AB564" s="3">
        <v>203</v>
      </c>
      <c r="AC564" s="3">
        <v>0</v>
      </c>
      <c r="AD564" s="3">
        <f t="shared" si="244"/>
        <v>203</v>
      </c>
      <c r="AE564" s="3">
        <v>0</v>
      </c>
      <c r="AF564" s="3">
        <v>0</v>
      </c>
      <c r="AG564" s="3">
        <v>0</v>
      </c>
      <c r="AH564" s="3">
        <v>203</v>
      </c>
      <c r="AI564" s="3">
        <v>0</v>
      </c>
      <c r="AJ564" s="3">
        <f t="shared" si="245"/>
        <v>203</v>
      </c>
      <c r="AK564" s="1">
        <v>0</v>
      </c>
      <c r="AL564" s="1">
        <v>0</v>
      </c>
      <c r="AM564" s="3">
        <f t="shared" si="251"/>
        <v>0</v>
      </c>
      <c r="AN564" s="3">
        <f t="shared" si="252"/>
        <v>203</v>
      </c>
      <c r="AO564" s="1">
        <v>0</v>
      </c>
      <c r="AP564" s="3">
        <f t="shared" si="236"/>
        <v>0</v>
      </c>
    </row>
    <row r="565" spans="1:42" x14ac:dyDescent="0.35">
      <c r="A565" s="1">
        <v>4210</v>
      </c>
      <c r="B565" s="2">
        <v>45918</v>
      </c>
      <c r="C565" s="1" t="s">
        <v>46</v>
      </c>
      <c r="D565" s="1">
        <v>9519115421</v>
      </c>
      <c r="E565" s="1">
        <v>5</v>
      </c>
      <c r="F565" s="1" t="s">
        <v>1236</v>
      </c>
      <c r="G565" s="1" t="s">
        <v>1155</v>
      </c>
      <c r="H565" s="1" t="s">
        <v>21</v>
      </c>
      <c r="I565" s="1" t="s">
        <v>971</v>
      </c>
      <c r="K565" s="1" t="s">
        <v>971</v>
      </c>
      <c r="L565" s="1" t="s">
        <v>971</v>
      </c>
      <c r="M565" s="1" t="s">
        <v>1229</v>
      </c>
      <c r="P565" s="1">
        <v>76004</v>
      </c>
      <c r="Q565" s="1" t="s">
        <v>466</v>
      </c>
      <c r="R565" s="1">
        <v>2150942</v>
      </c>
      <c r="S565" s="1" t="s">
        <v>470</v>
      </c>
      <c r="T565" s="1" t="s">
        <v>28</v>
      </c>
      <c r="U565" s="1" t="s">
        <v>344</v>
      </c>
      <c r="V565" s="1" t="s">
        <v>345</v>
      </c>
      <c r="W565" s="1">
        <v>1.6</v>
      </c>
      <c r="X565" s="1">
        <v>1250</v>
      </c>
      <c r="Y565" s="1">
        <v>0</v>
      </c>
      <c r="Z565" s="3">
        <v>203</v>
      </c>
      <c r="AA565" s="3">
        <v>0</v>
      </c>
      <c r="AB565" s="3">
        <v>203</v>
      </c>
      <c r="AC565" s="3">
        <v>0</v>
      </c>
      <c r="AD565" s="3">
        <f t="shared" si="244"/>
        <v>203</v>
      </c>
      <c r="AE565" s="3">
        <v>0</v>
      </c>
      <c r="AF565" s="3">
        <v>0</v>
      </c>
      <c r="AG565" s="3">
        <v>0</v>
      </c>
      <c r="AH565" s="3">
        <v>203</v>
      </c>
      <c r="AI565" s="3">
        <v>0</v>
      </c>
      <c r="AJ565" s="3">
        <f t="shared" si="245"/>
        <v>0</v>
      </c>
      <c r="AK565" s="1">
        <v>0</v>
      </c>
      <c r="AL565" s="1">
        <v>0</v>
      </c>
      <c r="AM565" s="3">
        <f t="shared" si="251"/>
        <v>0</v>
      </c>
      <c r="AN565" s="1">
        <v>0</v>
      </c>
      <c r="AO565" s="1">
        <v>0</v>
      </c>
      <c r="AP565" s="3">
        <f t="shared" si="236"/>
        <v>203</v>
      </c>
    </row>
    <row r="566" spans="1:42" x14ac:dyDescent="0.35">
      <c r="A566" s="1">
        <v>4210</v>
      </c>
      <c r="B566" s="2">
        <v>45918</v>
      </c>
      <c r="C566" s="1" t="s">
        <v>46</v>
      </c>
      <c r="D566" s="1">
        <v>9519115421</v>
      </c>
      <c r="E566" s="1">
        <v>7</v>
      </c>
      <c r="F566" s="1" t="s">
        <v>1237</v>
      </c>
      <c r="G566" s="1" t="s">
        <v>1155</v>
      </c>
      <c r="H566" s="1" t="s">
        <v>21</v>
      </c>
      <c r="I566" s="1" t="s">
        <v>971</v>
      </c>
      <c r="J566" s="1">
        <v>1300</v>
      </c>
      <c r="K566" s="1" t="s">
        <v>971</v>
      </c>
      <c r="L566" s="1" t="s">
        <v>971</v>
      </c>
      <c r="M566" s="1" t="s">
        <v>1229</v>
      </c>
      <c r="P566" s="1">
        <v>76004</v>
      </c>
      <c r="Q566" s="1" t="s">
        <v>466</v>
      </c>
      <c r="R566" s="1">
        <v>2150942</v>
      </c>
      <c r="S566" s="1" t="s">
        <v>470</v>
      </c>
      <c r="T566" s="1" t="s">
        <v>28</v>
      </c>
      <c r="U566" s="1" t="s">
        <v>344</v>
      </c>
      <c r="V566" s="1" t="s">
        <v>345</v>
      </c>
      <c r="W566" s="1">
        <v>1.6</v>
      </c>
      <c r="X566" s="1">
        <v>1250</v>
      </c>
      <c r="Y566" s="1">
        <v>0</v>
      </c>
      <c r="Z566" s="3">
        <v>203</v>
      </c>
      <c r="AA566" s="3">
        <v>0</v>
      </c>
      <c r="AB566" s="3">
        <v>203</v>
      </c>
      <c r="AC566" s="3">
        <v>0</v>
      </c>
      <c r="AD566" s="3">
        <f t="shared" si="244"/>
        <v>100</v>
      </c>
      <c r="AE566" s="3">
        <v>0</v>
      </c>
      <c r="AF566" s="3">
        <v>0</v>
      </c>
      <c r="AG566" s="3">
        <v>0</v>
      </c>
      <c r="AH566" s="3">
        <v>100</v>
      </c>
      <c r="AI566" s="3">
        <v>0</v>
      </c>
      <c r="AJ566" s="3">
        <f t="shared" si="245"/>
        <v>100</v>
      </c>
      <c r="AK566" s="1">
        <v>0</v>
      </c>
      <c r="AL566" s="1">
        <v>0</v>
      </c>
      <c r="AM566" s="3">
        <f t="shared" si="251"/>
        <v>0</v>
      </c>
      <c r="AN566" s="1">
        <v>0</v>
      </c>
      <c r="AO566" s="3">
        <f>AH566</f>
        <v>100</v>
      </c>
      <c r="AP566" s="3">
        <f t="shared" si="236"/>
        <v>0</v>
      </c>
    </row>
    <row r="567" spans="1:42" x14ac:dyDescent="0.35">
      <c r="A567" s="1">
        <v>4210</v>
      </c>
      <c r="B567" s="2">
        <v>45918</v>
      </c>
      <c r="C567" s="1" t="s">
        <v>46</v>
      </c>
      <c r="D567" s="1">
        <v>9519115421</v>
      </c>
      <c r="E567" s="1">
        <v>8</v>
      </c>
      <c r="F567" s="1" t="s">
        <v>1238</v>
      </c>
      <c r="G567" s="1" t="s">
        <v>1155</v>
      </c>
      <c r="H567" s="1" t="s">
        <v>21</v>
      </c>
      <c r="I567" s="1" t="s">
        <v>971</v>
      </c>
      <c r="K567" s="1" t="s">
        <v>971</v>
      </c>
      <c r="L567" s="1" t="s">
        <v>971</v>
      </c>
      <c r="M567" s="1" t="s">
        <v>1229</v>
      </c>
      <c r="P567" s="1">
        <v>76004</v>
      </c>
      <c r="Q567" s="1" t="s">
        <v>466</v>
      </c>
      <c r="R567" s="1">
        <v>2150943</v>
      </c>
      <c r="S567" s="1" t="s">
        <v>358</v>
      </c>
      <c r="T567" s="1" t="s">
        <v>28</v>
      </c>
      <c r="U567" s="1" t="s">
        <v>344</v>
      </c>
      <c r="V567" s="1" t="s">
        <v>345</v>
      </c>
      <c r="W567" s="1">
        <v>1.9</v>
      </c>
      <c r="X567" s="1">
        <v>1250</v>
      </c>
      <c r="Y567" s="1">
        <v>0</v>
      </c>
      <c r="Z567" s="3">
        <v>116</v>
      </c>
      <c r="AA567" s="3">
        <v>0</v>
      </c>
      <c r="AB567" s="3">
        <v>116</v>
      </c>
      <c r="AC567" s="3">
        <v>0</v>
      </c>
      <c r="AD567" s="3">
        <f t="shared" si="244"/>
        <v>116</v>
      </c>
      <c r="AE567" s="3">
        <v>0</v>
      </c>
      <c r="AF567" s="3">
        <v>116</v>
      </c>
      <c r="AG567" s="3">
        <v>0</v>
      </c>
      <c r="AH567" s="3">
        <v>0</v>
      </c>
      <c r="AI567" s="3">
        <v>0</v>
      </c>
      <c r="AJ567" s="3">
        <f t="shared" si="245"/>
        <v>116</v>
      </c>
      <c r="AK567" s="1">
        <v>0</v>
      </c>
      <c r="AL567" s="3">
        <f>AF567</f>
        <v>116</v>
      </c>
      <c r="AM567" s="3">
        <f>AG567</f>
        <v>0</v>
      </c>
      <c r="AN567" s="1">
        <v>0</v>
      </c>
      <c r="AO567" s="1">
        <v>0</v>
      </c>
      <c r="AP567" s="3">
        <f t="shared" si="236"/>
        <v>0</v>
      </c>
    </row>
    <row r="568" spans="1:42" x14ac:dyDescent="0.35">
      <c r="A568" s="1">
        <v>1192</v>
      </c>
      <c r="B568" s="2">
        <v>45926</v>
      </c>
      <c r="C568" s="1" t="s">
        <v>46</v>
      </c>
      <c r="D568" s="1">
        <v>9519145140</v>
      </c>
      <c r="E568" s="1">
        <v>1</v>
      </c>
      <c r="F568" s="1" t="s">
        <v>1239</v>
      </c>
      <c r="G568" s="1" t="s">
        <v>1155</v>
      </c>
      <c r="H568" s="1" t="s">
        <v>63</v>
      </c>
      <c r="I568" s="1" t="s">
        <v>1292</v>
      </c>
      <c r="K568" s="1" t="s">
        <v>970</v>
      </c>
      <c r="L568" s="1" t="s">
        <v>1422</v>
      </c>
      <c r="M568" s="1" t="s">
        <v>1230</v>
      </c>
      <c r="P568" s="1">
        <v>651192</v>
      </c>
      <c r="Q568" s="1" t="s">
        <v>1243</v>
      </c>
      <c r="R568" s="1">
        <v>3777533</v>
      </c>
      <c r="S568" s="1" t="s">
        <v>332</v>
      </c>
      <c r="T568" s="1" t="s">
        <v>68</v>
      </c>
      <c r="U568" s="1" t="s">
        <v>69</v>
      </c>
      <c r="V568" s="1" t="s">
        <v>70</v>
      </c>
      <c r="W568" s="1">
        <v>0.5</v>
      </c>
      <c r="X568" s="1">
        <v>1015</v>
      </c>
      <c r="Y568" s="1">
        <v>92</v>
      </c>
      <c r="Z568" s="3">
        <v>92</v>
      </c>
      <c r="AA568" s="3">
        <v>0</v>
      </c>
      <c r="AB568" s="3">
        <v>92</v>
      </c>
      <c r="AC568" s="3">
        <v>0</v>
      </c>
      <c r="AD568" s="3">
        <f t="shared" si="244"/>
        <v>92</v>
      </c>
      <c r="AE568" s="3">
        <v>0</v>
      </c>
      <c r="AF568" s="3">
        <v>0</v>
      </c>
      <c r="AG568" s="3">
        <v>92</v>
      </c>
      <c r="AH568" s="3">
        <v>0</v>
      </c>
      <c r="AI568" s="3">
        <v>0</v>
      </c>
      <c r="AJ568" s="3">
        <f t="shared" si="245"/>
        <v>92</v>
      </c>
      <c r="AK568" s="1">
        <v>0</v>
      </c>
      <c r="AL568" s="1">
        <v>0</v>
      </c>
      <c r="AM568" s="1">
        <v>0</v>
      </c>
      <c r="AN568" s="3">
        <f>AG568</f>
        <v>92</v>
      </c>
      <c r="AO568" s="1">
        <v>0</v>
      </c>
      <c r="AP568" s="3">
        <f t="shared" si="236"/>
        <v>0</v>
      </c>
    </row>
    <row r="569" spans="1:42" x14ac:dyDescent="0.35">
      <c r="A569" s="1">
        <v>1192</v>
      </c>
      <c r="B569" s="2">
        <v>45926</v>
      </c>
      <c r="C569" s="1" t="s">
        <v>46</v>
      </c>
      <c r="D569" s="1">
        <v>9519145140</v>
      </c>
      <c r="E569" s="1">
        <v>2</v>
      </c>
      <c r="F569" s="1" t="s">
        <v>1240</v>
      </c>
      <c r="G569" s="1" t="s">
        <v>1155</v>
      </c>
      <c r="H569" s="1" t="s">
        <v>63</v>
      </c>
      <c r="I569" s="1" t="s">
        <v>1291</v>
      </c>
      <c r="K569" s="1" t="s">
        <v>970</v>
      </c>
      <c r="L569" s="1" t="s">
        <v>1422</v>
      </c>
      <c r="M569" s="1" t="s">
        <v>1230</v>
      </c>
      <c r="P569" s="1">
        <v>651192</v>
      </c>
      <c r="Q569" s="1" t="s">
        <v>1243</v>
      </c>
      <c r="R569" s="1">
        <v>3767014</v>
      </c>
      <c r="S569" s="1" t="s">
        <v>200</v>
      </c>
      <c r="T569" s="1" t="s">
        <v>68</v>
      </c>
      <c r="U569" s="1" t="s">
        <v>69</v>
      </c>
      <c r="V569" s="1" t="s">
        <v>70</v>
      </c>
      <c r="W569" s="1">
        <v>0.4</v>
      </c>
      <c r="X569" s="1">
        <v>1350</v>
      </c>
      <c r="Y569" s="1">
        <v>93</v>
      </c>
      <c r="Z569" s="3">
        <v>93</v>
      </c>
      <c r="AA569" s="3">
        <v>0</v>
      </c>
      <c r="AB569" s="3">
        <v>92.998999999999995</v>
      </c>
      <c r="AC569" s="3">
        <v>0</v>
      </c>
      <c r="AD569" s="3">
        <f t="shared" si="244"/>
        <v>92.998999999999995</v>
      </c>
      <c r="AE569" s="3">
        <v>92.998999999999995</v>
      </c>
      <c r="AF569" s="3">
        <v>0</v>
      </c>
      <c r="AG569" s="3">
        <v>0</v>
      </c>
      <c r="AH569" s="3">
        <v>0</v>
      </c>
      <c r="AI569" s="3">
        <v>0</v>
      </c>
      <c r="AJ569" s="3">
        <f t="shared" si="245"/>
        <v>92.998999999999995</v>
      </c>
      <c r="AK569" s="1">
        <v>0</v>
      </c>
      <c r="AL569" s="3">
        <f>AE569</f>
        <v>92.998999999999995</v>
      </c>
      <c r="AM569" s="1">
        <v>0</v>
      </c>
      <c r="AN569" s="1">
        <v>0</v>
      </c>
      <c r="AO569" s="1">
        <v>0</v>
      </c>
      <c r="AP569" s="3">
        <f t="shared" si="236"/>
        <v>0</v>
      </c>
    </row>
    <row r="570" spans="1:42" x14ac:dyDescent="0.35">
      <c r="A570" s="1">
        <v>1192</v>
      </c>
      <c r="B570" s="2">
        <v>45926</v>
      </c>
      <c r="C570" s="1" t="s">
        <v>46</v>
      </c>
      <c r="D570" s="1">
        <v>9519145140</v>
      </c>
      <c r="E570" s="1">
        <v>3</v>
      </c>
      <c r="F570" s="1" t="s">
        <v>1241</v>
      </c>
      <c r="G570" s="1" t="s">
        <v>1155</v>
      </c>
      <c r="H570" s="1" t="s">
        <v>63</v>
      </c>
      <c r="I570" s="1" t="s">
        <v>1291</v>
      </c>
      <c r="K570" s="1" t="s">
        <v>970</v>
      </c>
      <c r="L570" s="1" t="s">
        <v>1422</v>
      </c>
      <c r="M570" s="1" t="s">
        <v>1230</v>
      </c>
      <c r="P570" s="1">
        <v>651192</v>
      </c>
      <c r="Q570" s="1" t="s">
        <v>1243</v>
      </c>
      <c r="R570" s="1">
        <v>3708868</v>
      </c>
      <c r="S570" s="1" t="s">
        <v>67</v>
      </c>
      <c r="T570" s="1" t="s">
        <v>68</v>
      </c>
      <c r="U570" s="1" t="s">
        <v>69</v>
      </c>
      <c r="V570" s="1" t="s">
        <v>70</v>
      </c>
      <c r="W570" s="1">
        <v>0.5</v>
      </c>
      <c r="X570" s="1">
        <v>1350</v>
      </c>
      <c r="Y570" s="1">
        <v>217</v>
      </c>
      <c r="Z570" s="3">
        <v>217</v>
      </c>
      <c r="AA570" s="3">
        <v>0</v>
      </c>
      <c r="AB570" s="3">
        <v>216.999</v>
      </c>
      <c r="AC570" s="3">
        <v>0</v>
      </c>
      <c r="AD570" s="3">
        <f t="shared" si="244"/>
        <v>216.999</v>
      </c>
      <c r="AE570" s="3">
        <v>0</v>
      </c>
      <c r="AF570" s="3">
        <v>0</v>
      </c>
      <c r="AG570" s="3">
        <v>216.999</v>
      </c>
      <c r="AH570" s="3">
        <v>0</v>
      </c>
      <c r="AI570" s="3">
        <v>0</v>
      </c>
      <c r="AJ570" s="3">
        <f t="shared" si="245"/>
        <v>216.999</v>
      </c>
      <c r="AK570" s="1">
        <v>0</v>
      </c>
      <c r="AL570" s="1">
        <v>0</v>
      </c>
      <c r="AM570" s="1">
        <v>0</v>
      </c>
      <c r="AN570" s="3">
        <f t="shared" ref="AN570:AN571" si="253">AG570</f>
        <v>216.999</v>
      </c>
      <c r="AO570" s="1">
        <v>0</v>
      </c>
      <c r="AP570" s="3">
        <f t="shared" si="236"/>
        <v>0</v>
      </c>
    </row>
    <row r="571" spans="1:42" x14ac:dyDescent="0.35">
      <c r="A571" s="1">
        <v>1192</v>
      </c>
      <c r="B571" s="2">
        <v>45926</v>
      </c>
      <c r="C571" s="1" t="s">
        <v>46</v>
      </c>
      <c r="D571" s="1">
        <v>9519145140</v>
      </c>
      <c r="E571" s="1">
        <v>4</v>
      </c>
      <c r="F571" s="1" t="s">
        <v>1242</v>
      </c>
      <c r="G571" s="1" t="s">
        <v>1155</v>
      </c>
      <c r="H571" s="1" t="s">
        <v>63</v>
      </c>
      <c r="I571" s="1" t="s">
        <v>1291</v>
      </c>
      <c r="K571" s="1" t="s">
        <v>970</v>
      </c>
      <c r="L571" s="1" t="s">
        <v>1422</v>
      </c>
      <c r="M571" s="1" t="s">
        <v>1230</v>
      </c>
      <c r="P571" s="1">
        <v>651192</v>
      </c>
      <c r="Q571" s="1" t="s">
        <v>1243</v>
      </c>
      <c r="R571" s="1">
        <v>3767015</v>
      </c>
      <c r="S571" s="1" t="s">
        <v>444</v>
      </c>
      <c r="T571" s="1" t="s">
        <v>68</v>
      </c>
      <c r="U571" s="1" t="s">
        <v>69</v>
      </c>
      <c r="V571" s="1" t="s">
        <v>70</v>
      </c>
      <c r="W571" s="1">
        <v>0.6</v>
      </c>
      <c r="X571" s="1">
        <v>1350</v>
      </c>
      <c r="Y571" s="1">
        <v>93</v>
      </c>
      <c r="Z571" s="3">
        <v>93</v>
      </c>
      <c r="AA571" s="3">
        <v>0</v>
      </c>
      <c r="AB571" s="3">
        <v>93</v>
      </c>
      <c r="AC571" s="3">
        <v>0</v>
      </c>
      <c r="AD571" s="3">
        <f t="shared" si="244"/>
        <v>93</v>
      </c>
      <c r="AE571" s="3">
        <v>0</v>
      </c>
      <c r="AF571" s="3">
        <v>0</v>
      </c>
      <c r="AG571" s="3">
        <v>93</v>
      </c>
      <c r="AH571" s="3">
        <v>0</v>
      </c>
      <c r="AI571" s="3">
        <v>0</v>
      </c>
      <c r="AJ571" s="3">
        <f t="shared" si="245"/>
        <v>93</v>
      </c>
      <c r="AK571" s="1">
        <v>0</v>
      </c>
      <c r="AL571" s="1">
        <v>0</v>
      </c>
      <c r="AM571" s="1">
        <v>0</v>
      </c>
      <c r="AN571" s="3">
        <f t="shared" si="253"/>
        <v>93</v>
      </c>
      <c r="AO571" s="1">
        <v>0</v>
      </c>
      <c r="AP571" s="3">
        <f t="shared" si="236"/>
        <v>0</v>
      </c>
    </row>
    <row r="572" spans="1:42" x14ac:dyDescent="0.35">
      <c r="A572" s="1">
        <v>743</v>
      </c>
      <c r="B572" s="2">
        <v>45870</v>
      </c>
      <c r="C572" s="1" t="s">
        <v>64</v>
      </c>
      <c r="D572" s="1">
        <v>9518972501</v>
      </c>
      <c r="E572" s="1">
        <v>1</v>
      </c>
      <c r="F572" s="1" t="s">
        <v>757</v>
      </c>
      <c r="G572" s="1" t="s">
        <v>1155</v>
      </c>
      <c r="H572" s="1" t="s">
        <v>56</v>
      </c>
      <c r="I572" s="1" t="s">
        <v>57</v>
      </c>
      <c r="K572" s="1" t="s">
        <v>969</v>
      </c>
      <c r="L572" s="1" t="str">
        <f t="shared" ref="L572:L591" si="254">K572</f>
        <v>IPP</v>
      </c>
      <c r="M572" s="1" t="s">
        <v>1228</v>
      </c>
      <c r="N572" s="1" t="s">
        <v>264</v>
      </c>
      <c r="P572" s="1">
        <v>944226</v>
      </c>
      <c r="Q572" s="1" t="s">
        <v>263</v>
      </c>
      <c r="R572" s="1">
        <v>3889776</v>
      </c>
      <c r="S572" s="1" t="s">
        <v>335</v>
      </c>
      <c r="T572" s="1" t="s">
        <v>60</v>
      </c>
      <c r="U572" s="1" t="s">
        <v>61</v>
      </c>
      <c r="V572" s="1" t="s">
        <v>266</v>
      </c>
      <c r="W572" s="1">
        <v>0.9</v>
      </c>
      <c r="X572" s="1">
        <v>1249</v>
      </c>
      <c r="Y572" s="1">
        <v>0</v>
      </c>
      <c r="Z572" s="3">
        <v>327</v>
      </c>
      <c r="AA572" s="3">
        <v>305.75</v>
      </c>
      <c r="AB572" s="3">
        <v>21.25</v>
      </c>
      <c r="AC572" s="3">
        <v>0</v>
      </c>
      <c r="AD572" s="3">
        <f t="shared" si="244"/>
        <v>21.25</v>
      </c>
      <c r="AE572" s="3">
        <v>21.25</v>
      </c>
      <c r="AF572" s="3">
        <v>0</v>
      </c>
      <c r="AG572" s="3">
        <v>0</v>
      </c>
      <c r="AH572" s="3">
        <v>0</v>
      </c>
      <c r="AI572" s="3">
        <v>0</v>
      </c>
      <c r="AJ572" s="3">
        <f t="shared" si="245"/>
        <v>21.25</v>
      </c>
      <c r="AK572" s="1">
        <v>0</v>
      </c>
      <c r="AL572" s="3">
        <f>AE572</f>
        <v>21.25</v>
      </c>
      <c r="AM572" s="1">
        <v>0</v>
      </c>
      <c r="AN572" s="1">
        <v>0</v>
      </c>
      <c r="AO572" s="1">
        <v>0</v>
      </c>
      <c r="AP572" s="3">
        <f t="shared" si="236"/>
        <v>0</v>
      </c>
    </row>
    <row r="573" spans="1:42" x14ac:dyDescent="0.35">
      <c r="A573" s="1">
        <v>743</v>
      </c>
      <c r="B573" s="2">
        <v>45926</v>
      </c>
      <c r="C573" s="1" t="s">
        <v>64</v>
      </c>
      <c r="D573" s="1">
        <v>9519144746</v>
      </c>
      <c r="E573" s="1">
        <v>1</v>
      </c>
      <c r="F573" s="1" t="s">
        <v>1245</v>
      </c>
      <c r="G573" s="1" t="s">
        <v>1155</v>
      </c>
      <c r="H573" s="1" t="s">
        <v>56</v>
      </c>
      <c r="I573" s="1" t="s">
        <v>1287</v>
      </c>
      <c r="K573" s="1" t="s">
        <v>969</v>
      </c>
      <c r="L573" s="1" t="str">
        <f t="shared" si="254"/>
        <v>IPP</v>
      </c>
      <c r="M573" s="1" t="s">
        <v>1018</v>
      </c>
      <c r="N573" s="1" t="s">
        <v>198</v>
      </c>
      <c r="P573" s="1">
        <v>101122</v>
      </c>
      <c r="Q573" s="1" t="s">
        <v>197</v>
      </c>
      <c r="R573" s="1">
        <v>3988091</v>
      </c>
      <c r="S573" s="1" t="s">
        <v>199</v>
      </c>
      <c r="T573" s="1" t="s">
        <v>60</v>
      </c>
      <c r="U573" s="1" t="s">
        <v>61</v>
      </c>
      <c r="V573" s="1" t="s">
        <v>195</v>
      </c>
      <c r="W573" s="1">
        <v>0.44</v>
      </c>
      <c r="X573" s="1">
        <v>1240</v>
      </c>
      <c r="Y573" s="1">
        <v>0</v>
      </c>
      <c r="Z573" s="3">
        <v>280</v>
      </c>
      <c r="AA573" s="3">
        <v>204.01</v>
      </c>
      <c r="AB573" s="3">
        <v>75.989999999999995</v>
      </c>
      <c r="AC573" s="3">
        <v>204.01</v>
      </c>
      <c r="AD573" s="3">
        <f t="shared" si="244"/>
        <v>75.989999999999995</v>
      </c>
      <c r="AE573" s="3">
        <v>0</v>
      </c>
      <c r="AF573" s="3">
        <v>75.989999999999995</v>
      </c>
      <c r="AG573" s="3">
        <v>0</v>
      </c>
      <c r="AH573" s="3">
        <v>0</v>
      </c>
      <c r="AI573" s="3">
        <v>0</v>
      </c>
      <c r="AJ573" s="3">
        <f t="shared" si="245"/>
        <v>280</v>
      </c>
      <c r="AK573" s="1">
        <v>0</v>
      </c>
      <c r="AL573" s="1">
        <v>0</v>
      </c>
      <c r="AM573" s="3">
        <f>AF573+AC573</f>
        <v>280</v>
      </c>
      <c r="AN573" s="1">
        <v>0</v>
      </c>
      <c r="AO573" s="1">
        <v>0</v>
      </c>
      <c r="AP573" s="3">
        <f t="shared" si="236"/>
        <v>0</v>
      </c>
    </row>
    <row r="574" spans="1:42" x14ac:dyDescent="0.35">
      <c r="A574" s="1">
        <v>743</v>
      </c>
      <c r="B574" s="2">
        <v>45926</v>
      </c>
      <c r="C574" s="1" t="s">
        <v>64</v>
      </c>
      <c r="D574" s="1">
        <v>9519144746</v>
      </c>
      <c r="E574" s="1">
        <v>2</v>
      </c>
      <c r="F574" s="1" t="s">
        <v>1246</v>
      </c>
      <c r="G574" s="1" t="s">
        <v>1155</v>
      </c>
      <c r="H574" s="1" t="s">
        <v>56</v>
      </c>
      <c r="I574" s="1" t="s">
        <v>1287</v>
      </c>
      <c r="K574" s="1" t="s">
        <v>969</v>
      </c>
      <c r="L574" s="1" t="str">
        <f t="shared" si="254"/>
        <v>IPP</v>
      </c>
      <c r="M574" s="1" t="s">
        <v>1018</v>
      </c>
      <c r="N574" s="1" t="s">
        <v>198</v>
      </c>
      <c r="P574" s="1">
        <v>101122</v>
      </c>
      <c r="Q574" s="1" t="s">
        <v>197</v>
      </c>
      <c r="R574" s="1">
        <v>3988091</v>
      </c>
      <c r="S574" s="1" t="s">
        <v>199</v>
      </c>
      <c r="T574" s="1" t="s">
        <v>60</v>
      </c>
      <c r="U574" s="1" t="s">
        <v>61</v>
      </c>
      <c r="V574" s="1" t="s">
        <v>195</v>
      </c>
      <c r="W574" s="1">
        <v>0.44</v>
      </c>
      <c r="X574" s="1">
        <v>1240</v>
      </c>
      <c r="Y574" s="1">
        <v>0</v>
      </c>
      <c r="Z574" s="3">
        <v>280</v>
      </c>
      <c r="AA574" s="3">
        <v>0</v>
      </c>
      <c r="AB574" s="3">
        <v>280</v>
      </c>
      <c r="AC574" s="3">
        <v>0</v>
      </c>
      <c r="AD574" s="3">
        <f t="shared" si="244"/>
        <v>280</v>
      </c>
      <c r="AE574" s="3">
        <v>0</v>
      </c>
      <c r="AF574" s="3">
        <v>280</v>
      </c>
      <c r="AG574" s="3">
        <v>0</v>
      </c>
      <c r="AH574" s="3">
        <v>0</v>
      </c>
      <c r="AI574" s="3">
        <v>0</v>
      </c>
      <c r="AJ574" s="3">
        <f t="shared" si="245"/>
        <v>280</v>
      </c>
      <c r="AK574" s="1">
        <v>0</v>
      </c>
      <c r="AL574" s="3">
        <f>AF574</f>
        <v>280</v>
      </c>
      <c r="AM574" s="3">
        <v>0</v>
      </c>
      <c r="AN574" s="1">
        <v>0</v>
      </c>
      <c r="AO574" s="1">
        <v>0</v>
      </c>
      <c r="AP574" s="3">
        <f t="shared" si="236"/>
        <v>0</v>
      </c>
    </row>
    <row r="575" spans="1:42" x14ac:dyDescent="0.35">
      <c r="A575" s="1">
        <v>744</v>
      </c>
      <c r="B575" s="2">
        <v>45926</v>
      </c>
      <c r="C575" s="1" t="s">
        <v>64</v>
      </c>
      <c r="D575" s="1">
        <v>9519146199</v>
      </c>
      <c r="E575" s="1">
        <v>1</v>
      </c>
      <c r="F575" s="1" t="s">
        <v>1247</v>
      </c>
      <c r="G575" s="1" t="s">
        <v>1155</v>
      </c>
      <c r="H575" s="1" t="s">
        <v>86</v>
      </c>
      <c r="I575" s="1" t="s">
        <v>968</v>
      </c>
      <c r="K575" s="1" t="s">
        <v>969</v>
      </c>
      <c r="L575" s="1" t="str">
        <f t="shared" si="254"/>
        <v>IPP</v>
      </c>
      <c r="M575" s="1" t="s">
        <v>1232</v>
      </c>
      <c r="N575" s="1" t="s">
        <v>230</v>
      </c>
      <c r="P575" s="1">
        <v>940008</v>
      </c>
      <c r="Q575" s="1" t="s">
        <v>107</v>
      </c>
      <c r="R575" s="1">
        <v>3522241</v>
      </c>
      <c r="S575" s="1" t="s">
        <v>216</v>
      </c>
      <c r="T575" s="1" t="s">
        <v>88</v>
      </c>
      <c r="U575" s="1" t="s">
        <v>89</v>
      </c>
      <c r="V575" s="1" t="s">
        <v>217</v>
      </c>
      <c r="W575" s="1">
        <v>0.43</v>
      </c>
      <c r="X575" s="1">
        <v>1220</v>
      </c>
      <c r="Y575" s="1">
        <v>0</v>
      </c>
      <c r="Z575" s="3">
        <v>224</v>
      </c>
      <c r="AA575" s="3">
        <v>0</v>
      </c>
      <c r="AB575" s="3">
        <v>224</v>
      </c>
      <c r="AC575" s="3">
        <v>0</v>
      </c>
      <c r="AD575" s="3">
        <f t="shared" si="244"/>
        <v>224</v>
      </c>
      <c r="AE575" s="3">
        <v>0</v>
      </c>
      <c r="AF575" s="3">
        <v>224</v>
      </c>
      <c r="AG575" s="3">
        <v>0</v>
      </c>
      <c r="AH575" s="3">
        <v>0</v>
      </c>
      <c r="AI575" s="3">
        <v>0</v>
      </c>
      <c r="AJ575" s="3">
        <f t="shared" si="245"/>
        <v>0</v>
      </c>
      <c r="AK575" s="1">
        <v>0</v>
      </c>
      <c r="AL575" s="1">
        <v>0</v>
      </c>
      <c r="AM575" s="3">
        <v>0</v>
      </c>
      <c r="AN575" s="1">
        <v>0</v>
      </c>
      <c r="AO575" s="1">
        <v>0</v>
      </c>
      <c r="AP575" s="3">
        <f t="shared" si="236"/>
        <v>224</v>
      </c>
    </row>
    <row r="576" spans="1:42" x14ac:dyDescent="0.35">
      <c r="A576" s="1">
        <v>744</v>
      </c>
      <c r="B576" s="2">
        <v>45926</v>
      </c>
      <c r="C576" s="1" t="s">
        <v>64</v>
      </c>
      <c r="D576" s="1">
        <v>9519146199</v>
      </c>
      <c r="E576" s="1">
        <v>2</v>
      </c>
      <c r="F576" s="1" t="s">
        <v>1248</v>
      </c>
      <c r="G576" s="1" t="s">
        <v>1155</v>
      </c>
      <c r="H576" s="1" t="s">
        <v>86</v>
      </c>
      <c r="I576" s="1" t="s">
        <v>968</v>
      </c>
      <c r="K576" s="1" t="s">
        <v>969</v>
      </c>
      <c r="L576" s="1" t="str">
        <f t="shared" si="254"/>
        <v>IPP</v>
      </c>
      <c r="M576" s="1" t="s">
        <v>1232</v>
      </c>
      <c r="N576" s="1" t="s">
        <v>230</v>
      </c>
      <c r="P576" s="1">
        <v>940008</v>
      </c>
      <c r="Q576" s="1" t="s">
        <v>107</v>
      </c>
      <c r="R576" s="1">
        <v>3522241</v>
      </c>
      <c r="S576" s="1" t="s">
        <v>216</v>
      </c>
      <c r="T576" s="1" t="s">
        <v>88</v>
      </c>
      <c r="U576" s="1" t="s">
        <v>89</v>
      </c>
      <c r="V576" s="1" t="s">
        <v>217</v>
      </c>
      <c r="W576" s="1">
        <v>0.43</v>
      </c>
      <c r="X576" s="1">
        <v>1220</v>
      </c>
      <c r="Y576" s="1">
        <v>0</v>
      </c>
      <c r="Z576" s="3">
        <v>168</v>
      </c>
      <c r="AA576" s="3">
        <v>0</v>
      </c>
      <c r="AB576" s="3">
        <v>168</v>
      </c>
      <c r="AC576" s="3">
        <v>0</v>
      </c>
      <c r="AD576" s="3">
        <f t="shared" si="244"/>
        <v>168</v>
      </c>
      <c r="AE576" s="3">
        <v>168</v>
      </c>
      <c r="AF576" s="3">
        <v>0</v>
      </c>
      <c r="AG576" s="3">
        <v>0</v>
      </c>
      <c r="AH576" s="3">
        <v>0</v>
      </c>
      <c r="AI576" s="3">
        <v>0</v>
      </c>
      <c r="AJ576" s="3">
        <f t="shared" si="245"/>
        <v>168</v>
      </c>
      <c r="AK576" s="1">
        <v>0</v>
      </c>
      <c r="AL576" s="3">
        <f>AE576</f>
        <v>168</v>
      </c>
      <c r="AM576" s="1">
        <v>0</v>
      </c>
      <c r="AN576" s="1">
        <v>0</v>
      </c>
      <c r="AO576" s="1">
        <v>0</v>
      </c>
      <c r="AP576" s="3">
        <f t="shared" si="236"/>
        <v>0</v>
      </c>
    </row>
    <row r="577" spans="1:42" x14ac:dyDescent="0.35">
      <c r="A577" s="1">
        <v>744</v>
      </c>
      <c r="B577" s="2">
        <v>45926</v>
      </c>
      <c r="C577" s="1" t="s">
        <v>64</v>
      </c>
      <c r="D577" s="1">
        <v>9519146199</v>
      </c>
      <c r="E577" s="1">
        <v>3</v>
      </c>
      <c r="F577" s="1" t="s">
        <v>1249</v>
      </c>
      <c r="G577" s="1" t="s">
        <v>1155</v>
      </c>
      <c r="H577" s="1" t="s">
        <v>86</v>
      </c>
      <c r="I577" s="1" t="s">
        <v>968</v>
      </c>
      <c r="K577" s="1" t="s">
        <v>969</v>
      </c>
      <c r="L577" s="1" t="str">
        <f t="shared" si="254"/>
        <v>IPP</v>
      </c>
      <c r="M577" s="1" t="s">
        <v>1232</v>
      </c>
      <c r="N577" s="1" t="s">
        <v>230</v>
      </c>
      <c r="P577" s="1">
        <v>940008</v>
      </c>
      <c r="Q577" s="1" t="s">
        <v>107</v>
      </c>
      <c r="R577" s="1">
        <v>3522241</v>
      </c>
      <c r="S577" s="1" t="s">
        <v>216</v>
      </c>
      <c r="T577" s="1" t="s">
        <v>88</v>
      </c>
      <c r="U577" s="1" t="s">
        <v>89</v>
      </c>
      <c r="V577" s="1" t="s">
        <v>217</v>
      </c>
      <c r="W577" s="1">
        <v>0.43</v>
      </c>
      <c r="X577" s="1">
        <v>1220</v>
      </c>
      <c r="Y577" s="1">
        <v>0</v>
      </c>
      <c r="Z577" s="3">
        <v>28</v>
      </c>
      <c r="AA577" s="3">
        <v>0</v>
      </c>
      <c r="AB577" s="3">
        <v>28</v>
      </c>
      <c r="AC577" s="3">
        <v>0</v>
      </c>
      <c r="AD577" s="3">
        <f t="shared" si="244"/>
        <v>28</v>
      </c>
      <c r="AE577" s="3">
        <v>0</v>
      </c>
      <c r="AF577" s="3">
        <v>28</v>
      </c>
      <c r="AG577" s="3">
        <v>0</v>
      </c>
      <c r="AH577" s="3">
        <v>0</v>
      </c>
      <c r="AI577" s="3">
        <v>0</v>
      </c>
      <c r="AJ577" s="3">
        <f t="shared" si="245"/>
        <v>28</v>
      </c>
      <c r="AK577" s="1">
        <v>0</v>
      </c>
      <c r="AL577" s="1">
        <v>0</v>
      </c>
      <c r="AM577" s="3">
        <v>0</v>
      </c>
      <c r="AN577" s="1">
        <v>0</v>
      </c>
      <c r="AO577" s="3">
        <f>AF577</f>
        <v>28</v>
      </c>
      <c r="AP577" s="3">
        <f t="shared" ref="AP577:AP640" si="255">(AC577+AD577)-AJ577</f>
        <v>0</v>
      </c>
    </row>
    <row r="578" spans="1:42" x14ac:dyDescent="0.35">
      <c r="A578" s="1">
        <v>743</v>
      </c>
      <c r="B578" s="2">
        <v>45926</v>
      </c>
      <c r="C578" s="1" t="s">
        <v>64</v>
      </c>
      <c r="D578" s="1">
        <v>9519144746</v>
      </c>
      <c r="E578" s="1">
        <v>3</v>
      </c>
      <c r="F578" s="1" t="s">
        <v>1250</v>
      </c>
      <c r="G578" s="1" t="s">
        <v>1155</v>
      </c>
      <c r="H578" s="1" t="s">
        <v>56</v>
      </c>
      <c r="I578" s="1" t="s">
        <v>1287</v>
      </c>
      <c r="K578" s="1" t="s">
        <v>969</v>
      </c>
      <c r="L578" s="1" t="str">
        <f t="shared" si="254"/>
        <v>IPP</v>
      </c>
      <c r="M578" s="1" t="s">
        <v>1018</v>
      </c>
      <c r="N578" s="1" t="s">
        <v>198</v>
      </c>
      <c r="P578" s="1">
        <v>101122</v>
      </c>
      <c r="Q578" s="1" t="s">
        <v>197</v>
      </c>
      <c r="R578" s="1">
        <v>3988091</v>
      </c>
      <c r="S578" s="1" t="s">
        <v>199</v>
      </c>
      <c r="T578" s="1" t="s">
        <v>60</v>
      </c>
      <c r="U578" s="1" t="s">
        <v>61</v>
      </c>
      <c r="V578" s="1" t="s">
        <v>195</v>
      </c>
      <c r="W578" s="1">
        <v>0.44</v>
      </c>
      <c r="X578" s="1">
        <v>1240</v>
      </c>
      <c r="Y578" s="1">
        <v>0</v>
      </c>
      <c r="Z578" s="3">
        <v>280</v>
      </c>
      <c r="AA578" s="3">
        <v>0</v>
      </c>
      <c r="AB578" s="3">
        <v>280</v>
      </c>
      <c r="AC578" s="3">
        <v>0</v>
      </c>
      <c r="AD578" s="3">
        <f t="shared" si="244"/>
        <v>280</v>
      </c>
      <c r="AE578" s="3">
        <v>0</v>
      </c>
      <c r="AF578" s="3">
        <v>0</v>
      </c>
      <c r="AG578" s="3">
        <v>280</v>
      </c>
      <c r="AH578" s="3">
        <v>0</v>
      </c>
      <c r="AI578" s="3">
        <v>0</v>
      </c>
      <c r="AJ578" s="3">
        <f t="shared" si="245"/>
        <v>280</v>
      </c>
      <c r="AK578" s="1">
        <v>0</v>
      </c>
      <c r="AL578" s="1">
        <v>0</v>
      </c>
      <c r="AM578" s="3">
        <v>0</v>
      </c>
      <c r="AN578" s="3">
        <f>AG578</f>
        <v>280</v>
      </c>
      <c r="AO578" s="1">
        <v>0</v>
      </c>
      <c r="AP578" s="3">
        <f t="shared" si="255"/>
        <v>0</v>
      </c>
    </row>
    <row r="579" spans="1:42" x14ac:dyDescent="0.35">
      <c r="A579" s="1">
        <v>743</v>
      </c>
      <c r="B579" s="2">
        <v>45926</v>
      </c>
      <c r="C579" s="1" t="s">
        <v>64</v>
      </c>
      <c r="D579" s="1">
        <v>9519144746</v>
      </c>
      <c r="E579" s="1">
        <v>4</v>
      </c>
      <c r="F579" s="1" t="s">
        <v>1251</v>
      </c>
      <c r="G579" s="1" t="s">
        <v>1155</v>
      </c>
      <c r="H579" s="1" t="s">
        <v>56</v>
      </c>
      <c r="I579" s="1" t="s">
        <v>1287</v>
      </c>
      <c r="K579" s="1" t="s">
        <v>969</v>
      </c>
      <c r="L579" s="1" t="str">
        <f t="shared" si="254"/>
        <v>IPP</v>
      </c>
      <c r="M579" s="1" t="s">
        <v>1018</v>
      </c>
      <c r="N579" s="1" t="s">
        <v>198</v>
      </c>
      <c r="P579" s="1">
        <v>101122</v>
      </c>
      <c r="Q579" s="1" t="s">
        <v>197</v>
      </c>
      <c r="R579" s="1">
        <v>3988091</v>
      </c>
      <c r="S579" s="1" t="s">
        <v>199</v>
      </c>
      <c r="T579" s="1" t="s">
        <v>60</v>
      </c>
      <c r="U579" s="1" t="s">
        <v>61</v>
      </c>
      <c r="V579" s="1" t="s">
        <v>195</v>
      </c>
      <c r="W579" s="1">
        <v>0.44</v>
      </c>
      <c r="X579" s="1">
        <v>1240</v>
      </c>
      <c r="Y579" s="1">
        <v>0</v>
      </c>
      <c r="Z579" s="3">
        <v>280</v>
      </c>
      <c r="AA579" s="3">
        <v>0</v>
      </c>
      <c r="AB579" s="3">
        <v>280</v>
      </c>
      <c r="AC579" s="3">
        <v>0</v>
      </c>
      <c r="AD579" s="3">
        <f t="shared" si="244"/>
        <v>280</v>
      </c>
      <c r="AE579" s="3">
        <v>0</v>
      </c>
      <c r="AF579" s="3">
        <v>0</v>
      </c>
      <c r="AG579" s="3">
        <v>280</v>
      </c>
      <c r="AH579" s="3">
        <v>0</v>
      </c>
      <c r="AI579" s="3">
        <v>0</v>
      </c>
      <c r="AJ579" s="3">
        <f t="shared" si="245"/>
        <v>280</v>
      </c>
      <c r="AK579" s="1">
        <v>0</v>
      </c>
      <c r="AL579" s="1">
        <v>0</v>
      </c>
      <c r="AM579" s="3">
        <v>0</v>
      </c>
      <c r="AN579" s="3">
        <f t="shared" ref="AN579" si="256">AG579</f>
        <v>280</v>
      </c>
      <c r="AO579" s="1">
        <v>0</v>
      </c>
      <c r="AP579" s="3">
        <f t="shared" si="255"/>
        <v>0</v>
      </c>
    </row>
    <row r="580" spans="1:42" x14ac:dyDescent="0.35">
      <c r="A580" s="1">
        <v>743</v>
      </c>
      <c r="B580" s="2">
        <v>45926</v>
      </c>
      <c r="C580" s="1" t="s">
        <v>64</v>
      </c>
      <c r="D580" s="1">
        <v>9519144746</v>
      </c>
      <c r="E580" s="1">
        <v>5</v>
      </c>
      <c r="F580" s="1" t="s">
        <v>1252</v>
      </c>
      <c r="G580" s="1" t="s">
        <v>1155</v>
      </c>
      <c r="H580" s="1" t="s">
        <v>56</v>
      </c>
      <c r="I580" s="1" t="s">
        <v>1287</v>
      </c>
      <c r="J580" s="1">
        <v>2400</v>
      </c>
      <c r="K580" s="1" t="s">
        <v>969</v>
      </c>
      <c r="L580" s="1" t="str">
        <f t="shared" si="254"/>
        <v>IPP</v>
      </c>
      <c r="M580" s="1" t="s">
        <v>1018</v>
      </c>
      <c r="N580" s="1" t="s">
        <v>198</v>
      </c>
      <c r="P580" s="1">
        <v>101122</v>
      </c>
      <c r="Q580" s="1" t="s">
        <v>197</v>
      </c>
      <c r="R580" s="1">
        <v>3988091</v>
      </c>
      <c r="S580" s="1" t="s">
        <v>199</v>
      </c>
      <c r="T580" s="1" t="s">
        <v>60</v>
      </c>
      <c r="U580" s="1" t="s">
        <v>61</v>
      </c>
      <c r="V580" s="1" t="s">
        <v>195</v>
      </c>
      <c r="W580" s="1">
        <v>0.44</v>
      </c>
      <c r="X580" s="1">
        <v>1240</v>
      </c>
      <c r="Y580" s="1">
        <v>0</v>
      </c>
      <c r="Z580" s="3">
        <v>280</v>
      </c>
      <c r="AA580" s="3">
        <v>0</v>
      </c>
      <c r="AB580" s="3">
        <v>280</v>
      </c>
      <c r="AC580" s="3">
        <v>0</v>
      </c>
      <c r="AD580" s="3">
        <f t="shared" si="244"/>
        <v>280</v>
      </c>
      <c r="AE580" s="3">
        <v>0</v>
      </c>
      <c r="AF580" s="3">
        <v>0</v>
      </c>
      <c r="AG580" s="3">
        <v>280</v>
      </c>
      <c r="AH580" s="3">
        <v>0</v>
      </c>
      <c r="AI580" s="3">
        <v>0</v>
      </c>
      <c r="AJ580" s="3">
        <f t="shared" si="245"/>
        <v>280</v>
      </c>
      <c r="AK580" s="1">
        <v>0</v>
      </c>
      <c r="AL580" s="1">
        <v>0</v>
      </c>
      <c r="AM580" s="3">
        <f>AG580</f>
        <v>280</v>
      </c>
      <c r="AN580" s="3">
        <v>0</v>
      </c>
      <c r="AO580" s="1">
        <v>0</v>
      </c>
      <c r="AP580" s="3">
        <f t="shared" si="255"/>
        <v>0</v>
      </c>
    </row>
    <row r="581" spans="1:42" x14ac:dyDescent="0.35">
      <c r="A581" s="1">
        <v>743</v>
      </c>
      <c r="B581" s="2">
        <v>45926</v>
      </c>
      <c r="C581" s="1" t="s">
        <v>64</v>
      </c>
      <c r="D581" s="1">
        <v>9519144746</v>
      </c>
      <c r="E581" s="1">
        <v>6</v>
      </c>
      <c r="F581" s="1" t="s">
        <v>1253</v>
      </c>
      <c r="G581" s="1" t="s">
        <v>1155</v>
      </c>
      <c r="H581" s="1" t="s">
        <v>56</v>
      </c>
      <c r="I581" s="1" t="s">
        <v>1287</v>
      </c>
      <c r="K581" s="1" t="s">
        <v>969</v>
      </c>
      <c r="L581" s="1" t="str">
        <f t="shared" si="254"/>
        <v>IPP</v>
      </c>
      <c r="M581" s="1" t="s">
        <v>1018</v>
      </c>
      <c r="N581" s="1" t="s">
        <v>198</v>
      </c>
      <c r="P581" s="1">
        <v>101122</v>
      </c>
      <c r="Q581" s="1" t="s">
        <v>197</v>
      </c>
      <c r="R581" s="1">
        <v>3988091</v>
      </c>
      <c r="S581" s="1" t="s">
        <v>199</v>
      </c>
      <c r="T581" s="1" t="s">
        <v>60</v>
      </c>
      <c r="U581" s="1" t="s">
        <v>61</v>
      </c>
      <c r="V581" s="1" t="s">
        <v>195</v>
      </c>
      <c r="W581" s="1">
        <v>0.44</v>
      </c>
      <c r="X581" s="1">
        <v>1240</v>
      </c>
      <c r="Y581" s="1">
        <v>0</v>
      </c>
      <c r="Z581" s="3">
        <v>280</v>
      </c>
      <c r="AA581" s="3">
        <v>0</v>
      </c>
      <c r="AB581" s="3">
        <v>280</v>
      </c>
      <c r="AC581" s="3">
        <v>0</v>
      </c>
      <c r="AD581" s="3">
        <f t="shared" si="244"/>
        <v>280</v>
      </c>
      <c r="AE581" s="3">
        <v>0</v>
      </c>
      <c r="AF581" s="3">
        <v>280</v>
      </c>
      <c r="AG581" s="3">
        <v>0</v>
      </c>
      <c r="AH581" s="3">
        <v>0</v>
      </c>
      <c r="AI581" s="3">
        <v>0</v>
      </c>
      <c r="AJ581" s="3">
        <f t="shared" si="245"/>
        <v>280</v>
      </c>
      <c r="AK581" s="1">
        <v>0</v>
      </c>
      <c r="AL581" s="3">
        <f>AF581</f>
        <v>280</v>
      </c>
      <c r="AM581" s="3">
        <v>0</v>
      </c>
      <c r="AN581" s="1">
        <v>0</v>
      </c>
      <c r="AO581" s="1">
        <v>0</v>
      </c>
      <c r="AP581" s="3">
        <f t="shared" si="255"/>
        <v>0</v>
      </c>
    </row>
    <row r="582" spans="1:42" x14ac:dyDescent="0.35">
      <c r="A582" s="1">
        <v>743</v>
      </c>
      <c r="B582" s="2">
        <v>45926</v>
      </c>
      <c r="C582" s="1" t="s">
        <v>64</v>
      </c>
      <c r="D582" s="1">
        <v>9519144746</v>
      </c>
      <c r="E582" s="1">
        <v>7</v>
      </c>
      <c r="F582" s="1" t="s">
        <v>1254</v>
      </c>
      <c r="G582" s="1" t="s">
        <v>1155</v>
      </c>
      <c r="H582" s="1" t="s">
        <v>56</v>
      </c>
      <c r="I582" s="1" t="s">
        <v>1287</v>
      </c>
      <c r="K582" s="1" t="s">
        <v>969</v>
      </c>
      <c r="L582" s="1" t="str">
        <f t="shared" si="254"/>
        <v>IPP</v>
      </c>
      <c r="M582" s="1" t="s">
        <v>1018</v>
      </c>
      <c r="N582" s="1" t="s">
        <v>198</v>
      </c>
      <c r="P582" s="1">
        <v>101122</v>
      </c>
      <c r="Q582" s="1" t="s">
        <v>197</v>
      </c>
      <c r="R582" s="1">
        <v>3988091</v>
      </c>
      <c r="S582" s="1" t="s">
        <v>199</v>
      </c>
      <c r="T582" s="1" t="s">
        <v>60</v>
      </c>
      <c r="U582" s="1" t="s">
        <v>61</v>
      </c>
      <c r="V582" s="1" t="s">
        <v>195</v>
      </c>
      <c r="W582" s="1">
        <v>0.44</v>
      </c>
      <c r="X582" s="1">
        <v>1240</v>
      </c>
      <c r="Y582" s="1">
        <v>0</v>
      </c>
      <c r="Z582" s="3">
        <v>280</v>
      </c>
      <c r="AA582" s="3">
        <v>0</v>
      </c>
      <c r="AB582" s="3">
        <v>280</v>
      </c>
      <c r="AC582" s="3">
        <v>0</v>
      </c>
      <c r="AD582" s="3">
        <f t="shared" si="244"/>
        <v>280</v>
      </c>
      <c r="AE582" s="3">
        <v>0</v>
      </c>
      <c r="AF582" s="3">
        <v>280</v>
      </c>
      <c r="AG582" s="3">
        <v>0</v>
      </c>
      <c r="AH582" s="3">
        <v>0</v>
      </c>
      <c r="AI582" s="3">
        <v>0</v>
      </c>
      <c r="AJ582" s="3">
        <f t="shared" si="245"/>
        <v>280</v>
      </c>
      <c r="AK582" s="1">
        <v>0</v>
      </c>
      <c r="AL582" s="1">
        <v>0</v>
      </c>
      <c r="AM582" s="3">
        <f t="shared" ref="AM582" si="257">AF582</f>
        <v>280</v>
      </c>
      <c r="AN582" s="1">
        <v>0</v>
      </c>
      <c r="AO582" s="1">
        <v>0</v>
      </c>
      <c r="AP582" s="3">
        <f t="shared" si="255"/>
        <v>0</v>
      </c>
    </row>
    <row r="583" spans="1:42" x14ac:dyDescent="0.35">
      <c r="A583" s="1">
        <v>744</v>
      </c>
      <c r="B583" s="2">
        <v>45926</v>
      </c>
      <c r="C583" s="1" t="s">
        <v>64</v>
      </c>
      <c r="D583" s="1">
        <v>9519146271</v>
      </c>
      <c r="E583" s="1">
        <v>1</v>
      </c>
      <c r="F583" s="1" t="s">
        <v>1255</v>
      </c>
      <c r="G583" s="1" t="s">
        <v>1155</v>
      </c>
      <c r="H583" s="1" t="s">
        <v>86</v>
      </c>
      <c r="I583" s="1" t="s">
        <v>968</v>
      </c>
      <c r="K583" s="1" t="s">
        <v>969</v>
      </c>
      <c r="L583" s="1" t="str">
        <f t="shared" si="254"/>
        <v>IPP</v>
      </c>
      <c r="M583" s="1" t="s">
        <v>1232</v>
      </c>
      <c r="N583" s="1" t="s">
        <v>108</v>
      </c>
      <c r="P583" s="1">
        <v>940016</v>
      </c>
      <c r="Q583" s="1" t="s">
        <v>107</v>
      </c>
      <c r="R583" s="1">
        <v>3522241</v>
      </c>
      <c r="S583" s="1" t="s">
        <v>216</v>
      </c>
      <c r="T583" s="1" t="s">
        <v>88</v>
      </c>
      <c r="U583" s="1" t="s">
        <v>89</v>
      </c>
      <c r="V583" s="1" t="s">
        <v>217</v>
      </c>
      <c r="W583" s="1">
        <v>0.43</v>
      </c>
      <c r="X583" s="1">
        <v>1220</v>
      </c>
      <c r="Y583" s="1">
        <v>0</v>
      </c>
      <c r="Z583" s="3">
        <v>28</v>
      </c>
      <c r="AA583" s="3">
        <v>0</v>
      </c>
      <c r="AB583" s="3">
        <v>28</v>
      </c>
      <c r="AC583" s="3">
        <v>0</v>
      </c>
      <c r="AD583" s="3">
        <f t="shared" si="244"/>
        <v>28</v>
      </c>
      <c r="AE583" s="3">
        <v>0</v>
      </c>
      <c r="AF583" s="3">
        <v>28</v>
      </c>
      <c r="AG583" s="3">
        <v>0</v>
      </c>
      <c r="AH583" s="3">
        <v>0</v>
      </c>
      <c r="AI583" s="3">
        <v>0</v>
      </c>
      <c r="AJ583" s="3">
        <f t="shared" si="245"/>
        <v>28</v>
      </c>
      <c r="AK583" s="1">
        <v>0</v>
      </c>
      <c r="AL583" s="1">
        <v>0</v>
      </c>
      <c r="AM583" s="3">
        <v>0</v>
      </c>
      <c r="AN583" s="1">
        <v>0</v>
      </c>
      <c r="AO583" s="3">
        <f t="shared" ref="AO583:AO584" si="258">AF583</f>
        <v>28</v>
      </c>
      <c r="AP583" s="3">
        <f t="shared" si="255"/>
        <v>0</v>
      </c>
    </row>
    <row r="584" spans="1:42" x14ac:dyDescent="0.35">
      <c r="A584" s="1">
        <v>744</v>
      </c>
      <c r="B584" s="2">
        <v>45926</v>
      </c>
      <c r="C584" s="1" t="s">
        <v>64</v>
      </c>
      <c r="D584" s="1">
        <v>9519146271</v>
      </c>
      <c r="E584" s="1">
        <v>6</v>
      </c>
      <c r="F584" s="1" t="s">
        <v>1256</v>
      </c>
      <c r="G584" s="1" t="s">
        <v>1155</v>
      </c>
      <c r="H584" s="1" t="s">
        <v>86</v>
      </c>
      <c r="I584" s="1" t="s">
        <v>968</v>
      </c>
      <c r="K584" s="1" t="s">
        <v>969</v>
      </c>
      <c r="L584" s="1" t="str">
        <f t="shared" si="254"/>
        <v>IPP</v>
      </c>
      <c r="M584" s="1" t="s">
        <v>1232</v>
      </c>
      <c r="N584" s="1" t="s">
        <v>108</v>
      </c>
      <c r="P584" s="1">
        <v>940016</v>
      </c>
      <c r="Q584" s="1" t="s">
        <v>107</v>
      </c>
      <c r="R584" s="1">
        <v>3522241</v>
      </c>
      <c r="S584" s="1" t="s">
        <v>216</v>
      </c>
      <c r="T584" s="1" t="s">
        <v>88</v>
      </c>
      <c r="U584" s="1" t="s">
        <v>89</v>
      </c>
      <c r="V584" s="1" t="s">
        <v>217</v>
      </c>
      <c r="W584" s="1">
        <v>0.43</v>
      </c>
      <c r="X584" s="1">
        <v>1220</v>
      </c>
      <c r="Y584" s="1">
        <v>0</v>
      </c>
      <c r="Z584" s="3">
        <v>28</v>
      </c>
      <c r="AA584" s="3">
        <v>0</v>
      </c>
      <c r="AB584" s="3">
        <v>28</v>
      </c>
      <c r="AC584" s="3">
        <v>0</v>
      </c>
      <c r="AD584" s="3">
        <f t="shared" ref="AD584:AD657" si="259">SUM(AE584:AI584)</f>
        <v>28</v>
      </c>
      <c r="AE584" s="3">
        <v>0</v>
      </c>
      <c r="AF584" s="3">
        <v>28</v>
      </c>
      <c r="AG584" s="3">
        <v>0</v>
      </c>
      <c r="AH584" s="3">
        <v>0</v>
      </c>
      <c r="AI584" s="3">
        <v>0</v>
      </c>
      <c r="AJ584" s="3">
        <f t="shared" ref="AJ584:AJ637" si="260">SUM(AK584:AO584)</f>
        <v>28</v>
      </c>
      <c r="AK584" s="1">
        <v>0</v>
      </c>
      <c r="AL584" s="1">
        <v>0</v>
      </c>
      <c r="AM584" s="3">
        <v>0</v>
      </c>
      <c r="AN584" s="1">
        <v>0</v>
      </c>
      <c r="AO584" s="3">
        <f t="shared" si="258"/>
        <v>28</v>
      </c>
      <c r="AP584" s="3">
        <f t="shared" si="255"/>
        <v>0</v>
      </c>
    </row>
    <row r="585" spans="1:42" x14ac:dyDescent="0.35">
      <c r="A585" s="1">
        <v>743</v>
      </c>
      <c r="B585" s="2">
        <v>45927</v>
      </c>
      <c r="C585" s="1" t="s">
        <v>64</v>
      </c>
      <c r="D585" s="1">
        <v>9519148419</v>
      </c>
      <c r="E585" s="1">
        <v>1</v>
      </c>
      <c r="F585" s="1" t="s">
        <v>1257</v>
      </c>
      <c r="G585" s="1" t="s">
        <v>1155</v>
      </c>
      <c r="H585" s="1" t="s">
        <v>56</v>
      </c>
      <c r="I585" s="1" t="s">
        <v>57</v>
      </c>
      <c r="K585" s="1" t="s">
        <v>969</v>
      </c>
      <c r="L585" s="1" t="str">
        <f t="shared" si="254"/>
        <v>IPP</v>
      </c>
      <c r="M585" s="1" t="s">
        <v>1232</v>
      </c>
      <c r="N585" s="1" t="s">
        <v>31</v>
      </c>
      <c r="P585" s="1">
        <v>942283</v>
      </c>
      <c r="Q585" s="1" t="s">
        <v>87</v>
      </c>
      <c r="R585" s="1">
        <v>1882051</v>
      </c>
      <c r="S585" s="1" t="s">
        <v>392</v>
      </c>
      <c r="T585" s="1" t="s">
        <v>60</v>
      </c>
      <c r="U585" s="1" t="s">
        <v>61</v>
      </c>
      <c r="V585" s="1" t="s">
        <v>103</v>
      </c>
      <c r="W585" s="1">
        <v>0.9</v>
      </c>
      <c r="X585" s="1">
        <v>1250</v>
      </c>
      <c r="Y585" s="1">
        <v>0</v>
      </c>
      <c r="Z585" s="3">
        <v>290</v>
      </c>
      <c r="AA585" s="3">
        <v>0</v>
      </c>
      <c r="AB585" s="3">
        <v>290</v>
      </c>
      <c r="AC585" s="3">
        <v>0</v>
      </c>
      <c r="AD585" s="3">
        <f t="shared" si="259"/>
        <v>290</v>
      </c>
      <c r="AE585" s="3">
        <v>0</v>
      </c>
      <c r="AF585" s="3">
        <v>0</v>
      </c>
      <c r="AG585" s="3">
        <v>290</v>
      </c>
      <c r="AH585" s="3">
        <v>0</v>
      </c>
      <c r="AI585" s="3">
        <v>0</v>
      </c>
      <c r="AJ585" s="3">
        <f t="shared" si="260"/>
        <v>0</v>
      </c>
      <c r="AK585" s="1">
        <v>0</v>
      </c>
      <c r="AL585" s="1">
        <v>0</v>
      </c>
      <c r="AM585" s="1">
        <v>0</v>
      </c>
      <c r="AN585" s="3">
        <v>0</v>
      </c>
      <c r="AO585" s="3">
        <v>0</v>
      </c>
      <c r="AP585" s="3">
        <f t="shared" si="255"/>
        <v>290</v>
      </c>
    </row>
    <row r="586" spans="1:42" x14ac:dyDescent="0.35">
      <c r="A586" s="1">
        <v>744</v>
      </c>
      <c r="B586" s="2">
        <v>45926</v>
      </c>
      <c r="C586" s="1" t="s">
        <v>64</v>
      </c>
      <c r="D586" s="1">
        <v>9519146271</v>
      </c>
      <c r="E586" s="1">
        <v>2</v>
      </c>
      <c r="F586" s="1" t="s">
        <v>1258</v>
      </c>
      <c r="G586" s="1" t="s">
        <v>1155</v>
      </c>
      <c r="H586" s="1" t="s">
        <v>86</v>
      </c>
      <c r="I586" s="1" t="s">
        <v>968</v>
      </c>
      <c r="K586" s="1" t="s">
        <v>969</v>
      </c>
      <c r="L586" s="1" t="str">
        <f t="shared" si="254"/>
        <v>IPP</v>
      </c>
      <c r="M586" s="1" t="s">
        <v>1232</v>
      </c>
      <c r="N586" s="1" t="s">
        <v>108</v>
      </c>
      <c r="P586" s="1">
        <v>940016</v>
      </c>
      <c r="Q586" s="1" t="s">
        <v>107</v>
      </c>
      <c r="R586" s="1">
        <v>3522241</v>
      </c>
      <c r="S586" s="1" t="s">
        <v>216</v>
      </c>
      <c r="T586" s="1" t="s">
        <v>88</v>
      </c>
      <c r="U586" s="1" t="s">
        <v>89</v>
      </c>
      <c r="V586" s="1" t="s">
        <v>217</v>
      </c>
      <c r="W586" s="1">
        <v>0.43</v>
      </c>
      <c r="X586" s="1">
        <v>1220</v>
      </c>
      <c r="Y586" s="1">
        <v>0</v>
      </c>
      <c r="Z586" s="3">
        <v>280</v>
      </c>
      <c r="AA586" s="3">
        <v>0</v>
      </c>
      <c r="AB586" s="3">
        <v>280</v>
      </c>
      <c r="AC586" s="3">
        <v>0</v>
      </c>
      <c r="AD586" s="3">
        <f t="shared" si="259"/>
        <v>280</v>
      </c>
      <c r="AE586" s="3">
        <v>0</v>
      </c>
      <c r="AF586" s="3">
        <v>0</v>
      </c>
      <c r="AG586" s="3">
        <v>0</v>
      </c>
      <c r="AH586" s="3">
        <v>280</v>
      </c>
      <c r="AI586" s="3">
        <v>0</v>
      </c>
      <c r="AJ586" s="3">
        <f t="shared" si="260"/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3">
        <f t="shared" si="255"/>
        <v>280</v>
      </c>
    </row>
    <row r="587" spans="1:42" x14ac:dyDescent="0.35">
      <c r="A587" s="1">
        <v>743</v>
      </c>
      <c r="B587" s="2">
        <v>45927</v>
      </c>
      <c r="C587" s="1" t="s">
        <v>64</v>
      </c>
      <c r="D587" s="1">
        <v>9519058218</v>
      </c>
      <c r="E587" s="1">
        <v>3</v>
      </c>
      <c r="F587" s="1" t="s">
        <v>1259</v>
      </c>
      <c r="G587" s="1" t="s">
        <v>1155</v>
      </c>
      <c r="H587" s="1" t="s">
        <v>63</v>
      </c>
      <c r="I587" s="1" t="s">
        <v>1368</v>
      </c>
      <c r="K587" s="1" t="s">
        <v>970</v>
      </c>
      <c r="L587" s="1" t="str">
        <f t="shared" si="254"/>
        <v>BPRS</v>
      </c>
      <c r="M587" s="1" t="s">
        <v>1228</v>
      </c>
      <c r="N587" s="1" t="s">
        <v>37</v>
      </c>
      <c r="P587" s="1">
        <v>931235</v>
      </c>
      <c r="Q587" s="1" t="s">
        <v>224</v>
      </c>
      <c r="R587" s="1">
        <v>1327809</v>
      </c>
      <c r="S587" s="1" t="s">
        <v>383</v>
      </c>
      <c r="T587" s="1" t="s">
        <v>139</v>
      </c>
      <c r="U587" s="1" t="s">
        <v>140</v>
      </c>
      <c r="V587" s="1" t="s">
        <v>141</v>
      </c>
      <c r="W587" s="1">
        <v>0.3</v>
      </c>
      <c r="X587" s="1">
        <v>1250</v>
      </c>
      <c r="Y587" s="1">
        <v>0</v>
      </c>
      <c r="Z587" s="3">
        <v>29</v>
      </c>
      <c r="AA587" s="3">
        <v>0</v>
      </c>
      <c r="AB587" s="3">
        <v>29</v>
      </c>
      <c r="AC587" s="3">
        <v>0</v>
      </c>
      <c r="AD587" s="3">
        <f t="shared" si="259"/>
        <v>29</v>
      </c>
      <c r="AE587" s="3">
        <v>0</v>
      </c>
      <c r="AF587" s="3">
        <v>29</v>
      </c>
      <c r="AG587" s="3">
        <v>0</v>
      </c>
      <c r="AH587" s="3">
        <v>0</v>
      </c>
      <c r="AI587" s="3">
        <v>0</v>
      </c>
      <c r="AJ587" s="3">
        <f t="shared" si="260"/>
        <v>29</v>
      </c>
      <c r="AK587" s="1">
        <v>0</v>
      </c>
      <c r="AL587" s="1">
        <v>0</v>
      </c>
      <c r="AM587" s="3">
        <f>AF587</f>
        <v>29</v>
      </c>
      <c r="AN587" s="1">
        <v>0</v>
      </c>
      <c r="AO587" s="1">
        <v>0</v>
      </c>
      <c r="AP587" s="3">
        <f t="shared" si="255"/>
        <v>0</v>
      </c>
    </row>
    <row r="588" spans="1:42" x14ac:dyDescent="0.35">
      <c r="A588" s="1">
        <v>743</v>
      </c>
      <c r="B588" s="2">
        <v>45927</v>
      </c>
      <c r="C588" s="1" t="s">
        <v>64</v>
      </c>
      <c r="D588" s="1">
        <v>9519136821</v>
      </c>
      <c r="E588" s="1">
        <v>3</v>
      </c>
      <c r="F588" s="1" t="s">
        <v>1260</v>
      </c>
      <c r="G588" s="1" t="s">
        <v>1155</v>
      </c>
      <c r="H588" s="1" t="s">
        <v>63</v>
      </c>
      <c r="I588" s="1" t="s">
        <v>1368</v>
      </c>
      <c r="K588" s="1" t="s">
        <v>970</v>
      </c>
      <c r="L588" s="1" t="str">
        <f t="shared" si="254"/>
        <v>BPRS</v>
      </c>
      <c r="M588" s="1" t="s">
        <v>1228</v>
      </c>
      <c r="N588" s="1" t="s">
        <v>37</v>
      </c>
      <c r="P588" s="1">
        <v>931235</v>
      </c>
      <c r="Q588" s="1" t="s">
        <v>224</v>
      </c>
      <c r="R588" s="1">
        <v>1300230</v>
      </c>
      <c r="S588" s="1" t="s">
        <v>248</v>
      </c>
      <c r="T588" s="1" t="s">
        <v>139</v>
      </c>
      <c r="U588" s="1" t="s">
        <v>140</v>
      </c>
      <c r="V588" s="1" t="s">
        <v>141</v>
      </c>
      <c r="W588" s="1">
        <v>0.3</v>
      </c>
      <c r="X588" s="1">
        <v>1220</v>
      </c>
      <c r="Y588" s="1">
        <v>0</v>
      </c>
      <c r="Z588" s="3">
        <v>28</v>
      </c>
      <c r="AA588" s="3">
        <v>0</v>
      </c>
      <c r="AB588" s="3">
        <v>28</v>
      </c>
      <c r="AC588" s="3">
        <v>0</v>
      </c>
      <c r="AD588" s="3">
        <f t="shared" si="259"/>
        <v>28</v>
      </c>
      <c r="AE588" s="3">
        <v>0</v>
      </c>
      <c r="AF588" s="3">
        <v>28</v>
      </c>
      <c r="AG588" s="3">
        <v>0</v>
      </c>
      <c r="AH588" s="3">
        <v>0</v>
      </c>
      <c r="AI588" s="3">
        <v>0</v>
      </c>
      <c r="AJ588" s="3">
        <f t="shared" si="260"/>
        <v>28</v>
      </c>
      <c r="AK588" s="1">
        <v>0</v>
      </c>
      <c r="AL588" s="1">
        <v>0</v>
      </c>
      <c r="AM588" s="3">
        <f>AF588</f>
        <v>28</v>
      </c>
      <c r="AN588" s="1">
        <v>0</v>
      </c>
      <c r="AO588" s="1">
        <v>0</v>
      </c>
      <c r="AP588" s="3">
        <f t="shared" si="255"/>
        <v>0</v>
      </c>
    </row>
    <row r="589" spans="1:42" x14ac:dyDescent="0.35">
      <c r="A589" s="1">
        <v>744</v>
      </c>
      <c r="B589" s="2">
        <v>45926</v>
      </c>
      <c r="C589" s="1" t="s">
        <v>64</v>
      </c>
      <c r="D589" s="1">
        <v>9519146271</v>
      </c>
      <c r="E589" s="1">
        <v>3</v>
      </c>
      <c r="F589" s="1" t="s">
        <v>1261</v>
      </c>
      <c r="G589" s="1" t="s">
        <v>1155</v>
      </c>
      <c r="H589" s="1" t="s">
        <v>86</v>
      </c>
      <c r="I589" s="1" t="s">
        <v>968</v>
      </c>
      <c r="K589" s="1" t="s">
        <v>969</v>
      </c>
      <c r="L589" s="1" t="str">
        <f t="shared" si="254"/>
        <v>IPP</v>
      </c>
      <c r="M589" s="1" t="s">
        <v>1232</v>
      </c>
      <c r="N589" s="1" t="s">
        <v>108</v>
      </c>
      <c r="P589" s="1">
        <v>940016</v>
      </c>
      <c r="Q589" s="1" t="s">
        <v>107</v>
      </c>
      <c r="R589" s="1">
        <v>3522241</v>
      </c>
      <c r="S589" s="1" t="s">
        <v>216</v>
      </c>
      <c r="T589" s="1" t="s">
        <v>88</v>
      </c>
      <c r="U589" s="1" t="s">
        <v>89</v>
      </c>
      <c r="V589" s="1" t="s">
        <v>217</v>
      </c>
      <c r="W589" s="1">
        <v>0.43</v>
      </c>
      <c r="X589" s="1">
        <v>1220</v>
      </c>
      <c r="Y589" s="1">
        <v>0</v>
      </c>
      <c r="Z589" s="3">
        <v>280</v>
      </c>
      <c r="AA589" s="3">
        <v>0</v>
      </c>
      <c r="AB589" s="3">
        <v>280</v>
      </c>
      <c r="AC589" s="3">
        <v>0</v>
      </c>
      <c r="AD589" s="3">
        <f t="shared" si="259"/>
        <v>280</v>
      </c>
      <c r="AE589" s="3">
        <v>0</v>
      </c>
      <c r="AF589" s="3">
        <v>0</v>
      </c>
      <c r="AG589" s="3">
        <v>0</v>
      </c>
      <c r="AH589" s="3">
        <v>0</v>
      </c>
      <c r="AI589" s="3">
        <v>280</v>
      </c>
      <c r="AJ589" s="3">
        <f t="shared" si="260"/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3">
        <f t="shared" si="255"/>
        <v>280</v>
      </c>
    </row>
    <row r="590" spans="1:42" x14ac:dyDescent="0.35">
      <c r="A590" s="1">
        <v>744</v>
      </c>
      <c r="B590" s="2">
        <v>45926</v>
      </c>
      <c r="C590" s="1" t="s">
        <v>64</v>
      </c>
      <c r="D590" s="1">
        <v>9519146271</v>
      </c>
      <c r="E590" s="1">
        <v>4</v>
      </c>
      <c r="F590" s="1" t="s">
        <v>1262</v>
      </c>
      <c r="G590" s="1" t="s">
        <v>1155</v>
      </c>
      <c r="H590" s="1" t="s">
        <v>86</v>
      </c>
      <c r="I590" s="1" t="s">
        <v>968</v>
      </c>
      <c r="K590" s="1" t="s">
        <v>969</v>
      </c>
      <c r="L590" s="1" t="str">
        <f t="shared" si="254"/>
        <v>IPP</v>
      </c>
      <c r="M590" s="1" t="s">
        <v>1232</v>
      </c>
      <c r="N590" s="1" t="s">
        <v>108</v>
      </c>
      <c r="P590" s="1">
        <v>940016</v>
      </c>
      <c r="Q590" s="1" t="s">
        <v>107</v>
      </c>
      <c r="R590" s="1">
        <v>3522241</v>
      </c>
      <c r="S590" s="1" t="s">
        <v>216</v>
      </c>
      <c r="T590" s="1" t="s">
        <v>88</v>
      </c>
      <c r="U590" s="1" t="s">
        <v>89</v>
      </c>
      <c r="V590" s="1" t="s">
        <v>217</v>
      </c>
      <c r="W590" s="1">
        <v>0.43</v>
      </c>
      <c r="X590" s="1">
        <v>1220</v>
      </c>
      <c r="Y590" s="1">
        <v>0</v>
      </c>
      <c r="Z590" s="3">
        <v>140</v>
      </c>
      <c r="AA590" s="3">
        <v>0</v>
      </c>
      <c r="AB590" s="3">
        <v>140</v>
      </c>
      <c r="AC590" s="3">
        <v>0</v>
      </c>
      <c r="AD590" s="3">
        <f t="shared" si="259"/>
        <v>140</v>
      </c>
      <c r="AE590" s="3">
        <v>0</v>
      </c>
      <c r="AF590" s="3">
        <v>0</v>
      </c>
      <c r="AG590" s="3">
        <v>0</v>
      </c>
      <c r="AH590" s="3">
        <v>0</v>
      </c>
      <c r="AI590" s="3">
        <v>140</v>
      </c>
      <c r="AJ590" s="3">
        <f t="shared" si="260"/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3">
        <f t="shared" si="255"/>
        <v>140</v>
      </c>
    </row>
    <row r="591" spans="1:42" x14ac:dyDescent="0.35">
      <c r="A591" s="1">
        <v>744</v>
      </c>
      <c r="B591" s="2">
        <v>45926</v>
      </c>
      <c r="C591" s="1" t="s">
        <v>64</v>
      </c>
      <c r="D591" s="1">
        <v>9519146271</v>
      </c>
      <c r="E591" s="1">
        <v>5</v>
      </c>
      <c r="F591" s="1" t="s">
        <v>1263</v>
      </c>
      <c r="G591" s="1" t="s">
        <v>1155</v>
      </c>
      <c r="H591" s="1" t="s">
        <v>86</v>
      </c>
      <c r="I591" s="1" t="s">
        <v>968</v>
      </c>
      <c r="K591" s="1" t="s">
        <v>969</v>
      </c>
      <c r="L591" s="1" t="str">
        <f t="shared" si="254"/>
        <v>IPP</v>
      </c>
      <c r="M591" s="1" t="s">
        <v>1232</v>
      </c>
      <c r="N591" s="1" t="s">
        <v>108</v>
      </c>
      <c r="P591" s="1">
        <v>940016</v>
      </c>
      <c r="Q591" s="1" t="s">
        <v>107</v>
      </c>
      <c r="R591" s="1">
        <v>3522241</v>
      </c>
      <c r="S591" s="1" t="s">
        <v>216</v>
      </c>
      <c r="T591" s="1" t="s">
        <v>88</v>
      </c>
      <c r="U591" s="1" t="s">
        <v>89</v>
      </c>
      <c r="V591" s="1" t="s">
        <v>217</v>
      </c>
      <c r="W591" s="1">
        <v>0.43</v>
      </c>
      <c r="X591" s="1">
        <v>1220</v>
      </c>
      <c r="Y591" s="1">
        <v>0</v>
      </c>
      <c r="Z591" s="3">
        <v>112</v>
      </c>
      <c r="AA591" s="3">
        <v>0</v>
      </c>
      <c r="AB591" s="3">
        <v>112</v>
      </c>
      <c r="AC591" s="3">
        <v>0</v>
      </c>
      <c r="AD591" s="3">
        <f t="shared" si="259"/>
        <v>112</v>
      </c>
      <c r="AE591" s="3">
        <v>0</v>
      </c>
      <c r="AF591" s="3">
        <v>0</v>
      </c>
      <c r="AG591" s="3">
        <v>0</v>
      </c>
      <c r="AH591" s="3">
        <v>112</v>
      </c>
      <c r="AI591" s="3">
        <v>0</v>
      </c>
      <c r="AJ591" s="3">
        <f t="shared" si="260"/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3">
        <f t="shared" si="255"/>
        <v>112</v>
      </c>
    </row>
    <row r="592" spans="1:42" x14ac:dyDescent="0.35">
      <c r="A592" s="1">
        <v>742</v>
      </c>
      <c r="B592" s="2">
        <v>45925</v>
      </c>
      <c r="C592" s="1" t="s">
        <v>46</v>
      </c>
      <c r="D592" s="1">
        <v>9519143205</v>
      </c>
      <c r="E592" s="1">
        <v>1</v>
      </c>
      <c r="F592" s="1" t="s">
        <v>1264</v>
      </c>
      <c r="G592" s="1" t="s">
        <v>1155</v>
      </c>
      <c r="H592" s="1" t="s">
        <v>21</v>
      </c>
      <c r="I592" s="1" t="s">
        <v>974</v>
      </c>
      <c r="K592" s="1" t="s">
        <v>969</v>
      </c>
      <c r="L592" s="1" t="s">
        <v>1421</v>
      </c>
      <c r="M592" s="1" t="s">
        <v>1231</v>
      </c>
      <c r="N592" s="1" t="s">
        <v>1273</v>
      </c>
      <c r="P592" s="1">
        <v>600250</v>
      </c>
      <c r="Q592" s="1" t="s">
        <v>43</v>
      </c>
      <c r="R592" s="1">
        <v>2439203</v>
      </c>
      <c r="S592" s="1" t="s">
        <v>146</v>
      </c>
      <c r="T592" s="1" t="s">
        <v>28</v>
      </c>
      <c r="U592" s="1" t="s">
        <v>117</v>
      </c>
      <c r="V592" s="1" t="s">
        <v>118</v>
      </c>
      <c r="W592" s="1">
        <v>0.5</v>
      </c>
      <c r="X592" s="1">
        <v>1160</v>
      </c>
      <c r="Y592" s="1">
        <v>0</v>
      </c>
      <c r="Z592" s="3">
        <v>297</v>
      </c>
      <c r="AA592" s="3">
        <v>169.27</v>
      </c>
      <c r="AB592" s="3">
        <v>127.73</v>
      </c>
      <c r="AC592" s="3">
        <v>24.39</v>
      </c>
      <c r="AD592" s="3">
        <f t="shared" si="259"/>
        <v>127.73</v>
      </c>
      <c r="AE592" s="3">
        <v>127.73</v>
      </c>
      <c r="AF592" s="3">
        <v>0</v>
      </c>
      <c r="AG592" s="3">
        <v>0</v>
      </c>
      <c r="AH592" s="3">
        <v>0</v>
      </c>
      <c r="AI592" s="3">
        <v>0</v>
      </c>
      <c r="AJ592" s="3">
        <f t="shared" si="260"/>
        <v>152.12</v>
      </c>
      <c r="AK592" s="1">
        <v>0</v>
      </c>
      <c r="AL592" s="3">
        <f>AE592+AC592</f>
        <v>152.12</v>
      </c>
      <c r="AM592" s="1">
        <v>0</v>
      </c>
      <c r="AN592" s="1">
        <v>0</v>
      </c>
      <c r="AO592" s="1">
        <v>0</v>
      </c>
      <c r="AP592" s="3">
        <f t="shared" si="255"/>
        <v>0</v>
      </c>
    </row>
    <row r="593" spans="1:42" x14ac:dyDescent="0.35">
      <c r="A593" s="1">
        <v>743</v>
      </c>
      <c r="B593" s="2">
        <v>45927</v>
      </c>
      <c r="C593" s="1" t="s">
        <v>64</v>
      </c>
      <c r="D593" s="1">
        <v>9519149928</v>
      </c>
      <c r="E593" s="1">
        <v>4</v>
      </c>
      <c r="F593" s="1" t="s">
        <v>1265</v>
      </c>
      <c r="G593" s="1" t="s">
        <v>1155</v>
      </c>
      <c r="H593" s="1" t="s">
        <v>63</v>
      </c>
      <c r="I593" s="1" t="s">
        <v>1368</v>
      </c>
      <c r="K593" s="1" t="s">
        <v>970</v>
      </c>
      <c r="L593" s="1" t="str">
        <f t="shared" ref="L593:L622" si="261">K593</f>
        <v>BPRS</v>
      </c>
      <c r="M593" s="1" t="s">
        <v>1231</v>
      </c>
      <c r="N593" s="1" t="s">
        <v>242</v>
      </c>
      <c r="P593" s="1">
        <v>117583</v>
      </c>
      <c r="Q593" s="1" t="s">
        <v>250</v>
      </c>
      <c r="R593" s="1">
        <v>1854399</v>
      </c>
      <c r="S593" s="1" t="s">
        <v>201</v>
      </c>
      <c r="T593" s="1" t="s">
        <v>139</v>
      </c>
      <c r="U593" s="1" t="s">
        <v>140</v>
      </c>
      <c r="V593" s="1" t="s">
        <v>150</v>
      </c>
      <c r="W593" s="1">
        <v>0.35</v>
      </c>
      <c r="X593" s="1">
        <v>1220</v>
      </c>
      <c r="Y593" s="1">
        <v>0</v>
      </c>
      <c r="Z593" s="3">
        <v>112</v>
      </c>
      <c r="AA593" s="3">
        <v>0</v>
      </c>
      <c r="AB593" s="3">
        <v>112</v>
      </c>
      <c r="AC593" s="3">
        <v>0</v>
      </c>
      <c r="AD593" s="3">
        <f t="shared" si="259"/>
        <v>112</v>
      </c>
      <c r="AE593" s="3">
        <v>0</v>
      </c>
      <c r="AF593" s="3">
        <v>112</v>
      </c>
      <c r="AG593" s="3">
        <v>0</v>
      </c>
      <c r="AH593" s="3">
        <v>0</v>
      </c>
      <c r="AI593" s="3">
        <v>0</v>
      </c>
      <c r="AJ593" s="3">
        <f t="shared" si="260"/>
        <v>112</v>
      </c>
      <c r="AK593" s="1">
        <v>0</v>
      </c>
      <c r="AL593" s="1">
        <v>0</v>
      </c>
      <c r="AM593" s="3">
        <f>AF593</f>
        <v>112</v>
      </c>
      <c r="AN593" s="1">
        <v>0</v>
      </c>
      <c r="AO593" s="1">
        <v>0</v>
      </c>
      <c r="AP593" s="3">
        <f t="shared" si="255"/>
        <v>0</v>
      </c>
    </row>
    <row r="594" spans="1:42" x14ac:dyDescent="0.35">
      <c r="A594" s="1">
        <v>744</v>
      </c>
      <c r="B594" s="2">
        <v>45925</v>
      </c>
      <c r="C594" s="1" t="s">
        <v>64</v>
      </c>
      <c r="D594" s="1">
        <v>9519142346</v>
      </c>
      <c r="E594" s="1">
        <v>1</v>
      </c>
      <c r="F594" s="1" t="s">
        <v>1266</v>
      </c>
      <c r="G594" s="1" t="s">
        <v>1155</v>
      </c>
      <c r="H594" s="1" t="s">
        <v>86</v>
      </c>
      <c r="I594" s="1" t="s">
        <v>968</v>
      </c>
      <c r="K594" s="1" t="s">
        <v>969</v>
      </c>
      <c r="L594" s="1" t="str">
        <f t="shared" si="261"/>
        <v>IPP</v>
      </c>
      <c r="M594" s="1" t="s">
        <v>1232</v>
      </c>
      <c r="N594" s="1" t="s">
        <v>108</v>
      </c>
      <c r="P594" s="1">
        <v>940016</v>
      </c>
      <c r="Q594" s="1" t="s">
        <v>107</v>
      </c>
      <c r="R594" s="1">
        <v>3521297</v>
      </c>
      <c r="S594" s="1" t="s">
        <v>1274</v>
      </c>
      <c r="T594" s="1" t="s">
        <v>88</v>
      </c>
      <c r="U594" s="1" t="s">
        <v>89</v>
      </c>
      <c r="V594" s="1" t="s">
        <v>217</v>
      </c>
      <c r="W594" s="1">
        <v>0.3</v>
      </c>
      <c r="X594" s="1">
        <v>1220</v>
      </c>
      <c r="Y594" s="1">
        <v>0</v>
      </c>
      <c r="Z594" s="3">
        <v>28</v>
      </c>
      <c r="AA594" s="3">
        <v>0</v>
      </c>
      <c r="AB594" s="3">
        <v>28</v>
      </c>
      <c r="AC594" s="3">
        <v>0</v>
      </c>
      <c r="AD594" s="3">
        <f t="shared" si="259"/>
        <v>28</v>
      </c>
      <c r="AE594" s="3">
        <v>0</v>
      </c>
      <c r="AF594" s="3">
        <v>28</v>
      </c>
      <c r="AG594" s="3">
        <v>0</v>
      </c>
      <c r="AH594" s="3">
        <v>0</v>
      </c>
      <c r="AI594" s="3">
        <v>0</v>
      </c>
      <c r="AJ594" s="3">
        <f t="shared" si="260"/>
        <v>28</v>
      </c>
      <c r="AK594" s="1">
        <v>0</v>
      </c>
      <c r="AL594" s="1">
        <v>0</v>
      </c>
      <c r="AM594" s="3">
        <f t="shared" ref="AM594:AM595" si="262">AF594</f>
        <v>28</v>
      </c>
      <c r="AN594" s="1">
        <v>0</v>
      </c>
      <c r="AO594" s="1">
        <v>0</v>
      </c>
      <c r="AP594" s="3">
        <f t="shared" si="255"/>
        <v>0</v>
      </c>
    </row>
    <row r="595" spans="1:42" x14ac:dyDescent="0.35">
      <c r="A595" s="1">
        <v>744</v>
      </c>
      <c r="B595" s="2">
        <v>45925</v>
      </c>
      <c r="C595" s="1" t="s">
        <v>64</v>
      </c>
      <c r="D595" s="1">
        <v>9519142346</v>
      </c>
      <c r="E595" s="1">
        <v>2</v>
      </c>
      <c r="F595" s="1" t="s">
        <v>1267</v>
      </c>
      <c r="G595" s="1" t="s">
        <v>1155</v>
      </c>
      <c r="H595" s="1" t="s">
        <v>86</v>
      </c>
      <c r="I595" s="1" t="s">
        <v>968</v>
      </c>
      <c r="K595" s="1" t="s">
        <v>969</v>
      </c>
      <c r="L595" s="1" t="str">
        <f t="shared" si="261"/>
        <v>IPP</v>
      </c>
      <c r="M595" s="1" t="s">
        <v>1232</v>
      </c>
      <c r="N595" s="1" t="s">
        <v>108</v>
      </c>
      <c r="P595" s="1">
        <v>940016</v>
      </c>
      <c r="Q595" s="1" t="s">
        <v>107</v>
      </c>
      <c r="R595" s="1">
        <v>3521297</v>
      </c>
      <c r="S595" s="1" t="s">
        <v>1274</v>
      </c>
      <c r="T595" s="1" t="s">
        <v>88</v>
      </c>
      <c r="U595" s="1" t="s">
        <v>89</v>
      </c>
      <c r="V595" s="1" t="s">
        <v>217</v>
      </c>
      <c r="W595" s="1">
        <v>0.3</v>
      </c>
      <c r="X595" s="1">
        <v>1220</v>
      </c>
      <c r="Y595" s="1">
        <v>0</v>
      </c>
      <c r="Z595" s="3">
        <v>28</v>
      </c>
      <c r="AA595" s="3">
        <v>0</v>
      </c>
      <c r="AB595" s="3">
        <v>28</v>
      </c>
      <c r="AC595" s="3">
        <v>0</v>
      </c>
      <c r="AD595" s="3">
        <f t="shared" si="259"/>
        <v>28</v>
      </c>
      <c r="AE595" s="3">
        <v>0</v>
      </c>
      <c r="AF595" s="3">
        <v>28</v>
      </c>
      <c r="AG595" s="3">
        <v>0</v>
      </c>
      <c r="AH595" s="3">
        <v>0</v>
      </c>
      <c r="AI595" s="3">
        <v>0</v>
      </c>
      <c r="AJ595" s="3">
        <f t="shared" si="260"/>
        <v>28</v>
      </c>
      <c r="AK595" s="1">
        <v>0</v>
      </c>
      <c r="AL595" s="1">
        <v>0</v>
      </c>
      <c r="AM595" s="3">
        <f t="shared" si="262"/>
        <v>28</v>
      </c>
      <c r="AN595" s="1">
        <v>0</v>
      </c>
      <c r="AO595" s="1">
        <v>0</v>
      </c>
      <c r="AP595" s="3">
        <f t="shared" si="255"/>
        <v>0</v>
      </c>
    </row>
    <row r="596" spans="1:42" x14ac:dyDescent="0.35">
      <c r="A596" s="1">
        <v>744</v>
      </c>
      <c r="B596" s="2">
        <v>45926</v>
      </c>
      <c r="C596" s="1" t="s">
        <v>64</v>
      </c>
      <c r="D596" s="1">
        <v>9519146150</v>
      </c>
      <c r="E596" s="1">
        <v>2</v>
      </c>
      <c r="F596" s="1" t="s">
        <v>1268</v>
      </c>
      <c r="G596" s="1" t="s">
        <v>1155</v>
      </c>
      <c r="H596" s="1" t="s">
        <v>86</v>
      </c>
      <c r="I596" s="1" t="s">
        <v>968</v>
      </c>
      <c r="K596" s="1" t="s">
        <v>969</v>
      </c>
      <c r="L596" s="1" t="str">
        <f t="shared" si="261"/>
        <v>IPP</v>
      </c>
      <c r="M596" s="1" t="s">
        <v>1232</v>
      </c>
      <c r="N596" s="1" t="s">
        <v>108</v>
      </c>
      <c r="P596" s="1">
        <v>940016</v>
      </c>
      <c r="Q596" s="1" t="s">
        <v>107</v>
      </c>
      <c r="R596" s="1">
        <v>3522241</v>
      </c>
      <c r="S596" s="1" t="s">
        <v>216</v>
      </c>
      <c r="T596" s="1" t="s">
        <v>88</v>
      </c>
      <c r="U596" s="1" t="s">
        <v>89</v>
      </c>
      <c r="V596" s="1" t="s">
        <v>217</v>
      </c>
      <c r="W596" s="1">
        <v>0.43</v>
      </c>
      <c r="X596" s="1">
        <v>1220</v>
      </c>
      <c r="Y596" s="1">
        <v>0</v>
      </c>
      <c r="Z596" s="3">
        <v>28</v>
      </c>
      <c r="AA596" s="3">
        <v>0</v>
      </c>
      <c r="AB596" s="3">
        <v>28</v>
      </c>
      <c r="AC596" s="3">
        <v>0</v>
      </c>
      <c r="AD596" s="3">
        <f t="shared" si="259"/>
        <v>28</v>
      </c>
      <c r="AE596" s="3">
        <v>0</v>
      </c>
      <c r="AF596" s="3">
        <v>0</v>
      </c>
      <c r="AG596" s="3">
        <v>0</v>
      </c>
      <c r="AH596" s="3">
        <v>28</v>
      </c>
      <c r="AI596" s="3">
        <v>0</v>
      </c>
      <c r="AJ596" s="3">
        <f t="shared" si="260"/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3">
        <f t="shared" si="255"/>
        <v>28</v>
      </c>
    </row>
    <row r="597" spans="1:42" x14ac:dyDescent="0.35">
      <c r="A597" s="1">
        <v>744</v>
      </c>
      <c r="B597" s="2">
        <v>45925</v>
      </c>
      <c r="C597" s="1" t="s">
        <v>64</v>
      </c>
      <c r="D597" s="1">
        <v>9519142746</v>
      </c>
      <c r="E597" s="1">
        <v>1</v>
      </c>
      <c r="F597" s="1" t="s">
        <v>1269</v>
      </c>
      <c r="G597" s="1" t="s">
        <v>1155</v>
      </c>
      <c r="H597" s="1" t="s">
        <v>86</v>
      </c>
      <c r="I597" s="1" t="s">
        <v>968</v>
      </c>
      <c r="K597" s="1" t="s">
        <v>969</v>
      </c>
      <c r="L597" s="1" t="str">
        <f t="shared" si="261"/>
        <v>IPP</v>
      </c>
      <c r="M597" s="1" t="s">
        <v>1232</v>
      </c>
      <c r="N597" s="1" t="s">
        <v>108</v>
      </c>
      <c r="P597" s="1">
        <v>940016</v>
      </c>
      <c r="Q597" s="1" t="s">
        <v>107</v>
      </c>
      <c r="R597" s="1">
        <v>4001001</v>
      </c>
      <c r="S597" s="1" t="s">
        <v>1275</v>
      </c>
      <c r="T597" s="1" t="s">
        <v>88</v>
      </c>
      <c r="U597" s="1" t="s">
        <v>89</v>
      </c>
      <c r="V597" s="1" t="s">
        <v>143</v>
      </c>
      <c r="W597" s="1">
        <v>0.63</v>
      </c>
      <c r="X597" s="1">
        <v>1220</v>
      </c>
      <c r="Y597" s="1">
        <v>0</v>
      </c>
      <c r="Z597" s="3">
        <v>56</v>
      </c>
      <c r="AA597" s="3">
        <v>0</v>
      </c>
      <c r="AB597" s="3">
        <v>56</v>
      </c>
      <c r="AC597" s="3">
        <v>0</v>
      </c>
      <c r="AD597" s="3">
        <f t="shared" si="259"/>
        <v>56</v>
      </c>
      <c r="AE597" s="3">
        <v>0</v>
      </c>
      <c r="AF597" s="3">
        <v>56</v>
      </c>
      <c r="AG597" s="3">
        <v>0</v>
      </c>
      <c r="AH597" s="3">
        <v>0</v>
      </c>
      <c r="AI597" s="3">
        <v>0</v>
      </c>
      <c r="AJ597" s="3">
        <f t="shared" si="260"/>
        <v>56</v>
      </c>
      <c r="AK597" s="1">
        <v>0</v>
      </c>
      <c r="AL597" s="1">
        <v>0</v>
      </c>
      <c r="AM597" s="3">
        <f t="shared" ref="AM597:AM599" si="263">AF597</f>
        <v>56</v>
      </c>
      <c r="AN597" s="1">
        <v>0</v>
      </c>
      <c r="AO597" s="1">
        <v>0</v>
      </c>
      <c r="AP597" s="3">
        <f t="shared" si="255"/>
        <v>0</v>
      </c>
    </row>
    <row r="598" spans="1:42" x14ac:dyDescent="0.35">
      <c r="A598" s="1">
        <v>744</v>
      </c>
      <c r="B598" s="2">
        <v>45925</v>
      </c>
      <c r="C598" s="1" t="s">
        <v>64</v>
      </c>
      <c r="D598" s="1">
        <v>9519142346</v>
      </c>
      <c r="E598" s="1">
        <v>3</v>
      </c>
      <c r="F598" s="1" t="s">
        <v>1270</v>
      </c>
      <c r="G598" s="1" t="s">
        <v>1155</v>
      </c>
      <c r="H598" s="1" t="s">
        <v>86</v>
      </c>
      <c r="I598" s="1" t="s">
        <v>968</v>
      </c>
      <c r="K598" s="1" t="s">
        <v>969</v>
      </c>
      <c r="L598" s="1" t="str">
        <f t="shared" si="261"/>
        <v>IPP</v>
      </c>
      <c r="M598" s="1" t="s">
        <v>1232</v>
      </c>
      <c r="N598" s="1" t="s">
        <v>108</v>
      </c>
      <c r="P598" s="1">
        <v>940016</v>
      </c>
      <c r="Q598" s="1" t="s">
        <v>107</v>
      </c>
      <c r="R598" s="1">
        <v>3521297</v>
      </c>
      <c r="S598" s="1" t="s">
        <v>1274</v>
      </c>
      <c r="T598" s="1" t="s">
        <v>88</v>
      </c>
      <c r="U598" s="1" t="s">
        <v>89</v>
      </c>
      <c r="V598" s="1" t="s">
        <v>217</v>
      </c>
      <c r="W598" s="1">
        <v>0.3</v>
      </c>
      <c r="X598" s="1">
        <v>1220</v>
      </c>
      <c r="Y598" s="1">
        <v>0</v>
      </c>
      <c r="Z598" s="3">
        <v>28</v>
      </c>
      <c r="AA598" s="3">
        <v>0</v>
      </c>
      <c r="AB598" s="3">
        <v>28</v>
      </c>
      <c r="AC598" s="3">
        <v>0</v>
      </c>
      <c r="AD598" s="3">
        <f t="shared" si="259"/>
        <v>28</v>
      </c>
      <c r="AE598" s="3">
        <v>0</v>
      </c>
      <c r="AF598" s="3">
        <v>28</v>
      </c>
      <c r="AG598" s="3">
        <v>0</v>
      </c>
      <c r="AH598" s="3">
        <v>0</v>
      </c>
      <c r="AI598" s="3">
        <v>0</v>
      </c>
      <c r="AJ598" s="3">
        <f t="shared" si="260"/>
        <v>28</v>
      </c>
      <c r="AK598" s="1">
        <v>0</v>
      </c>
      <c r="AL598" s="1">
        <v>0</v>
      </c>
      <c r="AM598" s="3">
        <f t="shared" si="263"/>
        <v>28</v>
      </c>
      <c r="AN598" s="1">
        <v>0</v>
      </c>
      <c r="AO598" s="1">
        <v>0</v>
      </c>
      <c r="AP598" s="3">
        <f t="shared" si="255"/>
        <v>0</v>
      </c>
    </row>
    <row r="599" spans="1:42" x14ac:dyDescent="0.35">
      <c r="A599" s="1">
        <v>744</v>
      </c>
      <c r="B599" s="2">
        <v>45925</v>
      </c>
      <c r="C599" s="1" t="s">
        <v>64</v>
      </c>
      <c r="D599" s="1">
        <v>9519142346</v>
      </c>
      <c r="E599" s="1">
        <v>4</v>
      </c>
      <c r="F599" s="1" t="s">
        <v>1271</v>
      </c>
      <c r="G599" s="1" t="s">
        <v>1155</v>
      </c>
      <c r="H599" s="1" t="s">
        <v>86</v>
      </c>
      <c r="I599" s="1" t="s">
        <v>968</v>
      </c>
      <c r="K599" s="1" t="s">
        <v>969</v>
      </c>
      <c r="L599" s="1" t="str">
        <f t="shared" si="261"/>
        <v>IPP</v>
      </c>
      <c r="M599" s="1" t="s">
        <v>1232</v>
      </c>
      <c r="N599" s="1" t="s">
        <v>108</v>
      </c>
      <c r="P599" s="1">
        <v>940016</v>
      </c>
      <c r="Q599" s="1" t="s">
        <v>107</v>
      </c>
      <c r="R599" s="1">
        <v>3521297</v>
      </c>
      <c r="S599" s="1" t="s">
        <v>1274</v>
      </c>
      <c r="T599" s="1" t="s">
        <v>88</v>
      </c>
      <c r="U599" s="1" t="s">
        <v>89</v>
      </c>
      <c r="V599" s="1" t="s">
        <v>217</v>
      </c>
      <c r="W599" s="1">
        <v>0.3</v>
      </c>
      <c r="X599" s="1">
        <v>1220</v>
      </c>
      <c r="Y599" s="1">
        <v>0</v>
      </c>
      <c r="Z599" s="3">
        <v>28</v>
      </c>
      <c r="AA599" s="3">
        <v>0</v>
      </c>
      <c r="AB599" s="3">
        <v>28</v>
      </c>
      <c r="AC599" s="3">
        <v>0</v>
      </c>
      <c r="AD599" s="3">
        <f t="shared" si="259"/>
        <v>28</v>
      </c>
      <c r="AE599" s="3">
        <v>0</v>
      </c>
      <c r="AF599" s="3">
        <v>28</v>
      </c>
      <c r="AG599" s="3">
        <v>0</v>
      </c>
      <c r="AH599" s="3">
        <v>0</v>
      </c>
      <c r="AI599" s="3">
        <v>0</v>
      </c>
      <c r="AJ599" s="3">
        <f t="shared" si="260"/>
        <v>28</v>
      </c>
      <c r="AK599" s="1">
        <v>0</v>
      </c>
      <c r="AL599" s="1">
        <v>0</v>
      </c>
      <c r="AM599" s="3">
        <f t="shared" si="263"/>
        <v>28</v>
      </c>
      <c r="AN599" s="1">
        <v>0</v>
      </c>
      <c r="AO599" s="1">
        <v>0</v>
      </c>
      <c r="AP599" s="3">
        <f t="shared" si="255"/>
        <v>0</v>
      </c>
    </row>
    <row r="600" spans="1:42" x14ac:dyDescent="0.35">
      <c r="A600" s="1">
        <v>744</v>
      </c>
      <c r="B600" s="2">
        <v>45926</v>
      </c>
      <c r="C600" s="1" t="s">
        <v>64</v>
      </c>
      <c r="D600" s="1">
        <v>9519146150</v>
      </c>
      <c r="E600" s="1">
        <v>1</v>
      </c>
      <c r="F600" s="1" t="s">
        <v>1272</v>
      </c>
      <c r="G600" s="1" t="s">
        <v>1155</v>
      </c>
      <c r="H600" s="1" t="s">
        <v>86</v>
      </c>
      <c r="I600" s="1" t="s">
        <v>968</v>
      </c>
      <c r="K600" s="1" t="s">
        <v>969</v>
      </c>
      <c r="L600" s="1" t="str">
        <f t="shared" si="261"/>
        <v>IPP</v>
      </c>
      <c r="M600" s="1" t="s">
        <v>1232</v>
      </c>
      <c r="N600" s="1" t="s">
        <v>108</v>
      </c>
      <c r="P600" s="1">
        <v>940016</v>
      </c>
      <c r="Q600" s="1" t="s">
        <v>107</v>
      </c>
      <c r="R600" s="1">
        <v>3522241</v>
      </c>
      <c r="S600" s="1" t="s">
        <v>216</v>
      </c>
      <c r="T600" s="1" t="s">
        <v>88</v>
      </c>
      <c r="U600" s="1" t="s">
        <v>89</v>
      </c>
      <c r="V600" s="1" t="s">
        <v>217</v>
      </c>
      <c r="W600" s="1">
        <v>0.43</v>
      </c>
      <c r="X600" s="1">
        <v>1220</v>
      </c>
      <c r="Y600" s="1">
        <v>0</v>
      </c>
      <c r="Z600" s="3">
        <v>280</v>
      </c>
      <c r="AA600" s="3">
        <v>0</v>
      </c>
      <c r="AB600" s="3">
        <v>280</v>
      </c>
      <c r="AC600" s="3">
        <v>0</v>
      </c>
      <c r="AD600" s="3">
        <f t="shared" si="259"/>
        <v>280</v>
      </c>
      <c r="AE600" s="3">
        <v>0</v>
      </c>
      <c r="AF600" s="3">
        <v>0</v>
      </c>
      <c r="AG600" s="3">
        <v>0</v>
      </c>
      <c r="AH600" s="3">
        <v>280</v>
      </c>
      <c r="AI600" s="3">
        <v>0</v>
      </c>
      <c r="AJ600" s="3">
        <f t="shared" si="260"/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3">
        <f t="shared" si="255"/>
        <v>280</v>
      </c>
    </row>
    <row r="601" spans="1:42" x14ac:dyDescent="0.35">
      <c r="A601" s="1">
        <v>743</v>
      </c>
      <c r="B601" s="2">
        <v>45926</v>
      </c>
      <c r="C601" s="1" t="s">
        <v>64</v>
      </c>
      <c r="D601" s="1">
        <v>9519144936</v>
      </c>
      <c r="E601" s="1">
        <v>4</v>
      </c>
      <c r="F601" s="1" t="s">
        <v>1276</v>
      </c>
      <c r="G601" s="1" t="s">
        <v>1155</v>
      </c>
      <c r="H601" s="1" t="s">
        <v>56</v>
      </c>
      <c r="I601" s="1" t="s">
        <v>57</v>
      </c>
      <c r="K601" s="1" t="s">
        <v>969</v>
      </c>
      <c r="L601" s="1" t="str">
        <f t="shared" si="261"/>
        <v>IPP</v>
      </c>
      <c r="M601" s="1" t="s">
        <v>1016</v>
      </c>
      <c r="N601" s="1" t="s">
        <v>1132</v>
      </c>
      <c r="P601" s="1">
        <v>188152</v>
      </c>
      <c r="Q601" s="1" t="s">
        <v>1281</v>
      </c>
      <c r="R601" s="1">
        <v>3886090</v>
      </c>
      <c r="S601" s="1" t="s">
        <v>427</v>
      </c>
      <c r="T601" s="1" t="s">
        <v>60</v>
      </c>
      <c r="U601" s="1" t="s">
        <v>61</v>
      </c>
      <c r="V601" s="1" t="s">
        <v>129</v>
      </c>
      <c r="W601" s="1">
        <v>0.9</v>
      </c>
      <c r="X601" s="1">
        <v>1250</v>
      </c>
      <c r="Y601" s="1">
        <v>0</v>
      </c>
      <c r="Z601" s="3">
        <v>203</v>
      </c>
      <c r="AA601" s="3">
        <v>0</v>
      </c>
      <c r="AB601" s="3">
        <v>203</v>
      </c>
      <c r="AC601" s="3">
        <v>0</v>
      </c>
      <c r="AD601" s="3">
        <f t="shared" si="259"/>
        <v>203</v>
      </c>
      <c r="AE601" s="3">
        <v>0</v>
      </c>
      <c r="AF601" s="3">
        <v>0</v>
      </c>
      <c r="AG601" s="3">
        <v>203</v>
      </c>
      <c r="AH601" s="3">
        <v>0</v>
      </c>
      <c r="AI601" s="3">
        <v>0</v>
      </c>
      <c r="AJ601" s="3">
        <f t="shared" si="260"/>
        <v>203</v>
      </c>
      <c r="AK601" s="1">
        <v>0</v>
      </c>
      <c r="AL601" s="1">
        <v>0</v>
      </c>
      <c r="AM601" s="1">
        <v>0</v>
      </c>
      <c r="AN601" s="3">
        <f>AG601</f>
        <v>203</v>
      </c>
      <c r="AO601" s="1">
        <v>0</v>
      </c>
      <c r="AP601" s="3">
        <f t="shared" si="255"/>
        <v>0</v>
      </c>
    </row>
    <row r="602" spans="1:42" x14ac:dyDescent="0.35">
      <c r="A602" s="1">
        <v>743</v>
      </c>
      <c r="B602" s="2">
        <v>45927</v>
      </c>
      <c r="C602" s="1" t="s">
        <v>64</v>
      </c>
      <c r="D602" s="1">
        <v>9519148419</v>
      </c>
      <c r="E602" s="1">
        <v>3</v>
      </c>
      <c r="F602" s="1" t="s">
        <v>1277</v>
      </c>
      <c r="G602" s="1" t="s">
        <v>1155</v>
      </c>
      <c r="H602" s="1" t="s">
        <v>56</v>
      </c>
      <c r="I602" s="1" t="s">
        <v>57</v>
      </c>
      <c r="K602" s="1" t="s">
        <v>969</v>
      </c>
      <c r="L602" s="1" t="str">
        <f t="shared" si="261"/>
        <v>IPP</v>
      </c>
      <c r="M602" s="1" t="s">
        <v>1232</v>
      </c>
      <c r="N602" s="1" t="s">
        <v>1135</v>
      </c>
      <c r="P602" s="1">
        <v>942283</v>
      </c>
      <c r="Q602" s="1" t="s">
        <v>1174</v>
      </c>
      <c r="R602" s="1">
        <v>1882051</v>
      </c>
      <c r="S602" s="1" t="s">
        <v>392</v>
      </c>
      <c r="T602" s="1" t="s">
        <v>60</v>
      </c>
      <c r="U602" s="1" t="s">
        <v>61</v>
      </c>
      <c r="V602" s="1" t="s">
        <v>103</v>
      </c>
      <c r="W602" s="1">
        <v>0.9</v>
      </c>
      <c r="X602" s="1">
        <v>1250</v>
      </c>
      <c r="Y602" s="1">
        <v>0</v>
      </c>
      <c r="Z602" s="3">
        <v>290</v>
      </c>
      <c r="AA602" s="3">
        <v>0</v>
      </c>
      <c r="AB602" s="3">
        <v>290</v>
      </c>
      <c r="AC602" s="3">
        <v>0</v>
      </c>
      <c r="AD602" s="3">
        <f t="shared" si="259"/>
        <v>290</v>
      </c>
      <c r="AE602" s="3">
        <v>0</v>
      </c>
      <c r="AF602" s="3">
        <v>0</v>
      </c>
      <c r="AG602" s="3">
        <v>0</v>
      </c>
      <c r="AH602" s="3">
        <v>290</v>
      </c>
      <c r="AI602" s="3">
        <v>0</v>
      </c>
      <c r="AJ602" s="3">
        <f t="shared" si="260"/>
        <v>0</v>
      </c>
      <c r="AK602" s="1">
        <v>0</v>
      </c>
      <c r="AL602" s="1">
        <v>0</v>
      </c>
      <c r="AM602" s="1">
        <v>0</v>
      </c>
      <c r="AN602" s="3">
        <v>0</v>
      </c>
      <c r="AO602" s="1">
        <v>0</v>
      </c>
      <c r="AP602" s="3">
        <f t="shared" si="255"/>
        <v>290</v>
      </c>
    </row>
    <row r="603" spans="1:42" x14ac:dyDescent="0.35">
      <c r="A603" s="1">
        <v>743</v>
      </c>
      <c r="B603" s="2">
        <v>45927</v>
      </c>
      <c r="C603" s="1" t="s">
        <v>64</v>
      </c>
      <c r="D603" s="1">
        <v>9519148419</v>
      </c>
      <c r="E603" s="1">
        <v>4</v>
      </c>
      <c r="F603" s="1" t="s">
        <v>1278</v>
      </c>
      <c r="G603" s="1" t="s">
        <v>1155</v>
      </c>
      <c r="H603" s="1" t="s">
        <v>56</v>
      </c>
      <c r="I603" s="1" t="s">
        <v>57</v>
      </c>
      <c r="J603" s="1">
        <v>5000</v>
      </c>
      <c r="K603" s="1" t="s">
        <v>969</v>
      </c>
      <c r="L603" s="1" t="str">
        <f t="shared" si="261"/>
        <v>IPP</v>
      </c>
      <c r="M603" s="1" t="s">
        <v>1232</v>
      </c>
      <c r="N603" s="1" t="s">
        <v>1135</v>
      </c>
      <c r="P603" s="1">
        <v>942283</v>
      </c>
      <c r="Q603" s="1" t="s">
        <v>1174</v>
      </c>
      <c r="R603" s="1">
        <v>1882051</v>
      </c>
      <c r="S603" s="1" t="s">
        <v>392</v>
      </c>
      <c r="T603" s="1" t="s">
        <v>60</v>
      </c>
      <c r="U603" s="1" t="s">
        <v>61</v>
      </c>
      <c r="V603" s="1" t="s">
        <v>103</v>
      </c>
      <c r="W603" s="1">
        <v>0.9</v>
      </c>
      <c r="X603" s="1">
        <v>1250</v>
      </c>
      <c r="Y603" s="1">
        <v>0</v>
      </c>
      <c r="Z603" s="3">
        <v>145</v>
      </c>
      <c r="AA603" s="3">
        <v>0</v>
      </c>
      <c r="AB603" s="3">
        <v>145</v>
      </c>
      <c r="AC603" s="3">
        <v>0</v>
      </c>
      <c r="AD603" s="3">
        <f t="shared" si="259"/>
        <v>145</v>
      </c>
      <c r="AE603" s="3">
        <v>0</v>
      </c>
      <c r="AF603" s="3">
        <v>0</v>
      </c>
      <c r="AG603" s="3">
        <v>145</v>
      </c>
      <c r="AH603" s="3">
        <v>0</v>
      </c>
      <c r="AI603" s="3">
        <v>0</v>
      </c>
      <c r="AJ603" s="3">
        <f t="shared" si="260"/>
        <v>0</v>
      </c>
      <c r="AK603" s="1">
        <v>0</v>
      </c>
      <c r="AL603" s="1">
        <v>0</v>
      </c>
      <c r="AM603" s="1">
        <v>0</v>
      </c>
      <c r="AN603" s="3">
        <v>0</v>
      </c>
      <c r="AO603" s="1">
        <v>0</v>
      </c>
      <c r="AP603" s="3">
        <f t="shared" si="255"/>
        <v>145</v>
      </c>
    </row>
    <row r="604" spans="1:42" x14ac:dyDescent="0.35">
      <c r="A604" s="1">
        <v>744</v>
      </c>
      <c r="B604" s="2">
        <v>45926</v>
      </c>
      <c r="C604" s="1" t="s">
        <v>64</v>
      </c>
      <c r="D604" s="1">
        <v>9519146150</v>
      </c>
      <c r="E604" s="1">
        <v>3</v>
      </c>
      <c r="F604" s="1" t="s">
        <v>1279</v>
      </c>
      <c r="G604" s="1" t="s">
        <v>1155</v>
      </c>
      <c r="H604" s="1" t="s">
        <v>86</v>
      </c>
      <c r="I604" s="1" t="s">
        <v>968</v>
      </c>
      <c r="K604" s="1" t="s">
        <v>969</v>
      </c>
      <c r="L604" s="1" t="str">
        <f t="shared" si="261"/>
        <v>IPP</v>
      </c>
      <c r="M604" s="1" t="s">
        <v>1232</v>
      </c>
      <c r="N604" s="1" t="s">
        <v>1135</v>
      </c>
      <c r="P604" s="1">
        <v>940016</v>
      </c>
      <c r="Q604" s="1" t="s">
        <v>107</v>
      </c>
      <c r="R604" s="1">
        <v>3522241</v>
      </c>
      <c r="S604" s="1" t="s">
        <v>216</v>
      </c>
      <c r="T604" s="1" t="s">
        <v>88</v>
      </c>
      <c r="U604" s="1" t="s">
        <v>89</v>
      </c>
      <c r="V604" s="1" t="s">
        <v>217</v>
      </c>
      <c r="W604" s="1">
        <v>0.43</v>
      </c>
      <c r="X604" s="1">
        <v>1220</v>
      </c>
      <c r="Y604" s="1">
        <v>0</v>
      </c>
      <c r="Z604" s="3">
        <v>84</v>
      </c>
      <c r="AA604" s="3">
        <v>0</v>
      </c>
      <c r="AB604" s="3">
        <v>84</v>
      </c>
      <c r="AC604" s="3">
        <v>0</v>
      </c>
      <c r="AD604" s="3">
        <f t="shared" si="259"/>
        <v>84</v>
      </c>
      <c r="AE604" s="3">
        <v>0</v>
      </c>
      <c r="AF604" s="3">
        <v>0</v>
      </c>
      <c r="AG604" s="3">
        <v>0</v>
      </c>
      <c r="AH604" s="3">
        <v>84</v>
      </c>
      <c r="AI604" s="3">
        <v>0</v>
      </c>
      <c r="AJ604" s="3">
        <f t="shared" si="260"/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3">
        <f t="shared" si="255"/>
        <v>84</v>
      </c>
    </row>
    <row r="605" spans="1:42" x14ac:dyDescent="0.35">
      <c r="A605" s="1">
        <v>744</v>
      </c>
      <c r="B605" s="2">
        <v>45926</v>
      </c>
      <c r="C605" s="1" t="s">
        <v>64</v>
      </c>
      <c r="D605" s="1">
        <v>9519146199</v>
      </c>
      <c r="E605" s="1">
        <v>5</v>
      </c>
      <c r="F605" s="1" t="s">
        <v>1280</v>
      </c>
      <c r="G605" s="1" t="s">
        <v>1155</v>
      </c>
      <c r="H605" s="1" t="s">
        <v>86</v>
      </c>
      <c r="I605" s="1" t="s">
        <v>968</v>
      </c>
      <c r="K605" s="1" t="s">
        <v>969</v>
      </c>
      <c r="L605" s="1" t="str">
        <f t="shared" si="261"/>
        <v>IPP</v>
      </c>
      <c r="M605" s="1" t="s">
        <v>1232</v>
      </c>
      <c r="N605" s="1" t="s">
        <v>1133</v>
      </c>
      <c r="P605" s="1">
        <v>940008</v>
      </c>
      <c r="Q605" s="1" t="s">
        <v>107</v>
      </c>
      <c r="R605" s="1">
        <v>3522241</v>
      </c>
      <c r="S605" s="1" t="s">
        <v>216</v>
      </c>
      <c r="T605" s="1" t="s">
        <v>88</v>
      </c>
      <c r="U605" s="1" t="s">
        <v>89</v>
      </c>
      <c r="V605" s="1" t="s">
        <v>217</v>
      </c>
      <c r="W605" s="1">
        <v>0.43</v>
      </c>
      <c r="X605" s="1">
        <v>1220</v>
      </c>
      <c r="Y605" s="1">
        <v>0</v>
      </c>
      <c r="Z605" s="3">
        <v>140</v>
      </c>
      <c r="AA605" s="3">
        <v>0</v>
      </c>
      <c r="AB605" s="3">
        <v>140</v>
      </c>
      <c r="AC605" s="3">
        <v>0</v>
      </c>
      <c r="AD605" s="3">
        <f t="shared" si="259"/>
        <v>140</v>
      </c>
      <c r="AE605" s="3">
        <v>0</v>
      </c>
      <c r="AF605" s="3">
        <v>0</v>
      </c>
      <c r="AG605" s="3">
        <v>0</v>
      </c>
      <c r="AH605" s="3">
        <v>140</v>
      </c>
      <c r="AI605" s="3">
        <v>0</v>
      </c>
      <c r="AJ605" s="3">
        <f t="shared" si="260"/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3">
        <f t="shared" si="255"/>
        <v>140</v>
      </c>
    </row>
    <row r="606" spans="1:42" x14ac:dyDescent="0.35">
      <c r="A606" s="1">
        <v>743</v>
      </c>
      <c r="B606" s="2">
        <v>45926</v>
      </c>
      <c r="C606" s="1" t="s">
        <v>64</v>
      </c>
      <c r="D606" s="1">
        <v>9519144936</v>
      </c>
      <c r="E606" s="1">
        <v>1</v>
      </c>
      <c r="F606" s="1" t="s">
        <v>1282</v>
      </c>
      <c r="G606" s="1" t="s">
        <v>1155</v>
      </c>
      <c r="H606" s="1" t="s">
        <v>56</v>
      </c>
      <c r="I606" s="1" t="s">
        <v>57</v>
      </c>
      <c r="K606" s="1" t="s">
        <v>969</v>
      </c>
      <c r="L606" s="1" t="str">
        <f t="shared" si="261"/>
        <v>IPP</v>
      </c>
      <c r="M606" s="1" t="s">
        <v>1016</v>
      </c>
      <c r="N606" s="1" t="s">
        <v>1132</v>
      </c>
      <c r="P606" s="1">
        <v>188152</v>
      </c>
      <c r="Q606" s="1" t="s">
        <v>1281</v>
      </c>
      <c r="R606" s="1">
        <v>3886090</v>
      </c>
      <c r="S606" s="1" t="s">
        <v>427</v>
      </c>
      <c r="T606" s="1" t="s">
        <v>60</v>
      </c>
      <c r="U606" s="1" t="s">
        <v>61</v>
      </c>
      <c r="V606" s="1" t="s">
        <v>129</v>
      </c>
      <c r="W606" s="1">
        <v>0.9</v>
      </c>
      <c r="X606" s="1">
        <v>1250</v>
      </c>
      <c r="Y606" s="1">
        <v>0</v>
      </c>
      <c r="Z606" s="3">
        <v>261</v>
      </c>
      <c r="AA606" s="3">
        <v>9.35</v>
      </c>
      <c r="AB606" s="3">
        <v>251.65</v>
      </c>
      <c r="AC606" s="3">
        <v>9.35</v>
      </c>
      <c r="AD606" s="3">
        <f t="shared" si="259"/>
        <v>251.65</v>
      </c>
      <c r="AE606" s="3">
        <v>0</v>
      </c>
      <c r="AF606" s="3">
        <v>0</v>
      </c>
      <c r="AG606" s="3">
        <v>251.65</v>
      </c>
      <c r="AH606" s="3">
        <v>0</v>
      </c>
      <c r="AI606" s="3">
        <v>0</v>
      </c>
      <c r="AJ606" s="3">
        <f t="shared" si="260"/>
        <v>261</v>
      </c>
      <c r="AK606" s="1">
        <v>0</v>
      </c>
      <c r="AL606" s="1">
        <v>0</v>
      </c>
      <c r="AM606" s="1">
        <v>0</v>
      </c>
      <c r="AN606" s="3">
        <f>AG606+AC606</f>
        <v>261</v>
      </c>
      <c r="AO606" s="1">
        <v>0</v>
      </c>
      <c r="AP606" s="3">
        <f t="shared" si="255"/>
        <v>0</v>
      </c>
    </row>
    <row r="607" spans="1:42" x14ac:dyDescent="0.35">
      <c r="A607" s="1">
        <v>743</v>
      </c>
      <c r="B607" s="2">
        <v>45926</v>
      </c>
      <c r="C607" s="1" t="s">
        <v>64</v>
      </c>
      <c r="D607" s="1">
        <v>9519144936</v>
      </c>
      <c r="E607" s="1">
        <v>2</v>
      </c>
      <c r="F607" s="1" t="s">
        <v>1283</v>
      </c>
      <c r="G607" s="1" t="s">
        <v>1155</v>
      </c>
      <c r="H607" s="1" t="s">
        <v>56</v>
      </c>
      <c r="I607" s="1" t="s">
        <v>57</v>
      </c>
      <c r="K607" s="1" t="s">
        <v>969</v>
      </c>
      <c r="L607" s="1" t="str">
        <f t="shared" si="261"/>
        <v>IPP</v>
      </c>
      <c r="M607" s="1" t="s">
        <v>1016</v>
      </c>
      <c r="N607" s="1" t="s">
        <v>1132</v>
      </c>
      <c r="P607" s="1">
        <v>188152</v>
      </c>
      <c r="Q607" s="1" t="s">
        <v>1281</v>
      </c>
      <c r="R607" s="1">
        <v>3886090</v>
      </c>
      <c r="S607" s="1" t="s">
        <v>427</v>
      </c>
      <c r="T607" s="1" t="s">
        <v>60</v>
      </c>
      <c r="U607" s="1" t="s">
        <v>61</v>
      </c>
      <c r="V607" s="1" t="s">
        <v>129</v>
      </c>
      <c r="W607" s="1">
        <v>0.9</v>
      </c>
      <c r="X607" s="1">
        <v>1250</v>
      </c>
      <c r="Y607" s="1">
        <v>0</v>
      </c>
      <c r="Z607" s="3">
        <v>261</v>
      </c>
      <c r="AA607" s="3">
        <v>0</v>
      </c>
      <c r="AB607" s="3">
        <v>261</v>
      </c>
      <c r="AC607" s="3">
        <v>0</v>
      </c>
      <c r="AD607" s="3">
        <f t="shared" si="259"/>
        <v>261</v>
      </c>
      <c r="AE607" s="3">
        <v>0</v>
      </c>
      <c r="AF607" s="3">
        <v>0</v>
      </c>
      <c r="AG607" s="3">
        <v>261</v>
      </c>
      <c r="AH607" s="3">
        <v>0</v>
      </c>
      <c r="AI607" s="3">
        <v>0</v>
      </c>
      <c r="AJ607" s="3">
        <f t="shared" si="260"/>
        <v>261</v>
      </c>
      <c r="AK607" s="1">
        <v>0</v>
      </c>
      <c r="AL607" s="1">
        <v>0</v>
      </c>
      <c r="AM607" s="1">
        <v>0</v>
      </c>
      <c r="AN607" s="3">
        <f>AG607</f>
        <v>261</v>
      </c>
      <c r="AO607" s="1">
        <v>0</v>
      </c>
      <c r="AP607" s="3">
        <f t="shared" si="255"/>
        <v>0</v>
      </c>
    </row>
    <row r="608" spans="1:42" x14ac:dyDescent="0.35">
      <c r="A608" s="1">
        <v>743</v>
      </c>
      <c r="B608" s="2">
        <v>45926</v>
      </c>
      <c r="C608" s="1" t="s">
        <v>64</v>
      </c>
      <c r="D608" s="1">
        <v>9519144936</v>
      </c>
      <c r="E608" s="1">
        <v>3</v>
      </c>
      <c r="F608" s="1" t="s">
        <v>1284</v>
      </c>
      <c r="G608" s="1" t="s">
        <v>1155</v>
      </c>
      <c r="H608" s="1" t="s">
        <v>56</v>
      </c>
      <c r="I608" s="1" t="s">
        <v>57</v>
      </c>
      <c r="K608" s="1" t="s">
        <v>969</v>
      </c>
      <c r="L608" s="1" t="str">
        <f t="shared" si="261"/>
        <v>IPP</v>
      </c>
      <c r="M608" s="1" t="s">
        <v>1016</v>
      </c>
      <c r="N608" s="1" t="s">
        <v>1132</v>
      </c>
      <c r="P608" s="1">
        <v>188152</v>
      </c>
      <c r="Q608" s="1" t="s">
        <v>1281</v>
      </c>
      <c r="R608" s="1">
        <v>3886090</v>
      </c>
      <c r="S608" s="1" t="s">
        <v>427</v>
      </c>
      <c r="T608" s="1" t="s">
        <v>60</v>
      </c>
      <c r="U608" s="1" t="s">
        <v>61</v>
      </c>
      <c r="V608" s="1" t="s">
        <v>129</v>
      </c>
      <c r="W608" s="1">
        <v>0.9</v>
      </c>
      <c r="X608" s="1">
        <v>1250</v>
      </c>
      <c r="Y608" s="1">
        <v>0</v>
      </c>
      <c r="Z608" s="3">
        <v>203</v>
      </c>
      <c r="AA608" s="3">
        <v>0</v>
      </c>
      <c r="AB608" s="3">
        <v>203</v>
      </c>
      <c r="AC608" s="3">
        <v>0</v>
      </c>
      <c r="AD608" s="3">
        <f t="shared" si="259"/>
        <v>203</v>
      </c>
      <c r="AE608" s="3">
        <v>0</v>
      </c>
      <c r="AF608" s="3">
        <v>203</v>
      </c>
      <c r="AG608" s="3">
        <v>0</v>
      </c>
      <c r="AH608" s="3">
        <v>0</v>
      </c>
      <c r="AI608" s="3">
        <v>0</v>
      </c>
      <c r="AJ608" s="3">
        <f t="shared" si="260"/>
        <v>203</v>
      </c>
      <c r="AK608" s="1">
        <v>0</v>
      </c>
      <c r="AL608" s="1">
        <v>0</v>
      </c>
      <c r="AM608" s="3">
        <f>AF608</f>
        <v>203</v>
      </c>
      <c r="AN608" s="1">
        <v>0</v>
      </c>
      <c r="AO608" s="1">
        <v>0</v>
      </c>
      <c r="AP608" s="3">
        <f t="shared" si="255"/>
        <v>0</v>
      </c>
    </row>
    <row r="609" spans="1:42" x14ac:dyDescent="0.35">
      <c r="A609" s="1">
        <v>743</v>
      </c>
      <c r="B609" s="2">
        <v>45926</v>
      </c>
      <c r="C609" s="1" t="s">
        <v>64</v>
      </c>
      <c r="D609" s="1">
        <v>9519144746</v>
      </c>
      <c r="E609" s="1">
        <v>8</v>
      </c>
      <c r="F609" s="1" t="s">
        <v>1285</v>
      </c>
      <c r="G609" s="1" t="s">
        <v>1155</v>
      </c>
      <c r="H609" s="1" t="s">
        <v>56</v>
      </c>
      <c r="I609" s="1" t="s">
        <v>1287</v>
      </c>
      <c r="K609" s="1" t="s">
        <v>969</v>
      </c>
      <c r="L609" s="1" t="str">
        <f t="shared" si="261"/>
        <v>IPP</v>
      </c>
      <c r="M609" s="1" t="s">
        <v>1018</v>
      </c>
      <c r="N609" s="1" t="s">
        <v>1121</v>
      </c>
      <c r="P609" s="1">
        <v>101122</v>
      </c>
      <c r="Q609" s="1" t="s">
        <v>197</v>
      </c>
      <c r="R609" s="1">
        <v>3988091</v>
      </c>
      <c r="S609" s="1" t="s">
        <v>199</v>
      </c>
      <c r="T609" s="1" t="s">
        <v>60</v>
      </c>
      <c r="U609" s="1" t="s">
        <v>61</v>
      </c>
      <c r="V609" s="1" t="s">
        <v>195</v>
      </c>
      <c r="W609" s="1">
        <v>0.44</v>
      </c>
      <c r="X609" s="1">
        <v>1240</v>
      </c>
      <c r="Y609" s="1">
        <v>0</v>
      </c>
      <c r="Z609" s="3">
        <v>280</v>
      </c>
      <c r="AA609" s="3">
        <v>0</v>
      </c>
      <c r="AB609" s="3">
        <v>280</v>
      </c>
      <c r="AC609" s="3">
        <v>0</v>
      </c>
      <c r="AD609" s="3">
        <f t="shared" si="259"/>
        <v>280</v>
      </c>
      <c r="AE609" s="3">
        <v>0</v>
      </c>
      <c r="AF609" s="3">
        <v>0</v>
      </c>
      <c r="AG609" s="3">
        <v>280</v>
      </c>
      <c r="AH609" s="3">
        <v>0</v>
      </c>
      <c r="AI609" s="3">
        <v>0</v>
      </c>
      <c r="AJ609" s="3">
        <f t="shared" si="260"/>
        <v>280</v>
      </c>
      <c r="AK609" s="1">
        <v>0</v>
      </c>
      <c r="AL609" s="1">
        <v>0</v>
      </c>
      <c r="AM609" s="1">
        <v>0</v>
      </c>
      <c r="AN609" s="3">
        <f>AG609</f>
        <v>280</v>
      </c>
      <c r="AO609" s="1">
        <v>0</v>
      </c>
      <c r="AP609" s="3">
        <f t="shared" si="255"/>
        <v>0</v>
      </c>
    </row>
    <row r="610" spans="1:42" x14ac:dyDescent="0.35">
      <c r="A610" s="1">
        <v>743</v>
      </c>
      <c r="B610" s="2">
        <v>45926</v>
      </c>
      <c r="C610" s="1" t="s">
        <v>64</v>
      </c>
      <c r="D610" s="1">
        <v>9519144746</v>
      </c>
      <c r="E610" s="1">
        <v>9</v>
      </c>
      <c r="F610" s="1" t="s">
        <v>1286</v>
      </c>
      <c r="G610" s="1" t="s">
        <v>1155</v>
      </c>
      <c r="H610" s="1" t="s">
        <v>56</v>
      </c>
      <c r="I610" s="1" t="s">
        <v>1287</v>
      </c>
      <c r="K610" s="1" t="s">
        <v>969</v>
      </c>
      <c r="L610" s="1" t="str">
        <f t="shared" si="261"/>
        <v>IPP</v>
      </c>
      <c r="M610" s="1" t="s">
        <v>1018</v>
      </c>
      <c r="N610" s="1" t="s">
        <v>1121</v>
      </c>
      <c r="P610" s="1">
        <v>101122</v>
      </c>
      <c r="Q610" s="1" t="s">
        <v>197</v>
      </c>
      <c r="R610" s="1">
        <v>3988091</v>
      </c>
      <c r="S610" s="1" t="s">
        <v>199</v>
      </c>
      <c r="T610" s="1" t="s">
        <v>60</v>
      </c>
      <c r="U610" s="1" t="s">
        <v>61</v>
      </c>
      <c r="V610" s="1" t="s">
        <v>195</v>
      </c>
      <c r="W610" s="1">
        <v>0.44</v>
      </c>
      <c r="X610" s="1">
        <v>1240</v>
      </c>
      <c r="Y610" s="1">
        <v>0</v>
      </c>
      <c r="Z610" s="3">
        <v>280</v>
      </c>
      <c r="AA610" s="3">
        <v>0</v>
      </c>
      <c r="AB610" s="3">
        <v>280</v>
      </c>
      <c r="AC610" s="3">
        <v>0</v>
      </c>
      <c r="AD610" s="3">
        <f t="shared" si="259"/>
        <v>280</v>
      </c>
      <c r="AE610" s="3">
        <v>0</v>
      </c>
      <c r="AF610" s="3">
        <v>280</v>
      </c>
      <c r="AG610" s="3">
        <v>0</v>
      </c>
      <c r="AH610" s="3">
        <v>0</v>
      </c>
      <c r="AI610" s="3">
        <v>0</v>
      </c>
      <c r="AJ610" s="3">
        <f t="shared" si="260"/>
        <v>280</v>
      </c>
      <c r="AK610" s="1">
        <v>0</v>
      </c>
      <c r="AL610" s="1">
        <v>0</v>
      </c>
      <c r="AM610" s="3">
        <f>AF610</f>
        <v>280</v>
      </c>
      <c r="AN610" s="1">
        <v>0</v>
      </c>
      <c r="AO610" s="1">
        <v>0</v>
      </c>
      <c r="AP610" s="3">
        <f t="shared" si="255"/>
        <v>0</v>
      </c>
    </row>
    <row r="611" spans="1:42" x14ac:dyDescent="0.35">
      <c r="A611" s="1">
        <v>743</v>
      </c>
      <c r="B611" s="2">
        <v>45925</v>
      </c>
      <c r="C611" s="1" t="s">
        <v>64</v>
      </c>
      <c r="D611" s="1">
        <v>9519142211</v>
      </c>
      <c r="E611" s="1">
        <v>1</v>
      </c>
      <c r="F611" s="1" t="s">
        <v>1288</v>
      </c>
      <c r="G611" s="1" t="s">
        <v>1155</v>
      </c>
      <c r="H611" s="1" t="s">
        <v>56</v>
      </c>
      <c r="I611" s="1" t="s">
        <v>968</v>
      </c>
      <c r="K611" s="1" t="s">
        <v>969</v>
      </c>
      <c r="L611" s="1" t="str">
        <f t="shared" si="261"/>
        <v>IPP</v>
      </c>
      <c r="M611" s="1" t="s">
        <v>1232</v>
      </c>
      <c r="P611" s="1">
        <v>942284</v>
      </c>
      <c r="Q611" s="1" t="s">
        <v>1174</v>
      </c>
      <c r="R611" s="1">
        <v>4108810</v>
      </c>
      <c r="S611" s="1" t="s">
        <v>411</v>
      </c>
      <c r="T611" s="1" t="s">
        <v>60</v>
      </c>
      <c r="U611" s="1" t="s">
        <v>61</v>
      </c>
      <c r="V611" s="1" t="s">
        <v>412</v>
      </c>
      <c r="W611" s="1">
        <v>0.35</v>
      </c>
      <c r="X611" s="1">
        <v>1220</v>
      </c>
      <c r="Y611" s="1">
        <v>0</v>
      </c>
      <c r="Z611" s="3">
        <v>56</v>
      </c>
      <c r="AA611" s="3">
        <v>0</v>
      </c>
      <c r="AB611" s="3">
        <v>56</v>
      </c>
      <c r="AC611" s="3">
        <v>0</v>
      </c>
      <c r="AD611" s="3">
        <f t="shared" si="259"/>
        <v>56</v>
      </c>
      <c r="AE611" s="3">
        <v>0</v>
      </c>
      <c r="AF611" s="3">
        <v>0</v>
      </c>
      <c r="AG611" s="3">
        <v>56</v>
      </c>
      <c r="AH611" s="3">
        <v>0</v>
      </c>
      <c r="AI611" s="3">
        <v>0</v>
      </c>
      <c r="AJ611" s="3">
        <f t="shared" si="260"/>
        <v>56</v>
      </c>
      <c r="AK611" s="1">
        <v>0</v>
      </c>
      <c r="AL611" s="1">
        <v>0</v>
      </c>
      <c r="AM611" s="1">
        <v>0</v>
      </c>
      <c r="AN611" s="3">
        <f>AG611</f>
        <v>56</v>
      </c>
      <c r="AO611" s="1">
        <v>0</v>
      </c>
      <c r="AP611" s="3">
        <f t="shared" si="255"/>
        <v>0</v>
      </c>
    </row>
    <row r="612" spans="1:42" x14ac:dyDescent="0.35">
      <c r="A612" s="1">
        <v>743</v>
      </c>
      <c r="B612" s="2">
        <v>45927</v>
      </c>
      <c r="C612" s="1" t="s">
        <v>64</v>
      </c>
      <c r="D612" s="1">
        <v>9519148419</v>
      </c>
      <c r="E612" s="1">
        <v>2</v>
      </c>
      <c r="F612" s="1" t="s">
        <v>1289</v>
      </c>
      <c r="G612" s="1" t="s">
        <v>1155</v>
      </c>
      <c r="H612" s="1" t="s">
        <v>56</v>
      </c>
      <c r="I612" s="1" t="s">
        <v>968</v>
      </c>
      <c r="K612" s="1" t="s">
        <v>969</v>
      </c>
      <c r="L612" s="1" t="str">
        <f t="shared" si="261"/>
        <v>IPP</v>
      </c>
      <c r="M612" s="1" t="s">
        <v>1232</v>
      </c>
      <c r="P612" s="1">
        <v>942283</v>
      </c>
      <c r="Q612" s="1" t="s">
        <v>1174</v>
      </c>
      <c r="R612" s="1">
        <v>1882051</v>
      </c>
      <c r="S612" s="1" t="s">
        <v>392</v>
      </c>
      <c r="T612" s="1" t="s">
        <v>60</v>
      </c>
      <c r="U612" s="1" t="s">
        <v>61</v>
      </c>
      <c r="V612" s="1" t="s">
        <v>103</v>
      </c>
      <c r="W612" s="1">
        <v>0.9</v>
      </c>
      <c r="X612" s="1">
        <v>1250</v>
      </c>
      <c r="Y612" s="1">
        <v>0</v>
      </c>
      <c r="Z612" s="3">
        <v>290</v>
      </c>
      <c r="AA612" s="3">
        <v>0</v>
      </c>
      <c r="AB612" s="3">
        <v>290</v>
      </c>
      <c r="AC612" s="3">
        <v>0</v>
      </c>
      <c r="AD612" s="3">
        <f t="shared" si="259"/>
        <v>290</v>
      </c>
      <c r="AE612" s="3">
        <v>0</v>
      </c>
      <c r="AF612" s="3">
        <v>0</v>
      </c>
      <c r="AG612" s="3">
        <v>0</v>
      </c>
      <c r="AH612" s="3">
        <v>290</v>
      </c>
      <c r="AI612" s="3">
        <v>0</v>
      </c>
      <c r="AJ612" s="3">
        <f t="shared" si="260"/>
        <v>290</v>
      </c>
      <c r="AK612" s="1">
        <v>0</v>
      </c>
      <c r="AL612" s="1">
        <v>0</v>
      </c>
      <c r="AM612" s="1">
        <v>0</v>
      </c>
      <c r="AN612" s="3">
        <f>AH612</f>
        <v>290</v>
      </c>
      <c r="AO612" s="1">
        <v>0</v>
      </c>
      <c r="AP612" s="3">
        <f t="shared" si="255"/>
        <v>0</v>
      </c>
    </row>
    <row r="613" spans="1:42" x14ac:dyDescent="0.35">
      <c r="A613" s="1">
        <v>743</v>
      </c>
      <c r="B613" s="2">
        <v>45927</v>
      </c>
      <c r="C613" s="1" t="s">
        <v>64</v>
      </c>
      <c r="D613" s="1">
        <v>9519148534</v>
      </c>
      <c r="E613" s="1">
        <v>1</v>
      </c>
      <c r="F613" s="1" t="s">
        <v>1290</v>
      </c>
      <c r="G613" s="1" t="s">
        <v>1155</v>
      </c>
      <c r="H613" s="1" t="s">
        <v>56</v>
      </c>
      <c r="I613" s="1" t="s">
        <v>57</v>
      </c>
      <c r="K613" s="1" t="s">
        <v>969</v>
      </c>
      <c r="L613" s="1" t="str">
        <f t="shared" si="261"/>
        <v>IPP</v>
      </c>
      <c r="M613" s="1" t="s">
        <v>1232</v>
      </c>
      <c r="P613" s="1">
        <v>942284</v>
      </c>
      <c r="Q613" s="1" t="s">
        <v>1174</v>
      </c>
      <c r="R613" s="1">
        <v>4124997</v>
      </c>
      <c r="S613" s="1" t="s">
        <v>1296</v>
      </c>
      <c r="T613" s="1" t="s">
        <v>60</v>
      </c>
      <c r="U613" s="1" t="s">
        <v>61</v>
      </c>
      <c r="V613" s="1" t="s">
        <v>207</v>
      </c>
      <c r="W613" s="1">
        <v>0.63</v>
      </c>
      <c r="X613" s="1">
        <v>1220</v>
      </c>
      <c r="Y613" s="1">
        <v>0</v>
      </c>
      <c r="Z613" s="3">
        <v>28</v>
      </c>
      <c r="AA613" s="3">
        <v>0</v>
      </c>
      <c r="AB613" s="3">
        <v>28</v>
      </c>
      <c r="AC613" s="3">
        <v>0</v>
      </c>
      <c r="AD613" s="3">
        <f t="shared" si="259"/>
        <v>28</v>
      </c>
      <c r="AE613" s="3">
        <v>0</v>
      </c>
      <c r="AF613" s="3">
        <v>28</v>
      </c>
      <c r="AG613" s="3">
        <v>0</v>
      </c>
      <c r="AH613" s="3">
        <v>0</v>
      </c>
      <c r="AI613" s="3">
        <v>0</v>
      </c>
      <c r="AJ613" s="3">
        <f t="shared" si="260"/>
        <v>28</v>
      </c>
      <c r="AK613" s="1">
        <v>0</v>
      </c>
      <c r="AL613" s="1">
        <v>0</v>
      </c>
      <c r="AM613" s="3">
        <f>AF613</f>
        <v>28</v>
      </c>
      <c r="AN613" s="1">
        <v>0</v>
      </c>
      <c r="AO613" s="1">
        <v>0</v>
      </c>
      <c r="AP613" s="3">
        <f t="shared" si="255"/>
        <v>0</v>
      </c>
    </row>
    <row r="614" spans="1:42" x14ac:dyDescent="0.35">
      <c r="A614" s="1">
        <v>744</v>
      </c>
      <c r="B614" s="2">
        <v>45924</v>
      </c>
      <c r="C614" s="1" t="s">
        <v>64</v>
      </c>
      <c r="D614" s="1">
        <v>9519138217</v>
      </c>
      <c r="E614" s="1">
        <v>7</v>
      </c>
      <c r="F614" s="1" t="s">
        <v>1293</v>
      </c>
      <c r="G614" s="1" t="s">
        <v>1155</v>
      </c>
      <c r="H614" s="1" t="s">
        <v>86</v>
      </c>
      <c r="I614" s="1" t="s">
        <v>968</v>
      </c>
      <c r="K614" s="1" t="s">
        <v>969</v>
      </c>
      <c r="L614" s="1" t="str">
        <f t="shared" si="261"/>
        <v>IPP</v>
      </c>
      <c r="M614" s="1" t="s">
        <v>1232</v>
      </c>
      <c r="P614" s="1">
        <v>940008</v>
      </c>
      <c r="Q614" s="1" t="s">
        <v>107</v>
      </c>
      <c r="R614" s="1">
        <v>3522241</v>
      </c>
      <c r="S614" s="1" t="s">
        <v>216</v>
      </c>
      <c r="T614" s="1" t="s">
        <v>88</v>
      </c>
      <c r="U614" s="1" t="s">
        <v>89</v>
      </c>
      <c r="V614" s="1" t="s">
        <v>217</v>
      </c>
      <c r="W614" s="1">
        <v>0.43</v>
      </c>
      <c r="X614" s="1">
        <v>1220</v>
      </c>
      <c r="Y614" s="1">
        <v>0</v>
      </c>
      <c r="Z614" s="3">
        <v>168</v>
      </c>
      <c r="AA614" s="3">
        <v>0</v>
      </c>
      <c r="AB614" s="3">
        <v>168</v>
      </c>
      <c r="AC614" s="3">
        <v>0</v>
      </c>
      <c r="AD614" s="3">
        <f t="shared" si="259"/>
        <v>168</v>
      </c>
      <c r="AE614" s="3">
        <v>0</v>
      </c>
      <c r="AF614" s="3">
        <v>168</v>
      </c>
      <c r="AG614" s="3">
        <v>0</v>
      </c>
      <c r="AH614" s="3">
        <v>0</v>
      </c>
      <c r="AI614" s="3">
        <v>0</v>
      </c>
      <c r="AJ614" s="3">
        <f t="shared" si="260"/>
        <v>168</v>
      </c>
      <c r="AK614" s="1">
        <v>0</v>
      </c>
      <c r="AL614" s="1">
        <v>0</v>
      </c>
      <c r="AM614" s="3">
        <v>0</v>
      </c>
      <c r="AN614" s="3">
        <f>AF614</f>
        <v>168</v>
      </c>
      <c r="AO614" s="1">
        <v>0</v>
      </c>
      <c r="AP614" s="3">
        <f t="shared" si="255"/>
        <v>0</v>
      </c>
    </row>
    <row r="615" spans="1:42" x14ac:dyDescent="0.35">
      <c r="A615" s="1">
        <v>744</v>
      </c>
      <c r="B615" s="2">
        <v>45924</v>
      </c>
      <c r="C615" s="1" t="s">
        <v>64</v>
      </c>
      <c r="D615" s="1">
        <v>9519138217</v>
      </c>
      <c r="E615" s="1">
        <v>8</v>
      </c>
      <c r="F615" s="1" t="s">
        <v>1294</v>
      </c>
      <c r="G615" s="1" t="s">
        <v>1155</v>
      </c>
      <c r="H615" s="1" t="s">
        <v>86</v>
      </c>
      <c r="I615" s="1" t="s">
        <v>968</v>
      </c>
      <c r="K615" s="1" t="s">
        <v>969</v>
      </c>
      <c r="L615" s="1" t="str">
        <f t="shared" si="261"/>
        <v>IPP</v>
      </c>
      <c r="M615" s="1" t="s">
        <v>1232</v>
      </c>
      <c r="P615" s="1">
        <v>940008</v>
      </c>
      <c r="Q615" s="1" t="s">
        <v>107</v>
      </c>
      <c r="R615" s="1">
        <v>3522241</v>
      </c>
      <c r="S615" s="1" t="s">
        <v>216</v>
      </c>
      <c r="T615" s="1" t="s">
        <v>88</v>
      </c>
      <c r="U615" s="1" t="s">
        <v>89</v>
      </c>
      <c r="V615" s="1" t="s">
        <v>217</v>
      </c>
      <c r="W615" s="1">
        <v>0.43</v>
      </c>
      <c r="X615" s="1">
        <v>1220</v>
      </c>
      <c r="Y615" s="1">
        <v>0</v>
      </c>
      <c r="Z615" s="3">
        <v>140</v>
      </c>
      <c r="AA615" s="3">
        <v>0</v>
      </c>
      <c r="AB615" s="3">
        <v>140</v>
      </c>
      <c r="AC615" s="3">
        <v>0</v>
      </c>
      <c r="AD615" s="3">
        <f t="shared" si="259"/>
        <v>140</v>
      </c>
      <c r="AE615" s="3">
        <v>0</v>
      </c>
      <c r="AF615" s="3">
        <v>0</v>
      </c>
      <c r="AG615" s="3">
        <v>140</v>
      </c>
      <c r="AH615" s="3">
        <v>0</v>
      </c>
      <c r="AI615" s="3">
        <v>0</v>
      </c>
      <c r="AJ615" s="3">
        <f t="shared" si="260"/>
        <v>140</v>
      </c>
      <c r="AK615" s="1">
        <v>0</v>
      </c>
      <c r="AL615" s="1">
        <v>0</v>
      </c>
      <c r="AM615" s="1">
        <v>0</v>
      </c>
      <c r="AN615" s="3">
        <f>AG615</f>
        <v>140</v>
      </c>
      <c r="AO615" s="1">
        <v>0</v>
      </c>
      <c r="AP615" s="3">
        <f t="shared" si="255"/>
        <v>0</v>
      </c>
    </row>
    <row r="616" spans="1:42" x14ac:dyDescent="0.35">
      <c r="A616" s="1">
        <v>744</v>
      </c>
      <c r="B616" s="2">
        <v>45926</v>
      </c>
      <c r="C616" s="1" t="s">
        <v>64</v>
      </c>
      <c r="D616" s="1">
        <v>9519146199</v>
      </c>
      <c r="E616" s="1">
        <v>4</v>
      </c>
      <c r="F616" s="1" t="s">
        <v>1295</v>
      </c>
      <c r="G616" s="1" t="s">
        <v>1155</v>
      </c>
      <c r="H616" s="1" t="s">
        <v>86</v>
      </c>
      <c r="I616" s="1" t="s">
        <v>968</v>
      </c>
      <c r="K616" s="1" t="s">
        <v>969</v>
      </c>
      <c r="L616" s="1" t="str">
        <f t="shared" si="261"/>
        <v>IPP</v>
      </c>
      <c r="M616" s="1" t="s">
        <v>1232</v>
      </c>
      <c r="P616" s="1">
        <v>940008</v>
      </c>
      <c r="Q616" s="1" t="s">
        <v>107</v>
      </c>
      <c r="R616" s="1">
        <v>3522241</v>
      </c>
      <c r="S616" s="1" t="s">
        <v>216</v>
      </c>
      <c r="T616" s="1" t="s">
        <v>88</v>
      </c>
      <c r="U616" s="1" t="s">
        <v>89</v>
      </c>
      <c r="V616" s="1" t="s">
        <v>217</v>
      </c>
      <c r="W616" s="1">
        <v>0.43</v>
      </c>
      <c r="X616" s="1">
        <v>1220</v>
      </c>
      <c r="Y616" s="1">
        <v>0</v>
      </c>
      <c r="Z616" s="3">
        <v>252</v>
      </c>
      <c r="AA616" s="3">
        <v>0</v>
      </c>
      <c r="AB616" s="3">
        <v>252</v>
      </c>
      <c r="AC616" s="3">
        <v>0</v>
      </c>
      <c r="AD616" s="3">
        <f t="shared" si="259"/>
        <v>252</v>
      </c>
      <c r="AE616" s="3">
        <v>0</v>
      </c>
      <c r="AF616" s="3">
        <v>252</v>
      </c>
      <c r="AG616" s="3">
        <v>0</v>
      </c>
      <c r="AH616" s="3">
        <v>0</v>
      </c>
      <c r="AI616" s="3">
        <v>0</v>
      </c>
      <c r="AJ616" s="3">
        <f t="shared" si="260"/>
        <v>252</v>
      </c>
      <c r="AK616" s="1">
        <v>0</v>
      </c>
      <c r="AL616" s="1">
        <v>0</v>
      </c>
      <c r="AM616" s="3">
        <v>0</v>
      </c>
      <c r="AN616" s="3">
        <f>AF616</f>
        <v>252</v>
      </c>
      <c r="AO616" s="1">
        <v>0</v>
      </c>
      <c r="AP616" s="3">
        <f t="shared" si="255"/>
        <v>0</v>
      </c>
    </row>
    <row r="617" spans="1:42" x14ac:dyDescent="0.35">
      <c r="A617" s="1">
        <v>743</v>
      </c>
      <c r="B617" s="2">
        <v>45918</v>
      </c>
      <c r="C617" s="1" t="s">
        <v>64</v>
      </c>
      <c r="D617" s="1">
        <v>9519114672</v>
      </c>
      <c r="E617" s="1">
        <v>1</v>
      </c>
      <c r="F617" s="1" t="s">
        <v>1298</v>
      </c>
      <c r="G617" s="1" t="s">
        <v>1155</v>
      </c>
      <c r="H617" s="1" t="s">
        <v>63</v>
      </c>
      <c r="I617" s="1" t="s">
        <v>1368</v>
      </c>
      <c r="K617" s="1" t="s">
        <v>970</v>
      </c>
      <c r="L617" s="1" t="str">
        <f t="shared" si="261"/>
        <v>BPRS</v>
      </c>
      <c r="M617" s="1" t="s">
        <v>1018</v>
      </c>
      <c r="P617" s="1">
        <v>116649</v>
      </c>
      <c r="Q617" s="1" t="s">
        <v>78</v>
      </c>
      <c r="R617" s="1">
        <v>1300228</v>
      </c>
      <c r="S617" s="1" t="str">
        <f>VLOOKUP(R617,[2]Sheet1!$M$1:$N$32,2,0)</f>
        <v>GP COIL SOFT-TATXGP-GLK1-0.5X1220</v>
      </c>
      <c r="T617" s="1" t="s">
        <v>139</v>
      </c>
      <c r="U617" s="1" t="str">
        <f>VLOOKUP(R617,[2]Sheet1!$M$1:$U$32,9,0)</f>
        <v>TATXGP</v>
      </c>
      <c r="V617" s="1" t="s">
        <v>141</v>
      </c>
      <c r="W617" s="1">
        <v>0.5</v>
      </c>
      <c r="X617" s="1">
        <v>1220</v>
      </c>
      <c r="Y617" s="1">
        <v>0</v>
      </c>
      <c r="Z617" s="3">
        <v>28</v>
      </c>
      <c r="AA617" s="3">
        <v>0</v>
      </c>
      <c r="AB617" s="3">
        <v>28</v>
      </c>
      <c r="AC617" s="3">
        <v>0</v>
      </c>
      <c r="AD617" s="3">
        <f t="shared" si="259"/>
        <v>28</v>
      </c>
      <c r="AE617" s="3">
        <v>28</v>
      </c>
      <c r="AF617" s="3">
        <v>0</v>
      </c>
      <c r="AG617" s="3">
        <v>0</v>
      </c>
      <c r="AH617" s="3">
        <v>0</v>
      </c>
      <c r="AI617" s="3">
        <v>0</v>
      </c>
      <c r="AJ617" s="3">
        <f t="shared" si="260"/>
        <v>28</v>
      </c>
      <c r="AK617" s="1">
        <v>0</v>
      </c>
      <c r="AL617" s="3">
        <f>AE617</f>
        <v>28</v>
      </c>
      <c r="AM617" s="1">
        <v>0</v>
      </c>
      <c r="AN617" s="1">
        <v>0</v>
      </c>
      <c r="AO617" s="1">
        <v>0</v>
      </c>
      <c r="AP617" s="3">
        <f t="shared" si="255"/>
        <v>0</v>
      </c>
    </row>
    <row r="618" spans="1:42" x14ac:dyDescent="0.35">
      <c r="A618" s="1">
        <v>743</v>
      </c>
      <c r="B618" s="2">
        <v>45896</v>
      </c>
      <c r="C618" s="1" t="s">
        <v>64</v>
      </c>
      <c r="D618" s="1">
        <v>9519054625</v>
      </c>
      <c r="E618" s="1">
        <v>10</v>
      </c>
      <c r="F618" s="1" t="s">
        <v>1299</v>
      </c>
      <c r="G618" s="1" t="s">
        <v>1155</v>
      </c>
      <c r="H618" s="1" t="s">
        <v>63</v>
      </c>
      <c r="I618" s="1" t="s">
        <v>1368</v>
      </c>
      <c r="K618" s="1" t="s">
        <v>970</v>
      </c>
      <c r="L618" s="1" t="str">
        <f t="shared" si="261"/>
        <v>BPRS</v>
      </c>
      <c r="M618" s="1" t="s">
        <v>1018</v>
      </c>
      <c r="P618" s="1">
        <v>116649</v>
      </c>
      <c r="Q618" s="1" t="s">
        <v>78</v>
      </c>
      <c r="R618" s="1">
        <v>1300230</v>
      </c>
      <c r="S618" s="1" t="str">
        <f>VLOOKUP(R618,[2]Sheet1!$M$1:$N$32,2,0)</f>
        <v>GP COIL SOFT-TATXGP-GLK1-0.3X1220</v>
      </c>
      <c r="T618" s="1" t="s">
        <v>139</v>
      </c>
      <c r="U618" s="1" t="str">
        <f>VLOOKUP(R618,[2]Sheet1!$M$1:$U$32,9,0)</f>
        <v>TATXGP</v>
      </c>
      <c r="V618" s="1" t="s">
        <v>141</v>
      </c>
      <c r="W618" s="1">
        <v>0.3</v>
      </c>
      <c r="X618" s="1">
        <v>1220</v>
      </c>
      <c r="Y618" s="1">
        <v>0</v>
      </c>
      <c r="Z618" s="3">
        <v>112</v>
      </c>
      <c r="AA618" s="3">
        <v>0</v>
      </c>
      <c r="AB618" s="3">
        <v>112</v>
      </c>
      <c r="AC618" s="3">
        <v>0</v>
      </c>
      <c r="AD618" s="3">
        <f t="shared" si="259"/>
        <v>112</v>
      </c>
      <c r="AE618" s="3">
        <v>112</v>
      </c>
      <c r="AF618" s="3">
        <v>0</v>
      </c>
      <c r="AG618" s="3">
        <v>0</v>
      </c>
      <c r="AH618" s="3">
        <v>0</v>
      </c>
      <c r="AI618" s="3">
        <v>0</v>
      </c>
      <c r="AJ618" s="3">
        <f t="shared" si="260"/>
        <v>112</v>
      </c>
      <c r="AK618" s="1">
        <v>0</v>
      </c>
      <c r="AL618" s="3">
        <f t="shared" ref="AL618:AL619" si="264">AE618</f>
        <v>112</v>
      </c>
      <c r="AM618" s="1">
        <v>0</v>
      </c>
      <c r="AN618" s="1">
        <v>0</v>
      </c>
      <c r="AO618" s="1">
        <v>0</v>
      </c>
      <c r="AP618" s="3">
        <f t="shared" si="255"/>
        <v>0</v>
      </c>
    </row>
    <row r="619" spans="1:42" x14ac:dyDescent="0.35">
      <c r="A619" s="1">
        <v>743</v>
      </c>
      <c r="B619" s="2">
        <v>45929</v>
      </c>
      <c r="C619" s="1" t="s">
        <v>64</v>
      </c>
      <c r="D619" s="1">
        <v>9518975095</v>
      </c>
      <c r="E619" s="1">
        <v>3</v>
      </c>
      <c r="F619" s="1" t="s">
        <v>1300</v>
      </c>
      <c r="G619" s="1" t="s">
        <v>1155</v>
      </c>
      <c r="H619" s="1" t="s">
        <v>63</v>
      </c>
      <c r="I619" s="1" t="s">
        <v>1368</v>
      </c>
      <c r="K619" s="1" t="s">
        <v>970</v>
      </c>
      <c r="L619" s="1" t="str">
        <f t="shared" si="261"/>
        <v>BPRS</v>
      </c>
      <c r="M619" s="1" t="s">
        <v>1018</v>
      </c>
      <c r="P619" s="1">
        <v>936511</v>
      </c>
      <c r="Q619" s="1" t="s">
        <v>410</v>
      </c>
      <c r="R619" s="1">
        <v>3671523</v>
      </c>
      <c r="S619" s="1" t="s">
        <v>1227</v>
      </c>
      <c r="T619" s="1" t="s">
        <v>139</v>
      </c>
      <c r="U619" s="1" t="s">
        <v>140</v>
      </c>
      <c r="V619" s="1" t="s">
        <v>234</v>
      </c>
      <c r="W619" s="1">
        <v>0.45</v>
      </c>
      <c r="X619" s="1">
        <v>1220</v>
      </c>
      <c r="Y619" s="1">
        <v>0</v>
      </c>
      <c r="Z619" s="3">
        <v>28</v>
      </c>
      <c r="AA619" s="3">
        <v>0</v>
      </c>
      <c r="AB619" s="3">
        <v>28</v>
      </c>
      <c r="AC619" s="3">
        <v>0</v>
      </c>
      <c r="AD619" s="3">
        <f t="shared" si="259"/>
        <v>28</v>
      </c>
      <c r="AE619" s="3">
        <v>28</v>
      </c>
      <c r="AF619" s="3">
        <v>0</v>
      </c>
      <c r="AG619" s="3">
        <v>0</v>
      </c>
      <c r="AH619" s="3">
        <v>0</v>
      </c>
      <c r="AI619" s="3">
        <v>0</v>
      </c>
      <c r="AJ619" s="3">
        <f t="shared" si="260"/>
        <v>28</v>
      </c>
      <c r="AK619" s="1">
        <v>0</v>
      </c>
      <c r="AL619" s="3">
        <f t="shared" si="264"/>
        <v>28</v>
      </c>
      <c r="AM619" s="1">
        <v>0</v>
      </c>
      <c r="AN619" s="1">
        <v>0</v>
      </c>
      <c r="AO619" s="1">
        <v>0</v>
      </c>
      <c r="AP619" s="3">
        <f t="shared" si="255"/>
        <v>0</v>
      </c>
    </row>
    <row r="620" spans="1:42" x14ac:dyDescent="0.35">
      <c r="A620" s="1">
        <v>742</v>
      </c>
      <c r="B620" s="2">
        <v>45929</v>
      </c>
      <c r="C620" s="1" t="s">
        <v>64</v>
      </c>
      <c r="D620" s="1">
        <v>9518921586</v>
      </c>
      <c r="E620" s="1">
        <v>8</v>
      </c>
      <c r="F620" s="1" t="s">
        <v>1297</v>
      </c>
      <c r="G620" s="1" t="s">
        <v>1155</v>
      </c>
      <c r="H620" s="1" t="s">
        <v>21</v>
      </c>
      <c r="I620" s="1" t="s">
        <v>22</v>
      </c>
      <c r="K620" s="1" t="s">
        <v>970</v>
      </c>
      <c r="L620" s="1" t="str">
        <f t="shared" si="261"/>
        <v>BPRS</v>
      </c>
      <c r="M620" s="1" t="s">
        <v>1016</v>
      </c>
      <c r="P620" s="1">
        <v>939422</v>
      </c>
      <c r="Q620" s="1" t="s">
        <v>282</v>
      </c>
      <c r="R620" s="1">
        <v>1804826</v>
      </c>
      <c r="S620" s="1" t="s">
        <v>458</v>
      </c>
      <c r="T620" s="1" t="s">
        <v>28</v>
      </c>
      <c r="U620" s="1" t="s">
        <v>29</v>
      </c>
      <c r="V620" s="1" t="s">
        <v>30</v>
      </c>
      <c r="W620" s="1">
        <v>0.9</v>
      </c>
      <c r="X620" s="1">
        <v>1250</v>
      </c>
      <c r="Y620" s="1">
        <v>0</v>
      </c>
      <c r="Z620" s="3">
        <v>29</v>
      </c>
      <c r="AA620" s="3">
        <v>0</v>
      </c>
      <c r="AB620" s="3">
        <v>29</v>
      </c>
      <c r="AC620" s="3">
        <v>0</v>
      </c>
      <c r="AD620" s="3">
        <f t="shared" si="259"/>
        <v>29</v>
      </c>
      <c r="AE620" s="3">
        <v>0</v>
      </c>
      <c r="AF620" s="3">
        <v>0</v>
      </c>
      <c r="AG620" s="3">
        <v>29</v>
      </c>
      <c r="AH620" s="3">
        <v>0</v>
      </c>
      <c r="AI620" s="3">
        <v>0</v>
      </c>
      <c r="AJ620" s="3">
        <f t="shared" si="260"/>
        <v>29</v>
      </c>
      <c r="AK620" s="1">
        <v>0</v>
      </c>
      <c r="AL620" s="3">
        <f>AE620</f>
        <v>0</v>
      </c>
      <c r="AM620" s="3">
        <f>AF620</f>
        <v>0</v>
      </c>
      <c r="AN620" s="3">
        <f>AG620</f>
        <v>29</v>
      </c>
      <c r="AO620" s="3">
        <f>AH620</f>
        <v>0</v>
      </c>
      <c r="AP620" s="3">
        <f t="shared" si="255"/>
        <v>0</v>
      </c>
    </row>
    <row r="621" spans="1:42" x14ac:dyDescent="0.35">
      <c r="A621" s="1">
        <v>743</v>
      </c>
      <c r="B621" s="2">
        <v>45929</v>
      </c>
      <c r="C621" s="1" t="s">
        <v>64</v>
      </c>
      <c r="D621" s="1">
        <v>9519155004</v>
      </c>
      <c r="E621" s="1">
        <v>1</v>
      </c>
      <c r="F621" s="1" t="s">
        <v>1301</v>
      </c>
      <c r="G621" s="1" t="s">
        <v>1155</v>
      </c>
      <c r="H621" s="1" t="s">
        <v>63</v>
      </c>
      <c r="I621" s="1" t="s">
        <v>275</v>
      </c>
      <c r="J621" s="1">
        <v>400</v>
      </c>
      <c r="K621" s="1" t="s">
        <v>970</v>
      </c>
      <c r="L621" s="1" t="str">
        <f t="shared" si="261"/>
        <v>BPRS</v>
      </c>
      <c r="M621" s="1" t="s">
        <v>1228</v>
      </c>
      <c r="Q621" s="1" t="s">
        <v>171</v>
      </c>
      <c r="R621" s="1">
        <v>2282960</v>
      </c>
      <c r="S621" s="1" t="s">
        <v>1307</v>
      </c>
      <c r="T621" s="1" t="s">
        <v>139</v>
      </c>
      <c r="U621" s="1" t="s">
        <v>140</v>
      </c>
      <c r="V621" s="1" t="s">
        <v>1309</v>
      </c>
      <c r="W621" s="1">
        <v>0.6</v>
      </c>
      <c r="X621" s="1">
        <v>1220</v>
      </c>
      <c r="Y621" s="1">
        <v>0</v>
      </c>
      <c r="Z621" s="3">
        <v>224</v>
      </c>
      <c r="AA621" s="3">
        <v>0</v>
      </c>
      <c r="AB621" s="3">
        <v>224</v>
      </c>
      <c r="AC621" s="3">
        <v>0</v>
      </c>
      <c r="AD621" s="3">
        <f t="shared" si="259"/>
        <v>224</v>
      </c>
      <c r="AE621" s="3">
        <v>0</v>
      </c>
      <c r="AF621" s="3">
        <v>0</v>
      </c>
      <c r="AG621" s="3">
        <v>224</v>
      </c>
      <c r="AH621" s="3">
        <v>0</v>
      </c>
      <c r="AI621" s="3">
        <v>0</v>
      </c>
      <c r="AJ621" s="3">
        <f t="shared" si="260"/>
        <v>224</v>
      </c>
      <c r="AK621" s="1">
        <v>0</v>
      </c>
      <c r="AL621" s="1">
        <v>0</v>
      </c>
      <c r="AM621" s="1">
        <v>0</v>
      </c>
      <c r="AN621" s="3">
        <f t="shared" ref="AN621:AN622" si="265">AG621</f>
        <v>224</v>
      </c>
      <c r="AO621" s="1">
        <v>0</v>
      </c>
      <c r="AP621" s="3">
        <f t="shared" si="255"/>
        <v>0</v>
      </c>
    </row>
    <row r="622" spans="1:42" x14ac:dyDescent="0.35">
      <c r="A622" s="1">
        <v>743</v>
      </c>
      <c r="B622" s="2">
        <v>45929</v>
      </c>
      <c r="C622" s="1" t="s">
        <v>64</v>
      </c>
      <c r="D622" s="1">
        <v>9519155004</v>
      </c>
      <c r="E622" s="1">
        <v>2</v>
      </c>
      <c r="F622" s="1" t="s">
        <v>1302</v>
      </c>
      <c r="G622" s="1" t="s">
        <v>1155</v>
      </c>
      <c r="H622" s="1" t="s">
        <v>63</v>
      </c>
      <c r="I622" s="1" t="s">
        <v>275</v>
      </c>
      <c r="K622" s="1" t="s">
        <v>970</v>
      </c>
      <c r="L622" s="1" t="str">
        <f t="shared" si="261"/>
        <v>BPRS</v>
      </c>
      <c r="M622" s="1" t="s">
        <v>1228</v>
      </c>
      <c r="Q622" s="1" t="s">
        <v>171</v>
      </c>
      <c r="R622" s="1">
        <v>2282960</v>
      </c>
      <c r="S622" s="1" t="s">
        <v>1307</v>
      </c>
      <c r="T622" s="1" t="s">
        <v>139</v>
      </c>
      <c r="U622" s="1" t="s">
        <v>140</v>
      </c>
      <c r="V622" s="1" t="s">
        <v>1309</v>
      </c>
      <c r="W622" s="1">
        <v>0.6</v>
      </c>
      <c r="X622" s="1">
        <v>1220</v>
      </c>
      <c r="Y622" s="1">
        <v>0</v>
      </c>
      <c r="Z622" s="3">
        <v>196</v>
      </c>
      <c r="AA622" s="3">
        <v>0</v>
      </c>
      <c r="AB622" s="3">
        <v>196</v>
      </c>
      <c r="AC622" s="3">
        <v>0</v>
      </c>
      <c r="AD622" s="3">
        <f t="shared" si="259"/>
        <v>196</v>
      </c>
      <c r="AE622" s="3">
        <v>0</v>
      </c>
      <c r="AF622" s="3">
        <v>0</v>
      </c>
      <c r="AG622" s="3">
        <v>196</v>
      </c>
      <c r="AH622" s="3">
        <v>0</v>
      </c>
      <c r="AI622" s="3">
        <v>0</v>
      </c>
      <c r="AJ622" s="3">
        <f t="shared" si="260"/>
        <v>196</v>
      </c>
      <c r="AK622" s="1">
        <v>0</v>
      </c>
      <c r="AL622" s="1">
        <v>0</v>
      </c>
      <c r="AM622" s="1">
        <v>0</v>
      </c>
      <c r="AN622" s="3">
        <f t="shared" si="265"/>
        <v>196</v>
      </c>
      <c r="AO622" s="1">
        <v>0</v>
      </c>
      <c r="AP622" s="3">
        <f t="shared" si="255"/>
        <v>0</v>
      </c>
    </row>
    <row r="623" spans="1:42" x14ac:dyDescent="0.35">
      <c r="A623" s="1">
        <v>4310</v>
      </c>
      <c r="B623" s="2">
        <v>45930</v>
      </c>
      <c r="C623" s="1" t="s">
        <v>46</v>
      </c>
      <c r="D623" s="1">
        <v>9519157788</v>
      </c>
      <c r="E623" s="1">
        <v>1</v>
      </c>
      <c r="F623" s="1" t="s">
        <v>1303</v>
      </c>
      <c r="G623" s="1" t="s">
        <v>1155</v>
      </c>
      <c r="H623" s="1" t="s">
        <v>21</v>
      </c>
      <c r="I623" s="1" t="s">
        <v>975</v>
      </c>
      <c r="K623" s="1" t="s">
        <v>970</v>
      </c>
      <c r="L623" s="1" t="s">
        <v>1421</v>
      </c>
      <c r="M623" s="1" t="s">
        <v>1229</v>
      </c>
      <c r="P623" s="1">
        <v>600108</v>
      </c>
      <c r="Q623" s="1" t="s">
        <v>1125</v>
      </c>
      <c r="R623" s="1">
        <v>2420514</v>
      </c>
      <c r="S623" s="1" t="s">
        <v>437</v>
      </c>
      <c r="T623" s="1" t="s">
        <v>28</v>
      </c>
      <c r="U623" s="1" t="s">
        <v>29</v>
      </c>
      <c r="V623" s="1" t="s">
        <v>287</v>
      </c>
      <c r="W623" s="1">
        <v>0.8</v>
      </c>
      <c r="X623" s="1">
        <v>1250</v>
      </c>
      <c r="Y623" s="1">
        <v>0</v>
      </c>
      <c r="Z623" s="3">
        <v>29</v>
      </c>
      <c r="AA623" s="3">
        <v>0</v>
      </c>
      <c r="AB623" s="3">
        <v>28.998999999999999</v>
      </c>
      <c r="AC623" s="3">
        <v>0</v>
      </c>
      <c r="AD623" s="3">
        <f t="shared" si="259"/>
        <v>28.998999999999999</v>
      </c>
      <c r="AE623" s="3">
        <v>0</v>
      </c>
      <c r="AF623" s="3">
        <v>0</v>
      </c>
      <c r="AG623" s="3">
        <v>28.998999999999999</v>
      </c>
      <c r="AH623" s="3">
        <v>0</v>
      </c>
      <c r="AI623" s="3">
        <v>0</v>
      </c>
      <c r="AJ623" s="3">
        <f t="shared" si="260"/>
        <v>28.998999999999999</v>
      </c>
      <c r="AK623" s="1">
        <v>0</v>
      </c>
      <c r="AL623" s="3">
        <f t="shared" ref="AL623:AL626" si="266">AE623</f>
        <v>0</v>
      </c>
      <c r="AM623" s="3">
        <f t="shared" ref="AM623:AM626" si="267">AF623</f>
        <v>0</v>
      </c>
      <c r="AN623" s="3">
        <f t="shared" ref="AN623:AN626" si="268">AG623</f>
        <v>28.998999999999999</v>
      </c>
      <c r="AO623" s="3">
        <f t="shared" ref="AO623:AO626" si="269">AH623</f>
        <v>0</v>
      </c>
      <c r="AP623" s="3">
        <f t="shared" si="255"/>
        <v>0</v>
      </c>
    </row>
    <row r="624" spans="1:42" x14ac:dyDescent="0.35">
      <c r="A624" s="1">
        <v>4310</v>
      </c>
      <c r="B624" s="2">
        <v>45930</v>
      </c>
      <c r="C624" s="1" t="s">
        <v>46</v>
      </c>
      <c r="D624" s="1">
        <v>9519157788</v>
      </c>
      <c r="E624" s="1">
        <v>2</v>
      </c>
      <c r="F624" s="1" t="s">
        <v>1304</v>
      </c>
      <c r="G624" s="1" t="s">
        <v>1155</v>
      </c>
      <c r="H624" s="1" t="s">
        <v>21</v>
      </c>
      <c r="I624" s="1" t="s">
        <v>975</v>
      </c>
      <c r="K624" s="1" t="s">
        <v>970</v>
      </c>
      <c r="L624" s="1" t="s">
        <v>1421</v>
      </c>
      <c r="M624" s="1" t="s">
        <v>1229</v>
      </c>
      <c r="P624" s="1">
        <v>600108</v>
      </c>
      <c r="Q624" s="1" t="s">
        <v>1125</v>
      </c>
      <c r="R624" s="1">
        <v>2420516</v>
      </c>
      <c r="S624" s="1" t="s">
        <v>423</v>
      </c>
      <c r="T624" s="1" t="s">
        <v>28</v>
      </c>
      <c r="U624" s="1" t="s">
        <v>29</v>
      </c>
      <c r="V624" s="1" t="s">
        <v>287</v>
      </c>
      <c r="W624" s="1">
        <v>0.9</v>
      </c>
      <c r="X624" s="1">
        <v>1250</v>
      </c>
      <c r="Y624" s="1">
        <v>0</v>
      </c>
      <c r="Z624" s="3">
        <v>145</v>
      </c>
      <c r="AA624" s="3">
        <v>0</v>
      </c>
      <c r="AB624" s="3">
        <v>144.999</v>
      </c>
      <c r="AC624" s="3">
        <v>0</v>
      </c>
      <c r="AD624" s="3">
        <f t="shared" si="259"/>
        <v>144.999</v>
      </c>
      <c r="AE624" s="3">
        <v>0</v>
      </c>
      <c r="AF624" s="3">
        <v>144.999</v>
      </c>
      <c r="AG624" s="3">
        <v>0</v>
      </c>
      <c r="AH624" s="3">
        <v>0</v>
      </c>
      <c r="AI624" s="3">
        <v>0</v>
      </c>
      <c r="AJ624" s="3">
        <f t="shared" si="260"/>
        <v>144.999</v>
      </c>
      <c r="AK624" s="1">
        <v>0</v>
      </c>
      <c r="AL624" s="3">
        <f t="shared" si="266"/>
        <v>0</v>
      </c>
      <c r="AM624" s="3">
        <f t="shared" si="267"/>
        <v>144.999</v>
      </c>
      <c r="AN624" s="3">
        <f t="shared" si="268"/>
        <v>0</v>
      </c>
      <c r="AO624" s="3">
        <f t="shared" si="269"/>
        <v>0</v>
      </c>
      <c r="AP624" s="3">
        <f t="shared" si="255"/>
        <v>0</v>
      </c>
    </row>
    <row r="625" spans="1:43" x14ac:dyDescent="0.35">
      <c r="A625" s="1">
        <v>4310</v>
      </c>
      <c r="B625" s="2">
        <v>45930</v>
      </c>
      <c r="C625" s="1" t="s">
        <v>46</v>
      </c>
      <c r="D625" s="1">
        <v>9519157788</v>
      </c>
      <c r="E625" s="1">
        <v>3</v>
      </c>
      <c r="F625" s="1" t="s">
        <v>1305</v>
      </c>
      <c r="G625" s="1" t="s">
        <v>1155</v>
      </c>
      <c r="H625" s="1" t="s">
        <v>21</v>
      </c>
      <c r="I625" s="1" t="s">
        <v>975</v>
      </c>
      <c r="K625" s="1" t="s">
        <v>970</v>
      </c>
      <c r="L625" s="1" t="s">
        <v>1421</v>
      </c>
      <c r="M625" s="1" t="s">
        <v>1229</v>
      </c>
      <c r="P625" s="1">
        <v>600108</v>
      </c>
      <c r="Q625" s="1" t="s">
        <v>1125</v>
      </c>
      <c r="R625" s="1">
        <v>2420518</v>
      </c>
      <c r="S625" s="1" t="s">
        <v>354</v>
      </c>
      <c r="T625" s="1" t="s">
        <v>28</v>
      </c>
      <c r="U625" s="1" t="s">
        <v>29</v>
      </c>
      <c r="V625" s="1" t="s">
        <v>287</v>
      </c>
      <c r="W625" s="1">
        <v>1</v>
      </c>
      <c r="X625" s="1">
        <v>1250</v>
      </c>
      <c r="Y625" s="1">
        <v>0</v>
      </c>
      <c r="Z625" s="3">
        <v>203</v>
      </c>
      <c r="AA625" s="3">
        <v>0</v>
      </c>
      <c r="AB625" s="3">
        <v>202.999</v>
      </c>
      <c r="AC625" s="3">
        <v>0</v>
      </c>
      <c r="AD625" s="3">
        <f t="shared" si="259"/>
        <v>202.999</v>
      </c>
      <c r="AE625" s="3">
        <v>0</v>
      </c>
      <c r="AF625" s="3">
        <v>0</v>
      </c>
      <c r="AG625" s="3">
        <v>0</v>
      </c>
      <c r="AH625" s="3">
        <v>202.999</v>
      </c>
      <c r="AI625" s="3">
        <v>0</v>
      </c>
      <c r="AJ625" s="3">
        <f t="shared" si="260"/>
        <v>202.999</v>
      </c>
      <c r="AK625" s="1">
        <v>0</v>
      </c>
      <c r="AL625" s="3">
        <f t="shared" si="266"/>
        <v>0</v>
      </c>
      <c r="AM625" s="3">
        <f t="shared" si="267"/>
        <v>0</v>
      </c>
      <c r="AN625" s="3">
        <f t="shared" si="268"/>
        <v>0</v>
      </c>
      <c r="AO625" s="3">
        <f t="shared" si="269"/>
        <v>202.999</v>
      </c>
      <c r="AP625" s="3">
        <f t="shared" si="255"/>
        <v>0</v>
      </c>
    </row>
    <row r="626" spans="1:43" x14ac:dyDescent="0.35">
      <c r="A626" s="1">
        <v>4310</v>
      </c>
      <c r="B626" s="2">
        <v>45930</v>
      </c>
      <c r="C626" s="1" t="s">
        <v>46</v>
      </c>
      <c r="D626" s="1">
        <v>9519157788</v>
      </c>
      <c r="E626" s="1">
        <v>4</v>
      </c>
      <c r="F626" s="1" t="s">
        <v>1306</v>
      </c>
      <c r="G626" s="1" t="s">
        <v>1155</v>
      </c>
      <c r="H626" s="1" t="s">
        <v>21</v>
      </c>
      <c r="I626" s="1" t="s">
        <v>975</v>
      </c>
      <c r="K626" s="1" t="s">
        <v>970</v>
      </c>
      <c r="L626" s="1" t="s">
        <v>1421</v>
      </c>
      <c r="M626" s="1" t="s">
        <v>1229</v>
      </c>
      <c r="P626" s="1">
        <v>600108</v>
      </c>
      <c r="Q626" s="1" t="s">
        <v>1125</v>
      </c>
      <c r="R626" s="1">
        <v>2420521</v>
      </c>
      <c r="S626" s="1" t="s">
        <v>1308</v>
      </c>
      <c r="T626" s="1" t="s">
        <v>28</v>
      </c>
      <c r="U626" s="1" t="s">
        <v>29</v>
      </c>
      <c r="V626" s="1" t="s">
        <v>287</v>
      </c>
      <c r="W626" s="1">
        <v>1.2</v>
      </c>
      <c r="X626" s="1">
        <v>1250</v>
      </c>
      <c r="Y626" s="1">
        <v>0</v>
      </c>
      <c r="Z626" s="3">
        <v>290</v>
      </c>
      <c r="AA626" s="3">
        <v>0</v>
      </c>
      <c r="AB626" s="3">
        <v>289.99900000000002</v>
      </c>
      <c r="AC626" s="3">
        <v>0</v>
      </c>
      <c r="AD626" s="3">
        <f t="shared" si="259"/>
        <v>289.99900000000002</v>
      </c>
      <c r="AE626" s="3">
        <v>0</v>
      </c>
      <c r="AF626" s="3">
        <v>0</v>
      </c>
      <c r="AG626" s="3">
        <v>0</v>
      </c>
      <c r="AH626" s="3">
        <v>0</v>
      </c>
      <c r="AI626" s="3">
        <v>289.99900000000002</v>
      </c>
      <c r="AJ626" s="3">
        <f t="shared" si="260"/>
        <v>0</v>
      </c>
      <c r="AK626" s="1">
        <v>0</v>
      </c>
      <c r="AL626" s="3">
        <f t="shared" si="266"/>
        <v>0</v>
      </c>
      <c r="AM626" s="3">
        <f t="shared" si="267"/>
        <v>0</v>
      </c>
      <c r="AN626" s="3">
        <f t="shared" si="268"/>
        <v>0</v>
      </c>
      <c r="AO626" s="3">
        <f t="shared" si="269"/>
        <v>0</v>
      </c>
      <c r="AP626" s="3">
        <f t="shared" si="255"/>
        <v>289.99900000000002</v>
      </c>
    </row>
    <row r="627" spans="1:43" x14ac:dyDescent="0.35">
      <c r="A627" s="1">
        <v>742</v>
      </c>
      <c r="B627" s="2">
        <v>45921</v>
      </c>
      <c r="C627" s="1" t="s">
        <v>64</v>
      </c>
      <c r="D627" s="1">
        <v>9519126750</v>
      </c>
      <c r="E627" s="1">
        <v>1</v>
      </c>
      <c r="F627" s="1" t="s">
        <v>1370</v>
      </c>
      <c r="G627" s="1" t="s">
        <v>1155</v>
      </c>
      <c r="H627" s="1" t="s">
        <v>21</v>
      </c>
      <c r="I627" s="1" t="s">
        <v>969</v>
      </c>
      <c r="K627" s="1" t="s">
        <v>969</v>
      </c>
      <c r="L627" s="1" t="str">
        <f t="shared" ref="L627:L633" si="270">K627</f>
        <v>IPP</v>
      </c>
      <c r="M627" s="1" t="s">
        <v>1228</v>
      </c>
      <c r="N627" s="1" t="s">
        <v>1374</v>
      </c>
      <c r="P627" s="1">
        <v>189022</v>
      </c>
      <c r="Q627" s="1" t="s">
        <v>1357</v>
      </c>
      <c r="R627" s="1">
        <v>3492271</v>
      </c>
      <c r="S627" s="1" t="s">
        <v>1375</v>
      </c>
      <c r="T627" s="1" t="s">
        <v>75</v>
      </c>
      <c r="U627" s="1" t="s">
        <v>29</v>
      </c>
      <c r="V627" s="1" t="s">
        <v>101</v>
      </c>
      <c r="W627" s="1">
        <v>0.9</v>
      </c>
      <c r="X627" s="1">
        <v>913</v>
      </c>
      <c r="Y627" s="1">
        <v>1800</v>
      </c>
      <c r="Z627" s="3">
        <v>63</v>
      </c>
      <c r="AA627" s="3">
        <v>0</v>
      </c>
      <c r="AB627" s="3">
        <v>63</v>
      </c>
      <c r="AC627" s="3">
        <v>0</v>
      </c>
      <c r="AD627" s="3">
        <f t="shared" si="259"/>
        <v>63</v>
      </c>
      <c r="AE627" s="3">
        <v>0</v>
      </c>
      <c r="AF627" s="3">
        <v>63</v>
      </c>
      <c r="AG627" s="3">
        <v>0</v>
      </c>
      <c r="AH627" s="3">
        <v>0</v>
      </c>
      <c r="AI627" s="3">
        <v>0</v>
      </c>
      <c r="AJ627" s="3">
        <f t="shared" si="260"/>
        <v>63</v>
      </c>
      <c r="AK627" s="1">
        <v>0</v>
      </c>
      <c r="AL627" s="1">
        <v>0</v>
      </c>
      <c r="AM627" s="3">
        <f t="shared" ref="AM627:AM636" si="271">AF627</f>
        <v>63</v>
      </c>
      <c r="AN627" s="1">
        <v>0</v>
      </c>
      <c r="AO627" s="1">
        <v>0</v>
      </c>
      <c r="AP627" s="3">
        <f t="shared" si="255"/>
        <v>0</v>
      </c>
    </row>
    <row r="628" spans="1:43" x14ac:dyDescent="0.35">
      <c r="A628" s="1">
        <v>742</v>
      </c>
      <c r="B628" s="2">
        <v>45921</v>
      </c>
      <c r="C628" s="1" t="s">
        <v>64</v>
      </c>
      <c r="D628" s="1">
        <v>9519126750</v>
      </c>
      <c r="E628" s="1">
        <v>2</v>
      </c>
      <c r="F628" s="1" t="s">
        <v>1371</v>
      </c>
      <c r="G628" s="1" t="s">
        <v>1155</v>
      </c>
      <c r="H628" s="1" t="s">
        <v>21</v>
      </c>
      <c r="I628" s="1" t="s">
        <v>969</v>
      </c>
      <c r="K628" s="1" t="s">
        <v>969</v>
      </c>
      <c r="L628" s="1" t="str">
        <f t="shared" si="270"/>
        <v>IPP</v>
      </c>
      <c r="M628" s="1" t="s">
        <v>1228</v>
      </c>
      <c r="N628" s="1" t="s">
        <v>1374</v>
      </c>
      <c r="P628" s="1">
        <v>189022</v>
      </c>
      <c r="Q628" s="1" t="s">
        <v>1357</v>
      </c>
      <c r="R628" s="1">
        <v>3404312</v>
      </c>
      <c r="S628" s="1" t="s">
        <v>1376</v>
      </c>
      <c r="T628" s="1" t="s">
        <v>75</v>
      </c>
      <c r="U628" s="1" t="s">
        <v>29</v>
      </c>
      <c r="V628" s="1" t="s">
        <v>101</v>
      </c>
      <c r="W628" s="1">
        <v>0.97</v>
      </c>
      <c r="X628" s="1">
        <v>913</v>
      </c>
      <c r="Y628" s="1">
        <v>1800</v>
      </c>
      <c r="Z628" s="3">
        <v>105</v>
      </c>
      <c r="AA628" s="3">
        <v>0</v>
      </c>
      <c r="AB628" s="3">
        <v>105</v>
      </c>
      <c r="AC628" s="3">
        <v>0</v>
      </c>
      <c r="AD628" s="3">
        <f t="shared" si="259"/>
        <v>105</v>
      </c>
      <c r="AE628" s="3">
        <v>0</v>
      </c>
      <c r="AF628" s="3">
        <v>105</v>
      </c>
      <c r="AG628" s="3">
        <v>0</v>
      </c>
      <c r="AH628" s="3">
        <v>0</v>
      </c>
      <c r="AI628" s="3">
        <v>0</v>
      </c>
      <c r="AJ628" s="3">
        <f t="shared" si="260"/>
        <v>105</v>
      </c>
      <c r="AK628" s="1">
        <v>0</v>
      </c>
      <c r="AL628" s="1">
        <v>0</v>
      </c>
      <c r="AM628" s="3">
        <f t="shared" si="271"/>
        <v>105</v>
      </c>
      <c r="AN628" s="1">
        <v>0</v>
      </c>
      <c r="AO628" s="1">
        <v>0</v>
      </c>
      <c r="AP628" s="3">
        <f t="shared" si="255"/>
        <v>0</v>
      </c>
    </row>
    <row r="629" spans="1:43" x14ac:dyDescent="0.35">
      <c r="A629" s="1">
        <v>742</v>
      </c>
      <c r="B629" s="2">
        <v>45921</v>
      </c>
      <c r="C629" s="1" t="s">
        <v>64</v>
      </c>
      <c r="D629" s="1">
        <v>9519126750</v>
      </c>
      <c r="E629" s="1">
        <v>3</v>
      </c>
      <c r="F629" s="1" t="s">
        <v>1372</v>
      </c>
      <c r="G629" s="1" t="s">
        <v>1155</v>
      </c>
      <c r="H629" s="1" t="s">
        <v>21</v>
      </c>
      <c r="I629" s="1" t="s">
        <v>969</v>
      </c>
      <c r="K629" s="1" t="s">
        <v>969</v>
      </c>
      <c r="L629" s="1" t="str">
        <f t="shared" si="270"/>
        <v>IPP</v>
      </c>
      <c r="M629" s="1" t="s">
        <v>1228</v>
      </c>
      <c r="N629" s="1" t="s">
        <v>1374</v>
      </c>
      <c r="P629" s="1">
        <v>189022</v>
      </c>
      <c r="Q629" s="1" t="s">
        <v>1357</v>
      </c>
      <c r="R629" s="1">
        <v>3492272</v>
      </c>
      <c r="S629" s="1" t="s">
        <v>1377</v>
      </c>
      <c r="T629" s="1" t="s">
        <v>75</v>
      </c>
      <c r="U629" s="1" t="s">
        <v>29</v>
      </c>
      <c r="V629" s="1" t="s">
        <v>101</v>
      </c>
      <c r="W629" s="1">
        <v>1.2</v>
      </c>
      <c r="X629" s="1">
        <v>910</v>
      </c>
      <c r="Y629" s="1">
        <v>1800</v>
      </c>
      <c r="Z629" s="3">
        <v>63</v>
      </c>
      <c r="AA629" s="3">
        <v>0</v>
      </c>
      <c r="AB629" s="3">
        <v>63</v>
      </c>
      <c r="AC629" s="3">
        <v>0</v>
      </c>
      <c r="AD629" s="3">
        <f t="shared" si="259"/>
        <v>63</v>
      </c>
      <c r="AE629" s="3">
        <v>0</v>
      </c>
      <c r="AF629" s="3">
        <v>63</v>
      </c>
      <c r="AG629" s="3">
        <v>0</v>
      </c>
      <c r="AH629" s="3">
        <v>0</v>
      </c>
      <c r="AI629" s="3">
        <v>0</v>
      </c>
      <c r="AJ629" s="3">
        <f t="shared" si="260"/>
        <v>63</v>
      </c>
      <c r="AK629" s="1">
        <v>0</v>
      </c>
      <c r="AL629" s="1">
        <v>0</v>
      </c>
      <c r="AM629" s="3">
        <f t="shared" si="271"/>
        <v>63</v>
      </c>
      <c r="AN629" s="1">
        <v>0</v>
      </c>
      <c r="AO629" s="1">
        <v>0</v>
      </c>
      <c r="AP629" s="3">
        <f t="shared" si="255"/>
        <v>0</v>
      </c>
    </row>
    <row r="630" spans="1:43" x14ac:dyDescent="0.35">
      <c r="A630" s="1">
        <v>742</v>
      </c>
      <c r="B630" s="2">
        <v>45921</v>
      </c>
      <c r="C630" s="1" t="s">
        <v>64</v>
      </c>
      <c r="D630" s="1">
        <v>9519126750</v>
      </c>
      <c r="E630" s="1">
        <v>4</v>
      </c>
      <c r="F630" s="1" t="s">
        <v>1373</v>
      </c>
      <c r="G630" s="1" t="s">
        <v>1155</v>
      </c>
      <c r="H630" s="1" t="s">
        <v>21</v>
      </c>
      <c r="I630" s="1" t="s">
        <v>969</v>
      </c>
      <c r="K630" s="1" t="s">
        <v>969</v>
      </c>
      <c r="L630" s="1" t="str">
        <f t="shared" si="270"/>
        <v>IPP</v>
      </c>
      <c r="M630" s="1" t="s">
        <v>1228</v>
      </c>
      <c r="N630" s="1" t="s">
        <v>1374</v>
      </c>
      <c r="P630" s="1">
        <v>189022</v>
      </c>
      <c r="Q630" s="1" t="s">
        <v>1357</v>
      </c>
      <c r="R630" s="1">
        <v>3409914</v>
      </c>
      <c r="S630" s="1" t="s">
        <v>1378</v>
      </c>
      <c r="T630" s="1" t="s">
        <v>75</v>
      </c>
      <c r="U630" s="1" t="s">
        <v>29</v>
      </c>
      <c r="V630" s="1" t="s">
        <v>101</v>
      </c>
      <c r="W630" s="1">
        <v>1.2</v>
      </c>
      <c r="X630" s="1">
        <v>914</v>
      </c>
      <c r="Y630" s="1">
        <v>1800</v>
      </c>
      <c r="Z630" s="3">
        <v>21</v>
      </c>
      <c r="AA630" s="3">
        <v>0</v>
      </c>
      <c r="AB630" s="3">
        <v>21</v>
      </c>
      <c r="AC630" s="3">
        <v>0</v>
      </c>
      <c r="AD630" s="3">
        <f t="shared" si="259"/>
        <v>21</v>
      </c>
      <c r="AE630" s="3">
        <v>0</v>
      </c>
      <c r="AF630" s="3">
        <v>21</v>
      </c>
      <c r="AG630" s="3">
        <v>0</v>
      </c>
      <c r="AH630" s="3">
        <v>0</v>
      </c>
      <c r="AI630" s="3">
        <v>0</v>
      </c>
      <c r="AJ630" s="3">
        <f t="shared" si="260"/>
        <v>21</v>
      </c>
      <c r="AK630" s="1">
        <v>0</v>
      </c>
      <c r="AL630" s="1">
        <v>0</v>
      </c>
      <c r="AM630" s="3">
        <f t="shared" si="271"/>
        <v>21</v>
      </c>
      <c r="AN630" s="1">
        <v>0</v>
      </c>
      <c r="AO630" s="1">
        <v>0</v>
      </c>
      <c r="AP630" s="3">
        <f t="shared" si="255"/>
        <v>0</v>
      </c>
    </row>
    <row r="631" spans="1:43" x14ac:dyDescent="0.35">
      <c r="A631" s="1">
        <v>742</v>
      </c>
      <c r="B631" s="2">
        <v>45846</v>
      </c>
      <c r="C631" s="1" t="s">
        <v>64</v>
      </c>
      <c r="D631" s="1">
        <v>9518914422</v>
      </c>
      <c r="E631" s="1">
        <v>1</v>
      </c>
      <c r="F631" s="1" t="s">
        <v>1379</v>
      </c>
      <c r="G631" s="1" t="s">
        <v>1155</v>
      </c>
      <c r="H631" s="1" t="s">
        <v>21</v>
      </c>
      <c r="I631" s="1" t="s">
        <v>969</v>
      </c>
      <c r="K631" s="1" t="s">
        <v>969</v>
      </c>
      <c r="L631" s="1" t="str">
        <f t="shared" si="270"/>
        <v>IPP</v>
      </c>
      <c r="M631" s="1" t="s">
        <v>1016</v>
      </c>
      <c r="N631" s="1" t="s">
        <v>85</v>
      </c>
      <c r="P631" s="1">
        <v>947865</v>
      </c>
      <c r="Q631" s="1" t="s">
        <v>124</v>
      </c>
      <c r="R631" s="1">
        <v>4006905</v>
      </c>
      <c r="S631" s="1" t="s">
        <v>247</v>
      </c>
      <c r="T631" s="1" t="s">
        <v>28</v>
      </c>
      <c r="U631" s="1" t="s">
        <v>29</v>
      </c>
      <c r="V631" s="1" t="s">
        <v>126</v>
      </c>
      <c r="W631" s="1">
        <v>0.45</v>
      </c>
      <c r="X631" s="1">
        <v>848</v>
      </c>
      <c r="Y631" s="1">
        <v>0</v>
      </c>
      <c r="Z631" s="3">
        <v>138</v>
      </c>
      <c r="AA631" s="3">
        <v>122.74</v>
      </c>
      <c r="AB631" s="3">
        <v>15.26</v>
      </c>
      <c r="AC631" s="3">
        <v>0</v>
      </c>
      <c r="AD631" s="3">
        <f t="shared" si="259"/>
        <v>15.26</v>
      </c>
      <c r="AE631" s="3">
        <f>VLOOKUP($F631,[3]Sheet1!$A$4:$F$574,2,0)</f>
        <v>0</v>
      </c>
      <c r="AF631" s="3">
        <f>VLOOKUP($F631,[3]Sheet1!$A$4:$F$574,3,0)</f>
        <v>15.26</v>
      </c>
      <c r="AG631" s="3">
        <f>VLOOKUP($F631,[3]Sheet1!$A$4:$F$574,4,0)</f>
        <v>0</v>
      </c>
      <c r="AH631" s="3">
        <f>VLOOKUP($F631,[3]Sheet1!$A$4:$F$574,5,0)</f>
        <v>0</v>
      </c>
      <c r="AI631" s="3">
        <f>VLOOKUP($F631,[3]Sheet1!$A$4:$F$574,6,0)</f>
        <v>0</v>
      </c>
      <c r="AJ631" s="3">
        <f t="shared" si="260"/>
        <v>15.26</v>
      </c>
      <c r="AK631" s="1">
        <v>0</v>
      </c>
      <c r="AL631" s="1">
        <v>0</v>
      </c>
      <c r="AM631" s="3">
        <f t="shared" si="271"/>
        <v>15.26</v>
      </c>
      <c r="AN631" s="1">
        <v>0</v>
      </c>
      <c r="AO631" s="1">
        <v>0</v>
      </c>
      <c r="AP631" s="3">
        <f t="shared" si="255"/>
        <v>0</v>
      </c>
      <c r="AQ631" s="1" t="s">
        <v>124</v>
      </c>
    </row>
    <row r="632" spans="1:43" x14ac:dyDescent="0.35">
      <c r="A632" s="1">
        <v>742</v>
      </c>
      <c r="B632" s="2">
        <v>45835</v>
      </c>
      <c r="C632" s="1" t="s">
        <v>64</v>
      </c>
      <c r="D632" s="1">
        <v>9518886012</v>
      </c>
      <c r="E632" s="1">
        <v>2</v>
      </c>
      <c r="F632" s="1" t="s">
        <v>1380</v>
      </c>
      <c r="G632" s="1" t="s">
        <v>1155</v>
      </c>
      <c r="H632" s="1" t="s">
        <v>21</v>
      </c>
      <c r="I632" s="1" t="s">
        <v>975</v>
      </c>
      <c r="K632" s="1" t="s">
        <v>970</v>
      </c>
      <c r="L632" s="1" t="str">
        <f t="shared" si="270"/>
        <v>BPRS</v>
      </c>
      <c r="M632" s="1" t="s">
        <v>1018</v>
      </c>
      <c r="N632" s="1" t="s">
        <v>356</v>
      </c>
      <c r="P632" s="1">
        <v>155536</v>
      </c>
      <c r="Q632" s="1" t="s">
        <v>24</v>
      </c>
      <c r="R632" s="1">
        <v>2420525</v>
      </c>
      <c r="S632" s="1" t="s">
        <v>363</v>
      </c>
      <c r="T632" s="1" t="s">
        <v>28</v>
      </c>
      <c r="U632" s="1" t="s">
        <v>29</v>
      </c>
      <c r="V632" s="1" t="s">
        <v>287</v>
      </c>
      <c r="W632" s="1">
        <v>2</v>
      </c>
      <c r="X632" s="1">
        <v>1250</v>
      </c>
      <c r="Y632" s="1">
        <v>0</v>
      </c>
      <c r="Z632" s="3">
        <v>174</v>
      </c>
      <c r="AA632" s="3">
        <v>157.79</v>
      </c>
      <c r="AB632" s="3">
        <v>16.21</v>
      </c>
      <c r="AC632" s="3">
        <v>0</v>
      </c>
      <c r="AD632" s="3">
        <f t="shared" ref="AD632:AD650" si="272">SUM(AE632:AI632)</f>
        <v>16.21</v>
      </c>
      <c r="AE632" s="3">
        <f>VLOOKUP($F632,[3]Sheet1!$A$4:$F$574,2,0)</f>
        <v>16.21</v>
      </c>
      <c r="AF632" s="3">
        <f>VLOOKUP($F632,[3]Sheet1!$A$4:$F$574,3,0)</f>
        <v>0</v>
      </c>
      <c r="AG632" s="3">
        <f>VLOOKUP($F632,[3]Sheet1!$A$4:$F$574,4,0)</f>
        <v>0</v>
      </c>
      <c r="AH632" s="3">
        <f>VLOOKUP($F632,[3]Sheet1!$A$4:$F$574,5,0)</f>
        <v>0</v>
      </c>
      <c r="AI632" s="3">
        <f>VLOOKUP($F632,[3]Sheet1!$A$4:$F$574,6,0)</f>
        <v>0</v>
      </c>
      <c r="AJ632" s="3">
        <f t="shared" si="260"/>
        <v>16.21</v>
      </c>
      <c r="AK632" s="1">
        <v>0</v>
      </c>
      <c r="AL632" s="3">
        <f t="shared" ref="AL632:AL636" si="273">AE632</f>
        <v>16.21</v>
      </c>
      <c r="AM632" s="3">
        <f t="shared" si="271"/>
        <v>0</v>
      </c>
      <c r="AN632" s="3">
        <f t="shared" ref="AN632:AN636" si="274">AG632</f>
        <v>0</v>
      </c>
      <c r="AO632" s="3">
        <f t="shared" ref="AO632:AO636" si="275">AH632</f>
        <v>0</v>
      </c>
      <c r="AP632" s="3">
        <f t="shared" si="255"/>
        <v>0</v>
      </c>
      <c r="AQ632" s="1" t="s">
        <v>24</v>
      </c>
    </row>
    <row r="633" spans="1:43" x14ac:dyDescent="0.35">
      <c r="A633" s="1">
        <v>742</v>
      </c>
      <c r="B633" s="2">
        <v>45859</v>
      </c>
      <c r="C633" s="1" t="s">
        <v>64</v>
      </c>
      <c r="D633" s="1">
        <v>9518946840</v>
      </c>
      <c r="E633" s="1">
        <v>4</v>
      </c>
      <c r="F633" s="1" t="s">
        <v>1381</v>
      </c>
      <c r="G633" s="1" t="s">
        <v>1155</v>
      </c>
      <c r="H633" s="1" t="s">
        <v>21</v>
      </c>
      <c r="I633" s="1" t="s">
        <v>22</v>
      </c>
      <c r="K633" s="1" t="s">
        <v>970</v>
      </c>
      <c r="L633" s="1" t="str">
        <f t="shared" si="270"/>
        <v>BPRS</v>
      </c>
      <c r="M633" s="1" t="s">
        <v>1017</v>
      </c>
      <c r="N633" s="1" t="s">
        <v>37</v>
      </c>
      <c r="P633" s="1">
        <v>123052</v>
      </c>
      <c r="Q633" s="1" t="s">
        <v>51</v>
      </c>
      <c r="R633" s="1">
        <v>1804854</v>
      </c>
      <c r="S633" s="1" t="s">
        <v>211</v>
      </c>
      <c r="T633" s="1" t="s">
        <v>28</v>
      </c>
      <c r="U633" s="1" t="s">
        <v>29</v>
      </c>
      <c r="V633" s="1" t="s">
        <v>30</v>
      </c>
      <c r="W633" s="1">
        <v>1.2</v>
      </c>
      <c r="X633" s="1">
        <v>1250</v>
      </c>
      <c r="Y633" s="1">
        <v>0</v>
      </c>
      <c r="Z633" s="3">
        <v>57.999000000000002</v>
      </c>
      <c r="AA633" s="3">
        <v>43.81</v>
      </c>
      <c r="AB633" s="3">
        <v>14.189</v>
      </c>
      <c r="AC633" s="3">
        <v>0</v>
      </c>
      <c r="AD633" s="3">
        <f t="shared" si="272"/>
        <v>14.189</v>
      </c>
      <c r="AE633" s="3">
        <f>VLOOKUP($F633,[3]Sheet1!$A$4:$F$574,2,0)</f>
        <v>14.189</v>
      </c>
      <c r="AF633" s="3">
        <f>VLOOKUP($F633,[3]Sheet1!$A$4:$F$574,3,0)</f>
        <v>0</v>
      </c>
      <c r="AG633" s="3">
        <f>VLOOKUP($F633,[3]Sheet1!$A$4:$F$574,4,0)</f>
        <v>0</v>
      </c>
      <c r="AH633" s="3">
        <f>VLOOKUP($F633,[3]Sheet1!$A$4:$F$574,5,0)</f>
        <v>0</v>
      </c>
      <c r="AI633" s="3">
        <f>VLOOKUP($F633,[3]Sheet1!$A$4:$F$574,6,0)</f>
        <v>0</v>
      </c>
      <c r="AJ633" s="3">
        <f t="shared" si="260"/>
        <v>14.189</v>
      </c>
      <c r="AK633" s="1">
        <v>0</v>
      </c>
      <c r="AL633" s="3">
        <f t="shared" si="273"/>
        <v>14.189</v>
      </c>
      <c r="AM633" s="3">
        <f t="shared" si="271"/>
        <v>0</v>
      </c>
      <c r="AN633" s="3">
        <f t="shared" si="274"/>
        <v>0</v>
      </c>
      <c r="AO633" s="3">
        <f t="shared" si="275"/>
        <v>0</v>
      </c>
      <c r="AP633" s="3">
        <f t="shared" si="255"/>
        <v>0</v>
      </c>
      <c r="AQ633" s="1" t="s">
        <v>51</v>
      </c>
    </row>
    <row r="634" spans="1:43" x14ac:dyDescent="0.35">
      <c r="A634" s="1">
        <v>742</v>
      </c>
      <c r="B634" s="2">
        <v>45871</v>
      </c>
      <c r="C634" s="1" t="s">
        <v>46</v>
      </c>
      <c r="D634" s="1">
        <v>9518988388</v>
      </c>
      <c r="E634" s="1">
        <v>3</v>
      </c>
      <c r="F634" s="1" t="s">
        <v>1382</v>
      </c>
      <c r="G634" s="1" t="s">
        <v>1155</v>
      </c>
      <c r="H634" s="1" t="s">
        <v>21</v>
      </c>
      <c r="I634" s="1" t="s">
        <v>22</v>
      </c>
      <c r="K634" s="1" t="s">
        <v>970</v>
      </c>
      <c r="L634" s="1" t="s">
        <v>1421</v>
      </c>
      <c r="M634" s="1" t="s">
        <v>1016</v>
      </c>
      <c r="N634" s="1" t="s">
        <v>47</v>
      </c>
      <c r="P634" s="1">
        <v>600250</v>
      </c>
      <c r="Q634" s="1" t="s">
        <v>43</v>
      </c>
      <c r="R634" s="1">
        <v>187525</v>
      </c>
      <c r="S634" s="1" t="s">
        <v>1401</v>
      </c>
      <c r="T634" s="1" t="s">
        <v>28</v>
      </c>
      <c r="U634" s="1" t="s">
        <v>29</v>
      </c>
      <c r="V634" s="1" t="s">
        <v>30</v>
      </c>
      <c r="W634" s="1">
        <v>1</v>
      </c>
      <c r="X634" s="1">
        <v>1250</v>
      </c>
      <c r="Y634" s="1">
        <v>0</v>
      </c>
      <c r="Z634" s="3">
        <v>298.15600000000001</v>
      </c>
      <c r="AA634" s="3">
        <v>286.82499999999999</v>
      </c>
      <c r="AB634" s="3">
        <v>11.331</v>
      </c>
      <c r="AC634" s="3">
        <v>0</v>
      </c>
      <c r="AD634" s="3">
        <f t="shared" si="272"/>
        <v>11.331</v>
      </c>
      <c r="AE634" s="3">
        <f>VLOOKUP($F634,[3]Sheet1!$A$4:$F$574,2,0)</f>
        <v>0</v>
      </c>
      <c r="AF634" s="3">
        <f>VLOOKUP($F634,[3]Sheet1!$A$4:$F$574,3,0)</f>
        <v>11.331</v>
      </c>
      <c r="AG634" s="3">
        <f>VLOOKUP($F634,[3]Sheet1!$A$4:$F$574,4,0)</f>
        <v>0</v>
      </c>
      <c r="AH634" s="3">
        <f>VLOOKUP($F634,[3]Sheet1!$A$4:$F$574,5,0)</f>
        <v>0</v>
      </c>
      <c r="AI634" s="3">
        <f>VLOOKUP($F634,[3]Sheet1!$A$4:$F$574,6,0)</f>
        <v>0</v>
      </c>
      <c r="AJ634" s="3">
        <f t="shared" si="260"/>
        <v>11.331</v>
      </c>
      <c r="AK634" s="1">
        <v>0</v>
      </c>
      <c r="AL634" s="3">
        <f t="shared" si="273"/>
        <v>0</v>
      </c>
      <c r="AM634" s="3">
        <f t="shared" si="271"/>
        <v>11.331</v>
      </c>
      <c r="AN634" s="3">
        <f t="shared" si="274"/>
        <v>0</v>
      </c>
      <c r="AO634" s="3">
        <f t="shared" si="275"/>
        <v>0</v>
      </c>
      <c r="AP634" s="3">
        <f t="shared" si="255"/>
        <v>0</v>
      </c>
      <c r="AQ634" s="1" t="s">
        <v>43</v>
      </c>
    </row>
    <row r="635" spans="1:43" x14ac:dyDescent="0.35">
      <c r="A635" s="1">
        <v>742</v>
      </c>
      <c r="B635" s="2">
        <v>45871</v>
      </c>
      <c r="C635" s="1" t="s">
        <v>46</v>
      </c>
      <c r="D635" s="1">
        <v>9518988388</v>
      </c>
      <c r="E635" s="1">
        <v>4</v>
      </c>
      <c r="F635" s="1" t="s">
        <v>1383</v>
      </c>
      <c r="G635" s="1" t="s">
        <v>1155</v>
      </c>
      <c r="H635" s="1" t="s">
        <v>21</v>
      </c>
      <c r="I635" s="1" t="s">
        <v>22</v>
      </c>
      <c r="K635" s="1" t="s">
        <v>970</v>
      </c>
      <c r="L635" s="1" t="s">
        <v>1421</v>
      </c>
      <c r="M635" s="1" t="s">
        <v>1016</v>
      </c>
      <c r="N635" s="1" t="s">
        <v>47</v>
      </c>
      <c r="P635" s="1">
        <v>600250</v>
      </c>
      <c r="Q635" s="1" t="s">
        <v>43</v>
      </c>
      <c r="R635" s="1">
        <v>187525</v>
      </c>
      <c r="S635" s="1" t="s">
        <v>1401</v>
      </c>
      <c r="T635" s="1" t="s">
        <v>28</v>
      </c>
      <c r="U635" s="1" t="s">
        <v>29</v>
      </c>
      <c r="V635" s="1" t="s">
        <v>30</v>
      </c>
      <c r="W635" s="1">
        <v>1</v>
      </c>
      <c r="X635" s="1">
        <v>1250</v>
      </c>
      <c r="Y635" s="1">
        <v>0</v>
      </c>
      <c r="Z635" s="3">
        <v>174.74100000000001</v>
      </c>
      <c r="AA635" s="3">
        <v>168.67</v>
      </c>
      <c r="AB635" s="3">
        <v>6.0709999999999997</v>
      </c>
      <c r="AC635" s="3">
        <v>0</v>
      </c>
      <c r="AD635" s="3">
        <f t="shared" si="272"/>
        <v>6.0709999999999997</v>
      </c>
      <c r="AE635" s="3">
        <f>VLOOKUP($F635,[3]Sheet1!$A$4:$F$574,2,0)</f>
        <v>0</v>
      </c>
      <c r="AF635" s="3">
        <f>VLOOKUP($F635,[3]Sheet1!$A$4:$F$574,3,0)</f>
        <v>6.0709999999999997</v>
      </c>
      <c r="AG635" s="3">
        <f>VLOOKUP($F635,[3]Sheet1!$A$4:$F$574,4,0)</f>
        <v>0</v>
      </c>
      <c r="AH635" s="3">
        <f>VLOOKUP($F635,[3]Sheet1!$A$4:$F$574,5,0)</f>
        <v>0</v>
      </c>
      <c r="AI635" s="3">
        <f>VLOOKUP($F635,[3]Sheet1!$A$4:$F$574,6,0)</f>
        <v>0</v>
      </c>
      <c r="AJ635" s="3">
        <f t="shared" si="260"/>
        <v>6.0709999999999997</v>
      </c>
      <c r="AK635" s="1">
        <v>0</v>
      </c>
      <c r="AL635" s="3">
        <f t="shared" si="273"/>
        <v>0</v>
      </c>
      <c r="AM635" s="3">
        <f t="shared" si="271"/>
        <v>6.0709999999999997</v>
      </c>
      <c r="AN635" s="3">
        <f t="shared" si="274"/>
        <v>0</v>
      </c>
      <c r="AO635" s="3">
        <f t="shared" si="275"/>
        <v>0</v>
      </c>
      <c r="AP635" s="3">
        <f t="shared" si="255"/>
        <v>0</v>
      </c>
      <c r="AQ635" s="1" t="s">
        <v>43</v>
      </c>
    </row>
    <row r="636" spans="1:43" x14ac:dyDescent="0.35">
      <c r="A636" s="1">
        <v>742</v>
      </c>
      <c r="B636" s="2">
        <v>45871</v>
      </c>
      <c r="C636" s="1" t="s">
        <v>46</v>
      </c>
      <c r="D636" s="1">
        <v>9518988388</v>
      </c>
      <c r="E636" s="1">
        <v>5</v>
      </c>
      <c r="F636" s="1" t="s">
        <v>1384</v>
      </c>
      <c r="G636" s="1" t="s">
        <v>1155</v>
      </c>
      <c r="H636" s="1" t="s">
        <v>21</v>
      </c>
      <c r="I636" s="1" t="s">
        <v>22</v>
      </c>
      <c r="K636" s="1" t="s">
        <v>970</v>
      </c>
      <c r="L636" s="1" t="s">
        <v>1421</v>
      </c>
      <c r="M636" s="1" t="s">
        <v>1016</v>
      </c>
      <c r="N636" s="1" t="s">
        <v>47</v>
      </c>
      <c r="P636" s="1">
        <v>600250</v>
      </c>
      <c r="Q636" s="1" t="s">
        <v>43</v>
      </c>
      <c r="R636" s="1">
        <v>187529</v>
      </c>
      <c r="S636" s="1" t="s">
        <v>27</v>
      </c>
      <c r="T636" s="1" t="s">
        <v>28</v>
      </c>
      <c r="U636" s="1" t="s">
        <v>29</v>
      </c>
      <c r="V636" s="1" t="s">
        <v>30</v>
      </c>
      <c r="W636" s="1">
        <v>1.2</v>
      </c>
      <c r="X636" s="1">
        <v>1250</v>
      </c>
      <c r="Y636" s="1">
        <v>0</v>
      </c>
      <c r="Z636" s="3">
        <v>193.55</v>
      </c>
      <c r="AA636" s="3">
        <v>179.48</v>
      </c>
      <c r="AB636" s="3">
        <v>14.07</v>
      </c>
      <c r="AC636" s="3">
        <v>0</v>
      </c>
      <c r="AD636" s="3">
        <f t="shared" si="272"/>
        <v>14.07</v>
      </c>
      <c r="AE636" s="3">
        <f>VLOOKUP($F636,[3]Sheet1!$A$4:$F$574,2,0)</f>
        <v>0</v>
      </c>
      <c r="AF636" s="3">
        <f>VLOOKUP($F636,[3]Sheet1!$A$4:$F$574,3,0)</f>
        <v>14.07</v>
      </c>
      <c r="AG636" s="3">
        <f>VLOOKUP($F636,[3]Sheet1!$A$4:$F$574,4,0)</f>
        <v>0</v>
      </c>
      <c r="AH636" s="3">
        <f>VLOOKUP($F636,[3]Sheet1!$A$4:$F$574,5,0)</f>
        <v>0</v>
      </c>
      <c r="AI636" s="3">
        <f>VLOOKUP($F636,[3]Sheet1!$A$4:$F$574,6,0)</f>
        <v>0</v>
      </c>
      <c r="AJ636" s="3">
        <f t="shared" si="260"/>
        <v>14.07</v>
      </c>
      <c r="AK636" s="1">
        <v>0</v>
      </c>
      <c r="AL636" s="3">
        <f t="shared" si="273"/>
        <v>0</v>
      </c>
      <c r="AM636" s="3">
        <f t="shared" si="271"/>
        <v>14.07</v>
      </c>
      <c r="AN636" s="3">
        <f t="shared" si="274"/>
        <v>0</v>
      </c>
      <c r="AO636" s="3">
        <f t="shared" si="275"/>
        <v>0</v>
      </c>
      <c r="AP636" s="3">
        <f t="shared" si="255"/>
        <v>0</v>
      </c>
      <c r="AQ636" s="1" t="s">
        <v>43</v>
      </c>
    </row>
    <row r="637" spans="1:43" x14ac:dyDescent="0.35">
      <c r="A637" s="1">
        <v>742</v>
      </c>
      <c r="B637" s="2">
        <v>45826</v>
      </c>
      <c r="C637" s="1" t="s">
        <v>46</v>
      </c>
      <c r="D637" s="1">
        <v>9518858355</v>
      </c>
      <c r="E637" s="1">
        <v>1</v>
      </c>
      <c r="F637" s="1" t="s">
        <v>1385</v>
      </c>
      <c r="G637" s="1" t="s">
        <v>1155</v>
      </c>
      <c r="H637" s="1" t="s">
        <v>21</v>
      </c>
      <c r="I637" s="1" t="s">
        <v>974</v>
      </c>
      <c r="K637" s="1" t="s">
        <v>969</v>
      </c>
      <c r="L637" s="1" t="s">
        <v>1421</v>
      </c>
      <c r="M637" s="1" t="s">
        <v>1016</v>
      </c>
      <c r="N637" s="1" t="s">
        <v>47</v>
      </c>
      <c r="P637" s="1">
        <v>600250</v>
      </c>
      <c r="Q637" s="1" t="s">
        <v>43</v>
      </c>
      <c r="R637" s="1">
        <v>3659268</v>
      </c>
      <c r="S637" s="1" t="s">
        <v>133</v>
      </c>
      <c r="T637" s="1" t="s">
        <v>28</v>
      </c>
      <c r="U637" s="1" t="s">
        <v>117</v>
      </c>
      <c r="V637" s="1" t="s">
        <v>134</v>
      </c>
      <c r="W637" s="1">
        <v>0.5</v>
      </c>
      <c r="X637" s="1">
        <v>1217</v>
      </c>
      <c r="Y637" s="1">
        <v>0</v>
      </c>
      <c r="Z637" s="3">
        <v>279.99</v>
      </c>
      <c r="AA637" s="3">
        <v>263.42500000000001</v>
      </c>
      <c r="AB637" s="3">
        <v>16.565000000000001</v>
      </c>
      <c r="AC637" s="3">
        <v>0</v>
      </c>
      <c r="AD637" s="3">
        <f t="shared" si="272"/>
        <v>16.565000000000001</v>
      </c>
      <c r="AE637" s="3">
        <f>VLOOKUP($F637,[3]Sheet1!$A$4:$F$574,2,0)</f>
        <v>16.565000000000001</v>
      </c>
      <c r="AF637" s="3">
        <f>VLOOKUP($F637,[3]Sheet1!$A$4:$F$574,3,0)</f>
        <v>0</v>
      </c>
      <c r="AG637" s="3">
        <f>VLOOKUP($F637,[3]Sheet1!$A$4:$F$574,4,0)</f>
        <v>0</v>
      </c>
      <c r="AH637" s="3">
        <f>VLOOKUP($F637,[3]Sheet1!$A$4:$F$574,5,0)</f>
        <v>0</v>
      </c>
      <c r="AI637" s="3">
        <f>VLOOKUP($F637,[3]Sheet1!$A$4:$F$574,6,0)</f>
        <v>0</v>
      </c>
      <c r="AJ637" s="3">
        <f t="shared" si="260"/>
        <v>16.565000000000001</v>
      </c>
      <c r="AK637" s="1">
        <v>0</v>
      </c>
      <c r="AL637" s="3">
        <f>AE637</f>
        <v>16.565000000000001</v>
      </c>
      <c r="AM637" s="3">
        <f>AF637</f>
        <v>0</v>
      </c>
      <c r="AN637" s="3">
        <f>AG637</f>
        <v>0</v>
      </c>
      <c r="AO637" s="3">
        <f>AH637</f>
        <v>0</v>
      </c>
      <c r="AP637" s="3">
        <f t="shared" si="255"/>
        <v>0</v>
      </c>
      <c r="AQ637" s="1" t="s">
        <v>43</v>
      </c>
    </row>
    <row r="638" spans="1:43" x14ac:dyDescent="0.35">
      <c r="A638" s="1">
        <v>742</v>
      </c>
      <c r="B638" s="2">
        <v>45856</v>
      </c>
      <c r="C638" s="1" t="s">
        <v>64</v>
      </c>
      <c r="D638" s="1">
        <v>9518938765</v>
      </c>
      <c r="E638" s="1">
        <v>1</v>
      </c>
      <c r="F638" s="1" t="s">
        <v>1386</v>
      </c>
      <c r="G638" s="1" t="s">
        <v>1155</v>
      </c>
      <c r="H638" s="1" t="s">
        <v>21</v>
      </c>
      <c r="I638" s="1" t="s">
        <v>71</v>
      </c>
      <c r="K638" s="1" t="s">
        <v>970</v>
      </c>
      <c r="L638" s="1" t="str">
        <f t="shared" ref="L638:L650" si="276">K638</f>
        <v>BPRS</v>
      </c>
      <c r="M638" s="1" t="s">
        <v>1018</v>
      </c>
      <c r="N638" s="1" t="s">
        <v>156</v>
      </c>
      <c r="P638" s="1">
        <v>103227</v>
      </c>
      <c r="Q638" s="1" t="s">
        <v>155</v>
      </c>
      <c r="R638" s="1">
        <v>3239408</v>
      </c>
      <c r="S638" s="1" t="s">
        <v>121</v>
      </c>
      <c r="T638" s="1" t="s">
        <v>75</v>
      </c>
      <c r="U638" s="1" t="s">
        <v>122</v>
      </c>
      <c r="V638" s="1" t="s">
        <v>123</v>
      </c>
      <c r="W638" s="1">
        <v>0.3</v>
      </c>
      <c r="X638" s="1">
        <v>900</v>
      </c>
      <c r="Y638" s="1">
        <v>2500</v>
      </c>
      <c r="Z638" s="3">
        <v>17.995000000000001</v>
      </c>
      <c r="AA638" s="3">
        <v>0</v>
      </c>
      <c r="AB638" s="3">
        <v>17.995000000000001</v>
      </c>
      <c r="AC638" s="3">
        <v>0</v>
      </c>
      <c r="AD638" s="3">
        <f t="shared" si="272"/>
        <v>17.995000000000001</v>
      </c>
      <c r="AE638" s="3">
        <f>VLOOKUP($F638,[3]Sheet1!$A$4:$F$574,2,0)</f>
        <v>17.995000000000001</v>
      </c>
      <c r="AF638" s="3">
        <f>VLOOKUP($F638,[3]Sheet1!$A$4:$F$574,3,0)</f>
        <v>0</v>
      </c>
      <c r="AG638" s="3">
        <f>VLOOKUP($F638,[3]Sheet1!$A$4:$F$574,4,0)</f>
        <v>0</v>
      </c>
      <c r="AH638" s="3">
        <f>VLOOKUP($F638,[3]Sheet1!$A$4:$F$574,5,0)</f>
        <v>0</v>
      </c>
      <c r="AI638" s="3">
        <f>VLOOKUP($F638,[3]Sheet1!$A$4:$F$574,6,0)</f>
        <v>0</v>
      </c>
      <c r="AJ638" s="3">
        <f t="shared" ref="AJ638:AJ697" si="277">SUM(AK638:AO638)</f>
        <v>17.995000000000001</v>
      </c>
      <c r="AK638" s="1">
        <v>0</v>
      </c>
      <c r="AL638" s="3">
        <f t="shared" ref="AL638:AL639" si="278">AE638</f>
        <v>17.995000000000001</v>
      </c>
      <c r="AM638" s="3">
        <f t="shared" ref="AM638:AM639" si="279">AF638</f>
        <v>0</v>
      </c>
      <c r="AN638" s="3">
        <f t="shared" ref="AN638:AN639" si="280">AG638</f>
        <v>0</v>
      </c>
      <c r="AO638" s="3">
        <f t="shared" ref="AO638:AO639" si="281">AH638</f>
        <v>0</v>
      </c>
      <c r="AP638" s="3">
        <f t="shared" si="255"/>
        <v>0</v>
      </c>
      <c r="AQ638" s="1" t="s">
        <v>155</v>
      </c>
    </row>
    <row r="639" spans="1:43" x14ac:dyDescent="0.35">
      <c r="A639" s="1">
        <v>742</v>
      </c>
      <c r="B639" s="2">
        <v>45863</v>
      </c>
      <c r="C639" s="1" t="s">
        <v>64</v>
      </c>
      <c r="D639" s="1">
        <v>9518957825</v>
      </c>
      <c r="E639" s="1">
        <v>1</v>
      </c>
      <c r="F639" s="1" t="s">
        <v>1387</v>
      </c>
      <c r="G639" s="1" t="s">
        <v>1155</v>
      </c>
      <c r="H639" s="1" t="s">
        <v>21</v>
      </c>
      <c r="I639" s="1" t="s">
        <v>71</v>
      </c>
      <c r="K639" s="1" t="s">
        <v>970</v>
      </c>
      <c r="L639" s="1" t="str">
        <f t="shared" si="276"/>
        <v>BPRS</v>
      </c>
      <c r="M639" s="1" t="s">
        <v>1018</v>
      </c>
      <c r="N639" s="1" t="s">
        <v>308</v>
      </c>
      <c r="P639" s="1">
        <v>925093</v>
      </c>
      <c r="Q639" s="1" t="s">
        <v>72</v>
      </c>
      <c r="R639" s="1">
        <v>3239536</v>
      </c>
      <c r="S639" s="1" t="s">
        <v>177</v>
      </c>
      <c r="T639" s="1" t="s">
        <v>75</v>
      </c>
      <c r="U639" s="1" t="s">
        <v>122</v>
      </c>
      <c r="V639" s="1" t="s">
        <v>123</v>
      </c>
      <c r="W639" s="1">
        <v>0.35</v>
      </c>
      <c r="X639" s="1">
        <v>900</v>
      </c>
      <c r="Y639" s="1">
        <v>2500</v>
      </c>
      <c r="Z639" s="3">
        <v>42</v>
      </c>
      <c r="AA639" s="3">
        <v>0</v>
      </c>
      <c r="AB639" s="3">
        <v>42</v>
      </c>
      <c r="AC639" s="3">
        <v>0</v>
      </c>
      <c r="AD639" s="3">
        <f t="shared" si="272"/>
        <v>42</v>
      </c>
      <c r="AE639" s="3">
        <f>VLOOKUP($F639,[3]Sheet1!$A$4:$F$574,2,0)</f>
        <v>0</v>
      </c>
      <c r="AF639" s="3">
        <f>VLOOKUP($F639,[3]Sheet1!$A$4:$F$574,3,0)</f>
        <v>42</v>
      </c>
      <c r="AG639" s="3">
        <f>VLOOKUP($F639,[3]Sheet1!$A$4:$F$574,4,0)</f>
        <v>0</v>
      </c>
      <c r="AH639" s="3">
        <f>VLOOKUP($F639,[3]Sheet1!$A$4:$F$574,5,0)</f>
        <v>0</v>
      </c>
      <c r="AI639" s="3">
        <f>VLOOKUP($F639,[3]Sheet1!$A$4:$F$574,6,0)</f>
        <v>0</v>
      </c>
      <c r="AJ639" s="3">
        <f t="shared" si="277"/>
        <v>42</v>
      </c>
      <c r="AK639" s="1">
        <v>0</v>
      </c>
      <c r="AL639" s="3">
        <f t="shared" si="278"/>
        <v>0</v>
      </c>
      <c r="AM639" s="3">
        <f t="shared" si="279"/>
        <v>42</v>
      </c>
      <c r="AN639" s="3">
        <f t="shared" si="280"/>
        <v>0</v>
      </c>
      <c r="AO639" s="3">
        <f t="shared" si="281"/>
        <v>0</v>
      </c>
      <c r="AP639" s="3">
        <f t="shared" si="255"/>
        <v>0</v>
      </c>
      <c r="AQ639" s="1" t="s">
        <v>72</v>
      </c>
    </row>
    <row r="640" spans="1:43" x14ac:dyDescent="0.35">
      <c r="A640" s="1">
        <v>743</v>
      </c>
      <c r="B640" s="2" t="s">
        <v>1399</v>
      </c>
      <c r="C640" s="1" t="s">
        <v>64</v>
      </c>
      <c r="D640" s="1">
        <v>9519161623</v>
      </c>
      <c r="E640" s="1">
        <v>1</v>
      </c>
      <c r="F640" s="1" t="s">
        <v>1388</v>
      </c>
      <c r="G640" s="1" t="s">
        <v>1155</v>
      </c>
      <c r="H640" s="1" t="s">
        <v>56</v>
      </c>
      <c r="I640" s="1" t="s">
        <v>57</v>
      </c>
      <c r="K640" s="1" t="s">
        <v>969</v>
      </c>
      <c r="L640" s="1" t="str">
        <f t="shared" si="276"/>
        <v>IPP</v>
      </c>
      <c r="M640" s="1" t="s">
        <v>1017</v>
      </c>
      <c r="N640" s="1" t="s">
        <v>37</v>
      </c>
      <c r="P640" s="1">
        <v>944226</v>
      </c>
      <c r="Q640" s="1" t="s">
        <v>263</v>
      </c>
      <c r="R640" s="1">
        <v>3889776</v>
      </c>
      <c r="S640" s="1" t="s">
        <v>335</v>
      </c>
      <c r="T640" s="1" t="s">
        <v>60</v>
      </c>
      <c r="U640" s="1" t="s">
        <v>61</v>
      </c>
      <c r="V640" s="1" t="s">
        <v>266</v>
      </c>
      <c r="W640" s="1">
        <v>0.9</v>
      </c>
      <c r="X640" s="1">
        <v>1249</v>
      </c>
      <c r="Y640" s="1">
        <v>0</v>
      </c>
      <c r="Z640" s="3">
        <v>290</v>
      </c>
      <c r="AA640" s="3">
        <v>0</v>
      </c>
      <c r="AB640" s="3">
        <v>290</v>
      </c>
      <c r="AC640" s="3">
        <v>0</v>
      </c>
      <c r="AD640" s="3">
        <f t="shared" si="272"/>
        <v>290</v>
      </c>
      <c r="AE640" s="3">
        <f>VLOOKUP($F640,[3]Sheet1!$A$4:$F$574,2,0)</f>
        <v>0</v>
      </c>
      <c r="AF640" s="3">
        <f>VLOOKUP($F640,[3]Sheet1!$A$4:$F$574,3,0)</f>
        <v>0</v>
      </c>
      <c r="AG640" s="3">
        <f>VLOOKUP($F640,[3]Sheet1!$A$4:$F$574,4,0)</f>
        <v>0</v>
      </c>
      <c r="AH640" s="3">
        <f>VLOOKUP($F640,[3]Sheet1!$A$4:$F$574,5,0)</f>
        <v>290</v>
      </c>
      <c r="AI640" s="3">
        <f>VLOOKUP($F640,[3]Sheet1!$A$4:$F$574,6,0)</f>
        <v>0</v>
      </c>
      <c r="AJ640" s="3">
        <f t="shared" si="277"/>
        <v>290</v>
      </c>
      <c r="AK640" s="1">
        <v>0</v>
      </c>
      <c r="AL640" s="1">
        <v>0</v>
      </c>
      <c r="AM640" s="1">
        <v>0</v>
      </c>
      <c r="AN640" s="3">
        <f>AH640</f>
        <v>290</v>
      </c>
      <c r="AO640" s="1">
        <v>0</v>
      </c>
      <c r="AP640" s="3">
        <f t="shared" si="255"/>
        <v>0</v>
      </c>
      <c r="AQ640" s="1" t="s">
        <v>263</v>
      </c>
    </row>
    <row r="641" spans="1:43" x14ac:dyDescent="0.35">
      <c r="A641" s="1">
        <v>743</v>
      </c>
      <c r="B641" s="2" t="s">
        <v>1400</v>
      </c>
      <c r="C641" s="1" t="s">
        <v>64</v>
      </c>
      <c r="D641" s="1">
        <v>9519163513</v>
      </c>
      <c r="E641" s="1">
        <v>1</v>
      </c>
      <c r="F641" s="1" t="s">
        <v>1389</v>
      </c>
      <c r="G641" s="1" t="s">
        <v>1155</v>
      </c>
      <c r="H641" s="1" t="s">
        <v>56</v>
      </c>
      <c r="I641" s="1" t="s">
        <v>57</v>
      </c>
      <c r="K641" s="1" t="s">
        <v>969</v>
      </c>
      <c r="L641" s="1" t="str">
        <f t="shared" si="276"/>
        <v>IPP</v>
      </c>
      <c r="M641" s="1" t="s">
        <v>1017</v>
      </c>
      <c r="N641" s="1" t="s">
        <v>37</v>
      </c>
      <c r="P641" s="1">
        <v>944226</v>
      </c>
      <c r="Q641" s="1" t="s">
        <v>263</v>
      </c>
      <c r="R641" s="1">
        <v>3889776</v>
      </c>
      <c r="S641" s="1" t="s">
        <v>335</v>
      </c>
      <c r="T641" s="1" t="s">
        <v>60</v>
      </c>
      <c r="U641" s="1" t="s">
        <v>61</v>
      </c>
      <c r="V641" s="1" t="s">
        <v>266</v>
      </c>
      <c r="W641" s="1">
        <v>0.9</v>
      </c>
      <c r="X641" s="1">
        <v>1249</v>
      </c>
      <c r="Y641" s="1">
        <v>0</v>
      </c>
      <c r="Z641" s="3">
        <v>290</v>
      </c>
      <c r="AA641" s="3">
        <v>0</v>
      </c>
      <c r="AB641" s="3">
        <v>290</v>
      </c>
      <c r="AC641" s="3">
        <v>0</v>
      </c>
      <c r="AD641" s="3">
        <f t="shared" si="272"/>
        <v>290</v>
      </c>
      <c r="AE641" s="3">
        <f>VLOOKUP($F641,[3]Sheet1!$A$4:$F$574,2,0)</f>
        <v>0</v>
      </c>
      <c r="AF641" s="3">
        <f>VLOOKUP($F641,[3]Sheet1!$A$4:$F$574,3,0)</f>
        <v>0</v>
      </c>
      <c r="AG641" s="3">
        <f>VLOOKUP($F641,[3]Sheet1!$A$4:$F$574,4,0)</f>
        <v>0</v>
      </c>
      <c r="AH641" s="3">
        <f>VLOOKUP($F641,[3]Sheet1!$A$4:$F$574,5,0)</f>
        <v>290</v>
      </c>
      <c r="AI641" s="3">
        <f>VLOOKUP($F641,[3]Sheet1!$A$4:$F$574,6,0)</f>
        <v>0</v>
      </c>
      <c r="AJ641" s="3">
        <f t="shared" si="277"/>
        <v>290</v>
      </c>
      <c r="AK641" s="1">
        <v>0</v>
      </c>
      <c r="AL641" s="1">
        <v>0</v>
      </c>
      <c r="AM641" s="1">
        <v>0</v>
      </c>
      <c r="AN641" s="3">
        <f>AH641</f>
        <v>290</v>
      </c>
      <c r="AO641" s="3">
        <v>0</v>
      </c>
      <c r="AP641" s="3">
        <f t="shared" ref="AP641:AP704" si="282">(AC641+AD641)-AJ641</f>
        <v>0</v>
      </c>
      <c r="AQ641" s="1" t="s">
        <v>263</v>
      </c>
    </row>
    <row r="642" spans="1:43" x14ac:dyDescent="0.35">
      <c r="A642" s="1">
        <v>743</v>
      </c>
      <c r="B642" s="2" t="s">
        <v>1400</v>
      </c>
      <c r="C642" s="1" t="s">
        <v>64</v>
      </c>
      <c r="D642" s="1">
        <v>9519163520</v>
      </c>
      <c r="E642" s="1">
        <v>1</v>
      </c>
      <c r="F642" s="1" t="s">
        <v>1390</v>
      </c>
      <c r="G642" s="1" t="s">
        <v>1155</v>
      </c>
      <c r="H642" s="1" t="s">
        <v>56</v>
      </c>
      <c r="I642" s="1" t="s">
        <v>57</v>
      </c>
      <c r="K642" s="1" t="s">
        <v>969</v>
      </c>
      <c r="L642" s="1" t="str">
        <f t="shared" si="276"/>
        <v>IPP</v>
      </c>
      <c r="M642" s="1" t="s">
        <v>1017</v>
      </c>
      <c r="N642" s="1" t="s">
        <v>37</v>
      </c>
      <c r="P642" s="1">
        <v>944226</v>
      </c>
      <c r="Q642" s="1" t="s">
        <v>263</v>
      </c>
      <c r="R642" s="1">
        <v>3889776</v>
      </c>
      <c r="S642" s="1" t="s">
        <v>335</v>
      </c>
      <c r="T642" s="1" t="s">
        <v>60</v>
      </c>
      <c r="U642" s="1" t="s">
        <v>61</v>
      </c>
      <c r="V642" s="1" t="s">
        <v>266</v>
      </c>
      <c r="W642" s="1">
        <v>0.9</v>
      </c>
      <c r="X642" s="1">
        <v>1249</v>
      </c>
      <c r="Y642" s="1">
        <v>0</v>
      </c>
      <c r="Z642" s="3">
        <v>290</v>
      </c>
      <c r="AA642" s="3">
        <v>0</v>
      </c>
      <c r="AB642" s="3">
        <v>290</v>
      </c>
      <c r="AC642" s="3">
        <v>0</v>
      </c>
      <c r="AD642" s="3">
        <f t="shared" si="272"/>
        <v>290</v>
      </c>
      <c r="AE642" s="3">
        <f>VLOOKUP($F642,[3]Sheet1!$A$4:$F$574,2,0)</f>
        <v>0</v>
      </c>
      <c r="AF642" s="3">
        <f>VLOOKUP($F642,[3]Sheet1!$A$4:$F$574,3,0)</f>
        <v>0</v>
      </c>
      <c r="AG642" s="3">
        <f>VLOOKUP($F642,[3]Sheet1!$A$4:$F$574,4,0)</f>
        <v>0</v>
      </c>
      <c r="AH642" s="3">
        <f>VLOOKUP($F642,[3]Sheet1!$A$4:$F$574,5,0)</f>
        <v>290</v>
      </c>
      <c r="AI642" s="3">
        <f>VLOOKUP($F642,[3]Sheet1!$A$4:$F$574,6,0)</f>
        <v>0</v>
      </c>
      <c r="AJ642" s="3">
        <f t="shared" si="277"/>
        <v>290</v>
      </c>
      <c r="AK642" s="1">
        <v>0</v>
      </c>
      <c r="AL642" s="1">
        <v>0</v>
      </c>
      <c r="AM642" s="1">
        <v>0</v>
      </c>
      <c r="AN642" s="3">
        <f t="shared" ref="AN642:AN643" si="283">AH642</f>
        <v>290</v>
      </c>
      <c r="AO642" s="3">
        <v>0</v>
      </c>
      <c r="AP642" s="3">
        <f t="shared" si="282"/>
        <v>0</v>
      </c>
      <c r="AQ642" s="1" t="s">
        <v>263</v>
      </c>
    </row>
    <row r="643" spans="1:43" x14ac:dyDescent="0.35">
      <c r="A643" s="1">
        <v>743</v>
      </c>
      <c r="B643" s="2" t="s">
        <v>1400</v>
      </c>
      <c r="C643" s="1" t="s">
        <v>64</v>
      </c>
      <c r="D643" s="1">
        <v>9519163521</v>
      </c>
      <c r="E643" s="1">
        <v>1</v>
      </c>
      <c r="F643" s="1" t="s">
        <v>1391</v>
      </c>
      <c r="G643" s="1" t="s">
        <v>1155</v>
      </c>
      <c r="H643" s="1" t="s">
        <v>56</v>
      </c>
      <c r="I643" s="1" t="s">
        <v>57</v>
      </c>
      <c r="K643" s="1" t="s">
        <v>969</v>
      </c>
      <c r="L643" s="1" t="str">
        <f t="shared" si="276"/>
        <v>IPP</v>
      </c>
      <c r="M643" s="1" t="s">
        <v>1017</v>
      </c>
      <c r="N643" s="1" t="s">
        <v>37</v>
      </c>
      <c r="P643" s="1">
        <v>944226</v>
      </c>
      <c r="Q643" s="1" t="s">
        <v>263</v>
      </c>
      <c r="R643" s="1">
        <v>3889776</v>
      </c>
      <c r="S643" s="1" t="s">
        <v>335</v>
      </c>
      <c r="T643" s="1" t="s">
        <v>60</v>
      </c>
      <c r="U643" s="1" t="s">
        <v>61</v>
      </c>
      <c r="V643" s="1" t="s">
        <v>266</v>
      </c>
      <c r="W643" s="1">
        <v>0.9</v>
      </c>
      <c r="X643" s="1">
        <v>1249</v>
      </c>
      <c r="Y643" s="1">
        <v>0</v>
      </c>
      <c r="Z643" s="3">
        <v>145</v>
      </c>
      <c r="AA643" s="3">
        <v>0</v>
      </c>
      <c r="AB643" s="3">
        <v>145</v>
      </c>
      <c r="AC643" s="3">
        <v>0</v>
      </c>
      <c r="AD643" s="3">
        <f t="shared" si="272"/>
        <v>145</v>
      </c>
      <c r="AE643" s="3">
        <f>VLOOKUP($F643,[3]Sheet1!$A$4:$F$574,2,0)</f>
        <v>0</v>
      </c>
      <c r="AF643" s="3">
        <f>VLOOKUP($F643,[3]Sheet1!$A$4:$F$574,3,0)</f>
        <v>0</v>
      </c>
      <c r="AG643" s="3">
        <f>VLOOKUP($F643,[3]Sheet1!$A$4:$F$574,4,0)</f>
        <v>0</v>
      </c>
      <c r="AH643" s="3">
        <f>VLOOKUP($F643,[3]Sheet1!$A$4:$F$574,5,0)</f>
        <v>145</v>
      </c>
      <c r="AI643" s="3">
        <f>VLOOKUP($F643,[3]Sheet1!$A$4:$F$574,6,0)</f>
        <v>0</v>
      </c>
      <c r="AJ643" s="3">
        <f t="shared" si="277"/>
        <v>145</v>
      </c>
      <c r="AK643" s="1">
        <v>0</v>
      </c>
      <c r="AL643" s="1">
        <v>0</v>
      </c>
      <c r="AM643" s="1">
        <v>0</v>
      </c>
      <c r="AN643" s="3">
        <f t="shared" si="283"/>
        <v>145</v>
      </c>
      <c r="AO643" s="3">
        <v>0</v>
      </c>
      <c r="AP643" s="3">
        <f t="shared" si="282"/>
        <v>0</v>
      </c>
      <c r="AQ643" s="1" t="s">
        <v>263</v>
      </c>
    </row>
    <row r="644" spans="1:43" x14ac:dyDescent="0.35">
      <c r="A644" s="1">
        <v>743</v>
      </c>
      <c r="B644" s="2" t="s">
        <v>1400</v>
      </c>
      <c r="C644" s="1" t="s">
        <v>64</v>
      </c>
      <c r="D644" s="1">
        <v>9519164284</v>
      </c>
      <c r="E644" s="1">
        <v>1</v>
      </c>
      <c r="F644" s="1" t="s">
        <v>1392</v>
      </c>
      <c r="G644" s="1" t="s">
        <v>1155</v>
      </c>
      <c r="H644" s="1" t="s">
        <v>56</v>
      </c>
      <c r="I644" s="1" t="s">
        <v>57</v>
      </c>
      <c r="K644" s="1" t="s">
        <v>969</v>
      </c>
      <c r="L644" s="1" t="str">
        <f t="shared" si="276"/>
        <v>IPP</v>
      </c>
      <c r="M644" s="1" t="s">
        <v>1017</v>
      </c>
      <c r="N644" s="1" t="s">
        <v>37</v>
      </c>
      <c r="P644" s="1">
        <v>944226</v>
      </c>
      <c r="Q644" s="1" t="s">
        <v>263</v>
      </c>
      <c r="R644" s="1">
        <v>4007669</v>
      </c>
      <c r="S644" s="1" t="s">
        <v>265</v>
      </c>
      <c r="T644" s="1" t="s">
        <v>60</v>
      </c>
      <c r="U644" s="1" t="s">
        <v>61</v>
      </c>
      <c r="V644" s="1" t="s">
        <v>266</v>
      </c>
      <c r="W644" s="1">
        <v>0.9</v>
      </c>
      <c r="X644" s="1">
        <v>1200</v>
      </c>
      <c r="Y644" s="1">
        <v>0</v>
      </c>
      <c r="Z644" s="3">
        <v>297</v>
      </c>
      <c r="AA644" s="3">
        <v>0</v>
      </c>
      <c r="AB644" s="3">
        <v>297</v>
      </c>
      <c r="AC644" s="3">
        <v>0</v>
      </c>
      <c r="AD644" s="3">
        <f t="shared" si="272"/>
        <v>297</v>
      </c>
      <c r="AE644" s="3">
        <f>VLOOKUP($F644,[3]Sheet1!$A$4:$F$574,2,0)</f>
        <v>0</v>
      </c>
      <c r="AF644" s="3">
        <f>VLOOKUP($F644,[3]Sheet1!$A$4:$F$574,3,0)</f>
        <v>0</v>
      </c>
      <c r="AG644" s="3">
        <f>VLOOKUP($F644,[3]Sheet1!$A$4:$F$574,4,0)</f>
        <v>0</v>
      </c>
      <c r="AH644" s="3">
        <f>VLOOKUP($F644,[3]Sheet1!$A$4:$F$574,5,0)</f>
        <v>297</v>
      </c>
      <c r="AI644" s="3">
        <f>VLOOKUP($F644,[3]Sheet1!$A$4:$F$574,6,0)</f>
        <v>0</v>
      </c>
      <c r="AJ644" s="3">
        <f t="shared" si="277"/>
        <v>297</v>
      </c>
      <c r="AK644" s="1">
        <v>0</v>
      </c>
      <c r="AL644" s="1">
        <v>0</v>
      </c>
      <c r="AM644" s="1">
        <v>0</v>
      </c>
      <c r="AN644" s="1">
        <v>0</v>
      </c>
      <c r="AO644" s="3">
        <f t="shared" ref="AO644:AO645" si="284">AH644</f>
        <v>297</v>
      </c>
      <c r="AP644" s="3">
        <f t="shared" si="282"/>
        <v>0</v>
      </c>
      <c r="AQ644" s="1" t="s">
        <v>263</v>
      </c>
    </row>
    <row r="645" spans="1:43" x14ac:dyDescent="0.35">
      <c r="A645" s="1">
        <v>743</v>
      </c>
      <c r="B645" s="2" t="s">
        <v>1400</v>
      </c>
      <c r="C645" s="1" t="s">
        <v>64</v>
      </c>
      <c r="D645" s="1">
        <v>9519164290</v>
      </c>
      <c r="E645" s="1">
        <v>1</v>
      </c>
      <c r="F645" s="1" t="s">
        <v>1393</v>
      </c>
      <c r="G645" s="1" t="s">
        <v>1155</v>
      </c>
      <c r="H645" s="1" t="s">
        <v>56</v>
      </c>
      <c r="I645" s="1" t="s">
        <v>57</v>
      </c>
      <c r="K645" s="1" t="s">
        <v>969</v>
      </c>
      <c r="L645" s="1" t="str">
        <f t="shared" si="276"/>
        <v>IPP</v>
      </c>
      <c r="M645" s="1" t="s">
        <v>1017</v>
      </c>
      <c r="N645" s="1" t="s">
        <v>37</v>
      </c>
      <c r="P645" s="1">
        <v>944226</v>
      </c>
      <c r="Q645" s="1" t="s">
        <v>263</v>
      </c>
      <c r="R645" s="1">
        <v>4007669</v>
      </c>
      <c r="S645" s="1" t="s">
        <v>265</v>
      </c>
      <c r="T645" s="1" t="s">
        <v>60</v>
      </c>
      <c r="U645" s="1" t="s">
        <v>61</v>
      </c>
      <c r="V645" s="1" t="s">
        <v>266</v>
      </c>
      <c r="W645" s="1">
        <v>0.9</v>
      </c>
      <c r="X645" s="1">
        <v>1200</v>
      </c>
      <c r="Y645" s="1">
        <v>0</v>
      </c>
      <c r="Z645" s="3">
        <v>297</v>
      </c>
      <c r="AA645" s="3">
        <v>0</v>
      </c>
      <c r="AB645" s="3">
        <v>297</v>
      </c>
      <c r="AC645" s="3">
        <v>0</v>
      </c>
      <c r="AD645" s="3">
        <f t="shared" si="272"/>
        <v>297</v>
      </c>
      <c r="AE645" s="3">
        <f>VLOOKUP($F645,[3]Sheet1!$A$4:$F$574,2,0)</f>
        <v>0</v>
      </c>
      <c r="AF645" s="3">
        <f>VLOOKUP($F645,[3]Sheet1!$A$4:$F$574,3,0)</f>
        <v>0</v>
      </c>
      <c r="AG645" s="3">
        <f>VLOOKUP($F645,[3]Sheet1!$A$4:$F$574,4,0)</f>
        <v>0</v>
      </c>
      <c r="AH645" s="3">
        <f>VLOOKUP($F645,[3]Sheet1!$A$4:$F$574,5,0)</f>
        <v>297</v>
      </c>
      <c r="AI645" s="3">
        <f>VLOOKUP($F645,[3]Sheet1!$A$4:$F$574,6,0)</f>
        <v>0</v>
      </c>
      <c r="AJ645" s="3">
        <f t="shared" si="277"/>
        <v>297</v>
      </c>
      <c r="AK645" s="1">
        <v>0</v>
      </c>
      <c r="AL645" s="1">
        <v>0</v>
      </c>
      <c r="AM645" s="1">
        <v>0</v>
      </c>
      <c r="AN645" s="1">
        <v>0</v>
      </c>
      <c r="AO645" s="3">
        <f t="shared" si="284"/>
        <v>297</v>
      </c>
      <c r="AP645" s="3">
        <f t="shared" si="282"/>
        <v>0</v>
      </c>
      <c r="AQ645" s="1" t="s">
        <v>263</v>
      </c>
    </row>
    <row r="646" spans="1:43" x14ac:dyDescent="0.35">
      <c r="A646" s="1">
        <v>743</v>
      </c>
      <c r="B646" s="2" t="s">
        <v>1400</v>
      </c>
      <c r="C646" s="1" t="s">
        <v>64</v>
      </c>
      <c r="D646" s="1">
        <v>9519164291</v>
      </c>
      <c r="E646" s="1">
        <v>1</v>
      </c>
      <c r="F646" s="1" t="s">
        <v>1394</v>
      </c>
      <c r="G646" s="1" t="s">
        <v>1155</v>
      </c>
      <c r="H646" s="1" t="s">
        <v>56</v>
      </c>
      <c r="I646" s="1" t="s">
        <v>57</v>
      </c>
      <c r="K646" s="1" t="s">
        <v>969</v>
      </c>
      <c r="L646" s="1" t="str">
        <f t="shared" si="276"/>
        <v>IPP</v>
      </c>
      <c r="M646" s="1" t="s">
        <v>1017</v>
      </c>
      <c r="N646" s="1" t="s">
        <v>37</v>
      </c>
      <c r="P646" s="1">
        <v>944226</v>
      </c>
      <c r="Q646" s="1" t="s">
        <v>263</v>
      </c>
      <c r="R646" s="1">
        <v>4007669</v>
      </c>
      <c r="S646" s="1" t="s">
        <v>265</v>
      </c>
      <c r="T646" s="1" t="s">
        <v>60</v>
      </c>
      <c r="U646" s="1" t="s">
        <v>61</v>
      </c>
      <c r="V646" s="1" t="s">
        <v>266</v>
      </c>
      <c r="W646" s="1">
        <v>0.9</v>
      </c>
      <c r="X646" s="1">
        <v>1200</v>
      </c>
      <c r="Y646" s="1">
        <v>0</v>
      </c>
      <c r="Z646" s="3">
        <v>297</v>
      </c>
      <c r="AA646" s="3">
        <v>0</v>
      </c>
      <c r="AB646" s="3">
        <v>297</v>
      </c>
      <c r="AC646" s="3">
        <v>0</v>
      </c>
      <c r="AD646" s="3">
        <f t="shared" si="272"/>
        <v>297</v>
      </c>
      <c r="AE646" s="3">
        <f>VLOOKUP($F646,[3]Sheet1!$A$4:$F$574,2,0)</f>
        <v>0</v>
      </c>
      <c r="AF646" s="3">
        <f>VLOOKUP($F646,[3]Sheet1!$A$4:$F$574,3,0)</f>
        <v>0</v>
      </c>
      <c r="AG646" s="3">
        <f>VLOOKUP($F646,[3]Sheet1!$A$4:$F$574,4,0)</f>
        <v>0</v>
      </c>
      <c r="AH646" s="3">
        <f>VLOOKUP($F646,[3]Sheet1!$A$4:$F$574,5,0)</f>
        <v>0</v>
      </c>
      <c r="AI646" s="3">
        <f>VLOOKUP($F646,[3]Sheet1!$A$4:$F$574,6,0)</f>
        <v>297</v>
      </c>
      <c r="AJ646" s="3">
        <f t="shared" si="277"/>
        <v>297</v>
      </c>
      <c r="AK646" s="1">
        <v>0</v>
      </c>
      <c r="AL646" s="1">
        <v>0</v>
      </c>
      <c r="AM646" s="1">
        <v>0</v>
      </c>
      <c r="AN646" s="1">
        <v>0</v>
      </c>
      <c r="AO646" s="3">
        <f>AD646</f>
        <v>297</v>
      </c>
      <c r="AP646" s="3">
        <f t="shared" si="282"/>
        <v>0</v>
      </c>
      <c r="AQ646" s="1" t="s">
        <v>263</v>
      </c>
    </row>
    <row r="647" spans="1:43" x14ac:dyDescent="0.35">
      <c r="A647" s="1">
        <v>743</v>
      </c>
      <c r="B647" s="2" t="s">
        <v>1400</v>
      </c>
      <c r="C647" s="1" t="s">
        <v>64</v>
      </c>
      <c r="D647" s="1">
        <v>9519164293</v>
      </c>
      <c r="E647" s="1">
        <v>1</v>
      </c>
      <c r="F647" s="1" t="s">
        <v>1395</v>
      </c>
      <c r="G647" s="1" t="s">
        <v>1155</v>
      </c>
      <c r="H647" s="1" t="s">
        <v>56</v>
      </c>
      <c r="I647" s="1" t="s">
        <v>57</v>
      </c>
      <c r="K647" s="1" t="s">
        <v>969</v>
      </c>
      <c r="L647" s="1" t="str">
        <f t="shared" si="276"/>
        <v>IPP</v>
      </c>
      <c r="M647" s="1" t="s">
        <v>1017</v>
      </c>
      <c r="N647" s="1" t="s">
        <v>37</v>
      </c>
      <c r="P647" s="1">
        <v>944226</v>
      </c>
      <c r="Q647" s="1" t="s">
        <v>263</v>
      </c>
      <c r="R647" s="1">
        <v>4007669</v>
      </c>
      <c r="S647" s="1" t="s">
        <v>265</v>
      </c>
      <c r="T647" s="1" t="s">
        <v>60</v>
      </c>
      <c r="U647" s="1" t="s">
        <v>61</v>
      </c>
      <c r="V647" s="1" t="s">
        <v>266</v>
      </c>
      <c r="W647" s="1">
        <v>0.9</v>
      </c>
      <c r="X647" s="1">
        <v>1200</v>
      </c>
      <c r="Y647" s="1">
        <v>0</v>
      </c>
      <c r="Z647" s="3">
        <v>297</v>
      </c>
      <c r="AA647" s="3">
        <v>0</v>
      </c>
      <c r="AB647" s="3">
        <v>297</v>
      </c>
      <c r="AC647" s="3">
        <v>0</v>
      </c>
      <c r="AD647" s="3">
        <f t="shared" si="272"/>
        <v>297</v>
      </c>
      <c r="AE647" s="3">
        <f>VLOOKUP($F647,[3]Sheet1!$A$4:$F$574,2,0)</f>
        <v>0</v>
      </c>
      <c r="AF647" s="3">
        <f>VLOOKUP($F647,[3]Sheet1!$A$4:$F$574,3,0)</f>
        <v>0</v>
      </c>
      <c r="AG647" s="3">
        <f>VLOOKUP($F647,[3]Sheet1!$A$4:$F$574,4,0)</f>
        <v>0</v>
      </c>
      <c r="AH647" s="3">
        <f>VLOOKUP($F647,[3]Sheet1!$A$4:$F$574,5,0)</f>
        <v>0</v>
      </c>
      <c r="AI647" s="3">
        <f>VLOOKUP($F647,[3]Sheet1!$A$4:$F$574,6,0)</f>
        <v>297</v>
      </c>
      <c r="AJ647" s="3">
        <f t="shared" si="277"/>
        <v>297</v>
      </c>
      <c r="AK647" s="1">
        <v>0</v>
      </c>
      <c r="AL647" s="1">
        <v>0</v>
      </c>
      <c r="AM647" s="1">
        <v>0</v>
      </c>
      <c r="AN647" s="1">
        <v>0</v>
      </c>
      <c r="AO647" s="3">
        <f>AD647</f>
        <v>297</v>
      </c>
      <c r="AP647" s="3">
        <f t="shared" si="282"/>
        <v>0</v>
      </c>
      <c r="AQ647" s="1" t="s">
        <v>263</v>
      </c>
    </row>
    <row r="648" spans="1:43" x14ac:dyDescent="0.35">
      <c r="A648" s="1">
        <v>743</v>
      </c>
      <c r="B648" s="2" t="s">
        <v>1400</v>
      </c>
      <c r="C648" s="1" t="s">
        <v>64</v>
      </c>
      <c r="D648" s="1">
        <v>9519164295</v>
      </c>
      <c r="E648" s="1">
        <v>1</v>
      </c>
      <c r="F648" s="1" t="s">
        <v>1396</v>
      </c>
      <c r="G648" s="1" t="s">
        <v>1155</v>
      </c>
      <c r="H648" s="1" t="s">
        <v>56</v>
      </c>
      <c r="I648" s="1" t="s">
        <v>57</v>
      </c>
      <c r="K648" s="1" t="s">
        <v>969</v>
      </c>
      <c r="L648" s="1" t="str">
        <f t="shared" si="276"/>
        <v>IPP</v>
      </c>
      <c r="M648" s="1" t="s">
        <v>1017</v>
      </c>
      <c r="N648" s="1" t="s">
        <v>37</v>
      </c>
      <c r="P648" s="1">
        <v>944226</v>
      </c>
      <c r="Q648" s="1" t="s">
        <v>263</v>
      </c>
      <c r="R648" s="1">
        <v>4007669</v>
      </c>
      <c r="S648" s="1" t="s">
        <v>265</v>
      </c>
      <c r="T648" s="1" t="s">
        <v>60</v>
      </c>
      <c r="U648" s="1" t="s">
        <v>61</v>
      </c>
      <c r="V648" s="1" t="s">
        <v>266</v>
      </c>
      <c r="W648" s="1">
        <v>0.9</v>
      </c>
      <c r="X648" s="1">
        <v>1200</v>
      </c>
      <c r="Y648" s="1">
        <v>0</v>
      </c>
      <c r="Z648" s="3">
        <v>297</v>
      </c>
      <c r="AA648" s="3">
        <v>0</v>
      </c>
      <c r="AB648" s="3">
        <v>297</v>
      </c>
      <c r="AC648" s="3">
        <v>0</v>
      </c>
      <c r="AD648" s="3">
        <f t="shared" si="272"/>
        <v>297</v>
      </c>
      <c r="AE648" s="3">
        <f>VLOOKUP($F648,[3]Sheet1!$A$4:$F$574,2,0)</f>
        <v>0</v>
      </c>
      <c r="AF648" s="3">
        <f>VLOOKUP($F648,[3]Sheet1!$A$4:$F$574,3,0)</f>
        <v>0</v>
      </c>
      <c r="AG648" s="3">
        <f>VLOOKUP($F648,[3]Sheet1!$A$4:$F$574,4,0)</f>
        <v>0</v>
      </c>
      <c r="AH648" s="3">
        <f>VLOOKUP($F648,[3]Sheet1!$A$4:$F$574,5,0)</f>
        <v>0</v>
      </c>
      <c r="AI648" s="3">
        <f>VLOOKUP($F648,[3]Sheet1!$A$4:$F$574,6,0)</f>
        <v>297</v>
      </c>
      <c r="AJ648" s="3">
        <f t="shared" si="277"/>
        <v>297</v>
      </c>
      <c r="AK648" s="1">
        <v>0</v>
      </c>
      <c r="AL648" s="1">
        <v>0</v>
      </c>
      <c r="AM648" s="1">
        <v>0</v>
      </c>
      <c r="AN648" s="1">
        <v>0</v>
      </c>
      <c r="AO648" s="3">
        <f>AI648</f>
        <v>297</v>
      </c>
      <c r="AP648" s="3">
        <f t="shared" si="282"/>
        <v>0</v>
      </c>
      <c r="AQ648" s="1" t="s">
        <v>263</v>
      </c>
    </row>
    <row r="649" spans="1:43" x14ac:dyDescent="0.35">
      <c r="A649" s="1">
        <v>743</v>
      </c>
      <c r="B649" s="2" t="s">
        <v>1400</v>
      </c>
      <c r="C649" s="1" t="s">
        <v>64</v>
      </c>
      <c r="D649" s="1">
        <v>9519164375</v>
      </c>
      <c r="E649" s="1">
        <v>1</v>
      </c>
      <c r="F649" s="1" t="s">
        <v>1397</v>
      </c>
      <c r="G649" s="1" t="s">
        <v>1155</v>
      </c>
      <c r="H649" s="1" t="s">
        <v>56</v>
      </c>
      <c r="I649" s="1" t="s">
        <v>57</v>
      </c>
      <c r="K649" s="1" t="s">
        <v>969</v>
      </c>
      <c r="L649" s="1" t="str">
        <f t="shared" si="276"/>
        <v>IPP</v>
      </c>
      <c r="M649" s="1" t="s">
        <v>1017</v>
      </c>
      <c r="N649" s="1" t="s">
        <v>37</v>
      </c>
      <c r="P649" s="1">
        <v>944226</v>
      </c>
      <c r="Q649" s="1" t="s">
        <v>263</v>
      </c>
      <c r="R649" s="1">
        <v>4007669</v>
      </c>
      <c r="S649" s="1" t="s">
        <v>265</v>
      </c>
      <c r="T649" s="1" t="s">
        <v>60</v>
      </c>
      <c r="U649" s="1" t="s">
        <v>61</v>
      </c>
      <c r="V649" s="1" t="s">
        <v>266</v>
      </c>
      <c r="W649" s="1">
        <v>0.9</v>
      </c>
      <c r="X649" s="1">
        <v>1200</v>
      </c>
      <c r="Y649" s="1">
        <v>0</v>
      </c>
      <c r="Z649" s="3">
        <v>27</v>
      </c>
      <c r="AA649" s="3">
        <v>0</v>
      </c>
      <c r="AB649" s="3">
        <v>27</v>
      </c>
      <c r="AC649" s="3">
        <v>0</v>
      </c>
      <c r="AD649" s="3">
        <f t="shared" si="272"/>
        <v>27</v>
      </c>
      <c r="AE649" s="3">
        <f>VLOOKUP($F649,[3]Sheet1!$A$4:$F$574,2,0)</f>
        <v>0</v>
      </c>
      <c r="AF649" s="3">
        <f>VLOOKUP($F649,[3]Sheet1!$A$4:$F$574,3,0)</f>
        <v>0</v>
      </c>
      <c r="AG649" s="3">
        <f>VLOOKUP($F649,[3]Sheet1!$A$4:$F$574,4,0)</f>
        <v>0</v>
      </c>
      <c r="AH649" s="3">
        <f>VLOOKUP($F649,[3]Sheet1!$A$4:$F$574,5,0)</f>
        <v>0</v>
      </c>
      <c r="AI649" s="3">
        <f>VLOOKUP($F649,[3]Sheet1!$A$4:$F$574,6,0)</f>
        <v>27</v>
      </c>
      <c r="AJ649" s="3">
        <f t="shared" si="277"/>
        <v>0</v>
      </c>
      <c r="AK649" s="1">
        <v>0</v>
      </c>
      <c r="AL649" s="1">
        <v>0</v>
      </c>
      <c r="AM649" s="1">
        <v>0</v>
      </c>
      <c r="AN649" s="1">
        <v>0</v>
      </c>
      <c r="AO649" s="3">
        <v>0</v>
      </c>
      <c r="AP649" s="3">
        <f t="shared" si="282"/>
        <v>27</v>
      </c>
      <c r="AQ649" s="1" t="s">
        <v>263</v>
      </c>
    </row>
    <row r="650" spans="1:43" x14ac:dyDescent="0.35">
      <c r="A650" s="1">
        <v>743</v>
      </c>
      <c r="B650" s="2">
        <v>45896</v>
      </c>
      <c r="C650" s="1" t="s">
        <v>64</v>
      </c>
      <c r="D650" s="1">
        <v>9519054625</v>
      </c>
      <c r="E650" s="1">
        <v>11</v>
      </c>
      <c r="F650" s="1" t="s">
        <v>1398</v>
      </c>
      <c r="G650" s="1" t="s">
        <v>1155</v>
      </c>
      <c r="H650" s="1" t="s">
        <v>63</v>
      </c>
      <c r="I650" s="1" t="s">
        <v>1404</v>
      </c>
      <c r="K650" s="1" t="s">
        <v>970</v>
      </c>
      <c r="L650" s="1" t="str">
        <f t="shared" si="276"/>
        <v>BPRS</v>
      </c>
      <c r="M650" s="1" t="s">
        <v>1018</v>
      </c>
      <c r="N650" s="1" t="s">
        <v>79</v>
      </c>
      <c r="P650" s="1">
        <v>116649</v>
      </c>
      <c r="Q650" s="1" t="s">
        <v>78</v>
      </c>
      <c r="R650" s="1">
        <v>1851074</v>
      </c>
      <c r="S650" s="1" t="s">
        <v>1402</v>
      </c>
      <c r="T650" s="1" t="s">
        <v>139</v>
      </c>
      <c r="U650" s="1" t="s">
        <v>140</v>
      </c>
      <c r="V650" s="1" t="s">
        <v>141</v>
      </c>
      <c r="W650" s="1">
        <v>0.28000000000000003</v>
      </c>
      <c r="X650" s="1">
        <v>900</v>
      </c>
      <c r="Y650" s="1">
        <v>0</v>
      </c>
      <c r="Z650" s="3">
        <v>105</v>
      </c>
      <c r="AA650" s="3">
        <v>0</v>
      </c>
      <c r="AB650" s="3">
        <v>105</v>
      </c>
      <c r="AC650" s="3">
        <v>0</v>
      </c>
      <c r="AD650" s="3">
        <f t="shared" si="272"/>
        <v>105</v>
      </c>
      <c r="AE650" s="3">
        <f>VLOOKUP($F650,[3]Sheet1!$A$4:$F$574,2,0)</f>
        <v>0</v>
      </c>
      <c r="AF650" s="3">
        <f>VLOOKUP($F650,[3]Sheet1!$A$4:$F$574,3,0)</f>
        <v>0</v>
      </c>
      <c r="AG650" s="3">
        <f>VLOOKUP($F650,[3]Sheet1!$A$4:$F$574,4,0)</f>
        <v>105</v>
      </c>
      <c r="AH650" s="3">
        <f>VLOOKUP($F650,[3]Sheet1!$A$4:$F$574,5,0)</f>
        <v>0</v>
      </c>
      <c r="AI650" s="3">
        <f>VLOOKUP($F650,[3]Sheet1!$A$4:$F$574,6,0)</f>
        <v>0</v>
      </c>
      <c r="AJ650" s="3">
        <f t="shared" si="277"/>
        <v>105</v>
      </c>
      <c r="AK650" s="1">
        <v>0</v>
      </c>
      <c r="AL650" s="1">
        <v>0</v>
      </c>
      <c r="AM650" s="1">
        <v>0</v>
      </c>
      <c r="AN650" s="3">
        <f>AG650</f>
        <v>105</v>
      </c>
      <c r="AO650" s="1">
        <v>0</v>
      </c>
      <c r="AP650" s="3">
        <f t="shared" si="282"/>
        <v>0</v>
      </c>
      <c r="AQ650" s="1" t="s">
        <v>78</v>
      </c>
    </row>
    <row r="651" spans="1:43" x14ac:dyDescent="0.35">
      <c r="A651" s="1">
        <v>742</v>
      </c>
      <c r="C651" s="1" t="s">
        <v>52</v>
      </c>
      <c r="F651" s="1" t="s">
        <v>1312</v>
      </c>
      <c r="G651" s="1" t="s">
        <v>1367</v>
      </c>
      <c r="H651" s="1" t="s">
        <v>21</v>
      </c>
      <c r="I651" s="1" t="s">
        <v>969</v>
      </c>
      <c r="K651" s="1" t="s">
        <v>969</v>
      </c>
      <c r="L651" s="1" t="s">
        <v>1421</v>
      </c>
      <c r="M651" s="1" t="s">
        <v>1231</v>
      </c>
      <c r="Q651" s="1" t="s">
        <v>99</v>
      </c>
      <c r="R651" s="1">
        <v>2164800</v>
      </c>
      <c r="S651" s="1" t="s">
        <v>325</v>
      </c>
      <c r="T651" s="1" t="s">
        <v>28</v>
      </c>
      <c r="U651" s="1" t="s">
        <v>29</v>
      </c>
      <c r="V651" s="1" t="s">
        <v>101</v>
      </c>
      <c r="W651" s="1">
        <v>0.97</v>
      </c>
      <c r="X651" s="1">
        <v>913</v>
      </c>
      <c r="Z651" s="39">
        <v>138</v>
      </c>
      <c r="AA651" s="39">
        <v>122.74</v>
      </c>
      <c r="AB651" s="39">
        <v>15.26</v>
      </c>
      <c r="AC651" s="3">
        <v>8.07</v>
      </c>
      <c r="AD651" s="3">
        <f t="shared" si="259"/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f t="shared" si="277"/>
        <v>8.07</v>
      </c>
      <c r="AK651" s="3">
        <f t="shared" ref="AK651:AK661" si="285">AC651</f>
        <v>8.07</v>
      </c>
      <c r="AL651" s="1">
        <v>0</v>
      </c>
      <c r="AM651" s="1">
        <v>0</v>
      </c>
      <c r="AN651" s="1">
        <v>0</v>
      </c>
      <c r="AO651" s="1">
        <v>0</v>
      </c>
      <c r="AP651" s="3">
        <f t="shared" si="282"/>
        <v>0</v>
      </c>
    </row>
    <row r="652" spans="1:43" x14ac:dyDescent="0.35">
      <c r="A652" s="1">
        <v>743</v>
      </c>
      <c r="C652" s="1" t="s">
        <v>52</v>
      </c>
      <c r="F652" s="1" t="s">
        <v>1313</v>
      </c>
      <c r="G652" s="1" t="s">
        <v>1367</v>
      </c>
      <c r="H652" s="1" t="s">
        <v>63</v>
      </c>
      <c r="I652" s="1" t="s">
        <v>1368</v>
      </c>
      <c r="K652" s="1" t="s">
        <v>970</v>
      </c>
      <c r="L652" s="1" t="s">
        <v>1421</v>
      </c>
      <c r="M652" s="1" t="s">
        <v>23</v>
      </c>
      <c r="Q652" s="1" t="s">
        <v>99</v>
      </c>
      <c r="R652" s="1">
        <v>1851145</v>
      </c>
      <c r="S652" s="1" t="s">
        <v>1359</v>
      </c>
      <c r="T652" s="1" t="s">
        <v>169</v>
      </c>
      <c r="U652" s="1" t="s">
        <v>140</v>
      </c>
      <c r="V652" s="1" t="s">
        <v>150</v>
      </c>
      <c r="W652" s="1">
        <v>0.5</v>
      </c>
      <c r="X652" s="1">
        <v>1220</v>
      </c>
      <c r="Z652" s="39">
        <v>174</v>
      </c>
      <c r="AA652" s="39">
        <v>157.79</v>
      </c>
      <c r="AB652" s="39">
        <v>16.21</v>
      </c>
      <c r="AC652" s="3">
        <v>3.4849999999999999</v>
      </c>
      <c r="AD652" s="3">
        <f t="shared" si="259"/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f t="shared" si="277"/>
        <v>3.4849999999999999</v>
      </c>
      <c r="AK652" s="3">
        <f t="shared" si="285"/>
        <v>3.4849999999999999</v>
      </c>
      <c r="AL652" s="1">
        <v>0</v>
      </c>
      <c r="AM652" s="1">
        <v>0</v>
      </c>
      <c r="AN652" s="1">
        <v>0</v>
      </c>
      <c r="AO652" s="1">
        <v>0</v>
      </c>
      <c r="AP652" s="3">
        <f t="shared" si="282"/>
        <v>0</v>
      </c>
    </row>
    <row r="653" spans="1:43" x14ac:dyDescent="0.35">
      <c r="A653" s="1">
        <v>743</v>
      </c>
      <c r="C653" s="1" t="s">
        <v>52</v>
      </c>
      <c r="F653" s="1" t="s">
        <v>984</v>
      </c>
      <c r="G653" s="1" t="s">
        <v>1367</v>
      </c>
      <c r="H653" s="1" t="s">
        <v>56</v>
      </c>
      <c r="I653" s="1" t="s">
        <v>57</v>
      </c>
      <c r="K653" s="1" t="s">
        <v>969</v>
      </c>
      <c r="L653" s="1" t="s">
        <v>1421</v>
      </c>
      <c r="M653" s="1" t="s">
        <v>23</v>
      </c>
      <c r="Q653" s="1" t="s">
        <v>99</v>
      </c>
      <c r="R653" s="1">
        <v>3865176</v>
      </c>
      <c r="S653" s="1" t="s">
        <v>165</v>
      </c>
      <c r="T653" s="1" t="s">
        <v>60</v>
      </c>
      <c r="U653" s="1" t="s">
        <v>61</v>
      </c>
      <c r="V653" s="1" t="s">
        <v>62</v>
      </c>
      <c r="W653" s="1">
        <v>0.9</v>
      </c>
      <c r="X653" s="1">
        <v>1250</v>
      </c>
      <c r="Z653" s="39">
        <v>57.999000000000002</v>
      </c>
      <c r="AA653" s="39">
        <v>43.81</v>
      </c>
      <c r="AB653" s="39">
        <v>14.189</v>
      </c>
      <c r="AC653" s="3">
        <v>2.79</v>
      </c>
      <c r="AD653" s="3">
        <f t="shared" si="259"/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f t="shared" si="277"/>
        <v>2.79</v>
      </c>
      <c r="AK653" s="3">
        <f t="shared" si="285"/>
        <v>2.79</v>
      </c>
      <c r="AL653" s="1">
        <v>0</v>
      </c>
      <c r="AM653" s="1">
        <v>0</v>
      </c>
      <c r="AN653" s="1">
        <v>0</v>
      </c>
      <c r="AO653" s="1">
        <v>0</v>
      </c>
      <c r="AP653" s="3">
        <f t="shared" si="282"/>
        <v>0</v>
      </c>
    </row>
    <row r="654" spans="1:43" x14ac:dyDescent="0.35">
      <c r="A654" s="1">
        <v>743</v>
      </c>
      <c r="C654" s="1" t="s">
        <v>52</v>
      </c>
      <c r="F654" s="1" t="s">
        <v>981</v>
      </c>
      <c r="G654" s="1" t="s">
        <v>1367</v>
      </c>
      <c r="H654" s="1" t="s">
        <v>56</v>
      </c>
      <c r="I654" s="1" t="s">
        <v>969</v>
      </c>
      <c r="K654" s="1" t="s">
        <v>969</v>
      </c>
      <c r="L654" s="1" t="s">
        <v>1421</v>
      </c>
      <c r="M654" s="1" t="s">
        <v>23</v>
      </c>
      <c r="Q654" s="1" t="s">
        <v>99</v>
      </c>
      <c r="R654" s="1">
        <v>3789964</v>
      </c>
      <c r="S654" s="1" t="s">
        <v>102</v>
      </c>
      <c r="T654" s="1" t="s">
        <v>60</v>
      </c>
      <c r="U654" s="1" t="s">
        <v>61</v>
      </c>
      <c r="V654" s="1" t="s">
        <v>103</v>
      </c>
      <c r="W654" s="1">
        <v>0.6</v>
      </c>
      <c r="X654" s="1">
        <v>1250</v>
      </c>
      <c r="Z654" s="39">
        <v>298.15600000000001</v>
      </c>
      <c r="AA654" s="39">
        <v>286.82499999999999</v>
      </c>
      <c r="AB654" s="39">
        <v>11.331</v>
      </c>
      <c r="AC654" s="3">
        <v>9.875</v>
      </c>
      <c r="AD654" s="3">
        <f t="shared" si="259"/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f t="shared" si="277"/>
        <v>9.875</v>
      </c>
      <c r="AK654" s="3">
        <f t="shared" si="285"/>
        <v>9.875</v>
      </c>
      <c r="AL654" s="1">
        <v>0</v>
      </c>
      <c r="AM654" s="1">
        <v>0</v>
      </c>
      <c r="AN654" s="1">
        <v>0</v>
      </c>
      <c r="AO654" s="1">
        <v>0</v>
      </c>
      <c r="AP654" s="3">
        <f t="shared" si="282"/>
        <v>0</v>
      </c>
    </row>
    <row r="655" spans="1:43" x14ac:dyDescent="0.35">
      <c r="A655" s="1">
        <v>743</v>
      </c>
      <c r="C655" s="1" t="s">
        <v>52</v>
      </c>
      <c r="F655" s="1" t="s">
        <v>1004</v>
      </c>
      <c r="G655" s="1" t="s">
        <v>1367</v>
      </c>
      <c r="H655" s="1" t="s">
        <v>56</v>
      </c>
      <c r="I655" s="1" t="s">
        <v>57</v>
      </c>
      <c r="K655" s="1" t="s">
        <v>969</v>
      </c>
      <c r="L655" s="1" t="s">
        <v>1421</v>
      </c>
      <c r="M655" s="1" t="s">
        <v>23</v>
      </c>
      <c r="Q655" s="1" t="s">
        <v>99</v>
      </c>
      <c r="R655" s="1">
        <v>3865176</v>
      </c>
      <c r="S655" s="1" t="s">
        <v>165</v>
      </c>
      <c r="T655" s="1" t="s">
        <v>60</v>
      </c>
      <c r="U655" s="1" t="s">
        <v>61</v>
      </c>
      <c r="V655" s="1" t="s">
        <v>62</v>
      </c>
      <c r="W655" s="1">
        <v>0.9</v>
      </c>
      <c r="X655" s="1">
        <v>1250</v>
      </c>
      <c r="Z655" s="39">
        <v>174.74100000000001</v>
      </c>
      <c r="AA655" s="39">
        <v>168.67</v>
      </c>
      <c r="AB655" s="39">
        <v>6.0709999999999997</v>
      </c>
      <c r="AC655" s="3">
        <v>2.335</v>
      </c>
      <c r="AD655" s="3">
        <f t="shared" si="259"/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f t="shared" si="277"/>
        <v>2.335</v>
      </c>
      <c r="AK655" s="3">
        <f t="shared" si="285"/>
        <v>2.335</v>
      </c>
      <c r="AL655" s="1">
        <v>0</v>
      </c>
      <c r="AM655" s="1">
        <v>0</v>
      </c>
      <c r="AN655" s="1">
        <v>0</v>
      </c>
      <c r="AO655" s="1">
        <v>0</v>
      </c>
      <c r="AP655" s="3">
        <f t="shared" si="282"/>
        <v>0</v>
      </c>
    </row>
    <row r="656" spans="1:43" x14ac:dyDescent="0.35">
      <c r="A656" s="1">
        <v>742</v>
      </c>
      <c r="C656" s="1" t="s">
        <v>52</v>
      </c>
      <c r="F656" s="1" t="s">
        <v>997</v>
      </c>
      <c r="G656" s="1" t="s">
        <v>1367</v>
      </c>
      <c r="H656" s="1" t="s">
        <v>21</v>
      </c>
      <c r="I656" s="1" t="s">
        <v>22</v>
      </c>
      <c r="K656" s="1" t="s">
        <v>970</v>
      </c>
      <c r="L656" s="1" t="s">
        <v>1421</v>
      </c>
      <c r="M656" s="1" t="s">
        <v>23</v>
      </c>
      <c r="Q656" s="1" t="s">
        <v>1342</v>
      </c>
      <c r="R656" s="1">
        <v>1804854</v>
      </c>
      <c r="S656" s="1" t="s">
        <v>211</v>
      </c>
      <c r="T656" s="1" t="s">
        <v>28</v>
      </c>
      <c r="U656" s="1" t="s">
        <v>29</v>
      </c>
      <c r="V656" s="1" t="s">
        <v>30</v>
      </c>
      <c r="W656" s="1">
        <v>1.2</v>
      </c>
      <c r="X656" s="1">
        <v>1250</v>
      </c>
      <c r="Z656" s="39">
        <v>193.55</v>
      </c>
      <c r="AA656" s="39">
        <v>179.48</v>
      </c>
      <c r="AB656" s="39">
        <v>14.07</v>
      </c>
      <c r="AC656" s="3">
        <v>25.94</v>
      </c>
      <c r="AD656" s="3">
        <f t="shared" si="259"/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f t="shared" si="277"/>
        <v>25.94</v>
      </c>
      <c r="AK656" s="3">
        <f t="shared" si="285"/>
        <v>25.94</v>
      </c>
      <c r="AL656" s="1">
        <v>0</v>
      </c>
      <c r="AM656" s="1">
        <v>0</v>
      </c>
      <c r="AN656" s="1">
        <v>0</v>
      </c>
      <c r="AO656" s="1">
        <v>0</v>
      </c>
      <c r="AP656" s="3">
        <f t="shared" si="282"/>
        <v>0</v>
      </c>
    </row>
    <row r="657" spans="1:42" x14ac:dyDescent="0.35">
      <c r="A657" s="1">
        <v>743</v>
      </c>
      <c r="C657" s="1" t="s">
        <v>52</v>
      </c>
      <c r="F657" s="1" t="s">
        <v>1003</v>
      </c>
      <c r="G657" s="1" t="s">
        <v>1367</v>
      </c>
      <c r="H657" s="1" t="s">
        <v>56</v>
      </c>
      <c r="I657" s="1" t="s">
        <v>57</v>
      </c>
      <c r="K657" s="1" t="s">
        <v>969</v>
      </c>
      <c r="L657" s="1" t="s">
        <v>1421</v>
      </c>
      <c r="M657" s="1" t="s">
        <v>23</v>
      </c>
      <c r="Q657" s="1" t="s">
        <v>99</v>
      </c>
      <c r="R657" s="1">
        <v>3951358</v>
      </c>
      <c r="S657" s="1" t="s">
        <v>147</v>
      </c>
      <c r="T657" s="1" t="s">
        <v>60</v>
      </c>
      <c r="U657" s="1" t="s">
        <v>61</v>
      </c>
      <c r="V657" s="1" t="s">
        <v>129</v>
      </c>
      <c r="W657" s="1">
        <v>0.9</v>
      </c>
      <c r="X657" s="1">
        <v>1050</v>
      </c>
      <c r="Z657" s="39">
        <v>279.99</v>
      </c>
      <c r="AA657" s="39">
        <v>263.42500000000001</v>
      </c>
      <c r="AB657" s="39">
        <v>16.565000000000001</v>
      </c>
      <c r="AC657" s="3">
        <v>21.9</v>
      </c>
      <c r="AD657" s="3">
        <f t="shared" si="259"/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f t="shared" si="277"/>
        <v>21.9</v>
      </c>
      <c r="AK657" s="3">
        <f t="shared" si="285"/>
        <v>21.9</v>
      </c>
      <c r="AL657" s="1">
        <v>0</v>
      </c>
      <c r="AM657" s="1">
        <v>0</v>
      </c>
      <c r="AN657" s="1">
        <v>0</v>
      </c>
      <c r="AO657" s="1">
        <v>0</v>
      </c>
      <c r="AP657" s="3">
        <f t="shared" si="282"/>
        <v>0</v>
      </c>
    </row>
    <row r="658" spans="1:42" x14ac:dyDescent="0.35">
      <c r="A658" s="1">
        <v>742</v>
      </c>
      <c r="C658" s="1" t="s">
        <v>52</v>
      </c>
      <c r="F658" s="1" t="s">
        <v>1012</v>
      </c>
      <c r="G658" s="1" t="s">
        <v>1367</v>
      </c>
      <c r="H658" s="1" t="s">
        <v>21</v>
      </c>
      <c r="I658" s="1" t="s">
        <v>969</v>
      </c>
      <c r="K658" s="1" t="s">
        <v>969</v>
      </c>
      <c r="L658" s="1" t="s">
        <v>1421</v>
      </c>
      <c r="M658" s="1" t="s">
        <v>1016</v>
      </c>
      <c r="Q658" s="1" t="s">
        <v>1342</v>
      </c>
      <c r="R658" s="1">
        <v>4006905</v>
      </c>
      <c r="S658" s="1" t="s">
        <v>247</v>
      </c>
      <c r="T658" s="1" t="s">
        <v>28</v>
      </c>
      <c r="U658" s="1" t="s">
        <v>29</v>
      </c>
      <c r="V658" s="1" t="s">
        <v>126</v>
      </c>
      <c r="W658" s="1">
        <v>0.45</v>
      </c>
      <c r="X658" s="1">
        <v>848</v>
      </c>
      <c r="Z658" s="39">
        <v>17.995000000000001</v>
      </c>
      <c r="AA658" s="39">
        <v>0</v>
      </c>
      <c r="AB658" s="39">
        <v>17.995000000000001</v>
      </c>
      <c r="AC658" s="3">
        <v>5.7750000000000004</v>
      </c>
      <c r="AD658" s="3">
        <f t="shared" ref="AD658:AD716" si="286">SUM(AE658:AI658)</f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f t="shared" si="277"/>
        <v>5.7750000000000004</v>
      </c>
      <c r="AK658" s="3">
        <f t="shared" si="285"/>
        <v>5.7750000000000004</v>
      </c>
      <c r="AL658" s="1">
        <v>0</v>
      </c>
      <c r="AM658" s="1">
        <v>0</v>
      </c>
      <c r="AN658" s="1">
        <v>0</v>
      </c>
      <c r="AO658" s="1">
        <v>0</v>
      </c>
      <c r="AP658" s="3">
        <f t="shared" si="282"/>
        <v>0</v>
      </c>
    </row>
    <row r="659" spans="1:42" x14ac:dyDescent="0.35">
      <c r="A659" s="1">
        <v>743</v>
      </c>
      <c r="C659" s="1" t="s">
        <v>52</v>
      </c>
      <c r="F659" s="1" t="s">
        <v>1013</v>
      </c>
      <c r="G659" s="1" t="s">
        <v>1367</v>
      </c>
      <c r="H659" s="1" t="s">
        <v>56</v>
      </c>
      <c r="I659" s="1" t="s">
        <v>969</v>
      </c>
      <c r="K659" s="1" t="s">
        <v>969</v>
      </c>
      <c r="L659" s="1" t="s">
        <v>1421</v>
      </c>
      <c r="M659" s="1" t="s">
        <v>1016</v>
      </c>
      <c r="Q659" s="1" t="s">
        <v>1343</v>
      </c>
      <c r="R659" s="1">
        <v>3433846</v>
      </c>
      <c r="S659" s="1" t="s">
        <v>488</v>
      </c>
      <c r="T659" s="1" t="s">
        <v>130</v>
      </c>
      <c r="U659" s="1" t="s">
        <v>131</v>
      </c>
      <c r="V659" s="1" t="s">
        <v>132</v>
      </c>
      <c r="W659" s="1">
        <v>0.42</v>
      </c>
      <c r="X659" s="1">
        <v>1235</v>
      </c>
      <c r="Z659" s="39">
        <v>42</v>
      </c>
      <c r="AA659" s="39">
        <v>0</v>
      </c>
      <c r="AB659" s="39">
        <v>42</v>
      </c>
      <c r="AC659" s="3">
        <v>7.98</v>
      </c>
      <c r="AD659" s="3">
        <f t="shared" si="286"/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f t="shared" si="277"/>
        <v>7.98</v>
      </c>
      <c r="AK659" s="3">
        <f t="shared" si="285"/>
        <v>7.98</v>
      </c>
      <c r="AL659" s="1">
        <v>0</v>
      </c>
      <c r="AM659" s="1">
        <v>0</v>
      </c>
      <c r="AN659" s="1">
        <v>0</v>
      </c>
      <c r="AO659" s="1">
        <v>0</v>
      </c>
      <c r="AP659" s="3">
        <f t="shared" si="282"/>
        <v>0</v>
      </c>
    </row>
    <row r="660" spans="1:42" x14ac:dyDescent="0.35">
      <c r="A660" s="1">
        <v>742</v>
      </c>
      <c r="C660" s="1" t="s">
        <v>52</v>
      </c>
      <c r="F660" s="1" t="s">
        <v>1314</v>
      </c>
      <c r="G660" s="1" t="s">
        <v>1367</v>
      </c>
      <c r="H660" s="1" t="s">
        <v>21</v>
      </c>
      <c r="I660" s="1" t="s">
        <v>969</v>
      </c>
      <c r="K660" s="1" t="s">
        <v>969</v>
      </c>
      <c r="L660" s="1" t="s">
        <v>1421</v>
      </c>
      <c r="M660" s="1" t="s">
        <v>1231</v>
      </c>
      <c r="Q660" s="1" t="s">
        <v>99</v>
      </c>
      <c r="R660" s="1">
        <v>2164800</v>
      </c>
      <c r="S660" s="1" t="s">
        <v>325</v>
      </c>
      <c r="T660" s="1" t="s">
        <v>28</v>
      </c>
      <c r="U660" s="1" t="s">
        <v>29</v>
      </c>
      <c r="V660" s="1" t="s">
        <v>101</v>
      </c>
      <c r="W660" s="1">
        <v>0.97</v>
      </c>
      <c r="X660" s="1">
        <v>913</v>
      </c>
      <c r="Z660" s="39">
        <v>290</v>
      </c>
      <c r="AA660" s="39">
        <v>0</v>
      </c>
      <c r="AB660" s="39">
        <v>290</v>
      </c>
      <c r="AC660" s="3">
        <v>7.12</v>
      </c>
      <c r="AD660" s="3">
        <f t="shared" si="286"/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f t="shared" si="277"/>
        <v>7.12</v>
      </c>
      <c r="AK660" s="3">
        <f t="shared" si="285"/>
        <v>7.12</v>
      </c>
      <c r="AL660" s="1">
        <v>0</v>
      </c>
      <c r="AM660" s="1">
        <v>0</v>
      </c>
      <c r="AN660" s="1">
        <v>0</v>
      </c>
      <c r="AO660" s="1">
        <v>0</v>
      </c>
      <c r="AP660" s="3">
        <f t="shared" si="282"/>
        <v>0</v>
      </c>
    </row>
    <row r="661" spans="1:42" x14ac:dyDescent="0.35">
      <c r="A661" s="1">
        <v>743</v>
      </c>
      <c r="C661" s="1" t="s">
        <v>52</v>
      </c>
      <c r="F661" s="1" t="s">
        <v>1315</v>
      </c>
      <c r="G661" s="1" t="s">
        <v>1367</v>
      </c>
      <c r="H661" s="1" t="s">
        <v>56</v>
      </c>
      <c r="I661" s="1" t="s">
        <v>57</v>
      </c>
      <c r="K661" s="1" t="s">
        <v>969</v>
      </c>
      <c r="L661" s="1" t="s">
        <v>1421</v>
      </c>
      <c r="M661" s="1" t="s">
        <v>23</v>
      </c>
      <c r="Q661" s="1" t="s">
        <v>99</v>
      </c>
      <c r="R661" s="1">
        <v>4112281</v>
      </c>
      <c r="S661" s="1" t="s">
        <v>448</v>
      </c>
      <c r="T661" s="1" t="s">
        <v>60</v>
      </c>
      <c r="U661" s="1" t="s">
        <v>61</v>
      </c>
      <c r="V661" s="1" t="s">
        <v>253</v>
      </c>
      <c r="W661" s="1">
        <v>0.8</v>
      </c>
      <c r="X661" s="1">
        <v>1040</v>
      </c>
      <c r="Z661" s="39">
        <v>290</v>
      </c>
      <c r="AA661" s="39">
        <v>0</v>
      </c>
      <c r="AB661" s="39">
        <v>290</v>
      </c>
      <c r="AC661" s="3">
        <v>9.1950000000000003</v>
      </c>
      <c r="AD661" s="3">
        <f t="shared" si="286"/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f t="shared" si="277"/>
        <v>9.1950000000000003</v>
      </c>
      <c r="AK661" s="3">
        <f t="shared" si="285"/>
        <v>9.1950000000000003</v>
      </c>
      <c r="AL661" s="1">
        <v>0</v>
      </c>
      <c r="AM661" s="1">
        <v>0</v>
      </c>
      <c r="AN661" s="1">
        <v>0</v>
      </c>
      <c r="AO661" s="1">
        <v>0</v>
      </c>
      <c r="AP661" s="3">
        <f t="shared" si="282"/>
        <v>0</v>
      </c>
    </row>
    <row r="662" spans="1:42" x14ac:dyDescent="0.35">
      <c r="A662" s="1">
        <v>744</v>
      </c>
      <c r="C662" s="1" t="s">
        <v>52</v>
      </c>
      <c r="F662" s="1" t="s">
        <v>1316</v>
      </c>
      <c r="G662" s="1" t="s">
        <v>1367</v>
      </c>
      <c r="H662" s="1" t="s">
        <v>86</v>
      </c>
      <c r="I662" s="1" t="s">
        <v>968</v>
      </c>
      <c r="K662" s="1" t="s">
        <v>969</v>
      </c>
      <c r="L662" s="1" t="str">
        <f>K662</f>
        <v>IPP</v>
      </c>
      <c r="M662" s="1" t="s">
        <v>1232</v>
      </c>
      <c r="Q662" s="1" t="s">
        <v>90</v>
      </c>
      <c r="R662" s="1">
        <v>3242536</v>
      </c>
      <c r="S662" s="1" t="s">
        <v>1360</v>
      </c>
      <c r="T662" s="1" t="s">
        <v>238</v>
      </c>
      <c r="U662" s="1" t="s">
        <v>89</v>
      </c>
      <c r="V662" s="1" t="s">
        <v>268</v>
      </c>
      <c r="W662" s="1">
        <v>0.43</v>
      </c>
      <c r="X662" s="1">
        <v>1010</v>
      </c>
      <c r="Z662" s="39">
        <v>290</v>
      </c>
      <c r="AA662" s="39">
        <v>0</v>
      </c>
      <c r="AB662" s="39">
        <v>290</v>
      </c>
      <c r="AC662" s="3">
        <v>1.57</v>
      </c>
      <c r="AD662" s="3">
        <f t="shared" si="286"/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f t="shared" si="277"/>
        <v>1.57</v>
      </c>
      <c r="AK662" s="1">
        <v>0</v>
      </c>
      <c r="AL662" s="3">
        <f>AC662</f>
        <v>1.57</v>
      </c>
      <c r="AM662" s="1">
        <v>0</v>
      </c>
      <c r="AN662" s="1">
        <v>0</v>
      </c>
      <c r="AO662" s="1">
        <v>0</v>
      </c>
      <c r="AP662" s="3">
        <f t="shared" si="282"/>
        <v>0</v>
      </c>
    </row>
    <row r="663" spans="1:42" x14ac:dyDescent="0.35">
      <c r="A663" s="1">
        <v>743</v>
      </c>
      <c r="C663" s="1" t="s">
        <v>52</v>
      </c>
      <c r="F663" s="1" t="s">
        <v>1317</v>
      </c>
      <c r="G663" s="1" t="s">
        <v>1367</v>
      </c>
      <c r="H663" s="1" t="s">
        <v>63</v>
      </c>
      <c r="I663" s="1" t="s">
        <v>1404</v>
      </c>
      <c r="K663" s="1" t="s">
        <v>970</v>
      </c>
      <c r="L663" s="1" t="str">
        <f t="shared" ref="L663" si="287">K663</f>
        <v>BPRS</v>
      </c>
      <c r="M663" s="1" t="s">
        <v>1018</v>
      </c>
      <c r="Q663" s="1" t="s">
        <v>219</v>
      </c>
      <c r="R663" s="1">
        <v>1854424</v>
      </c>
      <c r="S663" s="1" t="s">
        <v>249</v>
      </c>
      <c r="T663" s="1" t="s">
        <v>139</v>
      </c>
      <c r="U663" s="1" t="s">
        <v>140</v>
      </c>
      <c r="V663" s="1" t="s">
        <v>150</v>
      </c>
      <c r="W663" s="1">
        <v>0.6</v>
      </c>
      <c r="X663" s="1">
        <v>900</v>
      </c>
      <c r="Z663" s="39">
        <v>145</v>
      </c>
      <c r="AA663" s="39">
        <v>0</v>
      </c>
      <c r="AB663" s="39">
        <v>145</v>
      </c>
      <c r="AC663" s="3">
        <v>4.84</v>
      </c>
      <c r="AD663" s="3">
        <f t="shared" si="286"/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f t="shared" si="277"/>
        <v>4.84</v>
      </c>
      <c r="AK663" s="3">
        <f t="shared" ref="AK663:AK668" si="288">AC663</f>
        <v>4.84</v>
      </c>
      <c r="AL663" s="1">
        <v>0</v>
      </c>
      <c r="AM663" s="1">
        <v>0</v>
      </c>
      <c r="AN663" s="1">
        <v>0</v>
      </c>
      <c r="AO663" s="1">
        <v>0</v>
      </c>
      <c r="AP663" s="3">
        <f t="shared" si="282"/>
        <v>0</v>
      </c>
    </row>
    <row r="664" spans="1:42" x14ac:dyDescent="0.35">
      <c r="A664" s="1">
        <v>742</v>
      </c>
      <c r="C664" s="1" t="s">
        <v>64</v>
      </c>
      <c r="F664" s="1" t="s">
        <v>1318</v>
      </c>
      <c r="G664" s="1" t="s">
        <v>1367</v>
      </c>
      <c r="H664" s="1" t="s">
        <v>21</v>
      </c>
      <c r="I664" s="1" t="s">
        <v>71</v>
      </c>
      <c r="K664" s="1" t="s">
        <v>970</v>
      </c>
      <c r="L664" s="1" t="str">
        <f t="shared" ref="L664:L667" si="289">K664</f>
        <v>BPRS</v>
      </c>
      <c r="M664" s="1" t="s">
        <v>1018</v>
      </c>
      <c r="Q664" s="1" t="s">
        <v>1344</v>
      </c>
      <c r="R664" s="1">
        <v>3533338</v>
      </c>
      <c r="S664" s="1" t="s">
        <v>320</v>
      </c>
      <c r="T664" s="1" t="s">
        <v>75</v>
      </c>
      <c r="U664" s="1" t="s">
        <v>122</v>
      </c>
      <c r="V664" s="1" t="s">
        <v>123</v>
      </c>
      <c r="W664" s="1">
        <v>0.4</v>
      </c>
      <c r="X664" s="1">
        <v>1000</v>
      </c>
      <c r="Z664" s="39">
        <v>297</v>
      </c>
      <c r="AA664" s="39">
        <v>0</v>
      </c>
      <c r="AB664" s="39">
        <v>297</v>
      </c>
      <c r="AC664" s="3">
        <v>2.8450000000000002</v>
      </c>
      <c r="AD664" s="3">
        <f t="shared" si="286"/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f t="shared" si="277"/>
        <v>2.8450000000000002</v>
      </c>
      <c r="AK664" s="3">
        <f t="shared" si="288"/>
        <v>2.8450000000000002</v>
      </c>
      <c r="AL664" s="1">
        <v>0</v>
      </c>
      <c r="AM664" s="1">
        <v>0</v>
      </c>
      <c r="AN664" s="1">
        <v>0</v>
      </c>
      <c r="AO664" s="1">
        <v>0</v>
      </c>
      <c r="AP664" s="3">
        <f t="shared" si="282"/>
        <v>0</v>
      </c>
    </row>
    <row r="665" spans="1:42" x14ac:dyDescent="0.35">
      <c r="A665" s="1">
        <v>742</v>
      </c>
      <c r="C665" s="1" t="s">
        <v>64</v>
      </c>
      <c r="F665" s="1" t="s">
        <v>1319</v>
      </c>
      <c r="G665" s="1" t="s">
        <v>1367</v>
      </c>
      <c r="H665" s="1" t="s">
        <v>21</v>
      </c>
      <c r="I665" s="1" t="s">
        <v>71</v>
      </c>
      <c r="K665" s="1" t="s">
        <v>970</v>
      </c>
      <c r="L665" s="1" t="str">
        <f t="shared" si="289"/>
        <v>BPRS</v>
      </c>
      <c r="M665" s="1" t="s">
        <v>1018</v>
      </c>
      <c r="Q665" s="1" t="s">
        <v>1344</v>
      </c>
      <c r="R665" s="1">
        <v>3240765</v>
      </c>
      <c r="S665" s="1" t="s">
        <v>381</v>
      </c>
      <c r="T665" s="1" t="s">
        <v>75</v>
      </c>
      <c r="U665" s="1" t="s">
        <v>76</v>
      </c>
      <c r="V665" s="1" t="s">
        <v>77</v>
      </c>
      <c r="W665" s="1">
        <v>0.5</v>
      </c>
      <c r="X665" s="1">
        <v>1250</v>
      </c>
      <c r="Z665" s="39">
        <v>297</v>
      </c>
      <c r="AA665" s="39">
        <v>0</v>
      </c>
      <c r="AB665" s="39">
        <v>297</v>
      </c>
      <c r="AC665" s="3">
        <v>5.7650000000000006</v>
      </c>
      <c r="AD665" s="3">
        <f t="shared" si="286"/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f t="shared" si="277"/>
        <v>5.7650000000000006</v>
      </c>
      <c r="AK665" s="3">
        <f t="shared" si="288"/>
        <v>5.7650000000000006</v>
      </c>
      <c r="AL665" s="1">
        <v>0</v>
      </c>
      <c r="AM665" s="1">
        <v>0</v>
      </c>
      <c r="AN665" s="1">
        <v>0</v>
      </c>
      <c r="AO665" s="1">
        <v>0</v>
      </c>
      <c r="AP665" s="3">
        <f t="shared" si="282"/>
        <v>0</v>
      </c>
    </row>
    <row r="666" spans="1:42" x14ac:dyDescent="0.35">
      <c r="A666" s="1">
        <v>742</v>
      </c>
      <c r="C666" s="1" t="s">
        <v>64</v>
      </c>
      <c r="F666" s="1" t="s">
        <v>1320</v>
      </c>
      <c r="G666" s="1" t="s">
        <v>1367</v>
      </c>
      <c r="H666" s="1" t="s">
        <v>21</v>
      </c>
      <c r="I666" s="1" t="s">
        <v>71</v>
      </c>
      <c r="K666" s="1" t="s">
        <v>970</v>
      </c>
      <c r="L666" s="1" t="str">
        <f t="shared" si="289"/>
        <v>BPRS</v>
      </c>
      <c r="M666" s="1" t="s">
        <v>1019</v>
      </c>
      <c r="Q666" s="1" t="s">
        <v>1345</v>
      </c>
      <c r="R666" s="1">
        <v>3870145</v>
      </c>
      <c r="S666" s="1" t="s">
        <v>1361</v>
      </c>
      <c r="T666" s="1" t="s">
        <v>75</v>
      </c>
      <c r="U666" s="1" t="s">
        <v>122</v>
      </c>
      <c r="V666" s="1" t="s">
        <v>123</v>
      </c>
      <c r="W666" s="1">
        <v>0.4</v>
      </c>
      <c r="X666" s="1">
        <v>1250</v>
      </c>
      <c r="Z666" s="39">
        <v>297</v>
      </c>
      <c r="AA666" s="39">
        <v>0</v>
      </c>
      <c r="AB666" s="39">
        <v>297</v>
      </c>
      <c r="AC666" s="3">
        <v>2.84</v>
      </c>
      <c r="AD666" s="3">
        <f t="shared" si="286"/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f t="shared" si="277"/>
        <v>2.84</v>
      </c>
      <c r="AK666" s="3">
        <f t="shared" si="288"/>
        <v>2.84</v>
      </c>
      <c r="AL666" s="1">
        <v>0</v>
      </c>
      <c r="AM666" s="1">
        <v>0</v>
      </c>
      <c r="AN666" s="1">
        <v>0</v>
      </c>
      <c r="AO666" s="1">
        <v>0</v>
      </c>
      <c r="AP666" s="3">
        <f t="shared" si="282"/>
        <v>0</v>
      </c>
    </row>
    <row r="667" spans="1:42" x14ac:dyDescent="0.35">
      <c r="A667" s="1">
        <v>742</v>
      </c>
      <c r="C667" s="1" t="s">
        <v>64</v>
      </c>
      <c r="F667" s="1" t="s">
        <v>1321</v>
      </c>
      <c r="G667" s="1" t="s">
        <v>1367</v>
      </c>
      <c r="H667" s="1" t="s">
        <v>21</v>
      </c>
      <c r="I667" s="1" t="s">
        <v>71</v>
      </c>
      <c r="K667" s="1" t="s">
        <v>970</v>
      </c>
      <c r="L667" s="1" t="str">
        <f t="shared" si="289"/>
        <v>BPRS</v>
      </c>
      <c r="M667" s="1" t="s">
        <v>1019</v>
      </c>
      <c r="Q667" s="1" t="s">
        <v>1346</v>
      </c>
      <c r="R667" s="1">
        <v>3240765</v>
      </c>
      <c r="S667" s="1" t="s">
        <v>381</v>
      </c>
      <c r="T667" s="1" t="s">
        <v>75</v>
      </c>
      <c r="U667" s="1" t="s">
        <v>76</v>
      </c>
      <c r="V667" s="1" t="s">
        <v>77</v>
      </c>
      <c r="W667" s="1">
        <v>0.5</v>
      </c>
      <c r="X667" s="1">
        <v>1250</v>
      </c>
      <c r="Z667" s="39">
        <v>297</v>
      </c>
      <c r="AA667" s="39">
        <v>0</v>
      </c>
      <c r="AB667" s="39">
        <v>297</v>
      </c>
      <c r="AC667" s="3">
        <v>2.855</v>
      </c>
      <c r="AD667" s="3">
        <f t="shared" si="286"/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f t="shared" si="277"/>
        <v>2.855</v>
      </c>
      <c r="AK667" s="3">
        <f t="shared" si="288"/>
        <v>2.855</v>
      </c>
      <c r="AL667" s="1">
        <v>0</v>
      </c>
      <c r="AM667" s="1">
        <v>0</v>
      </c>
      <c r="AN667" s="1">
        <v>0</v>
      </c>
      <c r="AO667" s="1">
        <v>0</v>
      </c>
      <c r="AP667" s="3">
        <f t="shared" si="282"/>
        <v>0</v>
      </c>
    </row>
    <row r="668" spans="1:42" x14ac:dyDescent="0.35">
      <c r="A668" s="1">
        <v>743</v>
      </c>
      <c r="C668" s="1" t="s">
        <v>52</v>
      </c>
      <c r="F668" s="1" t="s">
        <v>1322</v>
      </c>
      <c r="G668" s="1" t="s">
        <v>1367</v>
      </c>
      <c r="H668" s="1" t="s">
        <v>56</v>
      </c>
      <c r="I668" s="1" t="s">
        <v>57</v>
      </c>
      <c r="K668" s="1" t="s">
        <v>969</v>
      </c>
      <c r="L668" s="1" t="str">
        <f>K668</f>
        <v>IPP</v>
      </c>
      <c r="M668" s="1" t="s">
        <v>1019</v>
      </c>
      <c r="Q668" s="1" t="s">
        <v>1347</v>
      </c>
      <c r="R668" s="1">
        <v>3865176</v>
      </c>
      <c r="S668" s="1" t="s">
        <v>165</v>
      </c>
      <c r="T668" s="1" t="s">
        <v>60</v>
      </c>
      <c r="U668" s="1" t="s">
        <v>61</v>
      </c>
      <c r="V668" s="1" t="s">
        <v>62</v>
      </c>
      <c r="W668" s="1">
        <v>0.9</v>
      </c>
      <c r="X668" s="1">
        <v>1250</v>
      </c>
      <c r="Z668" s="39">
        <v>105</v>
      </c>
      <c r="AA668" s="39">
        <v>0</v>
      </c>
      <c r="AB668" s="39">
        <v>105</v>
      </c>
      <c r="AC668" s="3">
        <v>6.2050000000000001</v>
      </c>
      <c r="AD668" s="3">
        <f t="shared" si="286"/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f t="shared" si="277"/>
        <v>6.2050000000000001</v>
      </c>
      <c r="AK668" s="3">
        <f t="shared" si="288"/>
        <v>6.2050000000000001</v>
      </c>
      <c r="AL668" s="1">
        <v>0</v>
      </c>
      <c r="AM668" s="1">
        <v>0</v>
      </c>
      <c r="AN668" s="1">
        <v>0</v>
      </c>
      <c r="AO668" s="1">
        <v>0</v>
      </c>
      <c r="AP668" s="3">
        <f t="shared" si="282"/>
        <v>0</v>
      </c>
    </row>
    <row r="669" spans="1:42" x14ac:dyDescent="0.35">
      <c r="A669" s="1">
        <v>744</v>
      </c>
      <c r="C669" s="1" t="s">
        <v>64</v>
      </c>
      <c r="F669" s="1" t="s">
        <v>1323</v>
      </c>
      <c r="G669" s="1" t="s">
        <v>1367</v>
      </c>
      <c r="H669" s="1" t="s">
        <v>86</v>
      </c>
      <c r="I669" s="1" t="s">
        <v>968</v>
      </c>
      <c r="K669" s="1" t="s">
        <v>969</v>
      </c>
      <c r="L669" s="1" t="str">
        <f>K669</f>
        <v>IPP</v>
      </c>
      <c r="M669" s="1" t="s">
        <v>1232</v>
      </c>
      <c r="Q669" s="1" t="s">
        <v>1174</v>
      </c>
      <c r="R669" s="1">
        <v>1633706</v>
      </c>
      <c r="S669" s="1" t="s">
        <v>1362</v>
      </c>
      <c r="T669" s="1" t="s">
        <v>88</v>
      </c>
      <c r="U669" s="1" t="s">
        <v>89</v>
      </c>
      <c r="V669" s="1" t="s">
        <v>239</v>
      </c>
      <c r="W669" s="1">
        <v>0.42</v>
      </c>
      <c r="X669" s="1">
        <v>1220</v>
      </c>
      <c r="AC669" s="3">
        <v>3.3149999999999999</v>
      </c>
      <c r="AD669" s="3">
        <f t="shared" si="286"/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f t="shared" si="277"/>
        <v>3.3149999999999999</v>
      </c>
      <c r="AK669" s="1">
        <v>0</v>
      </c>
      <c r="AL669" s="3">
        <f>AC669</f>
        <v>3.3149999999999999</v>
      </c>
      <c r="AM669" s="1">
        <v>0</v>
      </c>
      <c r="AN669" s="1">
        <v>0</v>
      </c>
      <c r="AO669" s="1">
        <v>0</v>
      </c>
      <c r="AP669" s="3">
        <f t="shared" si="282"/>
        <v>0</v>
      </c>
    </row>
    <row r="670" spans="1:42" x14ac:dyDescent="0.35">
      <c r="A670" s="1">
        <v>743</v>
      </c>
      <c r="C670" s="1" t="s">
        <v>46</v>
      </c>
      <c r="F670" s="1" t="s">
        <v>1324</v>
      </c>
      <c r="G670" s="1" t="s">
        <v>1367</v>
      </c>
      <c r="H670" s="1" t="s">
        <v>63</v>
      </c>
      <c r="I670" s="1" t="s">
        <v>1404</v>
      </c>
      <c r="K670" s="1" t="s">
        <v>970</v>
      </c>
      <c r="L670" s="1" t="s">
        <v>1422</v>
      </c>
      <c r="M670" s="1" t="s">
        <v>1018</v>
      </c>
      <c r="Q670" s="1" t="s">
        <v>1125</v>
      </c>
      <c r="R670" s="1">
        <v>1854424</v>
      </c>
      <c r="S670" s="1" t="s">
        <v>249</v>
      </c>
      <c r="T670" s="1" t="s">
        <v>139</v>
      </c>
      <c r="U670" s="1" t="s">
        <v>140</v>
      </c>
      <c r="V670" s="1" t="s">
        <v>150</v>
      </c>
      <c r="W670" s="1">
        <v>0.6</v>
      </c>
      <c r="X670" s="1">
        <v>900</v>
      </c>
      <c r="AC670" s="3">
        <v>9.5399999999999991</v>
      </c>
      <c r="AD670" s="3">
        <f t="shared" si="286"/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f t="shared" si="277"/>
        <v>9.5399999999999991</v>
      </c>
      <c r="AK670" s="3">
        <f t="shared" ref="AK670:AK681" si="290">AC670</f>
        <v>9.5399999999999991</v>
      </c>
      <c r="AL670" s="1">
        <v>0</v>
      </c>
      <c r="AM670" s="1">
        <v>0</v>
      </c>
      <c r="AN670" s="1">
        <v>0</v>
      </c>
      <c r="AO670" s="1">
        <v>0</v>
      </c>
      <c r="AP670" s="3">
        <f t="shared" si="282"/>
        <v>0</v>
      </c>
    </row>
    <row r="671" spans="1:42" x14ac:dyDescent="0.35">
      <c r="A671" s="1">
        <v>742</v>
      </c>
      <c r="C671" s="1" t="s">
        <v>64</v>
      </c>
      <c r="F671" s="1" t="s">
        <v>1325</v>
      </c>
      <c r="G671" s="1" t="s">
        <v>1367</v>
      </c>
      <c r="H671" s="1" t="s">
        <v>21</v>
      </c>
      <c r="I671" s="1" t="s">
        <v>71</v>
      </c>
      <c r="K671" s="1" t="s">
        <v>970</v>
      </c>
      <c r="L671" s="1" t="str">
        <f t="shared" ref="L671:L675" si="291">K671</f>
        <v>BPRS</v>
      </c>
      <c r="M671" s="1" t="s">
        <v>1016</v>
      </c>
      <c r="Q671" s="1" t="s">
        <v>1348</v>
      </c>
      <c r="R671" s="1">
        <v>3239538</v>
      </c>
      <c r="S671" s="1" t="s">
        <v>1363</v>
      </c>
      <c r="T671" s="1" t="s">
        <v>75</v>
      </c>
      <c r="U671" s="1" t="s">
        <v>122</v>
      </c>
      <c r="V671" s="1" t="s">
        <v>123</v>
      </c>
      <c r="W671" s="1">
        <v>0.35</v>
      </c>
      <c r="X671" s="1">
        <v>1000</v>
      </c>
      <c r="AC671" s="3">
        <v>3.0150000000000001</v>
      </c>
      <c r="AD671" s="3">
        <f t="shared" si="286"/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f t="shared" si="277"/>
        <v>3.0150000000000001</v>
      </c>
      <c r="AK671" s="3">
        <f t="shared" si="290"/>
        <v>3.0150000000000001</v>
      </c>
      <c r="AL671" s="1">
        <v>0</v>
      </c>
      <c r="AM671" s="1">
        <v>0</v>
      </c>
      <c r="AN671" s="1">
        <v>0</v>
      </c>
      <c r="AO671" s="1">
        <v>0</v>
      </c>
      <c r="AP671" s="3">
        <f t="shared" si="282"/>
        <v>0</v>
      </c>
    </row>
    <row r="672" spans="1:42" x14ac:dyDescent="0.35">
      <c r="A672" s="1">
        <v>742</v>
      </c>
      <c r="C672" s="1" t="s">
        <v>64</v>
      </c>
      <c r="F672" s="1" t="s">
        <v>492</v>
      </c>
      <c r="G672" s="1" t="s">
        <v>1367</v>
      </c>
      <c r="H672" s="1" t="s">
        <v>21</v>
      </c>
      <c r="I672" s="1" t="s">
        <v>71</v>
      </c>
      <c r="K672" s="1" t="s">
        <v>970</v>
      </c>
      <c r="L672" s="1" t="str">
        <f t="shared" si="291"/>
        <v>BPRS</v>
      </c>
      <c r="M672" s="1" t="s">
        <v>1018</v>
      </c>
      <c r="Q672" s="1" t="s">
        <v>1349</v>
      </c>
      <c r="R672" s="1">
        <v>3240818</v>
      </c>
      <c r="S672" s="1" t="s">
        <v>94</v>
      </c>
      <c r="T672" s="1" t="s">
        <v>75</v>
      </c>
      <c r="U672" s="1" t="s">
        <v>76</v>
      </c>
      <c r="V672" s="1" t="s">
        <v>77</v>
      </c>
      <c r="W672" s="1">
        <v>0.9</v>
      </c>
      <c r="X672" s="1">
        <v>1000</v>
      </c>
      <c r="AC672" s="3">
        <v>2.9750000000000001</v>
      </c>
      <c r="AD672" s="3">
        <f t="shared" si="286"/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f t="shared" si="277"/>
        <v>2.9750000000000001</v>
      </c>
      <c r="AK672" s="3">
        <f t="shared" si="290"/>
        <v>2.9750000000000001</v>
      </c>
      <c r="AL672" s="1">
        <v>0</v>
      </c>
      <c r="AM672" s="1">
        <v>0</v>
      </c>
      <c r="AN672" s="1">
        <v>0</v>
      </c>
      <c r="AO672" s="1">
        <v>0</v>
      </c>
      <c r="AP672" s="3">
        <f t="shared" si="282"/>
        <v>0</v>
      </c>
    </row>
    <row r="673" spans="1:42" x14ac:dyDescent="0.35">
      <c r="A673" s="1">
        <v>743</v>
      </c>
      <c r="C673" s="1" t="s">
        <v>64</v>
      </c>
      <c r="F673" s="1" t="s">
        <v>491</v>
      </c>
      <c r="G673" s="1" t="s">
        <v>1367</v>
      </c>
      <c r="H673" s="1" t="s">
        <v>56</v>
      </c>
      <c r="I673" s="1" t="s">
        <v>57</v>
      </c>
      <c r="K673" s="1" t="s">
        <v>969</v>
      </c>
      <c r="L673" s="1" t="str">
        <f t="shared" si="291"/>
        <v>IPP</v>
      </c>
      <c r="M673" s="1" t="s">
        <v>1016</v>
      </c>
      <c r="Q673" s="1" t="s">
        <v>81</v>
      </c>
      <c r="R673" s="1">
        <v>3924555</v>
      </c>
      <c r="S673" s="1" t="s">
        <v>83</v>
      </c>
      <c r="T673" s="1" t="s">
        <v>60</v>
      </c>
      <c r="U673" s="1" t="s">
        <v>61</v>
      </c>
      <c r="V673" s="1" t="s">
        <v>62</v>
      </c>
      <c r="W673" s="1">
        <v>0.9</v>
      </c>
      <c r="X673" s="1">
        <v>1045</v>
      </c>
      <c r="AC673" s="3">
        <v>8.9600000000000009</v>
      </c>
      <c r="AD673" s="3">
        <f t="shared" si="286"/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f t="shared" si="277"/>
        <v>8.9600000000000009</v>
      </c>
      <c r="AK673" s="3">
        <f t="shared" si="290"/>
        <v>8.9600000000000009</v>
      </c>
      <c r="AL673" s="1">
        <v>0</v>
      </c>
      <c r="AM673" s="1">
        <v>0</v>
      </c>
      <c r="AN673" s="1">
        <v>0</v>
      </c>
      <c r="AO673" s="1">
        <v>0</v>
      </c>
      <c r="AP673" s="3">
        <f t="shared" si="282"/>
        <v>0</v>
      </c>
    </row>
    <row r="674" spans="1:42" x14ac:dyDescent="0.35">
      <c r="A674" s="1">
        <v>743</v>
      </c>
      <c r="C674" s="1" t="s">
        <v>52</v>
      </c>
      <c r="F674" s="1" t="s">
        <v>1326</v>
      </c>
      <c r="G674" s="1" t="s">
        <v>1367</v>
      </c>
      <c r="H674" s="1" t="s">
        <v>63</v>
      </c>
      <c r="I674" s="1" t="s">
        <v>1404</v>
      </c>
      <c r="K674" s="1" t="s">
        <v>970</v>
      </c>
      <c r="L674" s="1" t="str">
        <f t="shared" si="291"/>
        <v>BPRS</v>
      </c>
      <c r="M674" s="1" t="s">
        <v>1017</v>
      </c>
      <c r="Q674" s="1" t="s">
        <v>457</v>
      </c>
      <c r="R674" s="1">
        <v>3661684</v>
      </c>
      <c r="S674" s="1" t="s">
        <v>1364</v>
      </c>
      <c r="T674" s="1" t="s">
        <v>139</v>
      </c>
      <c r="U674" s="1" t="s">
        <v>140</v>
      </c>
      <c r="V674" s="1" t="s">
        <v>150</v>
      </c>
      <c r="W674" s="1">
        <v>0.63</v>
      </c>
      <c r="X674" s="1">
        <v>1000</v>
      </c>
      <c r="AC674" s="3">
        <v>4.9349999999999996</v>
      </c>
      <c r="AD674" s="3">
        <f t="shared" si="286"/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f t="shared" si="277"/>
        <v>4.9349999999999996</v>
      </c>
      <c r="AK674" s="3">
        <f t="shared" si="290"/>
        <v>4.9349999999999996</v>
      </c>
      <c r="AL674" s="1">
        <v>0</v>
      </c>
      <c r="AM674" s="1">
        <v>0</v>
      </c>
      <c r="AN674" s="1">
        <v>0</v>
      </c>
      <c r="AO674" s="1">
        <v>0</v>
      </c>
      <c r="AP674" s="3">
        <f t="shared" si="282"/>
        <v>0</v>
      </c>
    </row>
    <row r="675" spans="1:42" x14ac:dyDescent="0.35">
      <c r="A675" s="1">
        <v>743</v>
      </c>
      <c r="C675" s="1" t="s">
        <v>52</v>
      </c>
      <c r="F675" s="1" t="s">
        <v>979</v>
      </c>
      <c r="G675" s="1" t="s">
        <v>1367</v>
      </c>
      <c r="H675" s="1" t="s">
        <v>56</v>
      </c>
      <c r="I675" s="1" t="s">
        <v>57</v>
      </c>
      <c r="K675" s="1" t="s">
        <v>969</v>
      </c>
      <c r="L675" s="1" t="str">
        <f t="shared" si="291"/>
        <v>IPP</v>
      </c>
      <c r="M675" s="1" t="s">
        <v>1016</v>
      </c>
      <c r="Q675" s="1" t="s">
        <v>1350</v>
      </c>
      <c r="R675" s="1">
        <v>3884496</v>
      </c>
      <c r="S675" s="1" t="s">
        <v>59</v>
      </c>
      <c r="T675" s="1" t="s">
        <v>60</v>
      </c>
      <c r="U675" s="1" t="s">
        <v>61</v>
      </c>
      <c r="V675" s="1" t="s">
        <v>62</v>
      </c>
      <c r="W675" s="1">
        <v>0.9</v>
      </c>
      <c r="X675" s="1">
        <v>1220</v>
      </c>
      <c r="AC675" s="3">
        <v>10.86</v>
      </c>
      <c r="AD675" s="3">
        <f t="shared" si="286"/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f t="shared" si="277"/>
        <v>10.86</v>
      </c>
      <c r="AK675" s="3">
        <f t="shared" si="290"/>
        <v>10.86</v>
      </c>
      <c r="AL675" s="1">
        <v>0</v>
      </c>
      <c r="AM675" s="1">
        <v>0</v>
      </c>
      <c r="AN675" s="1">
        <v>0</v>
      </c>
      <c r="AO675" s="1">
        <v>0</v>
      </c>
      <c r="AP675" s="3">
        <f t="shared" si="282"/>
        <v>0</v>
      </c>
    </row>
    <row r="676" spans="1:42" x14ac:dyDescent="0.35">
      <c r="A676" s="1">
        <v>743</v>
      </c>
      <c r="C676" s="1" t="s">
        <v>64</v>
      </c>
      <c r="F676" s="1" t="s">
        <v>1327</v>
      </c>
      <c r="G676" s="1" t="s">
        <v>1367</v>
      </c>
      <c r="H676" s="1" t="s">
        <v>63</v>
      </c>
      <c r="I676" s="1" t="s">
        <v>1404</v>
      </c>
      <c r="K676" s="1" t="s">
        <v>970</v>
      </c>
      <c r="L676" s="1" t="str">
        <f>K676</f>
        <v>BPRS</v>
      </c>
      <c r="M676" s="1" t="s">
        <v>1018</v>
      </c>
      <c r="Q676" s="1" t="s">
        <v>155</v>
      </c>
      <c r="R676" s="1">
        <v>1191955</v>
      </c>
      <c r="S676" s="1" t="s">
        <v>225</v>
      </c>
      <c r="T676" s="1" t="s">
        <v>139</v>
      </c>
      <c r="U676" s="1" t="s">
        <v>140</v>
      </c>
      <c r="V676" s="1" t="s">
        <v>150</v>
      </c>
      <c r="W676" s="1">
        <v>0.3</v>
      </c>
      <c r="X676" s="1">
        <v>900</v>
      </c>
      <c r="AC676" s="3">
        <v>5.0149999999999997</v>
      </c>
      <c r="AD676" s="3">
        <f t="shared" si="286"/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f t="shared" si="277"/>
        <v>5.0149999999999997</v>
      </c>
      <c r="AK676" s="3">
        <f t="shared" si="290"/>
        <v>5.0149999999999997</v>
      </c>
      <c r="AL676" s="1">
        <v>0</v>
      </c>
      <c r="AM676" s="1">
        <v>0</v>
      </c>
      <c r="AN676" s="1">
        <v>0</v>
      </c>
      <c r="AO676" s="1">
        <v>0</v>
      </c>
      <c r="AP676" s="3">
        <f t="shared" si="282"/>
        <v>0</v>
      </c>
    </row>
    <row r="677" spans="1:42" x14ac:dyDescent="0.35">
      <c r="A677" s="1">
        <v>742</v>
      </c>
      <c r="C677" s="1" t="s">
        <v>52</v>
      </c>
      <c r="F677" s="1" t="s">
        <v>986</v>
      </c>
      <c r="G677" s="1" t="s">
        <v>1367</v>
      </c>
      <c r="H677" s="1" t="s">
        <v>21</v>
      </c>
      <c r="I677" s="1" t="s">
        <v>71</v>
      </c>
      <c r="K677" s="1" t="s">
        <v>970</v>
      </c>
      <c r="L677" s="1" t="str">
        <f t="shared" ref="L677:L678" si="292">K677</f>
        <v>BPRS</v>
      </c>
      <c r="M677" s="1" t="s">
        <v>1018</v>
      </c>
      <c r="Q677" s="1" t="s">
        <v>119</v>
      </c>
      <c r="R677" s="1">
        <v>2427614</v>
      </c>
      <c r="S677" s="1" t="s">
        <v>177</v>
      </c>
      <c r="T677" s="1" t="s">
        <v>75</v>
      </c>
      <c r="U677" s="1" t="s">
        <v>122</v>
      </c>
      <c r="V677" s="1" t="s">
        <v>123</v>
      </c>
      <c r="W677" s="1">
        <v>0.35</v>
      </c>
      <c r="X677" s="1">
        <v>900</v>
      </c>
      <c r="AC677" s="3">
        <v>1.7649999999999999</v>
      </c>
      <c r="AD677" s="3">
        <f t="shared" si="286"/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f t="shared" si="277"/>
        <v>1.7649999999999999</v>
      </c>
      <c r="AK677" s="3">
        <f t="shared" si="290"/>
        <v>1.7649999999999999</v>
      </c>
      <c r="AL677" s="1">
        <v>0</v>
      </c>
      <c r="AM677" s="1">
        <v>0</v>
      </c>
      <c r="AN677" s="1">
        <v>0</v>
      </c>
      <c r="AO677" s="1">
        <v>0</v>
      </c>
      <c r="AP677" s="3">
        <f t="shared" si="282"/>
        <v>0</v>
      </c>
    </row>
    <row r="678" spans="1:42" x14ac:dyDescent="0.35">
      <c r="A678" s="1">
        <v>742</v>
      </c>
      <c r="C678" s="1" t="s">
        <v>52</v>
      </c>
      <c r="F678" s="1" t="s">
        <v>987</v>
      </c>
      <c r="G678" s="1" t="s">
        <v>1367</v>
      </c>
      <c r="H678" s="1" t="s">
        <v>21</v>
      </c>
      <c r="I678" s="1" t="s">
        <v>71</v>
      </c>
      <c r="K678" s="1" t="s">
        <v>970</v>
      </c>
      <c r="L678" s="1" t="str">
        <f t="shared" si="292"/>
        <v>BPRS</v>
      </c>
      <c r="M678" s="1" t="s">
        <v>1018</v>
      </c>
      <c r="Q678" s="1" t="s">
        <v>1124</v>
      </c>
      <c r="R678" s="1">
        <v>3240793</v>
      </c>
      <c r="S678" s="1" t="s">
        <v>181</v>
      </c>
      <c r="T678" s="1" t="s">
        <v>75</v>
      </c>
      <c r="U678" s="1" t="s">
        <v>76</v>
      </c>
      <c r="V678" s="1" t="s">
        <v>77</v>
      </c>
      <c r="W678" s="1">
        <v>0.7</v>
      </c>
      <c r="X678" s="1">
        <v>1250</v>
      </c>
      <c r="AC678" s="3">
        <v>8.42</v>
      </c>
      <c r="AD678" s="3">
        <f t="shared" si="286"/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f t="shared" si="277"/>
        <v>8.42</v>
      </c>
      <c r="AK678" s="3">
        <f t="shared" si="290"/>
        <v>8.42</v>
      </c>
      <c r="AL678" s="1">
        <v>0</v>
      </c>
      <c r="AM678" s="1">
        <v>0</v>
      </c>
      <c r="AN678" s="1">
        <v>0</v>
      </c>
      <c r="AO678" s="1">
        <v>0</v>
      </c>
      <c r="AP678" s="3">
        <f t="shared" si="282"/>
        <v>0</v>
      </c>
    </row>
    <row r="679" spans="1:42" x14ac:dyDescent="0.35">
      <c r="A679" s="1">
        <v>743</v>
      </c>
      <c r="C679" s="1" t="s">
        <v>64</v>
      </c>
      <c r="F679" s="1" t="s">
        <v>496</v>
      </c>
      <c r="G679" s="1" t="s">
        <v>1367</v>
      </c>
      <c r="H679" s="1" t="s">
        <v>56</v>
      </c>
      <c r="I679" s="1" t="s">
        <v>57</v>
      </c>
      <c r="K679" s="1" t="s">
        <v>969</v>
      </c>
      <c r="L679" s="1" t="str">
        <f t="shared" ref="L679:L680" si="293">K679</f>
        <v>IPP</v>
      </c>
      <c r="M679" s="1" t="s">
        <v>1016</v>
      </c>
      <c r="Q679" s="1" t="s">
        <v>1281</v>
      </c>
      <c r="R679" s="1">
        <v>3951358</v>
      </c>
      <c r="S679" s="1" t="s">
        <v>147</v>
      </c>
      <c r="T679" s="1" t="s">
        <v>60</v>
      </c>
      <c r="U679" s="1" t="s">
        <v>61</v>
      </c>
      <c r="V679" s="1" t="s">
        <v>129</v>
      </c>
      <c r="W679" s="1">
        <v>0.9</v>
      </c>
      <c r="X679" s="1">
        <v>1050</v>
      </c>
      <c r="AC679" s="3">
        <v>51.755000000000003</v>
      </c>
      <c r="AD679" s="3">
        <f t="shared" si="286"/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f t="shared" si="277"/>
        <v>51.755000000000003</v>
      </c>
      <c r="AK679" s="3">
        <f t="shared" si="290"/>
        <v>51.755000000000003</v>
      </c>
      <c r="AL679" s="1">
        <v>0</v>
      </c>
      <c r="AM679" s="1">
        <v>0</v>
      </c>
      <c r="AN679" s="1">
        <v>0</v>
      </c>
      <c r="AO679" s="1">
        <v>0</v>
      </c>
      <c r="AP679" s="3">
        <f t="shared" si="282"/>
        <v>0</v>
      </c>
    </row>
    <row r="680" spans="1:42" x14ac:dyDescent="0.35">
      <c r="A680" s="1">
        <v>743</v>
      </c>
      <c r="C680" s="1" t="s">
        <v>64</v>
      </c>
      <c r="F680" s="1" t="s">
        <v>497</v>
      </c>
      <c r="G680" s="1" t="s">
        <v>1367</v>
      </c>
      <c r="H680" s="1" t="s">
        <v>56</v>
      </c>
      <c r="I680" s="1" t="s">
        <v>57</v>
      </c>
      <c r="K680" s="1" t="s">
        <v>969</v>
      </c>
      <c r="L680" s="1" t="str">
        <f t="shared" si="293"/>
        <v>IPP</v>
      </c>
      <c r="M680" s="1" t="s">
        <v>1016</v>
      </c>
      <c r="Q680" s="1" t="s">
        <v>1281</v>
      </c>
      <c r="R680" s="1">
        <v>3951358</v>
      </c>
      <c r="S680" s="1" t="s">
        <v>147</v>
      </c>
      <c r="T680" s="1" t="s">
        <v>60</v>
      </c>
      <c r="U680" s="1" t="s">
        <v>61</v>
      </c>
      <c r="V680" s="1" t="s">
        <v>129</v>
      </c>
      <c r="W680" s="1">
        <v>0.9</v>
      </c>
      <c r="X680" s="1">
        <v>1050</v>
      </c>
      <c r="AC680" s="3">
        <v>112.65</v>
      </c>
      <c r="AD680" s="3">
        <f t="shared" si="286"/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f t="shared" si="277"/>
        <v>112.65</v>
      </c>
      <c r="AK680" s="3">
        <f t="shared" si="290"/>
        <v>112.65</v>
      </c>
      <c r="AL680" s="1">
        <v>0</v>
      </c>
      <c r="AM680" s="1">
        <v>0</v>
      </c>
      <c r="AN680" s="1">
        <v>0</v>
      </c>
      <c r="AO680" s="1">
        <v>0</v>
      </c>
      <c r="AP680" s="3">
        <f t="shared" si="282"/>
        <v>0</v>
      </c>
    </row>
    <row r="681" spans="1:42" x14ac:dyDescent="0.35">
      <c r="A681" s="1">
        <v>742</v>
      </c>
      <c r="C681" s="1" t="s">
        <v>52</v>
      </c>
      <c r="F681" s="1" t="s">
        <v>978</v>
      </c>
      <c r="G681" s="1" t="s">
        <v>1367</v>
      </c>
      <c r="H681" s="1" t="s">
        <v>21</v>
      </c>
      <c r="I681" s="1" t="s">
        <v>22</v>
      </c>
      <c r="K681" s="1" t="s">
        <v>970</v>
      </c>
      <c r="L681" s="1" t="str">
        <f>K681</f>
        <v>BPRS</v>
      </c>
      <c r="M681" s="1" t="s">
        <v>1019</v>
      </c>
      <c r="Q681" s="1" t="s">
        <v>53</v>
      </c>
      <c r="R681" s="1">
        <v>1804870</v>
      </c>
      <c r="S681" s="1" t="s">
        <v>55</v>
      </c>
      <c r="T681" s="1" t="s">
        <v>28</v>
      </c>
      <c r="U681" s="1" t="s">
        <v>29</v>
      </c>
      <c r="V681" s="1" t="s">
        <v>30</v>
      </c>
      <c r="W681" s="1">
        <v>2</v>
      </c>
      <c r="X681" s="1">
        <v>1000</v>
      </c>
      <c r="AC681" s="3">
        <v>39.9</v>
      </c>
      <c r="AD681" s="3">
        <f t="shared" si="286"/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f t="shared" si="277"/>
        <v>39.9</v>
      </c>
      <c r="AK681" s="3">
        <f t="shared" si="290"/>
        <v>39.9</v>
      </c>
      <c r="AL681" s="1">
        <v>0</v>
      </c>
      <c r="AM681" s="1">
        <v>0</v>
      </c>
      <c r="AN681" s="1">
        <v>0</v>
      </c>
      <c r="AO681" s="1">
        <v>0</v>
      </c>
      <c r="AP681" s="3">
        <f t="shared" si="282"/>
        <v>0</v>
      </c>
    </row>
    <row r="682" spans="1:42" x14ac:dyDescent="0.35">
      <c r="A682" s="1">
        <v>744</v>
      </c>
      <c r="C682" s="1" t="s">
        <v>64</v>
      </c>
      <c r="F682" s="1" t="s">
        <v>495</v>
      </c>
      <c r="G682" s="1" t="s">
        <v>1367</v>
      </c>
      <c r="H682" s="1" t="s">
        <v>86</v>
      </c>
      <c r="I682" s="1" t="s">
        <v>968</v>
      </c>
      <c r="K682" s="1" t="s">
        <v>969</v>
      </c>
      <c r="L682" s="1" t="str">
        <f t="shared" ref="L682:L687" si="294">K682</f>
        <v>IPP</v>
      </c>
      <c r="M682" s="1" t="s">
        <v>1232</v>
      </c>
      <c r="Q682" s="1" t="s">
        <v>107</v>
      </c>
      <c r="R682" s="1">
        <v>3900141</v>
      </c>
      <c r="S682" s="1" t="s">
        <v>111</v>
      </c>
      <c r="T682" s="1" t="s">
        <v>88</v>
      </c>
      <c r="U682" s="1" t="s">
        <v>89</v>
      </c>
      <c r="V682" s="1" t="s">
        <v>110</v>
      </c>
      <c r="W682" s="1">
        <v>0.43</v>
      </c>
      <c r="X682" s="1">
        <v>1220</v>
      </c>
      <c r="AC682" s="3">
        <v>3.95</v>
      </c>
      <c r="AD682" s="3">
        <f t="shared" si="286"/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f t="shared" si="277"/>
        <v>3.95</v>
      </c>
      <c r="AK682" s="1">
        <v>0</v>
      </c>
      <c r="AL682" s="3">
        <f>AC682</f>
        <v>3.95</v>
      </c>
      <c r="AM682" s="1">
        <v>0</v>
      </c>
      <c r="AN682" s="1">
        <v>0</v>
      </c>
      <c r="AO682" s="1">
        <v>0</v>
      </c>
      <c r="AP682" s="3">
        <f t="shared" si="282"/>
        <v>0</v>
      </c>
    </row>
    <row r="683" spans="1:42" x14ac:dyDescent="0.35">
      <c r="A683" s="1">
        <v>743</v>
      </c>
      <c r="C683" s="1" t="s">
        <v>64</v>
      </c>
      <c r="F683" s="1" t="s">
        <v>490</v>
      </c>
      <c r="G683" s="1" t="s">
        <v>1367</v>
      </c>
      <c r="H683" s="1" t="s">
        <v>63</v>
      </c>
      <c r="I683" s="1" t="s">
        <v>1291</v>
      </c>
      <c r="K683" s="1" t="s">
        <v>970</v>
      </c>
      <c r="L683" s="1" t="str">
        <f t="shared" si="294"/>
        <v>BPRS</v>
      </c>
      <c r="M683" s="1" t="s">
        <v>1019</v>
      </c>
      <c r="Q683" s="1" t="s">
        <v>65</v>
      </c>
      <c r="R683" s="1">
        <v>3708868</v>
      </c>
      <c r="S683" s="1" t="s">
        <v>67</v>
      </c>
      <c r="T683" s="1" t="s">
        <v>68</v>
      </c>
      <c r="U683" s="1" t="s">
        <v>69</v>
      </c>
      <c r="V683" s="1" t="s">
        <v>70</v>
      </c>
      <c r="W683" s="1">
        <v>0.5</v>
      </c>
      <c r="X683" s="1">
        <v>1350</v>
      </c>
      <c r="AC683" s="3">
        <v>3.9049999999999998</v>
      </c>
      <c r="AD683" s="3">
        <f t="shared" si="286"/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f t="shared" si="277"/>
        <v>3.9049999999999998</v>
      </c>
      <c r="AK683" s="3">
        <f t="shared" ref="AK683:AK693" si="295">AC683</f>
        <v>3.9049999999999998</v>
      </c>
      <c r="AL683" s="1">
        <v>0</v>
      </c>
      <c r="AM683" s="1">
        <v>0</v>
      </c>
      <c r="AN683" s="1">
        <v>0</v>
      </c>
      <c r="AO683" s="1">
        <v>0</v>
      </c>
      <c r="AP683" s="3">
        <f t="shared" si="282"/>
        <v>0</v>
      </c>
    </row>
    <row r="684" spans="1:42" x14ac:dyDescent="0.35">
      <c r="A684" s="1">
        <v>743</v>
      </c>
      <c r="C684" s="1" t="s">
        <v>64</v>
      </c>
      <c r="F684" s="1" t="s">
        <v>493</v>
      </c>
      <c r="G684" s="1" t="s">
        <v>1367</v>
      </c>
      <c r="H684" s="1" t="s">
        <v>56</v>
      </c>
      <c r="I684" s="1" t="s">
        <v>57</v>
      </c>
      <c r="K684" s="1" t="s">
        <v>969</v>
      </c>
      <c r="L684" s="1" t="str">
        <f t="shared" si="294"/>
        <v>IPP</v>
      </c>
      <c r="M684" s="1" t="s">
        <v>1016</v>
      </c>
      <c r="Q684" s="1" t="s">
        <v>81</v>
      </c>
      <c r="R684" s="1">
        <v>3886225</v>
      </c>
      <c r="S684" s="1" t="s">
        <v>105</v>
      </c>
      <c r="T684" s="1" t="s">
        <v>60</v>
      </c>
      <c r="U684" s="1" t="s">
        <v>61</v>
      </c>
      <c r="V684" s="1" t="s">
        <v>62</v>
      </c>
      <c r="W684" s="1">
        <v>0.9</v>
      </c>
      <c r="X684" s="1">
        <v>1242</v>
      </c>
      <c r="AC684" s="3">
        <v>26.34</v>
      </c>
      <c r="AD684" s="3">
        <f t="shared" si="286"/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f t="shared" si="277"/>
        <v>26.34</v>
      </c>
      <c r="AK684" s="3">
        <f t="shared" si="295"/>
        <v>26.34</v>
      </c>
      <c r="AL684" s="1">
        <v>0</v>
      </c>
      <c r="AM684" s="1">
        <v>0</v>
      </c>
      <c r="AN684" s="1">
        <v>0</v>
      </c>
      <c r="AO684" s="1">
        <v>0</v>
      </c>
      <c r="AP684" s="3">
        <f t="shared" si="282"/>
        <v>0</v>
      </c>
    </row>
    <row r="685" spans="1:42" x14ac:dyDescent="0.35">
      <c r="A685" s="1">
        <v>742</v>
      </c>
      <c r="C685" s="1" t="s">
        <v>64</v>
      </c>
      <c r="F685" s="1" t="s">
        <v>494</v>
      </c>
      <c r="G685" s="1" t="s">
        <v>1367</v>
      </c>
      <c r="H685" s="1" t="s">
        <v>21</v>
      </c>
      <c r="I685" s="1" t="s">
        <v>71</v>
      </c>
      <c r="K685" s="1" t="s">
        <v>970</v>
      </c>
      <c r="L685" s="1" t="str">
        <f t="shared" si="294"/>
        <v>BPRS</v>
      </c>
      <c r="M685" s="1" t="s">
        <v>1018</v>
      </c>
      <c r="Q685" s="1" t="s">
        <v>1349</v>
      </c>
      <c r="R685" s="1">
        <v>3240785</v>
      </c>
      <c r="S685" s="1" t="s">
        <v>106</v>
      </c>
      <c r="T685" s="1" t="s">
        <v>75</v>
      </c>
      <c r="U685" s="1" t="s">
        <v>76</v>
      </c>
      <c r="V685" s="1" t="s">
        <v>77</v>
      </c>
      <c r="W685" s="1">
        <v>0.6</v>
      </c>
      <c r="X685" s="1">
        <v>1250</v>
      </c>
      <c r="AC685" s="3">
        <v>2.84</v>
      </c>
      <c r="AD685" s="3">
        <f t="shared" si="286"/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f t="shared" si="277"/>
        <v>2.84</v>
      </c>
      <c r="AK685" s="3">
        <f t="shared" si="295"/>
        <v>2.84</v>
      </c>
      <c r="AL685" s="1">
        <v>0</v>
      </c>
      <c r="AM685" s="1">
        <v>0</v>
      </c>
      <c r="AN685" s="1">
        <v>0</v>
      </c>
      <c r="AO685" s="1">
        <v>0</v>
      </c>
      <c r="AP685" s="3">
        <f t="shared" si="282"/>
        <v>0</v>
      </c>
    </row>
    <row r="686" spans="1:42" x14ac:dyDescent="0.35">
      <c r="A686" s="1">
        <v>742</v>
      </c>
      <c r="C686" s="1" t="s">
        <v>52</v>
      </c>
      <c r="F686" s="1" t="s">
        <v>982</v>
      </c>
      <c r="G686" s="1" t="s">
        <v>1367</v>
      </c>
      <c r="H686" s="1" t="s">
        <v>21</v>
      </c>
      <c r="I686" s="1" t="s">
        <v>22</v>
      </c>
      <c r="K686" s="1" t="s">
        <v>970</v>
      </c>
      <c r="L686" s="1" t="str">
        <f t="shared" si="294"/>
        <v>BPRS</v>
      </c>
      <c r="M686" s="1" t="s">
        <v>1016</v>
      </c>
      <c r="Q686" s="1" t="s">
        <v>1351</v>
      </c>
      <c r="R686" s="1">
        <v>1206324</v>
      </c>
      <c r="S686" s="1" t="s">
        <v>115</v>
      </c>
      <c r="T686" s="1" t="s">
        <v>75</v>
      </c>
      <c r="U686" s="1" t="s">
        <v>29</v>
      </c>
      <c r="V686" s="1" t="s">
        <v>30</v>
      </c>
      <c r="W686" s="1">
        <v>0.75</v>
      </c>
      <c r="X686" s="1">
        <v>1250</v>
      </c>
      <c r="AC686" s="3">
        <v>2.9049999999999998</v>
      </c>
      <c r="AD686" s="3">
        <f t="shared" si="286"/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f t="shared" si="277"/>
        <v>2.9049999999999998</v>
      </c>
      <c r="AK686" s="3">
        <f t="shared" si="295"/>
        <v>2.9049999999999998</v>
      </c>
      <c r="AL686" s="1">
        <v>0</v>
      </c>
      <c r="AM686" s="1">
        <v>0</v>
      </c>
      <c r="AN686" s="1">
        <v>0</v>
      </c>
      <c r="AO686" s="1">
        <v>0</v>
      </c>
      <c r="AP686" s="3">
        <f t="shared" si="282"/>
        <v>0</v>
      </c>
    </row>
    <row r="687" spans="1:42" x14ac:dyDescent="0.35">
      <c r="A687" s="1">
        <v>743</v>
      </c>
      <c r="C687" s="1" t="s">
        <v>52</v>
      </c>
      <c r="F687" s="1" t="s">
        <v>1328</v>
      </c>
      <c r="G687" s="1" t="s">
        <v>1367</v>
      </c>
      <c r="H687" s="1" t="s">
        <v>63</v>
      </c>
      <c r="I687" s="1" t="s">
        <v>1291</v>
      </c>
      <c r="K687" s="1" t="s">
        <v>970</v>
      </c>
      <c r="L687" s="1" t="str">
        <f t="shared" si="294"/>
        <v>BPRS</v>
      </c>
      <c r="M687" s="1" t="s">
        <v>1016</v>
      </c>
      <c r="Q687" s="1" t="s">
        <v>1352</v>
      </c>
      <c r="R687" s="1">
        <v>3708868</v>
      </c>
      <c r="S687" s="1" t="s">
        <v>67</v>
      </c>
      <c r="T687" s="1" t="s">
        <v>68</v>
      </c>
      <c r="U687" s="1" t="s">
        <v>69</v>
      </c>
      <c r="V687" s="1" t="s">
        <v>70</v>
      </c>
      <c r="W687" s="1">
        <v>0.5</v>
      </c>
      <c r="X687" s="1">
        <v>1350</v>
      </c>
      <c r="AC687" s="3">
        <v>12.489999999999998</v>
      </c>
      <c r="AD687" s="3">
        <f t="shared" si="286"/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f t="shared" si="277"/>
        <v>12.489999999999998</v>
      </c>
      <c r="AK687" s="3">
        <f t="shared" si="295"/>
        <v>12.489999999999998</v>
      </c>
      <c r="AL687" s="1">
        <v>0</v>
      </c>
      <c r="AM687" s="1">
        <v>0</v>
      </c>
      <c r="AN687" s="1">
        <v>0</v>
      </c>
      <c r="AO687" s="1">
        <v>0</v>
      </c>
      <c r="AP687" s="3">
        <f t="shared" si="282"/>
        <v>0</v>
      </c>
    </row>
    <row r="688" spans="1:42" x14ac:dyDescent="0.35">
      <c r="A688" s="1">
        <v>742</v>
      </c>
      <c r="B688" s="2">
        <v>45835</v>
      </c>
      <c r="C688" s="1" t="s">
        <v>64</v>
      </c>
      <c r="F688" s="1" t="s">
        <v>510</v>
      </c>
      <c r="G688" s="1" t="s">
        <v>1367</v>
      </c>
      <c r="H688" s="1" t="s">
        <v>21</v>
      </c>
      <c r="I688" s="1" t="s">
        <v>71</v>
      </c>
      <c r="K688" s="1" t="s">
        <v>970</v>
      </c>
      <c r="L688" s="1" t="str">
        <f t="shared" ref="L688:L693" si="296">K688</f>
        <v>BPRS</v>
      </c>
      <c r="M688" s="1" t="s">
        <v>1019</v>
      </c>
      <c r="Q688" s="1" t="s">
        <v>171</v>
      </c>
      <c r="R688" s="1">
        <v>3239557</v>
      </c>
      <c r="S688" s="1" t="s">
        <v>158</v>
      </c>
      <c r="T688" s="1" t="s">
        <v>75</v>
      </c>
      <c r="U688" s="1" t="s">
        <v>122</v>
      </c>
      <c r="V688" s="1" t="s">
        <v>123</v>
      </c>
      <c r="W688" s="1">
        <v>0.4</v>
      </c>
      <c r="X688" s="1">
        <v>1250</v>
      </c>
      <c r="AC688" s="3">
        <v>2.7949999999999999</v>
      </c>
      <c r="AD688" s="3">
        <f t="shared" si="286"/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f t="shared" si="277"/>
        <v>2.7949999999999999</v>
      </c>
      <c r="AK688" s="3">
        <f t="shared" si="295"/>
        <v>2.7949999999999999</v>
      </c>
      <c r="AL688" s="1">
        <v>0</v>
      </c>
      <c r="AM688" s="1">
        <v>0</v>
      </c>
      <c r="AN688" s="1">
        <v>0</v>
      </c>
      <c r="AO688" s="1">
        <v>0</v>
      </c>
      <c r="AP688" s="3">
        <f t="shared" si="282"/>
        <v>0</v>
      </c>
    </row>
    <row r="689" spans="1:42" x14ac:dyDescent="0.35">
      <c r="A689" s="1">
        <v>742</v>
      </c>
      <c r="B689" s="2">
        <v>45835</v>
      </c>
      <c r="C689" s="1" t="s">
        <v>64</v>
      </c>
      <c r="F689" s="1" t="s">
        <v>509</v>
      </c>
      <c r="G689" s="1" t="s">
        <v>1367</v>
      </c>
      <c r="H689" s="1" t="s">
        <v>21</v>
      </c>
      <c r="I689" s="1" t="s">
        <v>71</v>
      </c>
      <c r="K689" s="1" t="s">
        <v>970</v>
      </c>
      <c r="L689" s="1" t="str">
        <f t="shared" si="296"/>
        <v>BPRS</v>
      </c>
      <c r="M689" s="1" t="s">
        <v>1017</v>
      </c>
      <c r="Q689" s="1" t="s">
        <v>213</v>
      </c>
      <c r="R689" s="1">
        <v>3437524</v>
      </c>
      <c r="S689" s="1" t="s">
        <v>215</v>
      </c>
      <c r="T689" s="1" t="s">
        <v>75</v>
      </c>
      <c r="U689" s="1" t="s">
        <v>122</v>
      </c>
      <c r="V689" s="1" t="s">
        <v>123</v>
      </c>
      <c r="W689" s="1">
        <v>0.4</v>
      </c>
      <c r="X689" s="1">
        <v>1250</v>
      </c>
      <c r="AC689" s="3">
        <v>2.74</v>
      </c>
      <c r="AD689" s="3">
        <f t="shared" si="286"/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f t="shared" si="277"/>
        <v>2.74</v>
      </c>
      <c r="AK689" s="3">
        <f t="shared" si="295"/>
        <v>2.74</v>
      </c>
      <c r="AL689" s="1">
        <v>0</v>
      </c>
      <c r="AM689" s="1">
        <v>0</v>
      </c>
      <c r="AN689" s="1">
        <v>0</v>
      </c>
      <c r="AO689" s="1">
        <v>0</v>
      </c>
      <c r="AP689" s="3">
        <f t="shared" si="282"/>
        <v>0</v>
      </c>
    </row>
    <row r="690" spans="1:42" x14ac:dyDescent="0.35">
      <c r="A690" s="1">
        <v>742</v>
      </c>
      <c r="B690" s="2">
        <v>45810</v>
      </c>
      <c r="C690" s="1" t="s">
        <v>64</v>
      </c>
      <c r="F690" s="1" t="s">
        <v>498</v>
      </c>
      <c r="G690" s="1" t="s">
        <v>1367</v>
      </c>
      <c r="H690" s="1" t="s">
        <v>21</v>
      </c>
      <c r="I690" s="1" t="s">
        <v>71</v>
      </c>
      <c r="K690" s="1" t="s">
        <v>970</v>
      </c>
      <c r="L690" s="1" t="str">
        <f t="shared" si="296"/>
        <v>BPRS</v>
      </c>
      <c r="M690" s="1" t="s">
        <v>1018</v>
      </c>
      <c r="Q690" s="1" t="s">
        <v>155</v>
      </c>
      <c r="R690" s="1">
        <v>3239557</v>
      </c>
      <c r="S690" s="1" t="s">
        <v>158</v>
      </c>
      <c r="T690" s="1" t="s">
        <v>75</v>
      </c>
      <c r="U690" s="1" t="s">
        <v>122</v>
      </c>
      <c r="V690" s="1" t="s">
        <v>123</v>
      </c>
      <c r="W690" s="1">
        <v>0.4</v>
      </c>
      <c r="X690" s="1">
        <v>1250</v>
      </c>
      <c r="AC690" s="3">
        <v>8.4450000000000003</v>
      </c>
      <c r="AD690" s="3">
        <f t="shared" si="286"/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f t="shared" si="277"/>
        <v>8.4450000000000003</v>
      </c>
      <c r="AK690" s="3">
        <f t="shared" si="295"/>
        <v>8.4450000000000003</v>
      </c>
      <c r="AL690" s="1">
        <v>0</v>
      </c>
      <c r="AM690" s="1">
        <v>0</v>
      </c>
      <c r="AN690" s="1">
        <v>0</v>
      </c>
      <c r="AO690" s="1">
        <v>0</v>
      </c>
      <c r="AP690" s="3">
        <f t="shared" si="282"/>
        <v>0</v>
      </c>
    </row>
    <row r="691" spans="1:42" x14ac:dyDescent="0.35">
      <c r="A691" s="1">
        <v>743</v>
      </c>
      <c r="C691" s="1" t="s">
        <v>64</v>
      </c>
      <c r="F691" s="1" t="s">
        <v>1329</v>
      </c>
      <c r="G691" s="1" t="s">
        <v>1367</v>
      </c>
      <c r="H691" s="1" t="s">
        <v>63</v>
      </c>
      <c r="I691" s="1" t="s">
        <v>1404</v>
      </c>
      <c r="K691" s="1" t="s">
        <v>970</v>
      </c>
      <c r="L691" s="1" t="str">
        <f t="shared" si="296"/>
        <v>BPRS</v>
      </c>
      <c r="M691" s="1" t="s">
        <v>1018</v>
      </c>
      <c r="Q691" s="1" t="s">
        <v>1349</v>
      </c>
      <c r="R691" s="1">
        <v>1142792</v>
      </c>
      <c r="S691" s="1" t="s">
        <v>138</v>
      </c>
      <c r="T691" s="1" t="s">
        <v>139</v>
      </c>
      <c r="U691" s="1" t="s">
        <v>140</v>
      </c>
      <c r="V691" s="1" t="s">
        <v>141</v>
      </c>
      <c r="W691" s="1">
        <v>0.3</v>
      </c>
      <c r="X691" s="1">
        <v>900</v>
      </c>
      <c r="AC691" s="3">
        <v>4.22</v>
      </c>
      <c r="AD691" s="3">
        <f t="shared" si="286"/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f t="shared" si="277"/>
        <v>4.22</v>
      </c>
      <c r="AK691" s="3">
        <f t="shared" si="295"/>
        <v>4.22</v>
      </c>
      <c r="AL691" s="1">
        <v>0</v>
      </c>
      <c r="AM691" s="1">
        <v>0</v>
      </c>
      <c r="AN691" s="1">
        <v>0</v>
      </c>
      <c r="AO691" s="1">
        <v>0</v>
      </c>
      <c r="AP691" s="3">
        <f t="shared" si="282"/>
        <v>0</v>
      </c>
    </row>
    <row r="692" spans="1:42" x14ac:dyDescent="0.35">
      <c r="A692" s="1">
        <v>743</v>
      </c>
      <c r="C692" s="1" t="s">
        <v>52</v>
      </c>
      <c r="F692" s="1" t="s">
        <v>980</v>
      </c>
      <c r="G692" s="1" t="s">
        <v>1367</v>
      </c>
      <c r="H692" s="1" t="s">
        <v>63</v>
      </c>
      <c r="I692" s="1" t="s">
        <v>1291</v>
      </c>
      <c r="K692" s="1" t="s">
        <v>970</v>
      </c>
      <c r="L692" s="1" t="str">
        <f t="shared" si="296"/>
        <v>BPRS</v>
      </c>
      <c r="M692" s="1" t="s">
        <v>1016</v>
      </c>
      <c r="Q692" s="1" t="s">
        <v>1352</v>
      </c>
      <c r="R692" s="1">
        <v>3708868</v>
      </c>
      <c r="S692" s="1" t="s">
        <v>67</v>
      </c>
      <c r="T692" s="1" t="s">
        <v>68</v>
      </c>
      <c r="U692" s="1" t="s">
        <v>69</v>
      </c>
      <c r="V692" s="1" t="s">
        <v>70</v>
      </c>
      <c r="W692" s="1">
        <v>0.5</v>
      </c>
      <c r="X692" s="1">
        <v>1350</v>
      </c>
      <c r="AC692" s="3">
        <v>6.125</v>
      </c>
      <c r="AD692" s="3">
        <f t="shared" si="286"/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f t="shared" si="277"/>
        <v>6.125</v>
      </c>
      <c r="AK692" s="3">
        <f t="shared" si="295"/>
        <v>6.125</v>
      </c>
      <c r="AL692" s="1">
        <v>0</v>
      </c>
      <c r="AM692" s="1">
        <v>0</v>
      </c>
      <c r="AN692" s="1">
        <v>0</v>
      </c>
      <c r="AO692" s="1">
        <v>0</v>
      </c>
      <c r="AP692" s="3">
        <f t="shared" si="282"/>
        <v>0</v>
      </c>
    </row>
    <row r="693" spans="1:42" x14ac:dyDescent="0.35">
      <c r="A693" s="1">
        <v>742</v>
      </c>
      <c r="C693" s="1" t="s">
        <v>52</v>
      </c>
      <c r="F693" s="1" t="s">
        <v>989</v>
      </c>
      <c r="G693" s="1" t="s">
        <v>1367</v>
      </c>
      <c r="H693" s="1" t="s">
        <v>21</v>
      </c>
      <c r="I693" s="1" t="s">
        <v>22</v>
      </c>
      <c r="K693" s="1" t="s">
        <v>970</v>
      </c>
      <c r="L693" s="1" t="str">
        <f t="shared" si="296"/>
        <v>BPRS</v>
      </c>
      <c r="M693" s="1" t="s">
        <v>1016</v>
      </c>
      <c r="Q693" s="1" t="s">
        <v>84</v>
      </c>
      <c r="R693" s="1">
        <v>1804908</v>
      </c>
      <c r="S693" s="1" t="s">
        <v>191</v>
      </c>
      <c r="T693" s="1" t="s">
        <v>28</v>
      </c>
      <c r="U693" s="1" t="s">
        <v>122</v>
      </c>
      <c r="V693" s="1" t="s">
        <v>192</v>
      </c>
      <c r="W693" s="1">
        <v>0.5</v>
      </c>
      <c r="X693" s="1">
        <v>1250</v>
      </c>
      <c r="AC693" s="3">
        <v>25.785</v>
      </c>
      <c r="AD693" s="3">
        <f t="shared" si="286"/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f t="shared" si="277"/>
        <v>25.785</v>
      </c>
      <c r="AK693" s="3">
        <f t="shared" si="295"/>
        <v>25.785</v>
      </c>
      <c r="AL693" s="1">
        <v>0</v>
      </c>
      <c r="AM693" s="1">
        <v>0</v>
      </c>
      <c r="AN693" s="1">
        <v>0</v>
      </c>
      <c r="AO693" s="1">
        <v>0</v>
      </c>
      <c r="AP693" s="3">
        <f t="shared" si="282"/>
        <v>0</v>
      </c>
    </row>
    <row r="694" spans="1:42" x14ac:dyDescent="0.35">
      <c r="A694" s="1">
        <v>743</v>
      </c>
      <c r="B694" s="2">
        <v>45786</v>
      </c>
      <c r="C694" s="1" t="s">
        <v>64</v>
      </c>
      <c r="F694" s="1" t="s">
        <v>503</v>
      </c>
      <c r="G694" s="1" t="s">
        <v>1367</v>
      </c>
      <c r="H694" s="1" t="s">
        <v>56</v>
      </c>
      <c r="I694" s="1" t="s">
        <v>968</v>
      </c>
      <c r="K694" s="1" t="s">
        <v>969</v>
      </c>
      <c r="L694" s="1" t="str">
        <f t="shared" ref="L694:L696" si="297">K694</f>
        <v>IPP</v>
      </c>
      <c r="M694" s="1" t="s">
        <v>1232</v>
      </c>
      <c r="Q694" s="1" t="s">
        <v>1174</v>
      </c>
      <c r="R694" s="1">
        <v>1881969</v>
      </c>
      <c r="S694" s="1" t="s">
        <v>112</v>
      </c>
      <c r="T694" s="1" t="s">
        <v>60</v>
      </c>
      <c r="U694" s="1" t="s">
        <v>61</v>
      </c>
      <c r="V694" s="1" t="s">
        <v>103</v>
      </c>
      <c r="W694" s="1">
        <v>0.45</v>
      </c>
      <c r="X694" s="1">
        <v>1220</v>
      </c>
      <c r="AC694" s="3">
        <v>25.545000000000002</v>
      </c>
      <c r="AD694" s="3">
        <f t="shared" si="286"/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f t="shared" si="277"/>
        <v>25.545000000000002</v>
      </c>
      <c r="AK694" s="3">
        <v>0</v>
      </c>
      <c r="AL694" s="3">
        <f>AC694</f>
        <v>25.545000000000002</v>
      </c>
      <c r="AM694" s="1">
        <v>0</v>
      </c>
      <c r="AN694" s="1">
        <v>0</v>
      </c>
      <c r="AO694" s="1">
        <v>0</v>
      </c>
      <c r="AP694" s="3">
        <f t="shared" si="282"/>
        <v>0</v>
      </c>
    </row>
    <row r="695" spans="1:42" x14ac:dyDescent="0.35">
      <c r="A695" s="1">
        <v>743</v>
      </c>
      <c r="B695" s="2">
        <v>45806</v>
      </c>
      <c r="C695" s="1" t="s">
        <v>64</v>
      </c>
      <c r="F695" s="1" t="s">
        <v>501</v>
      </c>
      <c r="G695" s="1" t="s">
        <v>1367</v>
      </c>
      <c r="H695" s="1" t="s">
        <v>56</v>
      </c>
      <c r="I695" s="1" t="s">
        <v>57</v>
      </c>
      <c r="K695" s="1" t="s">
        <v>969</v>
      </c>
      <c r="L695" s="1" t="str">
        <f t="shared" si="297"/>
        <v>IPP</v>
      </c>
      <c r="M695" s="1" t="s">
        <v>1016</v>
      </c>
      <c r="Q695" s="1" t="s">
        <v>1281</v>
      </c>
      <c r="R695" s="1">
        <v>3903395</v>
      </c>
      <c r="S695" s="1" t="s">
        <v>144</v>
      </c>
      <c r="T695" s="1" t="s">
        <v>60</v>
      </c>
      <c r="U695" s="1" t="s">
        <v>61</v>
      </c>
      <c r="V695" s="1" t="s">
        <v>129</v>
      </c>
      <c r="W695" s="1">
        <v>0.9</v>
      </c>
      <c r="X695" s="1">
        <v>1220</v>
      </c>
      <c r="AC695" s="3">
        <v>10.43</v>
      </c>
      <c r="AD695" s="3">
        <f t="shared" si="286"/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f t="shared" si="277"/>
        <v>10.43</v>
      </c>
      <c r="AK695" s="3">
        <f t="shared" ref="AK695:AK703" si="298">AC695</f>
        <v>10.43</v>
      </c>
      <c r="AL695" s="1">
        <v>0</v>
      </c>
      <c r="AM695" s="1">
        <v>0</v>
      </c>
      <c r="AN695" s="1">
        <v>0</v>
      </c>
      <c r="AO695" s="1">
        <v>0</v>
      </c>
      <c r="AP695" s="3">
        <f t="shared" si="282"/>
        <v>0</v>
      </c>
    </row>
    <row r="696" spans="1:42" x14ac:dyDescent="0.35">
      <c r="A696" s="1">
        <v>742</v>
      </c>
      <c r="B696" s="2">
        <v>45806</v>
      </c>
      <c r="C696" s="1" t="s">
        <v>64</v>
      </c>
      <c r="F696" s="1" t="s">
        <v>511</v>
      </c>
      <c r="G696" s="1" t="s">
        <v>1367</v>
      </c>
      <c r="H696" s="1" t="s">
        <v>21</v>
      </c>
      <c r="I696" s="1" t="s">
        <v>22</v>
      </c>
      <c r="K696" s="1" t="s">
        <v>970</v>
      </c>
      <c r="L696" s="1" t="str">
        <f t="shared" si="297"/>
        <v>BPRS</v>
      </c>
      <c r="M696" s="1" t="s">
        <v>1016</v>
      </c>
      <c r="Q696" s="1" t="s">
        <v>184</v>
      </c>
      <c r="R696" s="1">
        <v>1801804</v>
      </c>
      <c r="S696" s="1" t="s">
        <v>185</v>
      </c>
      <c r="T696" s="1" t="s">
        <v>28</v>
      </c>
      <c r="U696" s="1" t="s">
        <v>29</v>
      </c>
      <c r="V696" s="1" t="s">
        <v>30</v>
      </c>
      <c r="W696" s="1">
        <v>1</v>
      </c>
      <c r="X696" s="1">
        <v>1250</v>
      </c>
      <c r="AC696" s="3">
        <v>14.08</v>
      </c>
      <c r="AD696" s="3">
        <f t="shared" si="286"/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f t="shared" si="277"/>
        <v>14.08</v>
      </c>
      <c r="AK696" s="3">
        <f t="shared" si="298"/>
        <v>14.08</v>
      </c>
      <c r="AL696" s="1">
        <v>0</v>
      </c>
      <c r="AM696" s="1">
        <v>0</v>
      </c>
      <c r="AN696" s="1">
        <v>0</v>
      </c>
      <c r="AO696" s="1">
        <v>0</v>
      </c>
      <c r="AP696" s="3">
        <f t="shared" si="282"/>
        <v>0</v>
      </c>
    </row>
    <row r="697" spans="1:42" x14ac:dyDescent="0.35">
      <c r="A697" s="1">
        <v>742</v>
      </c>
      <c r="C697" s="1" t="s">
        <v>52</v>
      </c>
      <c r="F697" s="1" t="s">
        <v>988</v>
      </c>
      <c r="G697" s="1" t="s">
        <v>1367</v>
      </c>
      <c r="H697" s="1" t="s">
        <v>21</v>
      </c>
      <c r="I697" s="1" t="s">
        <v>22</v>
      </c>
      <c r="K697" s="1" t="s">
        <v>970</v>
      </c>
      <c r="L697" s="1" t="str">
        <f>K697</f>
        <v>BPRS</v>
      </c>
      <c r="M697" s="1" t="s">
        <v>1016</v>
      </c>
      <c r="Q697" s="1" t="s">
        <v>184</v>
      </c>
      <c r="R697" s="1">
        <v>1801804</v>
      </c>
      <c r="S697" s="1" t="s">
        <v>185</v>
      </c>
      <c r="T697" s="1" t="s">
        <v>28</v>
      </c>
      <c r="U697" s="1" t="s">
        <v>29</v>
      </c>
      <c r="V697" s="1" t="s">
        <v>30</v>
      </c>
      <c r="W697" s="1">
        <v>1</v>
      </c>
      <c r="X697" s="1">
        <v>1250</v>
      </c>
      <c r="AC697" s="3">
        <v>10.5</v>
      </c>
      <c r="AD697" s="3">
        <f t="shared" si="286"/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f t="shared" si="277"/>
        <v>10.5</v>
      </c>
      <c r="AK697" s="3">
        <f t="shared" si="298"/>
        <v>10.5</v>
      </c>
      <c r="AL697" s="1">
        <v>0</v>
      </c>
      <c r="AM697" s="1">
        <v>0</v>
      </c>
      <c r="AN697" s="1">
        <v>0</v>
      </c>
      <c r="AO697" s="1">
        <v>0</v>
      </c>
      <c r="AP697" s="3">
        <f t="shared" si="282"/>
        <v>0</v>
      </c>
    </row>
    <row r="698" spans="1:42" x14ac:dyDescent="0.35">
      <c r="A698" s="1">
        <v>743</v>
      </c>
      <c r="B698" s="2">
        <v>45810</v>
      </c>
      <c r="C698" s="1" t="s">
        <v>46</v>
      </c>
      <c r="F698" s="1" t="s">
        <v>499</v>
      </c>
      <c r="G698" s="1" t="s">
        <v>1367</v>
      </c>
      <c r="H698" s="1" t="s">
        <v>63</v>
      </c>
      <c r="I698" s="1" t="s">
        <v>1292</v>
      </c>
      <c r="K698" s="1" t="s">
        <v>970</v>
      </c>
      <c r="L698" s="1" t="s">
        <v>1422</v>
      </c>
      <c r="M698" s="1" t="s">
        <v>1018</v>
      </c>
      <c r="Q698" s="1" t="s">
        <v>162</v>
      </c>
      <c r="R698" s="1">
        <v>3776939</v>
      </c>
      <c r="S698" s="1" t="s">
        <v>164</v>
      </c>
      <c r="T698" s="1" t="s">
        <v>68</v>
      </c>
      <c r="U698" s="1" t="s">
        <v>69</v>
      </c>
      <c r="V698" s="1" t="s">
        <v>70</v>
      </c>
      <c r="W698" s="1">
        <v>0.4</v>
      </c>
      <c r="X698" s="1">
        <v>1015</v>
      </c>
      <c r="AC698" s="3">
        <v>6.46</v>
      </c>
      <c r="AD698" s="3">
        <f t="shared" si="286"/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f t="shared" ref="AJ698:AJ759" si="299">SUM(AK698:AO698)</f>
        <v>6.46</v>
      </c>
      <c r="AK698" s="3">
        <f t="shared" si="298"/>
        <v>6.46</v>
      </c>
      <c r="AL698" s="1">
        <v>0</v>
      </c>
      <c r="AM698" s="1">
        <v>0</v>
      </c>
      <c r="AN698" s="1">
        <v>0</v>
      </c>
      <c r="AO698" s="1">
        <v>0</v>
      </c>
      <c r="AP698" s="3">
        <f t="shared" si="282"/>
        <v>0</v>
      </c>
    </row>
    <row r="699" spans="1:42" x14ac:dyDescent="0.35">
      <c r="A699" s="1">
        <v>742</v>
      </c>
      <c r="B699" s="2">
        <v>45838</v>
      </c>
      <c r="C699" s="1" t="s">
        <v>64</v>
      </c>
      <c r="F699" s="1" t="s">
        <v>508</v>
      </c>
      <c r="G699" s="1" t="s">
        <v>1367</v>
      </c>
      <c r="H699" s="1" t="s">
        <v>21</v>
      </c>
      <c r="I699" s="1" t="s">
        <v>969</v>
      </c>
      <c r="K699" s="1" t="s">
        <v>969</v>
      </c>
      <c r="L699" s="1" t="str">
        <f>K699</f>
        <v>IPP</v>
      </c>
      <c r="M699" s="1" t="s">
        <v>1016</v>
      </c>
      <c r="Q699" s="1" t="s">
        <v>1353</v>
      </c>
      <c r="R699" s="1">
        <v>4042197</v>
      </c>
      <c r="S699" s="1" t="s">
        <v>209</v>
      </c>
      <c r="T699" s="1" t="s">
        <v>28</v>
      </c>
      <c r="U699" s="1" t="s">
        <v>29</v>
      </c>
      <c r="V699" s="1" t="s">
        <v>126</v>
      </c>
      <c r="W699" s="1">
        <v>0.4</v>
      </c>
      <c r="X699" s="1">
        <v>1020</v>
      </c>
      <c r="AC699" s="3">
        <v>6.17</v>
      </c>
      <c r="AD699" s="3">
        <f t="shared" si="286"/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f t="shared" si="299"/>
        <v>6.17</v>
      </c>
      <c r="AK699" s="3">
        <f t="shared" si="298"/>
        <v>6.17</v>
      </c>
      <c r="AL699" s="1">
        <v>0</v>
      </c>
      <c r="AM699" s="1">
        <v>0</v>
      </c>
      <c r="AN699" s="1">
        <v>0</v>
      </c>
      <c r="AO699" s="1">
        <v>0</v>
      </c>
      <c r="AP699" s="3">
        <f t="shared" si="282"/>
        <v>0</v>
      </c>
    </row>
    <row r="700" spans="1:42" x14ac:dyDescent="0.35">
      <c r="A700" s="1">
        <v>742</v>
      </c>
      <c r="B700" s="2">
        <v>45806</v>
      </c>
      <c r="C700" s="1" t="s">
        <v>52</v>
      </c>
      <c r="F700" s="1" t="s">
        <v>983</v>
      </c>
      <c r="G700" s="1" t="s">
        <v>1367</v>
      </c>
      <c r="H700" s="1" t="s">
        <v>21</v>
      </c>
      <c r="I700" s="1" t="s">
        <v>969</v>
      </c>
      <c r="K700" s="1" t="s">
        <v>969</v>
      </c>
      <c r="L700" s="1" t="str">
        <f>K700</f>
        <v>IPP</v>
      </c>
      <c r="M700" s="1" t="s">
        <v>23</v>
      </c>
      <c r="Q700" s="1" t="s">
        <v>23</v>
      </c>
      <c r="R700" s="1">
        <v>513006</v>
      </c>
      <c r="S700" s="1" t="s">
        <v>160</v>
      </c>
      <c r="T700" s="1" t="s">
        <v>75</v>
      </c>
      <c r="U700" s="1" t="s">
        <v>152</v>
      </c>
      <c r="V700" s="1" t="s">
        <v>153</v>
      </c>
      <c r="W700" s="1">
        <v>1.6</v>
      </c>
      <c r="X700" s="1">
        <v>1250</v>
      </c>
      <c r="AC700" s="3">
        <v>3</v>
      </c>
      <c r="AD700" s="3">
        <f t="shared" si="286"/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f t="shared" si="299"/>
        <v>3</v>
      </c>
      <c r="AK700" s="3">
        <f t="shared" si="298"/>
        <v>3</v>
      </c>
      <c r="AL700" s="1">
        <v>0</v>
      </c>
      <c r="AM700" s="1">
        <v>0</v>
      </c>
      <c r="AN700" s="1">
        <v>0</v>
      </c>
      <c r="AO700" s="1">
        <v>0</v>
      </c>
      <c r="AP700" s="3">
        <f t="shared" si="282"/>
        <v>0</v>
      </c>
    </row>
    <row r="701" spans="1:42" x14ac:dyDescent="0.35">
      <c r="A701" s="1">
        <v>742</v>
      </c>
      <c r="B701" s="2">
        <v>45808</v>
      </c>
      <c r="C701" s="1" t="s">
        <v>64</v>
      </c>
      <c r="F701" s="1" t="s">
        <v>500</v>
      </c>
      <c r="G701" s="1" t="s">
        <v>1367</v>
      </c>
      <c r="H701" s="1" t="s">
        <v>21</v>
      </c>
      <c r="I701" s="1" t="s">
        <v>71</v>
      </c>
      <c r="K701" s="1" t="s">
        <v>970</v>
      </c>
      <c r="L701" s="1" t="str">
        <f t="shared" ref="L701:L704" si="300">K701</f>
        <v>BPRS</v>
      </c>
      <c r="M701" s="1" t="s">
        <v>1019</v>
      </c>
      <c r="Q701" s="1" t="s">
        <v>171</v>
      </c>
      <c r="R701" s="1">
        <v>3239568</v>
      </c>
      <c r="S701" s="1" t="s">
        <v>174</v>
      </c>
      <c r="T701" s="1" t="s">
        <v>75</v>
      </c>
      <c r="U701" s="1" t="s">
        <v>122</v>
      </c>
      <c r="V701" s="1" t="s">
        <v>123</v>
      </c>
      <c r="W701" s="1">
        <v>0.45</v>
      </c>
      <c r="X701" s="1">
        <v>1250</v>
      </c>
      <c r="AC701" s="3">
        <v>2.8250000000000002</v>
      </c>
      <c r="AD701" s="3">
        <f t="shared" si="286"/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f t="shared" si="299"/>
        <v>2.8250000000000002</v>
      </c>
      <c r="AK701" s="3">
        <f t="shared" si="298"/>
        <v>2.8250000000000002</v>
      </c>
      <c r="AL701" s="1">
        <v>0</v>
      </c>
      <c r="AM701" s="1">
        <v>0</v>
      </c>
      <c r="AN701" s="1">
        <v>0</v>
      </c>
      <c r="AO701" s="1">
        <v>0</v>
      </c>
      <c r="AP701" s="3">
        <f t="shared" si="282"/>
        <v>0</v>
      </c>
    </row>
    <row r="702" spans="1:42" x14ac:dyDescent="0.35">
      <c r="A702" s="1">
        <v>743</v>
      </c>
      <c r="B702" s="2">
        <v>45812</v>
      </c>
      <c r="C702" s="1" t="s">
        <v>64</v>
      </c>
      <c r="F702" s="1" t="s">
        <v>502</v>
      </c>
      <c r="G702" s="1" t="s">
        <v>1367</v>
      </c>
      <c r="H702" s="1" t="s">
        <v>63</v>
      </c>
      <c r="I702" s="1" t="s">
        <v>1291</v>
      </c>
      <c r="K702" s="1" t="s">
        <v>970</v>
      </c>
      <c r="L702" s="1" t="str">
        <f t="shared" si="300"/>
        <v>BPRS</v>
      </c>
      <c r="M702" s="1" t="s">
        <v>1016</v>
      </c>
      <c r="Q702" s="1" t="s">
        <v>1352</v>
      </c>
      <c r="R702" s="1">
        <v>3708868</v>
      </c>
      <c r="S702" s="1" t="s">
        <v>67</v>
      </c>
      <c r="T702" s="1" t="s">
        <v>68</v>
      </c>
      <c r="U702" s="1" t="s">
        <v>69</v>
      </c>
      <c r="V702" s="1" t="s">
        <v>70</v>
      </c>
      <c r="W702" s="1">
        <v>0.5</v>
      </c>
      <c r="X702" s="1">
        <v>1350</v>
      </c>
      <c r="AC702" s="3">
        <v>2.2650000000000001</v>
      </c>
      <c r="AD702" s="3">
        <f t="shared" si="286"/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f t="shared" si="299"/>
        <v>2.2650000000000001</v>
      </c>
      <c r="AK702" s="3">
        <f t="shared" si="298"/>
        <v>2.2650000000000001</v>
      </c>
      <c r="AL702" s="1">
        <v>0</v>
      </c>
      <c r="AM702" s="1">
        <v>0</v>
      </c>
      <c r="AN702" s="1">
        <v>0</v>
      </c>
      <c r="AO702" s="1">
        <v>0</v>
      </c>
      <c r="AP702" s="3">
        <f t="shared" si="282"/>
        <v>0</v>
      </c>
    </row>
    <row r="703" spans="1:42" x14ac:dyDescent="0.35">
      <c r="A703" s="1">
        <v>743</v>
      </c>
      <c r="C703" s="1" t="s">
        <v>52</v>
      </c>
      <c r="F703" s="1" t="s">
        <v>985</v>
      </c>
      <c r="G703" s="1" t="s">
        <v>1367</v>
      </c>
      <c r="H703" s="1" t="s">
        <v>63</v>
      </c>
      <c r="I703" s="1" t="s">
        <v>1404</v>
      </c>
      <c r="K703" s="1" t="s">
        <v>970</v>
      </c>
      <c r="L703" s="1" t="str">
        <f t="shared" si="300"/>
        <v>BPRS</v>
      </c>
      <c r="M703" s="1" t="s">
        <v>1019</v>
      </c>
      <c r="Q703" s="1" t="s">
        <v>53</v>
      </c>
      <c r="R703" s="1">
        <v>1851133</v>
      </c>
      <c r="S703" s="1" t="s">
        <v>168</v>
      </c>
      <c r="T703" s="1" t="s">
        <v>169</v>
      </c>
      <c r="U703" s="1" t="s">
        <v>140</v>
      </c>
      <c r="V703" s="1" t="s">
        <v>150</v>
      </c>
      <c r="W703" s="1">
        <v>0.35</v>
      </c>
      <c r="X703" s="1">
        <v>900</v>
      </c>
      <c r="AC703" s="3">
        <v>10.719999999999999</v>
      </c>
      <c r="AD703" s="3">
        <f t="shared" si="286"/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f t="shared" si="299"/>
        <v>10.719999999999999</v>
      </c>
      <c r="AK703" s="3">
        <f t="shared" si="298"/>
        <v>10.719999999999999</v>
      </c>
      <c r="AL703" s="1">
        <v>0</v>
      </c>
      <c r="AM703" s="1">
        <v>0</v>
      </c>
      <c r="AN703" s="1">
        <v>0</v>
      </c>
      <c r="AO703" s="1">
        <v>0</v>
      </c>
      <c r="AP703" s="3">
        <f t="shared" si="282"/>
        <v>0</v>
      </c>
    </row>
    <row r="704" spans="1:42" x14ac:dyDescent="0.35">
      <c r="A704" s="1">
        <v>744</v>
      </c>
      <c r="C704" s="1" t="s">
        <v>52</v>
      </c>
      <c r="F704" s="1" t="s">
        <v>1330</v>
      </c>
      <c r="G704" s="1" t="s">
        <v>1367</v>
      </c>
      <c r="H704" s="1" t="s">
        <v>86</v>
      </c>
      <c r="I704" s="1" t="s">
        <v>968</v>
      </c>
      <c r="K704" s="1" t="s">
        <v>969</v>
      </c>
      <c r="L704" s="1" t="str">
        <f t="shared" si="300"/>
        <v>IPP</v>
      </c>
      <c r="M704" s="1" t="s">
        <v>1232</v>
      </c>
      <c r="Q704" s="1" t="s">
        <v>1174</v>
      </c>
      <c r="R704" s="1">
        <v>3440567</v>
      </c>
      <c r="S704" s="1" t="s">
        <v>1365</v>
      </c>
      <c r="T704" s="1" t="s">
        <v>182</v>
      </c>
      <c r="U704" s="1" t="s">
        <v>183</v>
      </c>
      <c r="V704" s="1" t="s">
        <v>1341</v>
      </c>
      <c r="W704" s="1">
        <v>0.43</v>
      </c>
      <c r="X704" s="1">
        <v>1100</v>
      </c>
      <c r="AC704" s="3">
        <v>1.5</v>
      </c>
      <c r="AD704" s="3">
        <f t="shared" si="286"/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f t="shared" si="299"/>
        <v>1.5</v>
      </c>
      <c r="AK704" s="1">
        <v>0</v>
      </c>
      <c r="AL704" s="3">
        <f>AC704</f>
        <v>1.5</v>
      </c>
      <c r="AM704" s="1">
        <v>0</v>
      </c>
      <c r="AN704" s="1">
        <v>0</v>
      </c>
      <c r="AO704" s="1">
        <v>0</v>
      </c>
      <c r="AP704" s="3">
        <f t="shared" si="282"/>
        <v>0</v>
      </c>
    </row>
    <row r="705" spans="1:42" x14ac:dyDescent="0.35">
      <c r="A705" s="1">
        <v>743</v>
      </c>
      <c r="B705" s="2">
        <v>45835</v>
      </c>
      <c r="C705" s="1" t="s">
        <v>64</v>
      </c>
      <c r="F705" s="1" t="s">
        <v>564</v>
      </c>
      <c r="G705" s="1" t="s">
        <v>1367</v>
      </c>
      <c r="H705" s="1" t="s">
        <v>63</v>
      </c>
      <c r="I705" s="1" t="s">
        <v>1404</v>
      </c>
      <c r="K705" s="1" t="s">
        <v>970</v>
      </c>
      <c r="L705" s="1" t="str">
        <f t="shared" ref="L705:L715" si="301">K705</f>
        <v>BPRS</v>
      </c>
      <c r="M705" s="1" t="s">
        <v>1018</v>
      </c>
      <c r="Q705" s="1" t="s">
        <v>219</v>
      </c>
      <c r="R705" s="1">
        <v>1191955</v>
      </c>
      <c r="S705" s="1" t="s">
        <v>225</v>
      </c>
      <c r="T705" s="1" t="s">
        <v>139</v>
      </c>
      <c r="U705" s="1" t="s">
        <v>140</v>
      </c>
      <c r="V705" s="1" t="s">
        <v>150</v>
      </c>
      <c r="W705" s="1">
        <v>0.3</v>
      </c>
      <c r="X705" s="1">
        <v>900</v>
      </c>
      <c r="AC705" s="3">
        <v>12.01</v>
      </c>
      <c r="AD705" s="3">
        <f t="shared" si="286"/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f t="shared" si="299"/>
        <v>12.01</v>
      </c>
      <c r="AK705" s="3">
        <f>AC705</f>
        <v>12.01</v>
      </c>
      <c r="AL705" s="1">
        <v>0</v>
      </c>
      <c r="AM705" s="1">
        <v>0</v>
      </c>
      <c r="AN705" s="1">
        <v>0</v>
      </c>
      <c r="AO705" s="1">
        <v>0</v>
      </c>
      <c r="AP705" s="3">
        <f t="shared" ref="AP705:AP768" si="302">(AC705+AD705)-AJ705</f>
        <v>0</v>
      </c>
    </row>
    <row r="706" spans="1:42" x14ac:dyDescent="0.35">
      <c r="A706" s="1">
        <v>744</v>
      </c>
      <c r="B706" s="2">
        <v>45833</v>
      </c>
      <c r="C706" s="1" t="s">
        <v>64</v>
      </c>
      <c r="F706" s="1" t="s">
        <v>505</v>
      </c>
      <c r="G706" s="1" t="s">
        <v>1367</v>
      </c>
      <c r="H706" s="1" t="s">
        <v>86</v>
      </c>
      <c r="I706" s="1" t="s">
        <v>968</v>
      </c>
      <c r="K706" s="1" t="s">
        <v>969</v>
      </c>
      <c r="L706" s="1" t="str">
        <f t="shared" si="301"/>
        <v>IPP</v>
      </c>
      <c r="M706" s="1" t="s">
        <v>1232</v>
      </c>
      <c r="Q706" s="1" t="s">
        <v>107</v>
      </c>
      <c r="R706" s="1">
        <v>3797658</v>
      </c>
      <c r="S706" s="1" t="s">
        <v>109</v>
      </c>
      <c r="T706" s="1" t="s">
        <v>88</v>
      </c>
      <c r="U706" s="1" t="s">
        <v>89</v>
      </c>
      <c r="V706" s="1" t="s">
        <v>110</v>
      </c>
      <c r="W706" s="1">
        <v>0.4</v>
      </c>
      <c r="X706" s="1">
        <v>1220</v>
      </c>
      <c r="AC706" s="3">
        <v>14.925000000000001</v>
      </c>
      <c r="AD706" s="3">
        <f t="shared" si="286"/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f t="shared" si="299"/>
        <v>14.925000000000001</v>
      </c>
      <c r="AK706" s="1">
        <v>0</v>
      </c>
      <c r="AL706" s="3">
        <f>AC706</f>
        <v>14.925000000000001</v>
      </c>
      <c r="AM706" s="1">
        <v>0</v>
      </c>
      <c r="AN706" s="1">
        <v>0</v>
      </c>
      <c r="AO706" s="1">
        <v>0</v>
      </c>
      <c r="AP706" s="3">
        <f t="shared" si="302"/>
        <v>0</v>
      </c>
    </row>
    <row r="707" spans="1:42" x14ac:dyDescent="0.35">
      <c r="A707" s="1">
        <v>742</v>
      </c>
      <c r="B707" s="2">
        <v>45867</v>
      </c>
      <c r="C707" s="1" t="s">
        <v>64</v>
      </c>
      <c r="F707" s="1" t="s">
        <v>548</v>
      </c>
      <c r="G707" s="1" t="s">
        <v>1367</v>
      </c>
      <c r="H707" s="1" t="s">
        <v>21</v>
      </c>
      <c r="I707" s="1" t="s">
        <v>71</v>
      </c>
      <c r="K707" s="1" t="s">
        <v>970</v>
      </c>
      <c r="L707" s="1" t="str">
        <f t="shared" si="301"/>
        <v>BPRS</v>
      </c>
      <c r="M707" s="1" t="s">
        <v>1016</v>
      </c>
      <c r="Q707" s="1" t="s">
        <v>221</v>
      </c>
      <c r="R707" s="1">
        <v>3239536</v>
      </c>
      <c r="S707" s="1" t="s">
        <v>177</v>
      </c>
      <c r="T707" s="1" t="s">
        <v>75</v>
      </c>
      <c r="U707" s="1" t="s">
        <v>122</v>
      </c>
      <c r="V707" s="1" t="s">
        <v>123</v>
      </c>
      <c r="W707" s="1">
        <v>0.35</v>
      </c>
      <c r="X707" s="1">
        <v>900</v>
      </c>
      <c r="AC707" s="3">
        <v>8.42</v>
      </c>
      <c r="AD707" s="3">
        <f t="shared" si="286"/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f t="shared" si="299"/>
        <v>8.42</v>
      </c>
      <c r="AK707" s="3">
        <f t="shared" ref="AK707:AK721" si="303">AC707</f>
        <v>8.42</v>
      </c>
      <c r="AL707" s="1">
        <v>0</v>
      </c>
      <c r="AM707" s="1">
        <v>0</v>
      </c>
      <c r="AN707" s="1">
        <v>0</v>
      </c>
      <c r="AO707" s="1">
        <v>0</v>
      </c>
      <c r="AP707" s="3">
        <f t="shared" si="302"/>
        <v>0</v>
      </c>
    </row>
    <row r="708" spans="1:42" x14ac:dyDescent="0.35">
      <c r="A708" s="1">
        <v>743</v>
      </c>
      <c r="B708" s="2">
        <v>45841</v>
      </c>
      <c r="C708" s="1" t="s">
        <v>64</v>
      </c>
      <c r="F708" s="1" t="s">
        <v>513</v>
      </c>
      <c r="G708" s="1" t="s">
        <v>1367</v>
      </c>
      <c r="H708" s="1" t="s">
        <v>63</v>
      </c>
      <c r="I708" s="1" t="s">
        <v>1368</v>
      </c>
      <c r="K708" s="1" t="s">
        <v>970</v>
      </c>
      <c r="L708" s="1" t="str">
        <f t="shared" si="301"/>
        <v>BPRS</v>
      </c>
      <c r="M708" s="1" t="s">
        <v>1019</v>
      </c>
      <c r="Q708" s="1" t="s">
        <v>1123</v>
      </c>
      <c r="R708" s="1">
        <v>1312665</v>
      </c>
      <c r="S708" s="1" t="s">
        <v>233</v>
      </c>
      <c r="T708" s="1" t="s">
        <v>139</v>
      </c>
      <c r="U708" s="1" t="s">
        <v>140</v>
      </c>
      <c r="V708" s="1" t="s">
        <v>234</v>
      </c>
      <c r="W708" s="1">
        <v>0.6</v>
      </c>
      <c r="X708" s="1">
        <v>1220</v>
      </c>
      <c r="AC708" s="3">
        <v>4.3600000000000003</v>
      </c>
      <c r="AD708" s="3">
        <f t="shared" si="286"/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f t="shared" si="299"/>
        <v>4.3600000000000003</v>
      </c>
      <c r="AK708" s="3">
        <f t="shared" si="303"/>
        <v>4.3600000000000003</v>
      </c>
      <c r="AL708" s="1">
        <v>0</v>
      </c>
      <c r="AM708" s="1">
        <v>0</v>
      </c>
      <c r="AN708" s="1">
        <v>0</v>
      </c>
      <c r="AO708" s="1">
        <v>0</v>
      </c>
      <c r="AP708" s="3">
        <f t="shared" si="302"/>
        <v>0</v>
      </c>
    </row>
    <row r="709" spans="1:42" x14ac:dyDescent="0.35">
      <c r="A709" s="1">
        <v>742</v>
      </c>
      <c r="B709" s="2">
        <v>45890</v>
      </c>
      <c r="C709" s="1" t="s">
        <v>64</v>
      </c>
      <c r="F709" s="1" t="s">
        <v>879</v>
      </c>
      <c r="G709" s="1" t="s">
        <v>1367</v>
      </c>
      <c r="H709" s="1" t="s">
        <v>21</v>
      </c>
      <c r="I709" s="1" t="s">
        <v>71</v>
      </c>
      <c r="K709" s="1" t="s">
        <v>970</v>
      </c>
      <c r="L709" s="1" t="str">
        <f t="shared" si="301"/>
        <v>BPRS</v>
      </c>
      <c r="M709" s="1" t="s">
        <v>1016</v>
      </c>
      <c r="Q709" s="1" t="s">
        <v>1348</v>
      </c>
      <c r="R709" s="1">
        <v>3941695</v>
      </c>
      <c r="S709" s="1" t="s">
        <v>476</v>
      </c>
      <c r="T709" s="1" t="s">
        <v>75</v>
      </c>
      <c r="U709" s="1" t="s">
        <v>122</v>
      </c>
      <c r="V709" s="1" t="s">
        <v>123</v>
      </c>
      <c r="W709" s="1">
        <v>0.4</v>
      </c>
      <c r="X709" s="1">
        <v>1220</v>
      </c>
      <c r="AC709" s="3">
        <v>22.245000000000005</v>
      </c>
      <c r="AD709" s="3">
        <f t="shared" si="286"/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f t="shared" si="299"/>
        <v>22.245000000000005</v>
      </c>
      <c r="AK709" s="3">
        <f t="shared" si="303"/>
        <v>22.245000000000005</v>
      </c>
      <c r="AL709" s="1">
        <v>0</v>
      </c>
      <c r="AM709" s="1">
        <v>0</v>
      </c>
      <c r="AN709" s="1">
        <v>0</v>
      </c>
      <c r="AO709" s="1">
        <v>0</v>
      </c>
      <c r="AP709" s="3">
        <f t="shared" si="302"/>
        <v>0</v>
      </c>
    </row>
    <row r="710" spans="1:42" x14ac:dyDescent="0.35">
      <c r="A710" s="1">
        <v>743</v>
      </c>
      <c r="B710" s="2">
        <v>45840</v>
      </c>
      <c r="C710" s="1" t="s">
        <v>64</v>
      </c>
      <c r="F710" s="1" t="s">
        <v>687</v>
      </c>
      <c r="G710" s="1" t="s">
        <v>1367</v>
      </c>
      <c r="H710" s="1" t="s">
        <v>63</v>
      </c>
      <c r="I710" s="1" t="s">
        <v>1292</v>
      </c>
      <c r="K710" s="1" t="s">
        <v>970</v>
      </c>
      <c r="L710" s="1" t="str">
        <f t="shared" si="301"/>
        <v>BPRS</v>
      </c>
      <c r="M710" s="1" t="s">
        <v>1018</v>
      </c>
      <c r="Q710" s="1" t="s">
        <v>155</v>
      </c>
      <c r="R710" s="1">
        <v>3708869</v>
      </c>
      <c r="S710" s="1" t="s">
        <v>402</v>
      </c>
      <c r="T710" s="1" t="s">
        <v>68</v>
      </c>
      <c r="U710" s="1" t="s">
        <v>69</v>
      </c>
      <c r="V710" s="1" t="s">
        <v>70</v>
      </c>
      <c r="W710" s="1">
        <v>0.5</v>
      </c>
      <c r="X710" s="1">
        <v>900</v>
      </c>
      <c r="AC710" s="3">
        <v>4.875</v>
      </c>
      <c r="AD710" s="3">
        <f t="shared" si="286"/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f t="shared" si="299"/>
        <v>4.875</v>
      </c>
      <c r="AK710" s="3">
        <f t="shared" si="303"/>
        <v>4.875</v>
      </c>
      <c r="AL710" s="1">
        <v>0</v>
      </c>
      <c r="AM710" s="1">
        <v>0</v>
      </c>
      <c r="AN710" s="1">
        <v>0</v>
      </c>
      <c r="AO710" s="1">
        <v>0</v>
      </c>
      <c r="AP710" s="3">
        <f t="shared" si="302"/>
        <v>0</v>
      </c>
    </row>
    <row r="711" spans="1:42" x14ac:dyDescent="0.35">
      <c r="A711" s="1">
        <v>742</v>
      </c>
      <c r="B711" s="2">
        <v>45861</v>
      </c>
      <c r="C711" s="1" t="s">
        <v>64</v>
      </c>
      <c r="F711" s="1" t="s">
        <v>1331</v>
      </c>
      <c r="G711" s="1" t="s">
        <v>1367</v>
      </c>
      <c r="H711" s="1" t="s">
        <v>21</v>
      </c>
      <c r="I711" s="1" t="s">
        <v>969</v>
      </c>
      <c r="K711" s="1" t="s">
        <v>969</v>
      </c>
      <c r="L711" s="1" t="str">
        <f t="shared" si="301"/>
        <v>IPP</v>
      </c>
      <c r="M711" s="1" t="s">
        <v>1016</v>
      </c>
      <c r="Q711" s="1" t="s">
        <v>1354</v>
      </c>
      <c r="R711" s="1">
        <v>3867646</v>
      </c>
      <c r="S711" s="1" t="s">
        <v>341</v>
      </c>
      <c r="T711" s="1" t="s">
        <v>28</v>
      </c>
      <c r="U711" s="1" t="s">
        <v>29</v>
      </c>
      <c r="V711" s="1" t="s">
        <v>126</v>
      </c>
      <c r="W711" s="1">
        <v>0.6</v>
      </c>
      <c r="X711" s="1">
        <v>900</v>
      </c>
      <c r="AC711" s="3">
        <v>73.960000000000008</v>
      </c>
      <c r="AD711" s="3">
        <f t="shared" si="286"/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f t="shared" si="299"/>
        <v>73.960000000000008</v>
      </c>
      <c r="AK711" s="3">
        <f t="shared" si="303"/>
        <v>73.960000000000008</v>
      </c>
      <c r="AL711" s="1">
        <v>0</v>
      </c>
      <c r="AM711" s="1">
        <v>0</v>
      </c>
      <c r="AN711" s="1">
        <v>0</v>
      </c>
      <c r="AO711" s="1">
        <v>0</v>
      </c>
      <c r="AP711" s="3">
        <f t="shared" si="302"/>
        <v>0</v>
      </c>
    </row>
    <row r="712" spans="1:42" x14ac:dyDescent="0.35">
      <c r="A712" s="1">
        <v>742</v>
      </c>
      <c r="B712" s="2">
        <v>45861</v>
      </c>
      <c r="C712" s="1" t="s">
        <v>64</v>
      </c>
      <c r="F712" s="1" t="s">
        <v>1332</v>
      </c>
      <c r="G712" s="1" t="s">
        <v>1367</v>
      </c>
      <c r="H712" s="1" t="s">
        <v>21</v>
      </c>
      <c r="I712" s="1" t="s">
        <v>969</v>
      </c>
      <c r="K712" s="1" t="s">
        <v>969</v>
      </c>
      <c r="L712" s="1" t="str">
        <f t="shared" si="301"/>
        <v>IPP</v>
      </c>
      <c r="M712" s="1" t="s">
        <v>1016</v>
      </c>
      <c r="Q712" s="1" t="s">
        <v>1354</v>
      </c>
      <c r="R712" s="1">
        <v>3867647</v>
      </c>
      <c r="S712" s="1" t="s">
        <v>295</v>
      </c>
      <c r="T712" s="1" t="s">
        <v>28</v>
      </c>
      <c r="U712" s="1" t="s">
        <v>29</v>
      </c>
      <c r="V712" s="1" t="s">
        <v>296</v>
      </c>
      <c r="W712" s="1">
        <v>0.6</v>
      </c>
      <c r="X712" s="1">
        <v>1120</v>
      </c>
      <c r="AC712" s="3">
        <v>138.63999999999999</v>
      </c>
      <c r="AD712" s="3">
        <f t="shared" si="286"/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f t="shared" si="299"/>
        <v>138.63999999999999</v>
      </c>
      <c r="AK712" s="3">
        <f t="shared" si="303"/>
        <v>138.63999999999999</v>
      </c>
      <c r="AL712" s="1">
        <v>0</v>
      </c>
      <c r="AM712" s="1">
        <v>0</v>
      </c>
      <c r="AN712" s="1">
        <v>0</v>
      </c>
      <c r="AO712" s="1">
        <v>0</v>
      </c>
      <c r="AP712" s="3">
        <f t="shared" si="302"/>
        <v>0</v>
      </c>
    </row>
    <row r="713" spans="1:42" x14ac:dyDescent="0.35">
      <c r="A713" s="1">
        <v>743</v>
      </c>
      <c r="B713" s="2">
        <v>45898</v>
      </c>
      <c r="C713" s="1" t="s">
        <v>64</v>
      </c>
      <c r="F713" s="1" t="s">
        <v>607</v>
      </c>
      <c r="G713" s="1" t="s">
        <v>1367</v>
      </c>
      <c r="H713" s="1" t="s">
        <v>63</v>
      </c>
      <c r="I713" s="1" t="s">
        <v>1404</v>
      </c>
      <c r="K713" s="1" t="s">
        <v>970</v>
      </c>
      <c r="L713" s="1" t="str">
        <f t="shared" si="301"/>
        <v>BPRS</v>
      </c>
      <c r="M713" s="1" t="s">
        <v>1017</v>
      </c>
      <c r="Q713" s="1" t="s">
        <v>382</v>
      </c>
      <c r="R713" s="1">
        <v>1854363</v>
      </c>
      <c r="S713" s="1" t="s">
        <v>252</v>
      </c>
      <c r="T713" s="1" t="s">
        <v>139</v>
      </c>
      <c r="U713" s="1" t="s">
        <v>140</v>
      </c>
      <c r="V713" s="1" t="s">
        <v>141</v>
      </c>
      <c r="W713" s="1">
        <v>0.22</v>
      </c>
      <c r="X713" s="1">
        <v>900</v>
      </c>
      <c r="AC713" s="3">
        <v>4.3099999999999996</v>
      </c>
      <c r="AD713" s="3">
        <f t="shared" si="286"/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f t="shared" si="299"/>
        <v>4.3099999999999996</v>
      </c>
      <c r="AK713" s="3">
        <f t="shared" si="303"/>
        <v>4.3099999999999996</v>
      </c>
      <c r="AL713" s="1">
        <v>0</v>
      </c>
      <c r="AM713" s="1">
        <v>0</v>
      </c>
      <c r="AN713" s="1">
        <v>0</v>
      </c>
      <c r="AO713" s="1">
        <v>0</v>
      </c>
      <c r="AP713" s="3">
        <f t="shared" si="302"/>
        <v>0</v>
      </c>
    </row>
    <row r="714" spans="1:42" x14ac:dyDescent="0.35">
      <c r="A714" s="1">
        <v>743</v>
      </c>
      <c r="B714" s="2">
        <v>45851</v>
      </c>
      <c r="C714" s="1" t="s">
        <v>64</v>
      </c>
      <c r="F714" s="1" t="s">
        <v>514</v>
      </c>
      <c r="G714" s="1" t="s">
        <v>1367</v>
      </c>
      <c r="H714" s="1" t="s">
        <v>63</v>
      </c>
      <c r="I714" s="1" t="s">
        <v>1368</v>
      </c>
      <c r="K714" s="1" t="s">
        <v>970</v>
      </c>
      <c r="L714" s="1" t="str">
        <f t="shared" si="301"/>
        <v>BPRS</v>
      </c>
      <c r="M714" s="1" t="s">
        <v>1016</v>
      </c>
      <c r="Q714" s="1" t="s">
        <v>1126</v>
      </c>
      <c r="R714" s="1">
        <v>1851847</v>
      </c>
      <c r="S714" s="1" t="s">
        <v>236</v>
      </c>
      <c r="T714" s="1" t="s">
        <v>139</v>
      </c>
      <c r="U714" s="1" t="s">
        <v>212</v>
      </c>
      <c r="V714" s="1" t="s">
        <v>237</v>
      </c>
      <c r="W714" s="1">
        <v>0.3</v>
      </c>
      <c r="X714" s="1">
        <v>1220</v>
      </c>
      <c r="AC714" s="3">
        <v>9.1750000000000007</v>
      </c>
      <c r="AD714" s="3">
        <f t="shared" si="286"/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f t="shared" si="299"/>
        <v>9.1750000000000007</v>
      </c>
      <c r="AK714" s="3">
        <f t="shared" si="303"/>
        <v>9.1750000000000007</v>
      </c>
      <c r="AL714" s="1">
        <v>0</v>
      </c>
      <c r="AM714" s="1">
        <v>0</v>
      </c>
      <c r="AN714" s="1">
        <v>0</v>
      </c>
      <c r="AO714" s="1">
        <v>0</v>
      </c>
      <c r="AP714" s="3">
        <f t="shared" si="302"/>
        <v>0</v>
      </c>
    </row>
    <row r="715" spans="1:42" x14ac:dyDescent="0.35">
      <c r="A715" s="1">
        <v>743</v>
      </c>
      <c r="B715" s="2">
        <v>45898</v>
      </c>
      <c r="C715" s="1" t="s">
        <v>64</v>
      </c>
      <c r="F715" s="1" t="s">
        <v>635</v>
      </c>
      <c r="G715" s="1" t="s">
        <v>1367</v>
      </c>
      <c r="H715" s="1" t="s">
        <v>63</v>
      </c>
      <c r="I715" s="1" t="s">
        <v>1404</v>
      </c>
      <c r="K715" s="1" t="s">
        <v>970</v>
      </c>
      <c r="L715" s="1" t="str">
        <f t="shared" si="301"/>
        <v>BPRS</v>
      </c>
      <c r="M715" s="1" t="s">
        <v>1017</v>
      </c>
      <c r="Q715" s="1" t="s">
        <v>403</v>
      </c>
      <c r="R715" s="1">
        <v>1851065</v>
      </c>
      <c r="S715" s="1" t="s">
        <v>322</v>
      </c>
      <c r="T715" s="1" t="s">
        <v>139</v>
      </c>
      <c r="U715" s="1" t="s">
        <v>140</v>
      </c>
      <c r="V715" s="1" t="s">
        <v>150</v>
      </c>
      <c r="W715" s="1">
        <v>0.25</v>
      </c>
      <c r="X715" s="1">
        <v>900</v>
      </c>
      <c r="AC715" s="3">
        <v>18.38</v>
      </c>
      <c r="AD715" s="3">
        <f t="shared" si="286"/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f t="shared" si="299"/>
        <v>18.38</v>
      </c>
      <c r="AK715" s="3">
        <f t="shared" si="303"/>
        <v>18.38</v>
      </c>
      <c r="AL715" s="1">
        <v>0</v>
      </c>
      <c r="AM715" s="1">
        <v>0</v>
      </c>
      <c r="AN715" s="1">
        <v>0</v>
      </c>
      <c r="AO715" s="1">
        <v>0</v>
      </c>
      <c r="AP715" s="3">
        <f t="shared" si="302"/>
        <v>0</v>
      </c>
    </row>
    <row r="716" spans="1:42" x14ac:dyDescent="0.35">
      <c r="A716" s="1">
        <v>742</v>
      </c>
      <c r="C716" s="1" t="s">
        <v>52</v>
      </c>
      <c r="F716" s="1" t="s">
        <v>991</v>
      </c>
      <c r="G716" s="1" t="s">
        <v>1367</v>
      </c>
      <c r="H716" s="1" t="s">
        <v>21</v>
      </c>
      <c r="I716" s="1" t="s">
        <v>71</v>
      </c>
      <c r="K716" s="1" t="s">
        <v>970</v>
      </c>
      <c r="L716" s="1" t="str">
        <f>K716</f>
        <v>BPRS</v>
      </c>
      <c r="M716" s="1" t="s">
        <v>1017</v>
      </c>
      <c r="Q716" s="1" t="s">
        <v>240</v>
      </c>
      <c r="R716" s="1">
        <v>3444592</v>
      </c>
      <c r="S716" s="1" t="s">
        <v>262</v>
      </c>
      <c r="T716" s="1" t="s">
        <v>75</v>
      </c>
      <c r="U716" s="1" t="s">
        <v>122</v>
      </c>
      <c r="V716" s="1" t="s">
        <v>123</v>
      </c>
      <c r="W716" s="1">
        <v>0.45</v>
      </c>
      <c r="X716" s="1">
        <v>1250</v>
      </c>
      <c r="AC716" s="3">
        <v>2.67</v>
      </c>
      <c r="AD716" s="3">
        <f t="shared" si="286"/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f t="shared" si="299"/>
        <v>2.67</v>
      </c>
      <c r="AK716" s="3">
        <f t="shared" si="303"/>
        <v>2.67</v>
      </c>
      <c r="AL716" s="1">
        <v>0</v>
      </c>
      <c r="AM716" s="1">
        <v>0</v>
      </c>
      <c r="AN716" s="1">
        <v>0</v>
      </c>
      <c r="AO716" s="1">
        <v>0</v>
      </c>
      <c r="AP716" s="3">
        <f t="shared" si="302"/>
        <v>0</v>
      </c>
    </row>
    <row r="717" spans="1:42" x14ac:dyDescent="0.35">
      <c r="A717" s="1">
        <v>742</v>
      </c>
      <c r="B717" s="2">
        <v>45868</v>
      </c>
      <c r="C717" s="1" t="s">
        <v>64</v>
      </c>
      <c r="F717" s="1" t="s">
        <v>557</v>
      </c>
      <c r="G717" s="1" t="s">
        <v>1367</v>
      </c>
      <c r="H717" s="1" t="s">
        <v>21</v>
      </c>
      <c r="I717" s="1" t="s">
        <v>71</v>
      </c>
      <c r="K717" s="1" t="s">
        <v>970</v>
      </c>
      <c r="L717" s="1" t="str">
        <f t="shared" ref="L717:L724" si="304">K717</f>
        <v>BPRS</v>
      </c>
      <c r="M717" s="1" t="s">
        <v>1018</v>
      </c>
      <c r="Q717" s="1" t="s">
        <v>155</v>
      </c>
      <c r="R717" s="1">
        <v>2441002</v>
      </c>
      <c r="S717" s="1" t="s">
        <v>347</v>
      </c>
      <c r="T717" s="1" t="s">
        <v>75</v>
      </c>
      <c r="U717" s="1" t="s">
        <v>122</v>
      </c>
      <c r="V717" s="1" t="s">
        <v>123</v>
      </c>
      <c r="W717" s="1">
        <v>0.38</v>
      </c>
      <c r="X717" s="1">
        <v>1250</v>
      </c>
      <c r="AC717" s="3">
        <v>2.1749999999999998</v>
      </c>
      <c r="AD717" s="3">
        <f t="shared" ref="AD717:AD779" si="305">SUM(AE717:AI717)</f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f t="shared" si="299"/>
        <v>2.1749999999999998</v>
      </c>
      <c r="AK717" s="3">
        <f t="shared" si="303"/>
        <v>2.1749999999999998</v>
      </c>
      <c r="AL717" s="1">
        <v>0</v>
      </c>
      <c r="AM717" s="1">
        <v>0</v>
      </c>
      <c r="AN717" s="1">
        <v>0</v>
      </c>
      <c r="AO717" s="1">
        <v>0</v>
      </c>
      <c r="AP717" s="3">
        <f t="shared" si="302"/>
        <v>0</v>
      </c>
    </row>
    <row r="718" spans="1:42" x14ac:dyDescent="0.35">
      <c r="A718" s="1">
        <v>742</v>
      </c>
      <c r="B718" s="2">
        <v>45867</v>
      </c>
      <c r="C718" s="1" t="s">
        <v>64</v>
      </c>
      <c r="F718" s="1" t="s">
        <v>541</v>
      </c>
      <c r="G718" s="1" t="s">
        <v>1367</v>
      </c>
      <c r="H718" s="1" t="s">
        <v>21</v>
      </c>
      <c r="I718" s="1" t="s">
        <v>71</v>
      </c>
      <c r="K718" s="1" t="s">
        <v>970</v>
      </c>
      <c r="L718" s="1" t="str">
        <f t="shared" si="304"/>
        <v>BPRS</v>
      </c>
      <c r="M718" s="1" t="s">
        <v>1018</v>
      </c>
      <c r="Q718" s="1" t="s">
        <v>155</v>
      </c>
      <c r="R718" s="1">
        <v>3239554</v>
      </c>
      <c r="S718" s="1" t="s">
        <v>305</v>
      </c>
      <c r="T718" s="1" t="s">
        <v>75</v>
      </c>
      <c r="U718" s="1" t="s">
        <v>122</v>
      </c>
      <c r="V718" s="1" t="s">
        <v>123</v>
      </c>
      <c r="W718" s="1">
        <v>0.4</v>
      </c>
      <c r="X718" s="1">
        <v>1000</v>
      </c>
      <c r="AC718" s="3">
        <v>2.52</v>
      </c>
      <c r="AD718" s="3">
        <f t="shared" si="305"/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f t="shared" si="299"/>
        <v>2.52</v>
      </c>
      <c r="AK718" s="3">
        <f t="shared" si="303"/>
        <v>2.52</v>
      </c>
      <c r="AL718" s="1">
        <v>0</v>
      </c>
      <c r="AM718" s="1">
        <v>0</v>
      </c>
      <c r="AN718" s="1">
        <v>0</v>
      </c>
      <c r="AO718" s="1">
        <v>0</v>
      </c>
      <c r="AP718" s="3">
        <f t="shared" si="302"/>
        <v>0</v>
      </c>
    </row>
    <row r="719" spans="1:42" x14ac:dyDescent="0.35">
      <c r="A719" s="1">
        <v>742</v>
      </c>
      <c r="B719" s="2">
        <v>45867</v>
      </c>
      <c r="C719" s="1" t="s">
        <v>64</v>
      </c>
      <c r="F719" s="1" t="s">
        <v>529</v>
      </c>
      <c r="G719" s="1" t="s">
        <v>1367</v>
      </c>
      <c r="H719" s="1" t="s">
        <v>21</v>
      </c>
      <c r="I719" s="1" t="s">
        <v>71</v>
      </c>
      <c r="K719" s="1" t="s">
        <v>970</v>
      </c>
      <c r="L719" s="1" t="str">
        <f t="shared" si="304"/>
        <v>BPRS</v>
      </c>
      <c r="M719" s="1" t="s">
        <v>1016</v>
      </c>
      <c r="Q719" s="1" t="s">
        <v>221</v>
      </c>
      <c r="R719" s="1">
        <v>3239536</v>
      </c>
      <c r="S719" s="1" t="s">
        <v>177</v>
      </c>
      <c r="T719" s="1" t="s">
        <v>75</v>
      </c>
      <c r="U719" s="1" t="s">
        <v>122</v>
      </c>
      <c r="V719" s="1" t="s">
        <v>123</v>
      </c>
      <c r="W719" s="1">
        <v>0.35</v>
      </c>
      <c r="X719" s="1">
        <v>900</v>
      </c>
      <c r="AC719" s="3">
        <v>11.049999999999999</v>
      </c>
      <c r="AD719" s="3">
        <f t="shared" si="305"/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f t="shared" si="299"/>
        <v>11.049999999999999</v>
      </c>
      <c r="AK719" s="3">
        <f t="shared" si="303"/>
        <v>11.049999999999999</v>
      </c>
      <c r="AL719" s="1">
        <v>0</v>
      </c>
      <c r="AM719" s="1">
        <v>0</v>
      </c>
      <c r="AN719" s="1">
        <v>0</v>
      </c>
      <c r="AO719" s="1">
        <v>0</v>
      </c>
      <c r="AP719" s="3">
        <f t="shared" si="302"/>
        <v>0</v>
      </c>
    </row>
    <row r="720" spans="1:42" x14ac:dyDescent="0.35">
      <c r="A720" s="1">
        <v>742</v>
      </c>
      <c r="B720" s="2">
        <v>45895</v>
      </c>
      <c r="C720" s="1" t="s">
        <v>64</v>
      </c>
      <c r="F720" s="1" t="s">
        <v>878</v>
      </c>
      <c r="G720" s="1" t="s">
        <v>1367</v>
      </c>
      <c r="H720" s="1" t="s">
        <v>21</v>
      </c>
      <c r="I720" s="1" t="s">
        <v>22</v>
      </c>
      <c r="K720" s="1" t="s">
        <v>970</v>
      </c>
      <c r="L720" s="1" t="str">
        <f t="shared" si="304"/>
        <v>BPRS</v>
      </c>
      <c r="M720" s="1" t="s">
        <v>1016</v>
      </c>
      <c r="Q720" s="1" t="s">
        <v>72</v>
      </c>
      <c r="R720" s="1">
        <v>2155233</v>
      </c>
      <c r="S720" s="1" t="s">
        <v>286</v>
      </c>
      <c r="T720" s="1" t="s">
        <v>28</v>
      </c>
      <c r="U720" s="1" t="s">
        <v>29</v>
      </c>
      <c r="V720" s="1" t="s">
        <v>30</v>
      </c>
      <c r="W720" s="1">
        <v>2.5</v>
      </c>
      <c r="X720" s="1">
        <v>1250</v>
      </c>
      <c r="AC720" s="3">
        <v>25.095000000000002</v>
      </c>
      <c r="AD720" s="3">
        <f t="shared" si="305"/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f t="shared" si="299"/>
        <v>25.095000000000002</v>
      </c>
      <c r="AK720" s="3">
        <f t="shared" si="303"/>
        <v>25.095000000000002</v>
      </c>
      <c r="AL720" s="1">
        <v>0</v>
      </c>
      <c r="AM720" s="1">
        <v>0</v>
      </c>
      <c r="AN720" s="1">
        <v>0</v>
      </c>
      <c r="AO720" s="1">
        <v>0</v>
      </c>
      <c r="AP720" s="3">
        <f t="shared" si="302"/>
        <v>0</v>
      </c>
    </row>
    <row r="721" spans="1:42" x14ac:dyDescent="0.35">
      <c r="A721" s="1">
        <v>742</v>
      </c>
      <c r="B721" s="2">
        <v>45868</v>
      </c>
      <c r="C721" s="1" t="s">
        <v>64</v>
      </c>
      <c r="F721" s="1" t="s">
        <v>561</v>
      </c>
      <c r="G721" s="1" t="s">
        <v>1367</v>
      </c>
      <c r="H721" s="1" t="s">
        <v>21</v>
      </c>
      <c r="I721" s="1" t="s">
        <v>71</v>
      </c>
      <c r="K721" s="1" t="s">
        <v>970</v>
      </c>
      <c r="L721" s="1" t="str">
        <f t="shared" si="304"/>
        <v>BPRS</v>
      </c>
      <c r="M721" s="1" t="s">
        <v>1018</v>
      </c>
      <c r="Q721" s="1" t="s">
        <v>1349</v>
      </c>
      <c r="R721" s="1">
        <v>3239548</v>
      </c>
      <c r="S721" s="1" t="s">
        <v>306</v>
      </c>
      <c r="T721" s="1" t="s">
        <v>75</v>
      </c>
      <c r="U721" s="1" t="s">
        <v>122</v>
      </c>
      <c r="V721" s="1" t="s">
        <v>123</v>
      </c>
      <c r="W721" s="1">
        <v>0.4</v>
      </c>
      <c r="X721" s="1">
        <v>900</v>
      </c>
      <c r="AC721" s="3">
        <v>2.125</v>
      </c>
      <c r="AD721" s="3">
        <f t="shared" si="305"/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f t="shared" si="299"/>
        <v>2.125</v>
      </c>
      <c r="AK721" s="3">
        <f t="shared" si="303"/>
        <v>2.125</v>
      </c>
      <c r="AL721" s="1">
        <v>0</v>
      </c>
      <c r="AM721" s="1">
        <v>0</v>
      </c>
      <c r="AN721" s="1">
        <v>0</v>
      </c>
      <c r="AO721" s="1">
        <v>0</v>
      </c>
      <c r="AP721" s="3">
        <f t="shared" si="302"/>
        <v>0</v>
      </c>
    </row>
    <row r="722" spans="1:42" x14ac:dyDescent="0.35">
      <c r="A722" s="1">
        <v>744</v>
      </c>
      <c r="B722" s="2">
        <v>45860</v>
      </c>
      <c r="C722" s="1" t="s">
        <v>64</v>
      </c>
      <c r="F722" s="1" t="s">
        <v>689</v>
      </c>
      <c r="G722" s="1" t="s">
        <v>1367</v>
      </c>
      <c r="H722" s="1" t="s">
        <v>86</v>
      </c>
      <c r="I722" s="1" t="s">
        <v>968</v>
      </c>
      <c r="K722" s="1" t="s">
        <v>969</v>
      </c>
      <c r="L722" s="1" t="str">
        <f t="shared" si="304"/>
        <v>IPP</v>
      </c>
      <c r="M722" s="1" t="s">
        <v>1232</v>
      </c>
      <c r="Q722" s="1" t="s">
        <v>107</v>
      </c>
      <c r="R722" s="1">
        <v>3522241</v>
      </c>
      <c r="S722" s="1" t="s">
        <v>216</v>
      </c>
      <c r="T722" s="1" t="s">
        <v>88</v>
      </c>
      <c r="U722" s="1" t="s">
        <v>89</v>
      </c>
      <c r="V722" s="1" t="s">
        <v>217</v>
      </c>
      <c r="W722" s="1">
        <v>0.43</v>
      </c>
      <c r="X722" s="1">
        <v>1220</v>
      </c>
      <c r="AC722" s="3">
        <v>4.5049999999999999</v>
      </c>
      <c r="AD722" s="3">
        <f t="shared" si="305"/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f t="shared" si="299"/>
        <v>4.5049999999999999</v>
      </c>
      <c r="AK722" s="1">
        <v>0</v>
      </c>
      <c r="AL722" s="3">
        <f>AC722</f>
        <v>4.5049999999999999</v>
      </c>
      <c r="AM722" s="1">
        <v>0</v>
      </c>
      <c r="AN722" s="1">
        <v>0</v>
      </c>
      <c r="AO722" s="1">
        <v>0</v>
      </c>
      <c r="AP722" s="3">
        <f t="shared" si="302"/>
        <v>0</v>
      </c>
    </row>
    <row r="723" spans="1:42" x14ac:dyDescent="0.35">
      <c r="A723" s="1">
        <v>743</v>
      </c>
      <c r="C723" s="1" t="s">
        <v>52</v>
      </c>
      <c r="F723" s="1" t="s">
        <v>993</v>
      </c>
      <c r="G723" s="1" t="s">
        <v>1367</v>
      </c>
      <c r="H723" s="1" t="s">
        <v>56</v>
      </c>
      <c r="I723" s="1" t="s">
        <v>57</v>
      </c>
      <c r="K723" s="1" t="s">
        <v>969</v>
      </c>
      <c r="L723" s="1" t="str">
        <f t="shared" si="304"/>
        <v>IPP</v>
      </c>
      <c r="M723" s="1" t="s">
        <v>1017</v>
      </c>
      <c r="Q723" s="1" t="s">
        <v>1355</v>
      </c>
      <c r="R723" s="1">
        <v>3982724</v>
      </c>
      <c r="S723" s="1" t="s">
        <v>267</v>
      </c>
      <c r="T723" s="1" t="s">
        <v>60</v>
      </c>
      <c r="U723" s="1" t="s">
        <v>61</v>
      </c>
      <c r="V723" s="1" t="s">
        <v>62</v>
      </c>
      <c r="W723" s="1">
        <v>0.9</v>
      </c>
      <c r="X723" s="1">
        <v>1200</v>
      </c>
      <c r="AC723" s="3">
        <v>9.6</v>
      </c>
      <c r="AD723" s="3">
        <f t="shared" si="305"/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f t="shared" si="299"/>
        <v>9.6</v>
      </c>
      <c r="AK723" s="3">
        <f>AC723</f>
        <v>9.6</v>
      </c>
      <c r="AL723" s="1">
        <v>0</v>
      </c>
      <c r="AM723" s="1">
        <v>0</v>
      </c>
      <c r="AN723" s="1">
        <v>0</v>
      </c>
      <c r="AO723" s="1">
        <v>0</v>
      </c>
      <c r="AP723" s="3">
        <f t="shared" si="302"/>
        <v>0</v>
      </c>
    </row>
    <row r="724" spans="1:42" x14ac:dyDescent="0.35">
      <c r="A724" s="1">
        <v>744</v>
      </c>
      <c r="C724" s="1" t="s">
        <v>52</v>
      </c>
      <c r="F724" s="1" t="s">
        <v>994</v>
      </c>
      <c r="G724" s="1" t="s">
        <v>1367</v>
      </c>
      <c r="H724" s="1" t="s">
        <v>86</v>
      </c>
      <c r="I724" s="1" t="s">
        <v>968</v>
      </c>
      <c r="K724" s="1" t="s">
        <v>969</v>
      </c>
      <c r="L724" s="1" t="str">
        <f t="shared" si="304"/>
        <v>IPP</v>
      </c>
      <c r="M724" s="1" t="s">
        <v>1232</v>
      </c>
      <c r="Q724" s="1" t="s">
        <v>1174</v>
      </c>
      <c r="R724" s="1">
        <v>3724432</v>
      </c>
      <c r="S724" s="1" t="s">
        <v>269</v>
      </c>
      <c r="T724" s="1" t="s">
        <v>88</v>
      </c>
      <c r="U724" s="1" t="s">
        <v>89</v>
      </c>
      <c r="V724" s="1" t="s">
        <v>268</v>
      </c>
      <c r="W724" s="1">
        <v>0.43</v>
      </c>
      <c r="X724" s="1">
        <v>1020</v>
      </c>
      <c r="AC724" s="3">
        <v>13.940000000000001</v>
      </c>
      <c r="AD724" s="3">
        <f t="shared" si="305"/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f t="shared" si="299"/>
        <v>13.940000000000001</v>
      </c>
      <c r="AK724" s="1">
        <v>0</v>
      </c>
      <c r="AL724" s="3">
        <f>AC724</f>
        <v>13.940000000000001</v>
      </c>
      <c r="AM724" s="1">
        <v>0</v>
      </c>
      <c r="AN724" s="1">
        <v>0</v>
      </c>
      <c r="AO724" s="1">
        <v>0</v>
      </c>
      <c r="AP724" s="3">
        <f t="shared" si="302"/>
        <v>0</v>
      </c>
    </row>
    <row r="725" spans="1:42" x14ac:dyDescent="0.35">
      <c r="A725" s="1">
        <v>744</v>
      </c>
      <c r="B725" s="2">
        <v>45861</v>
      </c>
      <c r="C725" s="1" t="s">
        <v>64</v>
      </c>
      <c r="F725" s="1" t="s">
        <v>526</v>
      </c>
      <c r="G725" s="1" t="s">
        <v>1367</v>
      </c>
      <c r="H725" s="1" t="s">
        <v>86</v>
      </c>
      <c r="I725" s="1" t="s">
        <v>968</v>
      </c>
      <c r="K725" s="1" t="s">
        <v>969</v>
      </c>
      <c r="L725" s="1" t="str">
        <f t="shared" ref="L725:L738" si="306">K725</f>
        <v>IPP</v>
      </c>
      <c r="M725" s="1" t="s">
        <v>1232</v>
      </c>
      <c r="Q725" s="1" t="s">
        <v>1174</v>
      </c>
      <c r="R725" s="1">
        <v>3940122</v>
      </c>
      <c r="S725" s="1" t="s">
        <v>281</v>
      </c>
      <c r="T725" s="1" t="s">
        <v>88</v>
      </c>
      <c r="U725" s="1" t="s">
        <v>89</v>
      </c>
      <c r="V725" s="1" t="s">
        <v>143</v>
      </c>
      <c r="W725" s="1">
        <v>0.47</v>
      </c>
      <c r="X725" s="1">
        <v>1220</v>
      </c>
      <c r="AC725" s="3">
        <v>19.48</v>
      </c>
      <c r="AD725" s="3">
        <f t="shared" si="305"/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f t="shared" si="299"/>
        <v>19.48</v>
      </c>
      <c r="AK725" s="1">
        <v>0</v>
      </c>
      <c r="AL725" s="3">
        <f>AC725</f>
        <v>19.48</v>
      </c>
      <c r="AM725" s="1">
        <v>0</v>
      </c>
      <c r="AN725" s="1">
        <v>0</v>
      </c>
      <c r="AO725" s="1">
        <v>0</v>
      </c>
      <c r="AP725" s="3">
        <f t="shared" si="302"/>
        <v>0</v>
      </c>
    </row>
    <row r="726" spans="1:42" x14ac:dyDescent="0.35">
      <c r="A726" s="1">
        <v>744</v>
      </c>
      <c r="B726" s="2">
        <v>45861</v>
      </c>
      <c r="C726" s="1" t="s">
        <v>64</v>
      </c>
      <c r="F726" s="1" t="s">
        <v>616</v>
      </c>
      <c r="G726" s="1" t="s">
        <v>1367</v>
      </c>
      <c r="H726" s="1" t="s">
        <v>86</v>
      </c>
      <c r="I726" s="1" t="s">
        <v>968</v>
      </c>
      <c r="K726" s="1" t="s">
        <v>969</v>
      </c>
      <c r="L726" s="1" t="str">
        <f t="shared" si="306"/>
        <v>IPP</v>
      </c>
      <c r="M726" s="1" t="s">
        <v>1232</v>
      </c>
      <c r="Q726" s="1" t="s">
        <v>1174</v>
      </c>
      <c r="R726" s="1">
        <v>3902332</v>
      </c>
      <c r="S726" s="1" t="s">
        <v>142</v>
      </c>
      <c r="T726" s="1" t="s">
        <v>88</v>
      </c>
      <c r="U726" s="1" t="s">
        <v>89</v>
      </c>
      <c r="V726" s="1" t="s">
        <v>143</v>
      </c>
      <c r="W726" s="1">
        <v>0.5</v>
      </c>
      <c r="X726" s="1">
        <v>1220</v>
      </c>
      <c r="AC726" s="3">
        <v>19.234999999999999</v>
      </c>
      <c r="AD726" s="3">
        <f t="shared" si="305"/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f t="shared" si="299"/>
        <v>19.234999999999999</v>
      </c>
      <c r="AK726" s="1">
        <v>0</v>
      </c>
      <c r="AL726" s="3">
        <f>AC726</f>
        <v>19.234999999999999</v>
      </c>
      <c r="AM726" s="1">
        <v>0</v>
      </c>
      <c r="AN726" s="1">
        <v>0</v>
      </c>
      <c r="AO726" s="1">
        <v>0</v>
      </c>
      <c r="AP726" s="3">
        <f t="shared" si="302"/>
        <v>0</v>
      </c>
    </row>
    <row r="727" spans="1:42" x14ac:dyDescent="0.35">
      <c r="A727" s="1">
        <v>744</v>
      </c>
      <c r="B727" s="2">
        <v>45861</v>
      </c>
      <c r="C727" s="1" t="s">
        <v>64</v>
      </c>
      <c r="F727" s="1" t="s">
        <v>524</v>
      </c>
      <c r="G727" s="1" t="s">
        <v>1367</v>
      </c>
      <c r="H727" s="1" t="s">
        <v>86</v>
      </c>
      <c r="I727" s="1" t="s">
        <v>968</v>
      </c>
      <c r="K727" s="1" t="s">
        <v>969</v>
      </c>
      <c r="L727" s="1" t="str">
        <f t="shared" si="306"/>
        <v>IPP</v>
      </c>
      <c r="M727" s="1" t="s">
        <v>1232</v>
      </c>
      <c r="Q727" s="1" t="s">
        <v>1174</v>
      </c>
      <c r="R727" s="1">
        <v>3960726</v>
      </c>
      <c r="S727" s="1" t="s">
        <v>280</v>
      </c>
      <c r="T727" s="1" t="s">
        <v>88</v>
      </c>
      <c r="U727" s="1" t="s">
        <v>89</v>
      </c>
      <c r="V727" s="1" t="s">
        <v>143</v>
      </c>
      <c r="W727" s="1">
        <v>0.45</v>
      </c>
      <c r="X727" s="1">
        <v>1220</v>
      </c>
      <c r="AC727" s="3">
        <v>8.08</v>
      </c>
      <c r="AD727" s="3">
        <f t="shared" si="305"/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f t="shared" si="299"/>
        <v>8.08</v>
      </c>
      <c r="AK727" s="1">
        <v>0</v>
      </c>
      <c r="AL727" s="3">
        <f>AC727</f>
        <v>8.08</v>
      </c>
      <c r="AM727" s="1">
        <v>0</v>
      </c>
      <c r="AN727" s="1">
        <v>0</v>
      </c>
      <c r="AO727" s="1">
        <v>0</v>
      </c>
      <c r="AP727" s="3">
        <f t="shared" si="302"/>
        <v>0</v>
      </c>
    </row>
    <row r="728" spans="1:42" x14ac:dyDescent="0.35">
      <c r="A728" s="1">
        <v>744</v>
      </c>
      <c r="B728" s="2">
        <v>45861</v>
      </c>
      <c r="C728" s="1" t="s">
        <v>64</v>
      </c>
      <c r="F728" s="1" t="s">
        <v>525</v>
      </c>
      <c r="G728" s="1" t="s">
        <v>1367</v>
      </c>
      <c r="H728" s="1" t="s">
        <v>86</v>
      </c>
      <c r="I728" s="1" t="s">
        <v>968</v>
      </c>
      <c r="K728" s="1" t="s">
        <v>969</v>
      </c>
      <c r="L728" s="1" t="str">
        <f t="shared" si="306"/>
        <v>IPP</v>
      </c>
      <c r="M728" s="1" t="s">
        <v>1232</v>
      </c>
      <c r="Q728" s="1" t="s">
        <v>1174</v>
      </c>
      <c r="R728" s="1">
        <v>3940122</v>
      </c>
      <c r="S728" s="1" t="s">
        <v>281</v>
      </c>
      <c r="T728" s="1" t="s">
        <v>88</v>
      </c>
      <c r="U728" s="1" t="s">
        <v>89</v>
      </c>
      <c r="V728" s="1" t="s">
        <v>143</v>
      </c>
      <c r="W728" s="1">
        <v>0.47</v>
      </c>
      <c r="X728" s="1">
        <v>1220</v>
      </c>
      <c r="AC728" s="3">
        <v>7.93</v>
      </c>
      <c r="AD728" s="3">
        <f t="shared" si="305"/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f t="shared" si="299"/>
        <v>7.93</v>
      </c>
      <c r="AK728" s="1">
        <v>0</v>
      </c>
      <c r="AL728" s="3">
        <f>AC728</f>
        <v>7.93</v>
      </c>
      <c r="AM728" s="1">
        <v>0</v>
      </c>
      <c r="AN728" s="1">
        <v>0</v>
      </c>
      <c r="AO728" s="1">
        <v>0</v>
      </c>
      <c r="AP728" s="3">
        <f t="shared" si="302"/>
        <v>0</v>
      </c>
    </row>
    <row r="729" spans="1:42" x14ac:dyDescent="0.35">
      <c r="A729" s="1">
        <v>742</v>
      </c>
      <c r="B729" s="2">
        <v>45867</v>
      </c>
      <c r="C729" s="1" t="s">
        <v>64</v>
      </c>
      <c r="F729" s="1" t="s">
        <v>650</v>
      </c>
      <c r="G729" s="1" t="s">
        <v>1367</v>
      </c>
      <c r="H729" s="1" t="s">
        <v>21</v>
      </c>
      <c r="I729" s="1" t="s">
        <v>969</v>
      </c>
      <c r="K729" s="1" t="s">
        <v>969</v>
      </c>
      <c r="L729" s="1" t="str">
        <f t="shared" si="306"/>
        <v>IPP</v>
      </c>
      <c r="M729" s="1" t="s">
        <v>1019</v>
      </c>
      <c r="Q729" s="1" t="s">
        <v>327</v>
      </c>
      <c r="R729" s="1">
        <v>2164800</v>
      </c>
      <c r="S729" s="1" t="s">
        <v>325</v>
      </c>
      <c r="T729" s="1" t="s">
        <v>28</v>
      </c>
      <c r="U729" s="1" t="s">
        <v>29</v>
      </c>
      <c r="V729" s="1" t="s">
        <v>101</v>
      </c>
      <c r="W729" s="1">
        <v>0.97</v>
      </c>
      <c r="X729" s="1">
        <v>913</v>
      </c>
      <c r="AC729" s="3">
        <v>8.2550000000000008</v>
      </c>
      <c r="AD729" s="3">
        <f t="shared" si="305"/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f t="shared" si="299"/>
        <v>8.2550000000000008</v>
      </c>
      <c r="AK729" s="3">
        <f>AC729</f>
        <v>8.2550000000000008</v>
      </c>
      <c r="AL729" s="1">
        <v>0</v>
      </c>
      <c r="AM729" s="1">
        <v>0</v>
      </c>
      <c r="AN729" s="1">
        <v>0</v>
      </c>
      <c r="AO729" s="1">
        <v>0</v>
      </c>
      <c r="AP729" s="3">
        <f t="shared" si="302"/>
        <v>0</v>
      </c>
    </row>
    <row r="730" spans="1:42" x14ac:dyDescent="0.35">
      <c r="A730" s="1">
        <v>742</v>
      </c>
      <c r="B730" s="2">
        <v>45867</v>
      </c>
      <c r="C730" s="1" t="s">
        <v>64</v>
      </c>
      <c r="F730" s="1" t="s">
        <v>621</v>
      </c>
      <c r="G730" s="1" t="s">
        <v>1367</v>
      </c>
      <c r="H730" s="1" t="s">
        <v>21</v>
      </c>
      <c r="I730" s="1" t="s">
        <v>71</v>
      </c>
      <c r="K730" s="1" t="s">
        <v>970</v>
      </c>
      <c r="L730" s="1" t="str">
        <f t="shared" si="306"/>
        <v>BPRS</v>
      </c>
      <c r="M730" s="1" t="s">
        <v>1017</v>
      </c>
      <c r="Q730" s="1" t="s">
        <v>240</v>
      </c>
      <c r="R730" s="1">
        <v>3240781</v>
      </c>
      <c r="S730" s="1" t="s">
        <v>391</v>
      </c>
      <c r="T730" s="1" t="s">
        <v>75</v>
      </c>
      <c r="U730" s="1" t="s">
        <v>76</v>
      </c>
      <c r="V730" s="1" t="s">
        <v>77</v>
      </c>
      <c r="W730" s="1">
        <v>0.6</v>
      </c>
      <c r="X730" s="1">
        <v>1250</v>
      </c>
      <c r="AC730" s="3">
        <v>8.65</v>
      </c>
      <c r="AD730" s="3">
        <f t="shared" si="305"/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f t="shared" si="299"/>
        <v>8.65</v>
      </c>
      <c r="AK730" s="3">
        <f>AC730</f>
        <v>8.65</v>
      </c>
      <c r="AL730" s="1">
        <v>0</v>
      </c>
      <c r="AM730" s="1">
        <v>0</v>
      </c>
      <c r="AN730" s="1">
        <v>0</v>
      </c>
      <c r="AO730" s="1">
        <v>0</v>
      </c>
      <c r="AP730" s="3">
        <f t="shared" si="302"/>
        <v>0</v>
      </c>
    </row>
    <row r="731" spans="1:42" x14ac:dyDescent="0.35">
      <c r="A731" s="1">
        <v>742</v>
      </c>
      <c r="B731" s="2">
        <v>45867</v>
      </c>
      <c r="C731" s="1" t="s">
        <v>64</v>
      </c>
      <c r="F731" s="1" t="s">
        <v>768</v>
      </c>
      <c r="G731" s="1" t="s">
        <v>1367</v>
      </c>
      <c r="H731" s="1" t="s">
        <v>21</v>
      </c>
      <c r="I731" s="1" t="s">
        <v>969</v>
      </c>
      <c r="K731" s="1" t="s">
        <v>969</v>
      </c>
      <c r="L731" s="1" t="str">
        <f t="shared" si="306"/>
        <v>IPP</v>
      </c>
      <c r="M731" s="1" t="s">
        <v>1017</v>
      </c>
      <c r="Q731" s="1" t="s">
        <v>386</v>
      </c>
      <c r="R731" s="1">
        <v>2164800</v>
      </c>
      <c r="S731" s="1" t="s">
        <v>325</v>
      </c>
      <c r="T731" s="1" t="s">
        <v>28</v>
      </c>
      <c r="U731" s="1" t="s">
        <v>29</v>
      </c>
      <c r="V731" s="1" t="s">
        <v>101</v>
      </c>
      <c r="W731" s="1">
        <v>0.97</v>
      </c>
      <c r="X731" s="1">
        <v>913</v>
      </c>
      <c r="AC731" s="3">
        <v>17.47</v>
      </c>
      <c r="AD731" s="3">
        <f t="shared" si="305"/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f t="shared" si="299"/>
        <v>17.47</v>
      </c>
      <c r="AK731" s="3">
        <f>AC731</f>
        <v>17.47</v>
      </c>
      <c r="AL731" s="1">
        <v>0</v>
      </c>
      <c r="AM731" s="1">
        <v>0</v>
      </c>
      <c r="AN731" s="1">
        <v>0</v>
      </c>
      <c r="AO731" s="1">
        <v>0</v>
      </c>
      <c r="AP731" s="3">
        <f t="shared" si="302"/>
        <v>0</v>
      </c>
    </row>
    <row r="732" spans="1:42" x14ac:dyDescent="0.35">
      <c r="A732" s="1">
        <v>744</v>
      </c>
      <c r="B732" s="2">
        <v>45861</v>
      </c>
      <c r="C732" s="1" t="s">
        <v>64</v>
      </c>
      <c r="F732" s="1" t="s">
        <v>690</v>
      </c>
      <c r="G732" s="1" t="s">
        <v>1367</v>
      </c>
      <c r="H732" s="1" t="s">
        <v>86</v>
      </c>
      <c r="I732" s="1" t="s">
        <v>968</v>
      </c>
      <c r="K732" s="1" t="s">
        <v>969</v>
      </c>
      <c r="L732" s="1" t="str">
        <f t="shared" si="306"/>
        <v>IPP</v>
      </c>
      <c r="M732" s="1" t="s">
        <v>1232</v>
      </c>
      <c r="Q732" s="1" t="s">
        <v>107</v>
      </c>
      <c r="R732" s="1">
        <v>3522241</v>
      </c>
      <c r="S732" s="1" t="s">
        <v>216</v>
      </c>
      <c r="T732" s="1" t="s">
        <v>88</v>
      </c>
      <c r="U732" s="1" t="s">
        <v>89</v>
      </c>
      <c r="V732" s="1" t="s">
        <v>217</v>
      </c>
      <c r="W732" s="1">
        <v>0.43</v>
      </c>
      <c r="X732" s="1">
        <v>1220</v>
      </c>
      <c r="AC732" s="3">
        <v>16.28</v>
      </c>
      <c r="AD732" s="3">
        <f t="shared" si="305"/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f t="shared" si="299"/>
        <v>16.28</v>
      </c>
      <c r="AK732" s="1">
        <v>0</v>
      </c>
      <c r="AL732" s="3">
        <f>AC732</f>
        <v>16.28</v>
      </c>
      <c r="AM732" s="1">
        <v>0</v>
      </c>
      <c r="AN732" s="1">
        <v>0</v>
      </c>
      <c r="AO732" s="1">
        <v>0</v>
      </c>
      <c r="AP732" s="3">
        <f t="shared" si="302"/>
        <v>0</v>
      </c>
    </row>
    <row r="733" spans="1:42" x14ac:dyDescent="0.35">
      <c r="A733" s="1">
        <v>744</v>
      </c>
      <c r="B733" s="2">
        <v>45861</v>
      </c>
      <c r="C733" s="1" t="s">
        <v>64</v>
      </c>
      <c r="F733" s="1" t="s">
        <v>691</v>
      </c>
      <c r="G733" s="1" t="s">
        <v>1367</v>
      </c>
      <c r="H733" s="1" t="s">
        <v>86</v>
      </c>
      <c r="I733" s="1" t="s">
        <v>968</v>
      </c>
      <c r="K733" s="1" t="s">
        <v>969</v>
      </c>
      <c r="L733" s="1" t="str">
        <f t="shared" si="306"/>
        <v>IPP</v>
      </c>
      <c r="M733" s="1" t="s">
        <v>1232</v>
      </c>
      <c r="Q733" s="1" t="s">
        <v>107</v>
      </c>
      <c r="R733" s="1">
        <v>3522241</v>
      </c>
      <c r="S733" s="1" t="s">
        <v>216</v>
      </c>
      <c r="T733" s="1" t="s">
        <v>88</v>
      </c>
      <c r="U733" s="1" t="s">
        <v>89</v>
      </c>
      <c r="V733" s="1" t="s">
        <v>217</v>
      </c>
      <c r="W733" s="1">
        <v>0.43</v>
      </c>
      <c r="X733" s="1">
        <v>1220</v>
      </c>
      <c r="AC733" s="3">
        <v>11.145</v>
      </c>
      <c r="AD733" s="3">
        <f t="shared" si="305"/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f t="shared" si="299"/>
        <v>11.145</v>
      </c>
      <c r="AK733" s="1">
        <v>0</v>
      </c>
      <c r="AL733" s="3">
        <f>AC733</f>
        <v>11.145</v>
      </c>
      <c r="AM733" s="1">
        <v>0</v>
      </c>
      <c r="AN733" s="1">
        <v>0</v>
      </c>
      <c r="AO733" s="1">
        <v>0</v>
      </c>
      <c r="AP733" s="3">
        <f t="shared" si="302"/>
        <v>0</v>
      </c>
    </row>
    <row r="734" spans="1:42" x14ac:dyDescent="0.35">
      <c r="A734" s="1">
        <v>744</v>
      </c>
      <c r="B734" s="2">
        <v>45861</v>
      </c>
      <c r="C734" s="1" t="s">
        <v>64</v>
      </c>
      <c r="F734" s="1" t="s">
        <v>692</v>
      </c>
      <c r="G734" s="1" t="s">
        <v>1367</v>
      </c>
      <c r="H734" s="1" t="s">
        <v>86</v>
      </c>
      <c r="I734" s="1" t="s">
        <v>968</v>
      </c>
      <c r="K734" s="1" t="s">
        <v>969</v>
      </c>
      <c r="L734" s="1" t="str">
        <f t="shared" si="306"/>
        <v>IPP</v>
      </c>
      <c r="M734" s="1" t="s">
        <v>1232</v>
      </c>
      <c r="Q734" s="1" t="s">
        <v>107</v>
      </c>
      <c r="R734" s="1">
        <v>3522241</v>
      </c>
      <c r="S734" s="1" t="s">
        <v>216</v>
      </c>
      <c r="T734" s="1" t="s">
        <v>88</v>
      </c>
      <c r="U734" s="1" t="s">
        <v>89</v>
      </c>
      <c r="V734" s="1" t="s">
        <v>217</v>
      </c>
      <c r="W734" s="1">
        <v>0.43</v>
      </c>
      <c r="X734" s="1">
        <v>1220</v>
      </c>
      <c r="AC734" s="3">
        <v>8.1750000000000007</v>
      </c>
      <c r="AD734" s="3">
        <f t="shared" si="305"/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f t="shared" si="299"/>
        <v>8.1750000000000007</v>
      </c>
      <c r="AK734" s="1">
        <v>0</v>
      </c>
      <c r="AL734" s="3">
        <f>AC734</f>
        <v>8.1750000000000007</v>
      </c>
      <c r="AM734" s="1">
        <v>0</v>
      </c>
      <c r="AN734" s="1">
        <v>0</v>
      </c>
      <c r="AO734" s="1">
        <v>0</v>
      </c>
      <c r="AP734" s="3">
        <f t="shared" si="302"/>
        <v>0</v>
      </c>
    </row>
    <row r="735" spans="1:42" x14ac:dyDescent="0.35">
      <c r="A735" s="1">
        <v>742</v>
      </c>
      <c r="C735" s="1" t="s">
        <v>64</v>
      </c>
      <c r="F735" s="1" t="s">
        <v>977</v>
      </c>
      <c r="G735" s="1" t="s">
        <v>1367</v>
      </c>
      <c r="H735" s="1" t="s">
        <v>21</v>
      </c>
      <c r="I735" s="1" t="s">
        <v>22</v>
      </c>
      <c r="K735" s="1" t="s">
        <v>970</v>
      </c>
      <c r="L735" s="1" t="str">
        <f t="shared" si="306"/>
        <v>BPRS</v>
      </c>
      <c r="M735" s="1" t="s">
        <v>23</v>
      </c>
      <c r="Q735" s="1" t="s">
        <v>23</v>
      </c>
      <c r="R735" s="1">
        <v>187515</v>
      </c>
      <c r="S735" s="1" t="s">
        <v>33</v>
      </c>
      <c r="T735" s="1" t="s">
        <v>28</v>
      </c>
      <c r="U735" s="1" t="s">
        <v>29</v>
      </c>
      <c r="V735" s="1" t="s">
        <v>30</v>
      </c>
      <c r="W735" s="1">
        <v>0.8</v>
      </c>
      <c r="X735" s="1">
        <v>1250</v>
      </c>
      <c r="AC735" s="3">
        <v>23.47</v>
      </c>
      <c r="AD735" s="3">
        <f t="shared" si="305"/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f t="shared" si="299"/>
        <v>23.47</v>
      </c>
      <c r="AK735" s="3">
        <f t="shared" ref="AK735:AK741" si="307">AC735</f>
        <v>23.47</v>
      </c>
      <c r="AL735" s="1">
        <v>0</v>
      </c>
      <c r="AM735" s="1">
        <v>0</v>
      </c>
      <c r="AN735" s="1">
        <v>0</v>
      </c>
      <c r="AO735" s="1">
        <v>0</v>
      </c>
      <c r="AP735" s="3">
        <f t="shared" si="302"/>
        <v>0</v>
      </c>
    </row>
    <row r="736" spans="1:42" x14ac:dyDescent="0.35">
      <c r="A736" s="1">
        <v>743</v>
      </c>
      <c r="B736" s="2">
        <v>45867</v>
      </c>
      <c r="C736" s="1" t="s">
        <v>64</v>
      </c>
      <c r="F736" s="1" t="s">
        <v>516</v>
      </c>
      <c r="G736" s="1" t="s">
        <v>1367</v>
      </c>
      <c r="H736" s="1" t="s">
        <v>63</v>
      </c>
      <c r="I736" s="1" t="s">
        <v>1368</v>
      </c>
      <c r="K736" s="1" t="s">
        <v>970</v>
      </c>
      <c r="L736" s="1" t="str">
        <f t="shared" si="306"/>
        <v>BPRS</v>
      </c>
      <c r="M736" s="1" t="s">
        <v>1018</v>
      </c>
      <c r="Q736" s="1" t="s">
        <v>1349</v>
      </c>
      <c r="R736" s="1">
        <v>1300230</v>
      </c>
      <c r="S736" s="1" t="s">
        <v>248</v>
      </c>
      <c r="T736" s="1" t="s">
        <v>139</v>
      </c>
      <c r="U736" s="1" t="s">
        <v>140</v>
      </c>
      <c r="V736" s="1" t="s">
        <v>141</v>
      </c>
      <c r="W736" s="1">
        <v>0.3</v>
      </c>
      <c r="X736" s="1">
        <v>1220</v>
      </c>
      <c r="AC736" s="3">
        <v>22.674999999999997</v>
      </c>
      <c r="AD736" s="3">
        <f t="shared" si="305"/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f t="shared" si="299"/>
        <v>22.674999999999997</v>
      </c>
      <c r="AK736" s="3">
        <f t="shared" si="307"/>
        <v>22.674999999999997</v>
      </c>
      <c r="AL736" s="1">
        <v>0</v>
      </c>
      <c r="AM736" s="1">
        <v>0</v>
      </c>
      <c r="AN736" s="1">
        <v>0</v>
      </c>
      <c r="AO736" s="1">
        <v>0</v>
      </c>
      <c r="AP736" s="3">
        <f t="shared" si="302"/>
        <v>0</v>
      </c>
    </row>
    <row r="737" spans="1:42" x14ac:dyDescent="0.35">
      <c r="A737" s="1">
        <v>742</v>
      </c>
      <c r="B737" s="2">
        <v>45862</v>
      </c>
      <c r="C737" s="1" t="s">
        <v>64</v>
      </c>
      <c r="F737" s="1" t="s">
        <v>586</v>
      </c>
      <c r="G737" s="1" t="s">
        <v>1367</v>
      </c>
      <c r="H737" s="1" t="s">
        <v>21</v>
      </c>
      <c r="I737" s="1" t="s">
        <v>969</v>
      </c>
      <c r="K737" s="1" t="s">
        <v>969</v>
      </c>
      <c r="L737" s="1" t="str">
        <f t="shared" si="306"/>
        <v>IPP</v>
      </c>
      <c r="M737" s="1" t="s">
        <v>1016</v>
      </c>
      <c r="Q737" s="1" t="s">
        <v>366</v>
      </c>
      <c r="R737" s="1">
        <v>3781084</v>
      </c>
      <c r="S737" s="1" t="s">
        <v>367</v>
      </c>
      <c r="T737" s="1" t="s">
        <v>28</v>
      </c>
      <c r="U737" s="1" t="s">
        <v>29</v>
      </c>
      <c r="V737" s="1" t="s">
        <v>101</v>
      </c>
      <c r="W737" s="1">
        <v>0.97</v>
      </c>
      <c r="X737" s="1">
        <v>1005</v>
      </c>
      <c r="AC737" s="3">
        <v>7.04</v>
      </c>
      <c r="AD737" s="3">
        <f t="shared" si="305"/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f t="shared" si="299"/>
        <v>7.04</v>
      </c>
      <c r="AK737" s="3">
        <f t="shared" si="307"/>
        <v>7.04</v>
      </c>
      <c r="AL737" s="1">
        <v>0</v>
      </c>
      <c r="AM737" s="1">
        <v>0</v>
      </c>
      <c r="AN737" s="1">
        <v>0</v>
      </c>
      <c r="AO737" s="1">
        <v>0</v>
      </c>
      <c r="AP737" s="3">
        <f t="shared" si="302"/>
        <v>0</v>
      </c>
    </row>
    <row r="738" spans="1:42" x14ac:dyDescent="0.35">
      <c r="A738" s="1">
        <v>743</v>
      </c>
      <c r="B738" s="2">
        <v>45867</v>
      </c>
      <c r="C738" s="1" t="s">
        <v>64</v>
      </c>
      <c r="F738" s="1" t="s">
        <v>530</v>
      </c>
      <c r="G738" s="1" t="s">
        <v>1367</v>
      </c>
      <c r="H738" s="1" t="s">
        <v>56</v>
      </c>
      <c r="I738" s="1" t="s">
        <v>969</v>
      </c>
      <c r="K738" s="1" t="s">
        <v>969</v>
      </c>
      <c r="L738" s="1" t="str">
        <f t="shared" si="306"/>
        <v>IPP</v>
      </c>
      <c r="M738" s="1" t="s">
        <v>1016</v>
      </c>
      <c r="Q738" s="1" t="s">
        <v>256</v>
      </c>
      <c r="R738" s="1">
        <v>4096235</v>
      </c>
      <c r="S738" s="1" t="s">
        <v>302</v>
      </c>
      <c r="T738" s="1" t="s">
        <v>60</v>
      </c>
      <c r="U738" s="1" t="s">
        <v>61</v>
      </c>
      <c r="V738" s="1" t="s">
        <v>195</v>
      </c>
      <c r="W738" s="1">
        <v>0.32</v>
      </c>
      <c r="X738" s="1">
        <v>1235</v>
      </c>
      <c r="AC738" s="3">
        <v>5.86</v>
      </c>
      <c r="AD738" s="3">
        <f t="shared" si="305"/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f t="shared" si="299"/>
        <v>5.86</v>
      </c>
      <c r="AK738" s="3">
        <f t="shared" si="307"/>
        <v>5.86</v>
      </c>
      <c r="AL738" s="1">
        <v>0</v>
      </c>
      <c r="AM738" s="1">
        <v>0</v>
      </c>
      <c r="AN738" s="1">
        <v>0</v>
      </c>
      <c r="AO738" s="1">
        <v>0</v>
      </c>
      <c r="AP738" s="3">
        <f t="shared" si="302"/>
        <v>0</v>
      </c>
    </row>
    <row r="739" spans="1:42" x14ac:dyDescent="0.35">
      <c r="A739" s="1">
        <v>743</v>
      </c>
      <c r="C739" s="1" t="s">
        <v>52</v>
      </c>
      <c r="F739" s="1" t="s">
        <v>990</v>
      </c>
      <c r="G739" s="1" t="s">
        <v>1367</v>
      </c>
      <c r="H739" s="1" t="s">
        <v>63</v>
      </c>
      <c r="I739" s="1" t="s">
        <v>1291</v>
      </c>
      <c r="K739" s="1" t="s">
        <v>970</v>
      </c>
      <c r="L739" s="1" t="str">
        <f>K739</f>
        <v>BPRS</v>
      </c>
      <c r="M739" s="1" t="s">
        <v>1019</v>
      </c>
      <c r="Q739" s="1" t="s">
        <v>1356</v>
      </c>
      <c r="R739" s="1">
        <v>3708868</v>
      </c>
      <c r="S739" s="1" t="s">
        <v>67</v>
      </c>
      <c r="T739" s="1" t="s">
        <v>68</v>
      </c>
      <c r="U739" s="1" t="s">
        <v>69</v>
      </c>
      <c r="V739" s="1" t="s">
        <v>70</v>
      </c>
      <c r="W739" s="1">
        <v>0.5</v>
      </c>
      <c r="X739" s="1">
        <v>1350</v>
      </c>
      <c r="AC739" s="3">
        <v>13.155000000000001</v>
      </c>
      <c r="AD739" s="3">
        <f t="shared" si="305"/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f t="shared" si="299"/>
        <v>13.155000000000001</v>
      </c>
      <c r="AK739" s="3">
        <f t="shared" si="307"/>
        <v>13.155000000000001</v>
      </c>
      <c r="AL739" s="1">
        <v>0</v>
      </c>
      <c r="AM739" s="1">
        <v>0</v>
      </c>
      <c r="AN739" s="1">
        <v>0</v>
      </c>
      <c r="AO739" s="1">
        <v>0</v>
      </c>
      <c r="AP739" s="3">
        <f t="shared" si="302"/>
        <v>0</v>
      </c>
    </row>
    <row r="740" spans="1:42" x14ac:dyDescent="0.35">
      <c r="A740" s="1">
        <v>743</v>
      </c>
      <c r="B740" s="2">
        <v>45863</v>
      </c>
      <c r="C740" s="1" t="s">
        <v>64</v>
      </c>
      <c r="F740" s="1" t="s">
        <v>506</v>
      </c>
      <c r="G740" s="1" t="s">
        <v>1367</v>
      </c>
      <c r="H740" s="1" t="s">
        <v>63</v>
      </c>
      <c r="I740" s="1" t="s">
        <v>1368</v>
      </c>
      <c r="K740" s="1" t="s">
        <v>970</v>
      </c>
      <c r="L740" s="1" t="str">
        <f t="shared" ref="L740:L758" si="308">K740</f>
        <v>BPRS</v>
      </c>
      <c r="M740" s="1" t="s">
        <v>1018</v>
      </c>
      <c r="Q740" s="1" t="s">
        <v>1124</v>
      </c>
      <c r="R740" s="1">
        <v>1854399</v>
      </c>
      <c r="S740" s="1" t="s">
        <v>201</v>
      </c>
      <c r="T740" s="1" t="s">
        <v>139</v>
      </c>
      <c r="U740" s="1" t="s">
        <v>140</v>
      </c>
      <c r="V740" s="1" t="s">
        <v>150</v>
      </c>
      <c r="W740" s="1">
        <v>0.35</v>
      </c>
      <c r="X740" s="1">
        <v>1220</v>
      </c>
      <c r="AC740" s="3">
        <v>4.6449999999999996</v>
      </c>
      <c r="AD740" s="3">
        <f t="shared" si="305"/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f t="shared" si="299"/>
        <v>4.6449999999999996</v>
      </c>
      <c r="AK740" s="3">
        <f t="shared" si="307"/>
        <v>4.6449999999999996</v>
      </c>
      <c r="AL740" s="1">
        <v>0</v>
      </c>
      <c r="AM740" s="1">
        <v>0</v>
      </c>
      <c r="AN740" s="1">
        <v>0</v>
      </c>
      <c r="AO740" s="1">
        <v>0</v>
      </c>
      <c r="AP740" s="3">
        <f t="shared" si="302"/>
        <v>0</v>
      </c>
    </row>
    <row r="741" spans="1:42" x14ac:dyDescent="0.35">
      <c r="A741" s="1">
        <v>743</v>
      </c>
      <c r="B741" s="2">
        <v>45863</v>
      </c>
      <c r="C741" s="1" t="s">
        <v>64</v>
      </c>
      <c r="F741" s="1" t="s">
        <v>507</v>
      </c>
      <c r="G741" s="1" t="s">
        <v>1367</v>
      </c>
      <c r="H741" s="1" t="s">
        <v>63</v>
      </c>
      <c r="I741" s="1" t="s">
        <v>1404</v>
      </c>
      <c r="K741" s="1" t="s">
        <v>970</v>
      </c>
      <c r="L741" s="1" t="str">
        <f t="shared" si="308"/>
        <v>BPRS</v>
      </c>
      <c r="M741" s="1" t="s">
        <v>1018</v>
      </c>
      <c r="Q741" s="1" t="s">
        <v>1124</v>
      </c>
      <c r="R741" s="1">
        <v>1353179</v>
      </c>
      <c r="S741" s="1" t="s">
        <v>204</v>
      </c>
      <c r="T741" s="1" t="s">
        <v>139</v>
      </c>
      <c r="U741" s="1" t="s">
        <v>140</v>
      </c>
      <c r="V741" s="1" t="s">
        <v>150</v>
      </c>
      <c r="W741" s="1">
        <v>0.5</v>
      </c>
      <c r="X741" s="1">
        <v>900</v>
      </c>
      <c r="AC741" s="3">
        <v>4.6749999999999998</v>
      </c>
      <c r="AD741" s="3">
        <f t="shared" si="305"/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f t="shared" si="299"/>
        <v>4.6749999999999998</v>
      </c>
      <c r="AK741" s="3">
        <f t="shared" si="307"/>
        <v>4.6749999999999998</v>
      </c>
      <c r="AL741" s="1">
        <v>0</v>
      </c>
      <c r="AM741" s="1">
        <v>0</v>
      </c>
      <c r="AN741" s="1">
        <v>0</v>
      </c>
      <c r="AO741" s="1">
        <v>0</v>
      </c>
      <c r="AP741" s="3">
        <f t="shared" si="302"/>
        <v>0</v>
      </c>
    </row>
    <row r="742" spans="1:42" x14ac:dyDescent="0.35">
      <c r="A742" s="1">
        <v>743</v>
      </c>
      <c r="B742" s="2">
        <v>45866</v>
      </c>
      <c r="C742" s="1" t="s">
        <v>64</v>
      </c>
      <c r="F742" s="1" t="s">
        <v>547</v>
      </c>
      <c r="G742" s="1" t="s">
        <v>1367</v>
      </c>
      <c r="H742" s="1" t="s">
        <v>56</v>
      </c>
      <c r="I742" s="1" t="s">
        <v>968</v>
      </c>
      <c r="K742" s="1" t="s">
        <v>969</v>
      </c>
      <c r="L742" s="1" t="str">
        <f t="shared" si="308"/>
        <v>IPP</v>
      </c>
      <c r="M742" s="1" t="s">
        <v>1232</v>
      </c>
      <c r="Q742" s="1" t="s">
        <v>1174</v>
      </c>
      <c r="R742" s="1">
        <v>1881969</v>
      </c>
      <c r="S742" s="1" t="s">
        <v>112</v>
      </c>
      <c r="T742" s="1" t="s">
        <v>60</v>
      </c>
      <c r="U742" s="1" t="s">
        <v>61</v>
      </c>
      <c r="V742" s="1" t="s">
        <v>103</v>
      </c>
      <c r="W742" s="1">
        <v>0.45</v>
      </c>
      <c r="X742" s="1">
        <v>1220</v>
      </c>
      <c r="AC742" s="3">
        <v>4.2149999999999999</v>
      </c>
      <c r="AD742" s="3">
        <f t="shared" si="305"/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f t="shared" si="299"/>
        <v>4.2149999999999999</v>
      </c>
      <c r="AK742" s="3">
        <v>0</v>
      </c>
      <c r="AL742" s="3">
        <f>AC742</f>
        <v>4.2149999999999999</v>
      </c>
      <c r="AM742" s="1">
        <v>0</v>
      </c>
      <c r="AN742" s="1">
        <v>0</v>
      </c>
      <c r="AO742" s="1">
        <v>0</v>
      </c>
      <c r="AP742" s="3">
        <f t="shared" si="302"/>
        <v>0</v>
      </c>
    </row>
    <row r="743" spans="1:42" x14ac:dyDescent="0.35">
      <c r="A743" s="1">
        <v>743</v>
      </c>
      <c r="B743" s="2">
        <v>45864</v>
      </c>
      <c r="C743" s="1" t="s">
        <v>64</v>
      </c>
      <c r="F743" s="1" t="s">
        <v>554</v>
      </c>
      <c r="G743" s="1" t="s">
        <v>1367</v>
      </c>
      <c r="H743" s="1" t="s">
        <v>56</v>
      </c>
      <c r="I743" s="1" t="s">
        <v>968</v>
      </c>
      <c r="K743" s="1" t="s">
        <v>969</v>
      </c>
      <c r="L743" s="1" t="str">
        <f t="shared" si="308"/>
        <v>IPP</v>
      </c>
      <c r="M743" s="1" t="s">
        <v>1232</v>
      </c>
      <c r="Q743" s="1" t="s">
        <v>1174</v>
      </c>
      <c r="R743" s="1">
        <v>3239573</v>
      </c>
      <c r="S743" s="1" t="s">
        <v>350</v>
      </c>
      <c r="T743" s="1" t="s">
        <v>60</v>
      </c>
      <c r="U743" s="1" t="s">
        <v>61</v>
      </c>
      <c r="V743" s="1" t="s">
        <v>103</v>
      </c>
      <c r="W743" s="1">
        <v>0.42</v>
      </c>
      <c r="X743" s="1">
        <v>1220</v>
      </c>
      <c r="AC743" s="3">
        <v>36.614999999999995</v>
      </c>
      <c r="AD743" s="3">
        <f t="shared" si="305"/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f t="shared" si="299"/>
        <v>36.614999999999995</v>
      </c>
      <c r="AK743" s="3">
        <v>0</v>
      </c>
      <c r="AL743" s="3">
        <f>AC743</f>
        <v>36.614999999999995</v>
      </c>
      <c r="AM743" s="1">
        <v>0</v>
      </c>
      <c r="AN743" s="1">
        <v>0</v>
      </c>
      <c r="AO743" s="1">
        <v>0</v>
      </c>
      <c r="AP743" s="3">
        <f t="shared" si="302"/>
        <v>0</v>
      </c>
    </row>
    <row r="744" spans="1:42" x14ac:dyDescent="0.35">
      <c r="A744" s="1">
        <v>744</v>
      </c>
      <c r="B744" s="2">
        <v>45864</v>
      </c>
      <c r="C744" s="1" t="s">
        <v>64</v>
      </c>
      <c r="F744" s="1" t="s">
        <v>723</v>
      </c>
      <c r="G744" s="1" t="s">
        <v>1367</v>
      </c>
      <c r="H744" s="1" t="s">
        <v>86</v>
      </c>
      <c r="I744" s="1" t="s">
        <v>968</v>
      </c>
      <c r="K744" s="1" t="s">
        <v>969</v>
      </c>
      <c r="L744" s="1" t="str">
        <f t="shared" si="308"/>
        <v>IPP</v>
      </c>
      <c r="M744" s="1" t="s">
        <v>1232</v>
      </c>
      <c r="Q744" s="1" t="s">
        <v>1174</v>
      </c>
      <c r="R744" s="1">
        <v>3902332</v>
      </c>
      <c r="S744" s="1" t="s">
        <v>142</v>
      </c>
      <c r="T744" s="1" t="s">
        <v>88</v>
      </c>
      <c r="U744" s="1" t="s">
        <v>89</v>
      </c>
      <c r="V744" s="1" t="s">
        <v>143</v>
      </c>
      <c r="W744" s="1">
        <v>0.5</v>
      </c>
      <c r="X744" s="1">
        <v>1220</v>
      </c>
      <c r="AC744" s="3">
        <v>3.32</v>
      </c>
      <c r="AD744" s="3">
        <f t="shared" si="305"/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f t="shared" si="299"/>
        <v>3.32</v>
      </c>
      <c r="AK744" s="1">
        <v>0</v>
      </c>
      <c r="AL744" s="3">
        <f>AC744</f>
        <v>3.32</v>
      </c>
      <c r="AM744" s="1">
        <v>0</v>
      </c>
      <c r="AN744" s="1">
        <v>0</v>
      </c>
      <c r="AO744" s="1">
        <v>0</v>
      </c>
      <c r="AP744" s="3">
        <f t="shared" si="302"/>
        <v>0</v>
      </c>
    </row>
    <row r="745" spans="1:42" x14ac:dyDescent="0.35">
      <c r="A745" s="1">
        <v>743</v>
      </c>
      <c r="B745" s="2">
        <v>45870</v>
      </c>
      <c r="C745" s="1" t="s">
        <v>64</v>
      </c>
      <c r="F745" s="1" t="s">
        <v>521</v>
      </c>
      <c r="G745" s="1" t="s">
        <v>1367</v>
      </c>
      <c r="H745" s="1" t="s">
        <v>63</v>
      </c>
      <c r="I745" s="1" t="s">
        <v>1368</v>
      </c>
      <c r="K745" s="1" t="s">
        <v>970</v>
      </c>
      <c r="L745" s="1" t="str">
        <f t="shared" si="308"/>
        <v>BPRS</v>
      </c>
      <c r="M745" s="1" t="s">
        <v>1017</v>
      </c>
      <c r="Q745" s="1" t="s">
        <v>224</v>
      </c>
      <c r="R745" s="1">
        <v>1851092</v>
      </c>
      <c r="S745" s="1" t="s">
        <v>276</v>
      </c>
      <c r="T745" s="1" t="s">
        <v>139</v>
      </c>
      <c r="U745" s="1" t="s">
        <v>140</v>
      </c>
      <c r="V745" s="1" t="s">
        <v>141</v>
      </c>
      <c r="W745" s="1">
        <v>0.4</v>
      </c>
      <c r="X745" s="1">
        <v>1250</v>
      </c>
      <c r="AC745" s="3">
        <v>16.09</v>
      </c>
      <c r="AD745" s="3">
        <f t="shared" si="305"/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f t="shared" si="299"/>
        <v>16.09</v>
      </c>
      <c r="AK745" s="3">
        <f>AC745</f>
        <v>16.09</v>
      </c>
      <c r="AL745" s="1">
        <v>0</v>
      </c>
      <c r="AM745" s="1">
        <v>0</v>
      </c>
      <c r="AN745" s="1">
        <v>0</v>
      </c>
      <c r="AO745" s="1">
        <v>0</v>
      </c>
      <c r="AP745" s="3">
        <f t="shared" si="302"/>
        <v>0</v>
      </c>
    </row>
    <row r="746" spans="1:42" x14ac:dyDescent="0.35">
      <c r="A746" s="1">
        <v>744</v>
      </c>
      <c r="B746" s="2">
        <v>45868</v>
      </c>
      <c r="C746" s="1" t="s">
        <v>64</v>
      </c>
      <c r="F746" s="1" t="s">
        <v>578</v>
      </c>
      <c r="G746" s="1" t="s">
        <v>1367</v>
      </c>
      <c r="H746" s="1" t="s">
        <v>86</v>
      </c>
      <c r="I746" s="1" t="s">
        <v>968</v>
      </c>
      <c r="K746" s="1" t="s">
        <v>969</v>
      </c>
      <c r="L746" s="1" t="str">
        <f t="shared" si="308"/>
        <v>IPP</v>
      </c>
      <c r="M746" s="1" t="s">
        <v>1232</v>
      </c>
      <c r="Q746" s="1" t="s">
        <v>1174</v>
      </c>
      <c r="R746" s="1">
        <v>3902332</v>
      </c>
      <c r="S746" s="1" t="s">
        <v>142</v>
      </c>
      <c r="T746" s="1" t="s">
        <v>88</v>
      </c>
      <c r="U746" s="1" t="s">
        <v>89</v>
      </c>
      <c r="V746" s="1" t="s">
        <v>143</v>
      </c>
      <c r="W746" s="1">
        <v>0.5</v>
      </c>
      <c r="X746" s="1">
        <v>1220</v>
      </c>
      <c r="AC746" s="3">
        <v>37.289999999999992</v>
      </c>
      <c r="AD746" s="3">
        <f t="shared" si="305"/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f t="shared" si="299"/>
        <v>37.289999999999992</v>
      </c>
      <c r="AK746" s="1">
        <v>0</v>
      </c>
      <c r="AL746" s="3">
        <f t="shared" ref="AL746:AL754" si="309">AC746</f>
        <v>37.289999999999992</v>
      </c>
      <c r="AM746" s="1">
        <v>0</v>
      </c>
      <c r="AN746" s="1">
        <v>0</v>
      </c>
      <c r="AO746" s="1">
        <v>0</v>
      </c>
      <c r="AP746" s="3">
        <f t="shared" si="302"/>
        <v>0</v>
      </c>
    </row>
    <row r="747" spans="1:42" x14ac:dyDescent="0.35">
      <c r="A747" s="1">
        <v>744</v>
      </c>
      <c r="B747" s="2">
        <v>45868</v>
      </c>
      <c r="C747" s="1" t="s">
        <v>64</v>
      </c>
      <c r="F747" s="1" t="s">
        <v>581</v>
      </c>
      <c r="G747" s="1" t="s">
        <v>1367</v>
      </c>
      <c r="H747" s="1" t="s">
        <v>86</v>
      </c>
      <c r="I747" s="1" t="s">
        <v>968</v>
      </c>
      <c r="K747" s="1" t="s">
        <v>969</v>
      </c>
      <c r="L747" s="1" t="str">
        <f t="shared" si="308"/>
        <v>IPP</v>
      </c>
      <c r="M747" s="1" t="s">
        <v>1232</v>
      </c>
      <c r="Q747" s="1" t="s">
        <v>1174</v>
      </c>
      <c r="R747" s="1">
        <v>3940122</v>
      </c>
      <c r="S747" s="1" t="s">
        <v>281</v>
      </c>
      <c r="T747" s="1" t="s">
        <v>88</v>
      </c>
      <c r="U747" s="1" t="s">
        <v>89</v>
      </c>
      <c r="V747" s="1" t="s">
        <v>143</v>
      </c>
      <c r="W747" s="1">
        <v>0.47</v>
      </c>
      <c r="X747" s="1">
        <v>1220</v>
      </c>
      <c r="AC747" s="3">
        <v>16.895</v>
      </c>
      <c r="AD747" s="3">
        <f t="shared" si="305"/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f t="shared" si="299"/>
        <v>16.895</v>
      </c>
      <c r="AK747" s="1">
        <v>0</v>
      </c>
      <c r="AL747" s="3">
        <f t="shared" si="309"/>
        <v>16.895</v>
      </c>
      <c r="AM747" s="1">
        <v>0</v>
      </c>
      <c r="AN747" s="1">
        <v>0</v>
      </c>
      <c r="AO747" s="1">
        <v>0</v>
      </c>
      <c r="AP747" s="3">
        <f t="shared" si="302"/>
        <v>0</v>
      </c>
    </row>
    <row r="748" spans="1:42" x14ac:dyDescent="0.35">
      <c r="A748" s="1">
        <v>744</v>
      </c>
      <c r="B748" s="2">
        <v>45868</v>
      </c>
      <c r="C748" s="1" t="s">
        <v>64</v>
      </c>
      <c r="F748" s="1" t="s">
        <v>560</v>
      </c>
      <c r="G748" s="1" t="s">
        <v>1367</v>
      </c>
      <c r="H748" s="1" t="s">
        <v>86</v>
      </c>
      <c r="I748" s="1" t="s">
        <v>968</v>
      </c>
      <c r="K748" s="1" t="s">
        <v>969</v>
      </c>
      <c r="L748" s="1" t="str">
        <f t="shared" si="308"/>
        <v>IPP</v>
      </c>
      <c r="M748" s="1" t="s">
        <v>1232</v>
      </c>
      <c r="Q748" s="1" t="s">
        <v>1174</v>
      </c>
      <c r="R748" s="1">
        <v>3902332</v>
      </c>
      <c r="S748" s="1" t="s">
        <v>142</v>
      </c>
      <c r="T748" s="1" t="s">
        <v>88</v>
      </c>
      <c r="U748" s="1" t="s">
        <v>89</v>
      </c>
      <c r="V748" s="1" t="s">
        <v>143</v>
      </c>
      <c r="W748" s="1">
        <v>0.5</v>
      </c>
      <c r="X748" s="1">
        <v>1220</v>
      </c>
      <c r="AC748" s="3">
        <v>9.1449999999999996</v>
      </c>
      <c r="AD748" s="3">
        <f t="shared" si="305"/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f t="shared" si="299"/>
        <v>9.1449999999999996</v>
      </c>
      <c r="AK748" s="1">
        <v>0</v>
      </c>
      <c r="AL748" s="3">
        <f t="shared" si="309"/>
        <v>9.1449999999999996</v>
      </c>
      <c r="AM748" s="1">
        <v>0</v>
      </c>
      <c r="AN748" s="1">
        <v>0</v>
      </c>
      <c r="AO748" s="1">
        <v>0</v>
      </c>
      <c r="AP748" s="3">
        <f t="shared" si="302"/>
        <v>0</v>
      </c>
    </row>
    <row r="749" spans="1:42" x14ac:dyDescent="0.35">
      <c r="A749" s="1">
        <v>744</v>
      </c>
      <c r="B749" s="2">
        <v>45868</v>
      </c>
      <c r="C749" s="1" t="s">
        <v>64</v>
      </c>
      <c r="F749" s="1" t="s">
        <v>582</v>
      </c>
      <c r="G749" s="1" t="s">
        <v>1367</v>
      </c>
      <c r="H749" s="1" t="s">
        <v>86</v>
      </c>
      <c r="I749" s="1" t="s">
        <v>968</v>
      </c>
      <c r="K749" s="1" t="s">
        <v>969</v>
      </c>
      <c r="L749" s="1" t="str">
        <f t="shared" si="308"/>
        <v>IPP</v>
      </c>
      <c r="M749" s="1" t="s">
        <v>1232</v>
      </c>
      <c r="Q749" s="1" t="s">
        <v>1174</v>
      </c>
      <c r="R749" s="1">
        <v>3902332</v>
      </c>
      <c r="S749" s="1" t="s">
        <v>142</v>
      </c>
      <c r="T749" s="1" t="s">
        <v>88</v>
      </c>
      <c r="U749" s="1" t="s">
        <v>89</v>
      </c>
      <c r="V749" s="1" t="s">
        <v>143</v>
      </c>
      <c r="W749" s="1">
        <v>0.5</v>
      </c>
      <c r="X749" s="1">
        <v>1220</v>
      </c>
      <c r="AC749" s="3">
        <v>4.12</v>
      </c>
      <c r="AD749" s="3">
        <f t="shared" si="305"/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f t="shared" si="299"/>
        <v>4.12</v>
      </c>
      <c r="AK749" s="1">
        <v>0</v>
      </c>
      <c r="AL749" s="3">
        <f t="shared" si="309"/>
        <v>4.12</v>
      </c>
      <c r="AM749" s="1">
        <v>0</v>
      </c>
      <c r="AN749" s="1">
        <v>0</v>
      </c>
      <c r="AO749" s="1">
        <v>0</v>
      </c>
      <c r="AP749" s="3">
        <f t="shared" si="302"/>
        <v>0</v>
      </c>
    </row>
    <row r="750" spans="1:42" x14ac:dyDescent="0.35">
      <c r="A750" s="1">
        <v>744</v>
      </c>
      <c r="B750" s="2">
        <v>45868</v>
      </c>
      <c r="C750" s="1" t="s">
        <v>64</v>
      </c>
      <c r="F750" s="1" t="s">
        <v>583</v>
      </c>
      <c r="G750" s="1" t="s">
        <v>1367</v>
      </c>
      <c r="H750" s="1" t="s">
        <v>86</v>
      </c>
      <c r="I750" s="1" t="s">
        <v>968</v>
      </c>
      <c r="K750" s="1" t="s">
        <v>969</v>
      </c>
      <c r="L750" s="1" t="str">
        <f t="shared" si="308"/>
        <v>IPP</v>
      </c>
      <c r="M750" s="1" t="s">
        <v>1232</v>
      </c>
      <c r="Q750" s="1" t="s">
        <v>1174</v>
      </c>
      <c r="R750" s="1">
        <v>3940122</v>
      </c>
      <c r="S750" s="1" t="s">
        <v>281</v>
      </c>
      <c r="T750" s="1" t="s">
        <v>88</v>
      </c>
      <c r="U750" s="1" t="s">
        <v>89</v>
      </c>
      <c r="V750" s="1" t="s">
        <v>143</v>
      </c>
      <c r="W750" s="1">
        <v>0.47</v>
      </c>
      <c r="X750" s="1">
        <v>1220</v>
      </c>
      <c r="AC750" s="3">
        <v>11.754999999999999</v>
      </c>
      <c r="AD750" s="3">
        <f t="shared" si="305"/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f t="shared" si="299"/>
        <v>11.754999999999999</v>
      </c>
      <c r="AK750" s="1">
        <v>0</v>
      </c>
      <c r="AL750" s="3">
        <f t="shared" si="309"/>
        <v>11.754999999999999</v>
      </c>
      <c r="AM750" s="1">
        <v>0</v>
      </c>
      <c r="AN750" s="1">
        <v>0</v>
      </c>
      <c r="AO750" s="1">
        <v>0</v>
      </c>
      <c r="AP750" s="3">
        <f t="shared" si="302"/>
        <v>0</v>
      </c>
    </row>
    <row r="751" spans="1:42" x14ac:dyDescent="0.35">
      <c r="A751" s="1">
        <v>744</v>
      </c>
      <c r="B751" s="2">
        <v>45868</v>
      </c>
      <c r="C751" s="1" t="s">
        <v>64</v>
      </c>
      <c r="F751" s="1" t="s">
        <v>584</v>
      </c>
      <c r="G751" s="1" t="s">
        <v>1367</v>
      </c>
      <c r="H751" s="1" t="s">
        <v>86</v>
      </c>
      <c r="I751" s="1" t="s">
        <v>968</v>
      </c>
      <c r="K751" s="1" t="s">
        <v>969</v>
      </c>
      <c r="L751" s="1" t="str">
        <f t="shared" si="308"/>
        <v>IPP</v>
      </c>
      <c r="M751" s="1" t="s">
        <v>1232</v>
      </c>
      <c r="Q751" s="1" t="s">
        <v>1174</v>
      </c>
      <c r="R751" s="1">
        <v>3940122</v>
      </c>
      <c r="S751" s="1" t="s">
        <v>281</v>
      </c>
      <c r="T751" s="1" t="s">
        <v>88</v>
      </c>
      <c r="U751" s="1" t="s">
        <v>89</v>
      </c>
      <c r="V751" s="1" t="s">
        <v>143</v>
      </c>
      <c r="W751" s="1">
        <v>0.47</v>
      </c>
      <c r="X751" s="1">
        <v>1220</v>
      </c>
      <c r="AC751" s="3">
        <v>17.635000000000002</v>
      </c>
      <c r="AD751" s="3">
        <f t="shared" si="305"/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f t="shared" si="299"/>
        <v>17.635000000000002</v>
      </c>
      <c r="AK751" s="1">
        <v>0</v>
      </c>
      <c r="AL751" s="3">
        <f t="shared" si="309"/>
        <v>17.635000000000002</v>
      </c>
      <c r="AM751" s="1">
        <v>0</v>
      </c>
      <c r="AN751" s="1">
        <v>0</v>
      </c>
      <c r="AO751" s="1">
        <v>0</v>
      </c>
      <c r="AP751" s="3">
        <f t="shared" si="302"/>
        <v>0</v>
      </c>
    </row>
    <row r="752" spans="1:42" x14ac:dyDescent="0.35">
      <c r="A752" s="1">
        <v>744</v>
      </c>
      <c r="B752" s="2">
        <v>45868</v>
      </c>
      <c r="C752" s="1" t="s">
        <v>64</v>
      </c>
      <c r="F752" s="1" t="s">
        <v>579</v>
      </c>
      <c r="G752" s="1" t="s">
        <v>1367</v>
      </c>
      <c r="H752" s="1" t="s">
        <v>86</v>
      </c>
      <c r="I752" s="1" t="s">
        <v>968</v>
      </c>
      <c r="K752" s="1" t="s">
        <v>969</v>
      </c>
      <c r="L752" s="1" t="str">
        <f t="shared" si="308"/>
        <v>IPP</v>
      </c>
      <c r="M752" s="1" t="s">
        <v>1232</v>
      </c>
      <c r="Q752" s="1" t="s">
        <v>1174</v>
      </c>
      <c r="R752" s="1">
        <v>3902332</v>
      </c>
      <c r="S752" s="1" t="s">
        <v>142</v>
      </c>
      <c r="T752" s="1" t="s">
        <v>88</v>
      </c>
      <c r="U752" s="1" t="s">
        <v>89</v>
      </c>
      <c r="V752" s="1" t="s">
        <v>143</v>
      </c>
      <c r="W752" s="1">
        <v>0.5</v>
      </c>
      <c r="X752" s="1">
        <v>1220</v>
      </c>
      <c r="AC752" s="3">
        <v>31.03</v>
      </c>
      <c r="AD752" s="3">
        <f t="shared" si="305"/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f t="shared" si="299"/>
        <v>31.03</v>
      </c>
      <c r="AK752" s="1">
        <v>0</v>
      </c>
      <c r="AL752" s="3">
        <f t="shared" si="309"/>
        <v>31.03</v>
      </c>
      <c r="AM752" s="1">
        <v>0</v>
      </c>
      <c r="AN752" s="1">
        <v>0</v>
      </c>
      <c r="AO752" s="1">
        <v>0</v>
      </c>
      <c r="AP752" s="3">
        <f t="shared" si="302"/>
        <v>0</v>
      </c>
    </row>
    <row r="753" spans="1:42" x14ac:dyDescent="0.35">
      <c r="A753" s="1">
        <v>744</v>
      </c>
      <c r="B753" s="2">
        <v>45868</v>
      </c>
      <c r="C753" s="1" t="s">
        <v>64</v>
      </c>
      <c r="F753" s="1" t="s">
        <v>559</v>
      </c>
      <c r="G753" s="1" t="s">
        <v>1367</v>
      </c>
      <c r="H753" s="1" t="s">
        <v>86</v>
      </c>
      <c r="I753" s="1" t="s">
        <v>968</v>
      </c>
      <c r="K753" s="1" t="s">
        <v>969</v>
      </c>
      <c r="L753" s="1" t="str">
        <f t="shared" si="308"/>
        <v>IPP</v>
      </c>
      <c r="M753" s="1" t="s">
        <v>1232</v>
      </c>
      <c r="Q753" s="1" t="s">
        <v>1174</v>
      </c>
      <c r="R753" s="1">
        <v>3940122</v>
      </c>
      <c r="S753" s="1" t="s">
        <v>281</v>
      </c>
      <c r="T753" s="1" t="s">
        <v>88</v>
      </c>
      <c r="U753" s="1" t="s">
        <v>89</v>
      </c>
      <c r="V753" s="1" t="s">
        <v>143</v>
      </c>
      <c r="W753" s="1">
        <v>0.47</v>
      </c>
      <c r="X753" s="1">
        <v>1220</v>
      </c>
      <c r="AC753" s="3">
        <v>3.76</v>
      </c>
      <c r="AD753" s="3">
        <f t="shared" si="305"/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f t="shared" si="299"/>
        <v>3.76</v>
      </c>
      <c r="AK753" s="1">
        <v>0</v>
      </c>
      <c r="AL753" s="3">
        <f t="shared" si="309"/>
        <v>3.76</v>
      </c>
      <c r="AM753" s="1">
        <v>0</v>
      </c>
      <c r="AN753" s="1">
        <v>0</v>
      </c>
      <c r="AO753" s="1">
        <v>0</v>
      </c>
      <c r="AP753" s="3">
        <f t="shared" si="302"/>
        <v>0</v>
      </c>
    </row>
    <row r="754" spans="1:42" x14ac:dyDescent="0.35">
      <c r="A754" s="1">
        <v>744</v>
      </c>
      <c r="B754" s="2">
        <v>45868</v>
      </c>
      <c r="C754" s="1" t="s">
        <v>64</v>
      </c>
      <c r="F754" s="1" t="s">
        <v>580</v>
      </c>
      <c r="G754" s="1" t="s">
        <v>1367</v>
      </c>
      <c r="H754" s="1" t="s">
        <v>86</v>
      </c>
      <c r="I754" s="1" t="s">
        <v>968</v>
      </c>
      <c r="K754" s="1" t="s">
        <v>969</v>
      </c>
      <c r="L754" s="1" t="str">
        <f t="shared" si="308"/>
        <v>IPP</v>
      </c>
      <c r="M754" s="1" t="s">
        <v>1232</v>
      </c>
      <c r="Q754" s="1" t="s">
        <v>1174</v>
      </c>
      <c r="R754" s="1">
        <v>3940122</v>
      </c>
      <c r="S754" s="1" t="s">
        <v>281</v>
      </c>
      <c r="T754" s="1" t="s">
        <v>88</v>
      </c>
      <c r="U754" s="1" t="s">
        <v>89</v>
      </c>
      <c r="V754" s="1" t="s">
        <v>143</v>
      </c>
      <c r="W754" s="1">
        <v>0.47</v>
      </c>
      <c r="X754" s="1">
        <v>1220</v>
      </c>
      <c r="AC754" s="3">
        <v>18.064999999999998</v>
      </c>
      <c r="AD754" s="3">
        <f t="shared" si="305"/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f t="shared" si="299"/>
        <v>18.064999999999998</v>
      </c>
      <c r="AK754" s="1">
        <v>0</v>
      </c>
      <c r="AL754" s="3">
        <f t="shared" si="309"/>
        <v>18.064999999999998</v>
      </c>
      <c r="AM754" s="1">
        <v>0</v>
      </c>
      <c r="AN754" s="1">
        <v>0</v>
      </c>
      <c r="AO754" s="1">
        <v>0</v>
      </c>
      <c r="AP754" s="3">
        <f t="shared" si="302"/>
        <v>0</v>
      </c>
    </row>
    <row r="755" spans="1:42" x14ac:dyDescent="0.35">
      <c r="A755" s="1">
        <v>742</v>
      </c>
      <c r="B755" s="2">
        <v>45890</v>
      </c>
      <c r="C755" s="1" t="s">
        <v>64</v>
      </c>
      <c r="F755" s="1" t="s">
        <v>781</v>
      </c>
      <c r="G755" s="1" t="s">
        <v>1367</v>
      </c>
      <c r="H755" s="1" t="s">
        <v>21</v>
      </c>
      <c r="I755" s="1" t="s">
        <v>71</v>
      </c>
      <c r="K755" s="1" t="s">
        <v>970</v>
      </c>
      <c r="L755" s="1" t="str">
        <f t="shared" si="308"/>
        <v>BPRS</v>
      </c>
      <c r="M755" s="1" t="s">
        <v>1018</v>
      </c>
      <c r="Q755" s="1" t="s">
        <v>311</v>
      </c>
      <c r="R755" s="1">
        <v>3239557</v>
      </c>
      <c r="S755" s="1" t="s">
        <v>158</v>
      </c>
      <c r="T755" s="1" t="s">
        <v>75</v>
      </c>
      <c r="U755" s="1" t="s">
        <v>122</v>
      </c>
      <c r="V755" s="1" t="s">
        <v>123</v>
      </c>
      <c r="W755" s="1">
        <v>0.4</v>
      </c>
      <c r="X755" s="1">
        <v>1250</v>
      </c>
      <c r="AC755" s="3">
        <v>2.46</v>
      </c>
      <c r="AD755" s="3">
        <f t="shared" si="305"/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f t="shared" si="299"/>
        <v>2.46</v>
      </c>
      <c r="AK755" s="3">
        <f>AC755</f>
        <v>2.46</v>
      </c>
      <c r="AL755" s="1">
        <v>0</v>
      </c>
      <c r="AM755" s="1">
        <v>0</v>
      </c>
      <c r="AN755" s="1">
        <v>0</v>
      </c>
      <c r="AO755" s="1">
        <v>0</v>
      </c>
      <c r="AP755" s="3">
        <f t="shared" si="302"/>
        <v>0</v>
      </c>
    </row>
    <row r="756" spans="1:42" x14ac:dyDescent="0.35">
      <c r="A756" s="1">
        <v>744</v>
      </c>
      <c r="B756" s="2">
        <v>45870</v>
      </c>
      <c r="C756" s="1" t="s">
        <v>64</v>
      </c>
      <c r="F756" s="1" t="s">
        <v>566</v>
      </c>
      <c r="G756" s="1" t="s">
        <v>1367</v>
      </c>
      <c r="H756" s="1" t="s">
        <v>86</v>
      </c>
      <c r="I756" s="1" t="s">
        <v>968</v>
      </c>
      <c r="K756" s="1" t="s">
        <v>969</v>
      </c>
      <c r="L756" s="1" t="str">
        <f t="shared" si="308"/>
        <v>IPP</v>
      </c>
      <c r="M756" s="1" t="s">
        <v>1232</v>
      </c>
      <c r="Q756" s="1" t="s">
        <v>1174</v>
      </c>
      <c r="R756" s="1">
        <v>3940122</v>
      </c>
      <c r="S756" s="1" t="s">
        <v>281</v>
      </c>
      <c r="T756" s="1" t="s">
        <v>88</v>
      </c>
      <c r="U756" s="1" t="s">
        <v>89</v>
      </c>
      <c r="V756" s="1" t="s">
        <v>143</v>
      </c>
      <c r="W756" s="1">
        <v>0.47</v>
      </c>
      <c r="X756" s="1">
        <v>1220</v>
      </c>
      <c r="AC756" s="3">
        <v>27.919999999999998</v>
      </c>
      <c r="AD756" s="3">
        <f t="shared" si="305"/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f t="shared" si="299"/>
        <v>27.919999999999998</v>
      </c>
      <c r="AK756" s="1">
        <v>0</v>
      </c>
      <c r="AL756" s="3">
        <f>AC756</f>
        <v>27.919999999999998</v>
      </c>
      <c r="AM756" s="1">
        <v>0</v>
      </c>
      <c r="AN756" s="1">
        <v>0</v>
      </c>
      <c r="AO756" s="1">
        <v>0</v>
      </c>
      <c r="AP756" s="3">
        <f t="shared" si="302"/>
        <v>0</v>
      </c>
    </row>
    <row r="757" spans="1:42" x14ac:dyDescent="0.35">
      <c r="A757" s="1">
        <v>744</v>
      </c>
      <c r="B757" s="2">
        <v>45870</v>
      </c>
      <c r="C757" s="1" t="s">
        <v>64</v>
      </c>
      <c r="F757" s="1" t="s">
        <v>567</v>
      </c>
      <c r="G757" s="1" t="s">
        <v>1367</v>
      </c>
      <c r="H757" s="1" t="s">
        <v>86</v>
      </c>
      <c r="I757" s="1" t="s">
        <v>968</v>
      </c>
      <c r="K757" s="1" t="s">
        <v>969</v>
      </c>
      <c r="L757" s="1" t="str">
        <f t="shared" si="308"/>
        <v>IPP</v>
      </c>
      <c r="M757" s="1" t="s">
        <v>1232</v>
      </c>
      <c r="Q757" s="1" t="s">
        <v>1174</v>
      </c>
      <c r="R757" s="1">
        <v>3902332</v>
      </c>
      <c r="S757" s="1" t="s">
        <v>142</v>
      </c>
      <c r="T757" s="1" t="s">
        <v>88</v>
      </c>
      <c r="U757" s="1" t="s">
        <v>89</v>
      </c>
      <c r="V757" s="1" t="s">
        <v>143</v>
      </c>
      <c r="W757" s="1">
        <v>0.5</v>
      </c>
      <c r="X757" s="1">
        <v>1220</v>
      </c>
      <c r="AC757" s="3">
        <v>12.475000000000001</v>
      </c>
      <c r="AD757" s="3">
        <f t="shared" si="305"/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f t="shared" si="299"/>
        <v>12.475000000000001</v>
      </c>
      <c r="AK757" s="1">
        <v>0</v>
      </c>
      <c r="AL757" s="3">
        <f>AC757</f>
        <v>12.475000000000001</v>
      </c>
      <c r="AM757" s="1">
        <v>0</v>
      </c>
      <c r="AN757" s="1">
        <v>0</v>
      </c>
      <c r="AO757" s="1">
        <v>0</v>
      </c>
      <c r="AP757" s="3">
        <f t="shared" si="302"/>
        <v>0</v>
      </c>
    </row>
    <row r="758" spans="1:42" x14ac:dyDescent="0.35">
      <c r="A758" s="1">
        <v>744</v>
      </c>
      <c r="B758" s="2">
        <v>45870</v>
      </c>
      <c r="C758" s="1" t="s">
        <v>64</v>
      </c>
      <c r="F758" s="1" t="s">
        <v>568</v>
      </c>
      <c r="G758" s="1" t="s">
        <v>1367</v>
      </c>
      <c r="H758" s="1" t="s">
        <v>86</v>
      </c>
      <c r="I758" s="1" t="s">
        <v>968</v>
      </c>
      <c r="K758" s="1" t="s">
        <v>969</v>
      </c>
      <c r="L758" s="1" t="str">
        <f t="shared" si="308"/>
        <v>IPP</v>
      </c>
      <c r="M758" s="1" t="s">
        <v>1232</v>
      </c>
      <c r="Q758" s="1" t="s">
        <v>1174</v>
      </c>
      <c r="R758" s="1">
        <v>3902332</v>
      </c>
      <c r="S758" s="1" t="s">
        <v>142</v>
      </c>
      <c r="T758" s="1" t="s">
        <v>88</v>
      </c>
      <c r="U758" s="1" t="s">
        <v>89</v>
      </c>
      <c r="V758" s="1" t="s">
        <v>143</v>
      </c>
      <c r="W758" s="1">
        <v>0.5</v>
      </c>
      <c r="X758" s="1">
        <v>1220</v>
      </c>
      <c r="AC758" s="3">
        <v>12.824999999999999</v>
      </c>
      <c r="AD758" s="3">
        <f t="shared" si="305"/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f t="shared" si="299"/>
        <v>12.824999999999999</v>
      </c>
      <c r="AK758" s="1">
        <v>0</v>
      </c>
      <c r="AL758" s="3">
        <f>AC758</f>
        <v>12.824999999999999</v>
      </c>
      <c r="AM758" s="1">
        <v>0</v>
      </c>
      <c r="AN758" s="1">
        <v>0</v>
      </c>
      <c r="AO758" s="1">
        <v>0</v>
      </c>
      <c r="AP758" s="3">
        <f t="shared" si="302"/>
        <v>0</v>
      </c>
    </row>
    <row r="759" spans="1:42" x14ac:dyDescent="0.35">
      <c r="A759" s="1">
        <v>742</v>
      </c>
      <c r="C759" s="1" t="s">
        <v>52</v>
      </c>
      <c r="F759" s="1" t="s">
        <v>992</v>
      </c>
      <c r="G759" s="1" t="s">
        <v>1367</v>
      </c>
      <c r="H759" s="1" t="s">
        <v>21</v>
      </c>
      <c r="I759" s="1" t="s">
        <v>976</v>
      </c>
      <c r="K759" s="1" t="s">
        <v>970</v>
      </c>
      <c r="L759" s="1" t="str">
        <f>K759</f>
        <v>BPRS</v>
      </c>
      <c r="M759" s="1" t="s">
        <v>1017</v>
      </c>
      <c r="Q759" s="1" t="s">
        <v>49</v>
      </c>
      <c r="R759" s="1">
        <v>2439201</v>
      </c>
      <c r="S759" s="1" t="s">
        <v>116</v>
      </c>
      <c r="T759" s="1" t="s">
        <v>28</v>
      </c>
      <c r="U759" s="1" t="s">
        <v>117</v>
      </c>
      <c r="V759" s="1" t="s">
        <v>118</v>
      </c>
      <c r="W759" s="1">
        <v>0.5</v>
      </c>
      <c r="X759" s="1">
        <v>1170</v>
      </c>
      <c r="AC759" s="3">
        <v>6.9550000000000001</v>
      </c>
      <c r="AD759" s="3">
        <f t="shared" si="305"/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f t="shared" si="299"/>
        <v>6.9550000000000001</v>
      </c>
      <c r="AK759" s="3">
        <f>AC759</f>
        <v>6.9550000000000001</v>
      </c>
      <c r="AL759" s="1">
        <v>0</v>
      </c>
      <c r="AM759" s="1">
        <v>0</v>
      </c>
      <c r="AN759" s="1">
        <v>0</v>
      </c>
      <c r="AO759" s="1">
        <v>0</v>
      </c>
      <c r="AP759" s="3">
        <f t="shared" si="302"/>
        <v>0</v>
      </c>
    </row>
    <row r="760" spans="1:42" x14ac:dyDescent="0.35">
      <c r="A760" s="1">
        <v>744</v>
      </c>
      <c r="B760" s="2">
        <v>45870</v>
      </c>
      <c r="C760" s="1" t="s">
        <v>64</v>
      </c>
      <c r="F760" s="1" t="s">
        <v>569</v>
      </c>
      <c r="G760" s="1" t="s">
        <v>1367</v>
      </c>
      <c r="H760" s="1" t="s">
        <v>86</v>
      </c>
      <c r="I760" s="1" t="s">
        <v>968</v>
      </c>
      <c r="K760" s="1" t="s">
        <v>969</v>
      </c>
      <c r="L760" s="1" t="str">
        <f t="shared" ref="L760:L761" si="310">K760</f>
        <v>IPP</v>
      </c>
      <c r="M760" s="1" t="s">
        <v>1232</v>
      </c>
      <c r="Q760" s="1" t="s">
        <v>1174</v>
      </c>
      <c r="R760" s="1">
        <v>3902332</v>
      </c>
      <c r="S760" s="1" t="s">
        <v>142</v>
      </c>
      <c r="T760" s="1" t="s">
        <v>88</v>
      </c>
      <c r="U760" s="1" t="s">
        <v>89</v>
      </c>
      <c r="V760" s="1" t="s">
        <v>143</v>
      </c>
      <c r="W760" s="1">
        <v>0.5</v>
      </c>
      <c r="X760" s="1">
        <v>1220</v>
      </c>
      <c r="AC760" s="3">
        <v>66.485000000000014</v>
      </c>
      <c r="AD760" s="3">
        <f t="shared" si="305"/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f t="shared" ref="AJ760:AJ803" si="311">SUM(AK760:AO760)</f>
        <v>66.485000000000014</v>
      </c>
      <c r="AK760" s="1">
        <v>0</v>
      </c>
      <c r="AL760" s="3">
        <f>AC760</f>
        <v>66.485000000000014</v>
      </c>
      <c r="AM760" s="1">
        <v>0</v>
      </c>
      <c r="AN760" s="1">
        <v>0</v>
      </c>
      <c r="AO760" s="1">
        <v>0</v>
      </c>
      <c r="AP760" s="3">
        <f t="shared" si="302"/>
        <v>0</v>
      </c>
    </row>
    <row r="761" spans="1:42" x14ac:dyDescent="0.35">
      <c r="A761" s="1">
        <v>744</v>
      </c>
      <c r="B761" s="2">
        <v>45870</v>
      </c>
      <c r="C761" s="1" t="s">
        <v>64</v>
      </c>
      <c r="F761" s="1" t="s">
        <v>585</v>
      </c>
      <c r="G761" s="1" t="s">
        <v>1367</v>
      </c>
      <c r="H761" s="1" t="s">
        <v>86</v>
      </c>
      <c r="I761" s="1" t="s">
        <v>968</v>
      </c>
      <c r="K761" s="1" t="s">
        <v>969</v>
      </c>
      <c r="L761" s="1" t="str">
        <f t="shared" si="310"/>
        <v>IPP</v>
      </c>
      <c r="M761" s="1" t="s">
        <v>1232</v>
      </c>
      <c r="Q761" s="1" t="s">
        <v>1174</v>
      </c>
      <c r="R761" s="1">
        <v>3902332</v>
      </c>
      <c r="S761" s="1" t="s">
        <v>142</v>
      </c>
      <c r="T761" s="1" t="s">
        <v>88</v>
      </c>
      <c r="U761" s="1" t="s">
        <v>89</v>
      </c>
      <c r="V761" s="1" t="s">
        <v>143</v>
      </c>
      <c r="W761" s="1">
        <v>0.5</v>
      </c>
      <c r="X761" s="1">
        <v>1220</v>
      </c>
      <c r="AC761" s="3">
        <v>44.04</v>
      </c>
      <c r="AD761" s="3">
        <f t="shared" si="305"/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f t="shared" si="311"/>
        <v>44.04</v>
      </c>
      <c r="AK761" s="1">
        <v>0</v>
      </c>
      <c r="AL761" s="3">
        <f>AC761</f>
        <v>44.04</v>
      </c>
      <c r="AM761" s="1">
        <v>0</v>
      </c>
      <c r="AN761" s="1">
        <v>0</v>
      </c>
      <c r="AO761" s="1">
        <v>0</v>
      </c>
      <c r="AP761" s="3">
        <f t="shared" si="302"/>
        <v>0</v>
      </c>
    </row>
    <row r="762" spans="1:42" x14ac:dyDescent="0.35">
      <c r="A762" s="1">
        <v>743</v>
      </c>
      <c r="C762" s="1" t="s">
        <v>52</v>
      </c>
      <c r="F762" s="1" t="s">
        <v>999</v>
      </c>
      <c r="G762" s="1" t="s">
        <v>1367</v>
      </c>
      <c r="H762" s="1" t="s">
        <v>63</v>
      </c>
      <c r="I762" s="1" t="s">
        <v>1404</v>
      </c>
      <c r="K762" s="1" t="s">
        <v>970</v>
      </c>
      <c r="L762" s="1" t="str">
        <f>K762</f>
        <v>BPRS</v>
      </c>
      <c r="M762" s="1" t="s">
        <v>1018</v>
      </c>
      <c r="Q762" s="1" t="s">
        <v>78</v>
      </c>
      <c r="R762" s="1">
        <v>3484324</v>
      </c>
      <c r="S762" s="1" t="s">
        <v>379</v>
      </c>
      <c r="T762" s="1" t="s">
        <v>169</v>
      </c>
      <c r="U762" s="1" t="s">
        <v>140</v>
      </c>
      <c r="V762" s="1" t="s">
        <v>150</v>
      </c>
      <c r="W762" s="1">
        <v>0.3</v>
      </c>
      <c r="X762" s="1">
        <v>900</v>
      </c>
      <c r="AC762" s="3">
        <v>14.23</v>
      </c>
      <c r="AD762" s="3">
        <f t="shared" si="305"/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f t="shared" si="311"/>
        <v>14.23</v>
      </c>
      <c r="AK762" s="3">
        <f>AC762</f>
        <v>14.23</v>
      </c>
      <c r="AL762" s="1">
        <v>0</v>
      </c>
      <c r="AM762" s="1">
        <v>0</v>
      </c>
      <c r="AN762" s="1">
        <v>0</v>
      </c>
      <c r="AO762" s="1">
        <v>0</v>
      </c>
      <c r="AP762" s="3">
        <f t="shared" si="302"/>
        <v>0</v>
      </c>
    </row>
    <row r="763" spans="1:42" x14ac:dyDescent="0.35">
      <c r="A763" s="1">
        <v>743</v>
      </c>
      <c r="B763" s="2">
        <v>45874</v>
      </c>
      <c r="C763" s="1" t="s">
        <v>64</v>
      </c>
      <c r="F763" s="1" t="s">
        <v>645</v>
      </c>
      <c r="G763" s="1" t="s">
        <v>1367</v>
      </c>
      <c r="H763" s="1" t="s">
        <v>63</v>
      </c>
      <c r="I763" s="1" t="s">
        <v>1291</v>
      </c>
      <c r="K763" s="1" t="s">
        <v>970</v>
      </c>
      <c r="L763" s="1" t="str">
        <f t="shared" ref="L763:L764" si="312">K763</f>
        <v>BPRS</v>
      </c>
      <c r="M763" s="1" t="s">
        <v>1018</v>
      </c>
      <c r="Q763" s="1" t="s">
        <v>155</v>
      </c>
      <c r="R763" s="1">
        <v>3907468</v>
      </c>
      <c r="S763" s="1" t="s">
        <v>323</v>
      </c>
      <c r="T763" s="1" t="s">
        <v>68</v>
      </c>
      <c r="U763" s="1" t="s">
        <v>140</v>
      </c>
      <c r="V763" s="1" t="s">
        <v>70</v>
      </c>
      <c r="W763" s="1">
        <v>0.35</v>
      </c>
      <c r="X763" s="1">
        <v>1350</v>
      </c>
      <c r="AC763" s="3">
        <v>19.414999999999999</v>
      </c>
      <c r="AD763" s="3">
        <f t="shared" si="305"/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f t="shared" si="311"/>
        <v>19.414999999999999</v>
      </c>
      <c r="AK763" s="3">
        <f>AC763</f>
        <v>19.414999999999999</v>
      </c>
      <c r="AL763" s="1">
        <v>0</v>
      </c>
      <c r="AM763" s="1">
        <v>0</v>
      </c>
      <c r="AN763" s="1">
        <v>0</v>
      </c>
      <c r="AO763" s="1">
        <v>0</v>
      </c>
      <c r="AP763" s="3">
        <f t="shared" si="302"/>
        <v>0</v>
      </c>
    </row>
    <row r="764" spans="1:42" x14ac:dyDescent="0.35">
      <c r="A764" s="1">
        <v>744</v>
      </c>
      <c r="B764" s="2">
        <v>45877</v>
      </c>
      <c r="C764" s="1" t="s">
        <v>64</v>
      </c>
      <c r="F764" s="1" t="s">
        <v>606</v>
      </c>
      <c r="G764" s="1" t="s">
        <v>1367</v>
      </c>
      <c r="H764" s="1" t="s">
        <v>86</v>
      </c>
      <c r="I764" s="1" t="s">
        <v>968</v>
      </c>
      <c r="K764" s="1" t="s">
        <v>969</v>
      </c>
      <c r="L764" s="1" t="str">
        <f t="shared" si="312"/>
        <v>IPP</v>
      </c>
      <c r="M764" s="1" t="s">
        <v>1232</v>
      </c>
      <c r="Q764" s="1" t="s">
        <v>1174</v>
      </c>
      <c r="R764" s="1">
        <v>3940122</v>
      </c>
      <c r="S764" s="1" t="s">
        <v>281</v>
      </c>
      <c r="T764" s="1" t="s">
        <v>88</v>
      </c>
      <c r="U764" s="1" t="s">
        <v>89</v>
      </c>
      <c r="V764" s="1" t="s">
        <v>143</v>
      </c>
      <c r="W764" s="1">
        <v>0.47</v>
      </c>
      <c r="X764" s="1">
        <v>1220</v>
      </c>
      <c r="AC764" s="3">
        <v>4.13</v>
      </c>
      <c r="AD764" s="3">
        <f t="shared" si="305"/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f t="shared" si="311"/>
        <v>4.13</v>
      </c>
      <c r="AK764" s="1">
        <v>0</v>
      </c>
      <c r="AL764" s="3">
        <f>AC764</f>
        <v>4.13</v>
      </c>
      <c r="AM764" s="1">
        <v>0</v>
      </c>
      <c r="AN764" s="1">
        <v>0</v>
      </c>
      <c r="AO764" s="1">
        <v>0</v>
      </c>
      <c r="AP764" s="3">
        <f t="shared" si="302"/>
        <v>0</v>
      </c>
    </row>
    <row r="765" spans="1:42" x14ac:dyDescent="0.35">
      <c r="A765" s="1">
        <v>742</v>
      </c>
      <c r="B765" s="2">
        <v>45889</v>
      </c>
      <c r="C765" s="1" t="s">
        <v>46</v>
      </c>
      <c r="F765" s="1" t="s">
        <v>860</v>
      </c>
      <c r="G765" s="1" t="s">
        <v>1367</v>
      </c>
      <c r="H765" s="1" t="s">
        <v>21</v>
      </c>
      <c r="I765" s="1" t="s">
        <v>971</v>
      </c>
      <c r="K765" s="1" t="s">
        <v>971</v>
      </c>
      <c r="L765" s="1" t="s">
        <v>971</v>
      </c>
      <c r="M765" s="1" t="s">
        <v>1016</v>
      </c>
      <c r="Q765" s="1" t="s">
        <v>466</v>
      </c>
      <c r="R765" s="1">
        <v>2279503</v>
      </c>
      <c r="S765" s="1" t="s">
        <v>469</v>
      </c>
      <c r="T765" s="1" t="s">
        <v>28</v>
      </c>
      <c r="U765" s="1" t="s">
        <v>189</v>
      </c>
      <c r="V765" s="1" t="s">
        <v>468</v>
      </c>
      <c r="W765" s="1">
        <v>1.6</v>
      </c>
      <c r="X765" s="1">
        <v>1270</v>
      </c>
      <c r="AC765" s="3">
        <v>12.78</v>
      </c>
      <c r="AD765" s="3">
        <f t="shared" si="305"/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f t="shared" si="311"/>
        <v>12.78</v>
      </c>
      <c r="AK765" s="3">
        <f>AC765</f>
        <v>12.78</v>
      </c>
      <c r="AL765" s="1">
        <v>0</v>
      </c>
      <c r="AM765" s="1">
        <v>0</v>
      </c>
      <c r="AN765" s="1">
        <v>0</v>
      </c>
      <c r="AO765" s="1">
        <v>0</v>
      </c>
      <c r="AP765" s="3">
        <f t="shared" si="302"/>
        <v>0</v>
      </c>
    </row>
    <row r="766" spans="1:42" x14ac:dyDescent="0.35">
      <c r="A766" s="1">
        <v>742</v>
      </c>
      <c r="B766" s="2">
        <v>45898</v>
      </c>
      <c r="C766" s="1" t="s">
        <v>64</v>
      </c>
      <c r="F766" s="1" t="s">
        <v>686</v>
      </c>
      <c r="G766" s="1" t="s">
        <v>1367</v>
      </c>
      <c r="H766" s="1" t="s">
        <v>21</v>
      </c>
      <c r="I766" s="1" t="s">
        <v>71</v>
      </c>
      <c r="K766" s="1" t="s">
        <v>970</v>
      </c>
      <c r="L766" s="1" t="str">
        <f t="shared" ref="L766:L768" si="313">K766</f>
        <v>BPRS</v>
      </c>
      <c r="M766" s="1" t="s">
        <v>1017</v>
      </c>
      <c r="Q766" s="1" t="s">
        <v>240</v>
      </c>
      <c r="R766" s="1">
        <v>3240787</v>
      </c>
      <c r="S766" s="1" t="s">
        <v>98</v>
      </c>
      <c r="T766" s="1" t="s">
        <v>75</v>
      </c>
      <c r="U766" s="1" t="s">
        <v>76</v>
      </c>
      <c r="V766" s="1" t="s">
        <v>77</v>
      </c>
      <c r="W766" s="1">
        <v>0.7</v>
      </c>
      <c r="X766" s="1">
        <v>1250</v>
      </c>
      <c r="AC766" s="3">
        <v>4.2200000000000006</v>
      </c>
      <c r="AD766" s="3">
        <f t="shared" si="305"/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f t="shared" si="311"/>
        <v>4.2200000000000006</v>
      </c>
      <c r="AK766" s="3">
        <f>AC766</f>
        <v>4.2200000000000006</v>
      </c>
      <c r="AL766" s="1">
        <v>0</v>
      </c>
      <c r="AM766" s="1">
        <v>0</v>
      </c>
      <c r="AN766" s="1">
        <v>0</v>
      </c>
      <c r="AO766" s="1">
        <v>0</v>
      </c>
      <c r="AP766" s="3">
        <f t="shared" si="302"/>
        <v>0</v>
      </c>
    </row>
    <row r="767" spans="1:42" x14ac:dyDescent="0.35">
      <c r="A767" s="1">
        <v>743</v>
      </c>
      <c r="B767" s="2">
        <v>45898</v>
      </c>
      <c r="C767" s="1" t="s">
        <v>64</v>
      </c>
      <c r="F767" s="1" t="s">
        <v>639</v>
      </c>
      <c r="G767" s="1" t="s">
        <v>1367</v>
      </c>
      <c r="H767" s="1" t="s">
        <v>63</v>
      </c>
      <c r="I767" s="1" t="s">
        <v>1404</v>
      </c>
      <c r="K767" s="1" t="s">
        <v>970</v>
      </c>
      <c r="L767" s="1" t="str">
        <f t="shared" si="313"/>
        <v>BPRS</v>
      </c>
      <c r="M767" s="1" t="s">
        <v>1018</v>
      </c>
      <c r="Q767" s="1" t="s">
        <v>1349</v>
      </c>
      <c r="R767" s="1">
        <v>3484326</v>
      </c>
      <c r="S767" s="1" t="s">
        <v>235</v>
      </c>
      <c r="T767" s="1" t="s">
        <v>169</v>
      </c>
      <c r="U767" s="1" t="s">
        <v>140</v>
      </c>
      <c r="V767" s="1" t="s">
        <v>150</v>
      </c>
      <c r="W767" s="1">
        <v>0.4</v>
      </c>
      <c r="X767" s="1">
        <v>900</v>
      </c>
      <c r="AC767" s="3">
        <v>56.295000000000002</v>
      </c>
      <c r="AD767" s="3">
        <f t="shared" si="305"/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f t="shared" si="311"/>
        <v>56.295000000000002</v>
      </c>
      <c r="AK767" s="3">
        <f>AC767</f>
        <v>56.295000000000002</v>
      </c>
      <c r="AL767" s="1">
        <v>0</v>
      </c>
      <c r="AM767" s="1">
        <v>0</v>
      </c>
      <c r="AN767" s="1">
        <v>0</v>
      </c>
      <c r="AO767" s="1">
        <v>0</v>
      </c>
      <c r="AP767" s="3">
        <f t="shared" si="302"/>
        <v>0</v>
      </c>
    </row>
    <row r="768" spans="1:42" x14ac:dyDescent="0.35">
      <c r="A768" s="1">
        <v>744</v>
      </c>
      <c r="B768" s="2">
        <v>45889</v>
      </c>
      <c r="C768" s="1" t="s">
        <v>64</v>
      </c>
      <c r="F768" s="1" t="s">
        <v>714</v>
      </c>
      <c r="G768" s="1" t="s">
        <v>1367</v>
      </c>
      <c r="H768" s="1" t="s">
        <v>86</v>
      </c>
      <c r="I768" s="1" t="s">
        <v>968</v>
      </c>
      <c r="K768" s="1" t="s">
        <v>969</v>
      </c>
      <c r="L768" s="1" t="str">
        <f t="shared" si="313"/>
        <v>IPP</v>
      </c>
      <c r="M768" s="1" t="s">
        <v>1232</v>
      </c>
      <c r="Q768" s="1" t="s">
        <v>107</v>
      </c>
      <c r="R768" s="1">
        <v>3522241</v>
      </c>
      <c r="S768" s="1" t="s">
        <v>216</v>
      </c>
      <c r="T768" s="1" t="s">
        <v>88</v>
      </c>
      <c r="U768" s="1" t="s">
        <v>89</v>
      </c>
      <c r="V768" s="1" t="s">
        <v>217</v>
      </c>
      <c r="W768" s="1">
        <v>0.43</v>
      </c>
      <c r="X768" s="1">
        <v>1220</v>
      </c>
      <c r="AC768" s="3">
        <v>2.8149999999999999</v>
      </c>
      <c r="AD768" s="3">
        <f t="shared" si="305"/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f t="shared" si="311"/>
        <v>2.8149999999999999</v>
      </c>
      <c r="AK768" s="1">
        <v>0</v>
      </c>
      <c r="AL768" s="3">
        <f>AC768</f>
        <v>2.8149999999999999</v>
      </c>
      <c r="AM768" s="1">
        <v>0</v>
      </c>
      <c r="AN768" s="1">
        <v>0</v>
      </c>
      <c r="AO768" s="1">
        <v>0</v>
      </c>
      <c r="AP768" s="3">
        <f t="shared" si="302"/>
        <v>0</v>
      </c>
    </row>
    <row r="769" spans="1:42" x14ac:dyDescent="0.35">
      <c r="A769" s="1">
        <v>742</v>
      </c>
      <c r="C769" s="1" t="s">
        <v>52</v>
      </c>
      <c r="F769" s="1" t="s">
        <v>995</v>
      </c>
      <c r="G769" s="1" t="s">
        <v>1367</v>
      </c>
      <c r="H769" s="1" t="s">
        <v>21</v>
      </c>
      <c r="I769" s="1" t="s">
        <v>970</v>
      </c>
      <c r="K769" s="1" t="s">
        <v>970</v>
      </c>
      <c r="L769" s="1" t="str">
        <f>K769</f>
        <v>BPRS</v>
      </c>
      <c r="M769" s="1" t="s">
        <v>1016</v>
      </c>
      <c r="Q769" s="1" t="s">
        <v>72</v>
      </c>
      <c r="R769" s="1">
        <v>3867647</v>
      </c>
      <c r="S769" s="1" t="s">
        <v>295</v>
      </c>
      <c r="T769" s="1" t="s">
        <v>28</v>
      </c>
      <c r="U769" s="1" t="s">
        <v>29</v>
      </c>
      <c r="V769" s="1" t="s">
        <v>296</v>
      </c>
      <c r="W769" s="1">
        <v>0.6</v>
      </c>
      <c r="X769" s="1">
        <v>1120</v>
      </c>
      <c r="AC769" s="3">
        <v>7.9</v>
      </c>
      <c r="AD769" s="3">
        <f t="shared" si="305"/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f t="shared" si="311"/>
        <v>7.9</v>
      </c>
      <c r="AK769" s="3">
        <f>AC769</f>
        <v>7.9</v>
      </c>
      <c r="AL769" s="1">
        <v>0</v>
      </c>
      <c r="AM769" s="1">
        <v>0</v>
      </c>
      <c r="AN769" s="1">
        <v>0</v>
      </c>
      <c r="AO769" s="1">
        <v>0</v>
      </c>
      <c r="AP769" s="3">
        <f t="shared" ref="AP769:AP803" si="314">(AC769+AD769)-AJ769</f>
        <v>0</v>
      </c>
    </row>
    <row r="770" spans="1:42" x14ac:dyDescent="0.35">
      <c r="A770" s="1">
        <v>744</v>
      </c>
      <c r="B770" s="2">
        <v>45890</v>
      </c>
      <c r="C770" s="1" t="s">
        <v>64</v>
      </c>
      <c r="F770" s="1" t="s">
        <v>828</v>
      </c>
      <c r="G770" s="1" t="s">
        <v>1367</v>
      </c>
      <c r="H770" s="1" t="s">
        <v>86</v>
      </c>
      <c r="I770" s="1" t="s">
        <v>968</v>
      </c>
      <c r="K770" s="1" t="s">
        <v>969</v>
      </c>
      <c r="L770" s="1" t="str">
        <f t="shared" ref="L770:L781" si="315">K770</f>
        <v>IPP</v>
      </c>
      <c r="M770" s="1" t="s">
        <v>1232</v>
      </c>
      <c r="Q770" s="1" t="s">
        <v>107</v>
      </c>
      <c r="R770" s="1">
        <v>3522241</v>
      </c>
      <c r="S770" s="1" t="s">
        <v>216</v>
      </c>
      <c r="T770" s="1" t="s">
        <v>88</v>
      </c>
      <c r="U770" s="1" t="s">
        <v>89</v>
      </c>
      <c r="V770" s="1" t="s">
        <v>217</v>
      </c>
      <c r="W770" s="1">
        <v>0.43</v>
      </c>
      <c r="X770" s="1">
        <v>1220</v>
      </c>
      <c r="AC770" s="3">
        <v>53.904999999999994</v>
      </c>
      <c r="AD770" s="3">
        <f t="shared" si="305"/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f t="shared" si="311"/>
        <v>53.904999999999994</v>
      </c>
      <c r="AK770" s="1">
        <v>0</v>
      </c>
      <c r="AL770" s="3">
        <f>AC770</f>
        <v>53.904999999999994</v>
      </c>
      <c r="AM770" s="1">
        <v>0</v>
      </c>
      <c r="AN770" s="1">
        <v>0</v>
      </c>
      <c r="AO770" s="1">
        <v>0</v>
      </c>
      <c r="AP770" s="3">
        <f t="shared" si="314"/>
        <v>0</v>
      </c>
    </row>
    <row r="771" spans="1:42" x14ac:dyDescent="0.35">
      <c r="A771" s="1">
        <v>743</v>
      </c>
      <c r="B771" s="2">
        <v>45890</v>
      </c>
      <c r="C771" s="1" t="s">
        <v>64</v>
      </c>
      <c r="F771" s="1" t="s">
        <v>715</v>
      </c>
      <c r="G771" s="1" t="s">
        <v>1367</v>
      </c>
      <c r="H771" s="1" t="s">
        <v>56</v>
      </c>
      <c r="I771" s="1" t="s">
        <v>968</v>
      </c>
      <c r="K771" s="1" t="s">
        <v>969</v>
      </c>
      <c r="L771" s="1" t="str">
        <f t="shared" si="315"/>
        <v>IPP</v>
      </c>
      <c r="M771" s="1" t="s">
        <v>1232</v>
      </c>
      <c r="Q771" s="1" t="s">
        <v>1174</v>
      </c>
      <c r="R771" s="1">
        <v>3946364</v>
      </c>
      <c r="S771" s="1" t="s">
        <v>378</v>
      </c>
      <c r="T771" s="1" t="s">
        <v>60</v>
      </c>
      <c r="U771" s="1" t="s">
        <v>61</v>
      </c>
      <c r="V771" s="1" t="s">
        <v>207</v>
      </c>
      <c r="W771" s="1">
        <v>0.5</v>
      </c>
      <c r="X771" s="1">
        <v>1220</v>
      </c>
      <c r="AC771" s="3">
        <v>13.76</v>
      </c>
      <c r="AD771" s="3">
        <f t="shared" si="305"/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f t="shared" si="311"/>
        <v>13.76</v>
      </c>
      <c r="AK771" s="3">
        <v>0</v>
      </c>
      <c r="AL771" s="3">
        <f>AC771</f>
        <v>13.76</v>
      </c>
      <c r="AM771" s="1">
        <v>0</v>
      </c>
      <c r="AN771" s="1">
        <v>0</v>
      </c>
      <c r="AO771" s="1">
        <v>0</v>
      </c>
      <c r="AP771" s="3">
        <f t="shared" si="314"/>
        <v>0</v>
      </c>
    </row>
    <row r="772" spans="1:42" x14ac:dyDescent="0.35">
      <c r="A772" s="1">
        <v>743</v>
      </c>
      <c r="B772" s="2">
        <v>45890</v>
      </c>
      <c r="C772" s="1" t="s">
        <v>64</v>
      </c>
      <c r="F772" s="1" t="s">
        <v>716</v>
      </c>
      <c r="G772" s="1" t="s">
        <v>1367</v>
      </c>
      <c r="H772" s="1" t="s">
        <v>56</v>
      </c>
      <c r="I772" s="1" t="s">
        <v>968</v>
      </c>
      <c r="K772" s="1" t="s">
        <v>969</v>
      </c>
      <c r="L772" s="1" t="str">
        <f t="shared" si="315"/>
        <v>IPP</v>
      </c>
      <c r="M772" s="1" t="s">
        <v>1232</v>
      </c>
      <c r="Q772" s="1" t="s">
        <v>1174</v>
      </c>
      <c r="R772" s="1">
        <v>3946364</v>
      </c>
      <c r="S772" s="1" t="s">
        <v>378</v>
      </c>
      <c r="T772" s="1" t="s">
        <v>60</v>
      </c>
      <c r="U772" s="1" t="s">
        <v>61</v>
      </c>
      <c r="V772" s="1" t="s">
        <v>207</v>
      </c>
      <c r="W772" s="1">
        <v>0.5</v>
      </c>
      <c r="X772" s="1">
        <v>1220</v>
      </c>
      <c r="AC772" s="3">
        <v>66.88</v>
      </c>
      <c r="AD772" s="3">
        <f t="shared" si="305"/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f t="shared" si="311"/>
        <v>66.88</v>
      </c>
      <c r="AK772" s="3">
        <v>0</v>
      </c>
      <c r="AL772" s="3">
        <f>AC772</f>
        <v>66.88</v>
      </c>
      <c r="AM772" s="1">
        <v>0</v>
      </c>
      <c r="AN772" s="1">
        <v>0</v>
      </c>
      <c r="AO772" s="1">
        <v>0</v>
      </c>
      <c r="AP772" s="3">
        <f t="shared" si="314"/>
        <v>0</v>
      </c>
    </row>
    <row r="773" spans="1:42" x14ac:dyDescent="0.35">
      <c r="A773" s="1">
        <v>743</v>
      </c>
      <c r="B773" s="2">
        <v>45890</v>
      </c>
      <c r="C773" s="1" t="s">
        <v>64</v>
      </c>
      <c r="F773" s="1" t="s">
        <v>717</v>
      </c>
      <c r="G773" s="1" t="s">
        <v>1367</v>
      </c>
      <c r="H773" s="1" t="s">
        <v>56</v>
      </c>
      <c r="I773" s="1" t="s">
        <v>968</v>
      </c>
      <c r="K773" s="1" t="s">
        <v>969</v>
      </c>
      <c r="L773" s="1" t="str">
        <f t="shared" si="315"/>
        <v>IPP</v>
      </c>
      <c r="M773" s="1" t="s">
        <v>1232</v>
      </c>
      <c r="Q773" s="1" t="s">
        <v>1174</v>
      </c>
      <c r="R773" s="1">
        <v>3946364</v>
      </c>
      <c r="S773" s="1" t="s">
        <v>378</v>
      </c>
      <c r="T773" s="1" t="s">
        <v>60</v>
      </c>
      <c r="U773" s="1" t="s">
        <v>61</v>
      </c>
      <c r="V773" s="1" t="s">
        <v>207</v>
      </c>
      <c r="W773" s="1">
        <v>0.5</v>
      </c>
      <c r="X773" s="1">
        <v>1220</v>
      </c>
      <c r="AC773" s="3">
        <v>27.45</v>
      </c>
      <c r="AD773" s="3">
        <f t="shared" si="305"/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f t="shared" si="311"/>
        <v>27.45</v>
      </c>
      <c r="AK773" s="3">
        <v>0</v>
      </c>
      <c r="AL773" s="1">
        <v>0</v>
      </c>
      <c r="AM773" s="3">
        <f>AC773</f>
        <v>27.45</v>
      </c>
      <c r="AN773" s="1">
        <v>0</v>
      </c>
      <c r="AO773" s="1">
        <v>0</v>
      </c>
      <c r="AP773" s="3">
        <f t="shared" si="314"/>
        <v>0</v>
      </c>
    </row>
    <row r="774" spans="1:42" x14ac:dyDescent="0.35">
      <c r="A774" s="1">
        <v>743</v>
      </c>
      <c r="B774" s="2">
        <v>45890</v>
      </c>
      <c r="C774" s="1" t="s">
        <v>64</v>
      </c>
      <c r="F774" s="1" t="s">
        <v>718</v>
      </c>
      <c r="G774" s="1" t="s">
        <v>1367</v>
      </c>
      <c r="H774" s="1" t="s">
        <v>56</v>
      </c>
      <c r="I774" s="1" t="s">
        <v>968</v>
      </c>
      <c r="K774" s="1" t="s">
        <v>969</v>
      </c>
      <c r="L774" s="1" t="str">
        <f t="shared" si="315"/>
        <v>IPP</v>
      </c>
      <c r="M774" s="1" t="s">
        <v>1232</v>
      </c>
      <c r="Q774" s="1" t="s">
        <v>1174</v>
      </c>
      <c r="R774" s="1">
        <v>3946364</v>
      </c>
      <c r="S774" s="1" t="s">
        <v>378</v>
      </c>
      <c r="T774" s="1" t="s">
        <v>60</v>
      </c>
      <c r="U774" s="1" t="s">
        <v>61</v>
      </c>
      <c r="V774" s="1" t="s">
        <v>207</v>
      </c>
      <c r="W774" s="1">
        <v>0.5</v>
      </c>
      <c r="X774" s="1">
        <v>1220</v>
      </c>
      <c r="AC774" s="3">
        <v>27.279999999999998</v>
      </c>
      <c r="AD774" s="3">
        <f t="shared" si="305"/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f t="shared" si="311"/>
        <v>27.279999999999998</v>
      </c>
      <c r="AK774" s="3">
        <v>0</v>
      </c>
      <c r="AL774" s="1">
        <v>0</v>
      </c>
      <c r="AM774" s="3">
        <f>AC774</f>
        <v>27.279999999999998</v>
      </c>
      <c r="AN774" s="1">
        <v>0</v>
      </c>
      <c r="AO774" s="1">
        <v>0</v>
      </c>
      <c r="AP774" s="3">
        <f t="shared" si="314"/>
        <v>0</v>
      </c>
    </row>
    <row r="775" spans="1:42" x14ac:dyDescent="0.35">
      <c r="A775" s="1">
        <v>743</v>
      </c>
      <c r="B775" s="2">
        <v>45890</v>
      </c>
      <c r="C775" s="1" t="s">
        <v>64</v>
      </c>
      <c r="F775" s="1" t="s">
        <v>719</v>
      </c>
      <c r="G775" s="1" t="s">
        <v>1367</v>
      </c>
      <c r="H775" s="1" t="s">
        <v>56</v>
      </c>
      <c r="I775" s="1" t="s">
        <v>968</v>
      </c>
      <c r="K775" s="1" t="s">
        <v>969</v>
      </c>
      <c r="L775" s="1" t="str">
        <f t="shared" si="315"/>
        <v>IPP</v>
      </c>
      <c r="M775" s="1" t="s">
        <v>1232</v>
      </c>
      <c r="Q775" s="1" t="s">
        <v>1174</v>
      </c>
      <c r="R775" s="1">
        <v>3946364</v>
      </c>
      <c r="S775" s="1" t="s">
        <v>378</v>
      </c>
      <c r="T775" s="1" t="s">
        <v>60</v>
      </c>
      <c r="U775" s="1" t="s">
        <v>61</v>
      </c>
      <c r="V775" s="1" t="s">
        <v>207</v>
      </c>
      <c r="W775" s="1">
        <v>0.5</v>
      </c>
      <c r="X775" s="1">
        <v>1220</v>
      </c>
      <c r="AC775" s="3">
        <v>60.765000000000001</v>
      </c>
      <c r="AD775" s="3">
        <f t="shared" si="305"/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f t="shared" si="311"/>
        <v>60.765000000000001</v>
      </c>
      <c r="AK775" s="3">
        <v>0</v>
      </c>
      <c r="AL775" s="1">
        <v>0</v>
      </c>
      <c r="AM775" s="3">
        <f>AC775</f>
        <v>60.765000000000001</v>
      </c>
      <c r="AN775" s="1">
        <v>0</v>
      </c>
      <c r="AO775" s="1">
        <v>0</v>
      </c>
      <c r="AP775" s="3">
        <f t="shared" si="314"/>
        <v>0</v>
      </c>
    </row>
    <row r="776" spans="1:42" x14ac:dyDescent="0.35">
      <c r="A776" s="1">
        <v>743</v>
      </c>
      <c r="B776" s="2">
        <v>45890</v>
      </c>
      <c r="C776" s="1" t="s">
        <v>64</v>
      </c>
      <c r="F776" s="1" t="s">
        <v>825</v>
      </c>
      <c r="G776" s="1" t="s">
        <v>1367</v>
      </c>
      <c r="H776" s="1" t="s">
        <v>56</v>
      </c>
      <c r="I776" s="1" t="s">
        <v>968</v>
      </c>
      <c r="K776" s="1" t="s">
        <v>969</v>
      </c>
      <c r="L776" s="1" t="str">
        <f t="shared" si="315"/>
        <v>IPP</v>
      </c>
      <c r="M776" s="1" t="s">
        <v>1232</v>
      </c>
      <c r="Q776" s="1" t="s">
        <v>1174</v>
      </c>
      <c r="R776" s="1">
        <v>3946364</v>
      </c>
      <c r="S776" s="1" t="s">
        <v>378</v>
      </c>
      <c r="T776" s="1" t="s">
        <v>60</v>
      </c>
      <c r="U776" s="1" t="s">
        <v>61</v>
      </c>
      <c r="V776" s="1" t="s">
        <v>207</v>
      </c>
      <c r="W776" s="1">
        <v>0.5</v>
      </c>
      <c r="X776" s="1">
        <v>1220</v>
      </c>
      <c r="AC776" s="3">
        <v>16.97</v>
      </c>
      <c r="AD776" s="3">
        <f t="shared" si="305"/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f t="shared" si="311"/>
        <v>16.97</v>
      </c>
      <c r="AK776" s="3">
        <v>0</v>
      </c>
      <c r="AL776" s="1">
        <v>0</v>
      </c>
      <c r="AM776" s="3">
        <f>AC776</f>
        <v>16.97</v>
      </c>
      <c r="AN776" s="1">
        <v>0</v>
      </c>
      <c r="AO776" s="1">
        <v>0</v>
      </c>
      <c r="AP776" s="3">
        <f t="shared" si="314"/>
        <v>0</v>
      </c>
    </row>
    <row r="777" spans="1:42" x14ac:dyDescent="0.35">
      <c r="A777" s="1">
        <v>743</v>
      </c>
      <c r="B777" s="2">
        <v>45891</v>
      </c>
      <c r="C777" s="1" t="s">
        <v>64</v>
      </c>
      <c r="F777" s="1" t="s">
        <v>628</v>
      </c>
      <c r="G777" s="1" t="s">
        <v>1367</v>
      </c>
      <c r="H777" s="1" t="s">
        <v>56</v>
      </c>
      <c r="I777" s="1" t="s">
        <v>1287</v>
      </c>
      <c r="K777" s="1" t="s">
        <v>969</v>
      </c>
      <c r="L777" s="1" t="str">
        <f t="shared" si="315"/>
        <v>IPP</v>
      </c>
      <c r="M777" s="1" t="s">
        <v>1018</v>
      </c>
      <c r="Q777" s="1" t="s">
        <v>197</v>
      </c>
      <c r="R777" s="1">
        <v>3988091</v>
      </c>
      <c r="S777" s="1" t="s">
        <v>199</v>
      </c>
      <c r="T777" s="1" t="s">
        <v>60</v>
      </c>
      <c r="U777" s="1" t="s">
        <v>61</v>
      </c>
      <c r="V777" s="1" t="s">
        <v>195</v>
      </c>
      <c r="W777" s="1">
        <v>0.44</v>
      </c>
      <c r="X777" s="1">
        <v>1240</v>
      </c>
      <c r="AC777" s="3">
        <v>13.9</v>
      </c>
      <c r="AD777" s="3">
        <f t="shared" si="305"/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f t="shared" si="311"/>
        <v>13.9</v>
      </c>
      <c r="AK777" s="3">
        <f>AC777</f>
        <v>13.9</v>
      </c>
      <c r="AL777" s="1">
        <v>0</v>
      </c>
      <c r="AM777" s="1">
        <v>0</v>
      </c>
      <c r="AN777" s="1">
        <v>0</v>
      </c>
      <c r="AO777" s="1">
        <v>0</v>
      </c>
      <c r="AP777" s="3">
        <f t="shared" si="314"/>
        <v>0</v>
      </c>
    </row>
    <row r="778" spans="1:42" x14ac:dyDescent="0.35">
      <c r="A778" s="1">
        <v>742</v>
      </c>
      <c r="B778" s="2">
        <v>45898</v>
      </c>
      <c r="C778" s="1" t="s">
        <v>64</v>
      </c>
      <c r="F778" s="1" t="s">
        <v>926</v>
      </c>
      <c r="G778" s="1" t="s">
        <v>1367</v>
      </c>
      <c r="H778" s="1" t="s">
        <v>21</v>
      </c>
      <c r="I778" s="1" t="s">
        <v>969</v>
      </c>
      <c r="K778" s="1" t="s">
        <v>969</v>
      </c>
      <c r="L778" s="1" t="str">
        <f t="shared" si="315"/>
        <v>IPP</v>
      </c>
      <c r="M778" s="1" t="s">
        <v>1019</v>
      </c>
      <c r="Q778" s="1" t="s">
        <v>226</v>
      </c>
      <c r="R778" s="1">
        <v>1804785</v>
      </c>
      <c r="S778" s="1" t="s">
        <v>228</v>
      </c>
      <c r="T778" s="1" t="s">
        <v>28</v>
      </c>
      <c r="U778" s="1" t="s">
        <v>122</v>
      </c>
      <c r="V778" s="1" t="s">
        <v>229</v>
      </c>
      <c r="W778" s="1">
        <v>0.5</v>
      </c>
      <c r="X778" s="1">
        <v>1250</v>
      </c>
      <c r="AC778" s="3">
        <v>19.39</v>
      </c>
      <c r="AD778" s="3">
        <f t="shared" si="305"/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f t="shared" si="311"/>
        <v>19.39</v>
      </c>
      <c r="AK778" s="3">
        <f>AC778</f>
        <v>19.39</v>
      </c>
      <c r="AL778" s="1">
        <v>0</v>
      </c>
      <c r="AM778" s="1">
        <v>0</v>
      </c>
      <c r="AN778" s="1">
        <v>0</v>
      </c>
      <c r="AO778" s="1">
        <v>0</v>
      </c>
      <c r="AP778" s="3">
        <f t="shared" si="314"/>
        <v>0</v>
      </c>
    </row>
    <row r="779" spans="1:42" x14ac:dyDescent="0.35">
      <c r="A779" s="1">
        <v>742</v>
      </c>
      <c r="B779" s="2">
        <v>45898</v>
      </c>
      <c r="C779" s="1" t="s">
        <v>64</v>
      </c>
      <c r="F779" s="1" t="s">
        <v>704</v>
      </c>
      <c r="G779" s="1" t="s">
        <v>1367</v>
      </c>
      <c r="H779" s="1" t="s">
        <v>21</v>
      </c>
      <c r="I779" s="1" t="s">
        <v>969</v>
      </c>
      <c r="K779" s="1" t="s">
        <v>969</v>
      </c>
      <c r="L779" s="1" t="str">
        <f t="shared" si="315"/>
        <v>IPP</v>
      </c>
      <c r="M779" s="1" t="s">
        <v>1019</v>
      </c>
      <c r="Q779" s="1" t="s">
        <v>1357</v>
      </c>
      <c r="R779" s="1">
        <v>2164792</v>
      </c>
      <c r="S779" s="1" t="s">
        <v>329</v>
      </c>
      <c r="T779" s="1" t="s">
        <v>28</v>
      </c>
      <c r="U779" s="1" t="s">
        <v>29</v>
      </c>
      <c r="V779" s="1" t="s">
        <v>101</v>
      </c>
      <c r="W779" s="1">
        <v>0.9</v>
      </c>
      <c r="X779" s="1">
        <v>913</v>
      </c>
      <c r="AC779" s="3">
        <v>17.79</v>
      </c>
      <c r="AD779" s="3">
        <f t="shared" si="305"/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f t="shared" si="311"/>
        <v>17.79</v>
      </c>
      <c r="AK779" s="3">
        <f>AC779</f>
        <v>17.79</v>
      </c>
      <c r="AL779" s="1">
        <v>0</v>
      </c>
      <c r="AM779" s="1">
        <v>0</v>
      </c>
      <c r="AN779" s="1">
        <v>0</v>
      </c>
      <c r="AO779" s="1">
        <v>0</v>
      </c>
      <c r="AP779" s="3">
        <f t="shared" si="314"/>
        <v>0</v>
      </c>
    </row>
    <row r="780" spans="1:42" x14ac:dyDescent="0.35">
      <c r="A780" s="1">
        <v>742</v>
      </c>
      <c r="B780" s="2">
        <v>45891</v>
      </c>
      <c r="C780" s="1" t="s">
        <v>64</v>
      </c>
      <c r="F780" s="1" t="s">
        <v>769</v>
      </c>
      <c r="G780" s="1" t="s">
        <v>1367</v>
      </c>
      <c r="H780" s="1" t="s">
        <v>21</v>
      </c>
      <c r="I780" s="1" t="s">
        <v>969</v>
      </c>
      <c r="K780" s="1" t="s">
        <v>969</v>
      </c>
      <c r="L780" s="1" t="str">
        <f t="shared" si="315"/>
        <v>IPP</v>
      </c>
      <c r="M780" s="1" t="s">
        <v>1019</v>
      </c>
      <c r="Q780" s="1" t="s">
        <v>327</v>
      </c>
      <c r="R780" s="1">
        <v>3683012</v>
      </c>
      <c r="S780" s="1" t="s">
        <v>447</v>
      </c>
      <c r="T780" s="1" t="s">
        <v>28</v>
      </c>
      <c r="U780" s="1" t="s">
        <v>29</v>
      </c>
      <c r="V780" s="1" t="s">
        <v>349</v>
      </c>
      <c r="W780" s="1">
        <v>0.97</v>
      </c>
      <c r="X780" s="1">
        <v>1215</v>
      </c>
      <c r="AC780" s="3">
        <v>7.34</v>
      </c>
      <c r="AD780" s="3">
        <f t="shared" ref="AD780:AD803" si="316">SUM(AE780:AI780)</f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f t="shared" si="311"/>
        <v>7.34</v>
      </c>
      <c r="AK780" s="3">
        <f>AC780</f>
        <v>7.34</v>
      </c>
      <c r="AL780" s="1">
        <v>0</v>
      </c>
      <c r="AM780" s="1">
        <v>0</v>
      </c>
      <c r="AN780" s="1">
        <v>0</v>
      </c>
      <c r="AO780" s="1">
        <v>0</v>
      </c>
      <c r="AP780" s="3">
        <f t="shared" si="314"/>
        <v>0</v>
      </c>
    </row>
    <row r="781" spans="1:42" x14ac:dyDescent="0.35">
      <c r="A781" s="1">
        <v>744</v>
      </c>
      <c r="B781" s="2">
        <v>45895</v>
      </c>
      <c r="C781" s="1" t="s">
        <v>64</v>
      </c>
      <c r="F781" s="1" t="s">
        <v>740</v>
      </c>
      <c r="G781" s="1" t="s">
        <v>1367</v>
      </c>
      <c r="H781" s="1" t="s">
        <v>86</v>
      </c>
      <c r="I781" s="1" t="s">
        <v>968</v>
      </c>
      <c r="K781" s="1" t="s">
        <v>969</v>
      </c>
      <c r="L781" s="1" t="str">
        <f t="shared" si="315"/>
        <v>IPP</v>
      </c>
      <c r="M781" s="1" t="s">
        <v>1232</v>
      </c>
      <c r="Q781" s="1" t="s">
        <v>1174</v>
      </c>
      <c r="R781" s="1">
        <v>3902332</v>
      </c>
      <c r="S781" s="1" t="s">
        <v>142</v>
      </c>
      <c r="T781" s="1" t="s">
        <v>88</v>
      </c>
      <c r="U781" s="1" t="s">
        <v>89</v>
      </c>
      <c r="V781" s="1" t="s">
        <v>143</v>
      </c>
      <c r="W781" s="1">
        <v>0.5</v>
      </c>
      <c r="X781" s="1">
        <v>1220</v>
      </c>
      <c r="AC781" s="3">
        <v>7.49</v>
      </c>
      <c r="AD781" s="3">
        <f t="shared" si="316"/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f t="shared" si="311"/>
        <v>7.49</v>
      </c>
      <c r="AK781" s="1">
        <v>0</v>
      </c>
      <c r="AL781" s="3">
        <f>AC781</f>
        <v>7.49</v>
      </c>
      <c r="AM781" s="1">
        <v>0</v>
      </c>
      <c r="AN781" s="1">
        <v>0</v>
      </c>
      <c r="AO781" s="1">
        <v>0</v>
      </c>
      <c r="AP781" s="3">
        <f t="shared" si="314"/>
        <v>0</v>
      </c>
    </row>
    <row r="782" spans="1:42" x14ac:dyDescent="0.35">
      <c r="A782" s="1">
        <v>742</v>
      </c>
      <c r="C782" s="1" t="s">
        <v>52</v>
      </c>
      <c r="F782" s="1" t="s">
        <v>998</v>
      </c>
      <c r="G782" s="1" t="s">
        <v>1367</v>
      </c>
      <c r="H782" s="1" t="s">
        <v>21</v>
      </c>
      <c r="I782" s="1" t="s">
        <v>22</v>
      </c>
      <c r="K782" s="1" t="s">
        <v>970</v>
      </c>
      <c r="L782" s="1" t="str">
        <f>K782</f>
        <v>BPRS</v>
      </c>
      <c r="M782" s="1" t="s">
        <v>1016</v>
      </c>
      <c r="Q782" s="1" t="s">
        <v>84</v>
      </c>
      <c r="R782" s="1">
        <v>187529</v>
      </c>
      <c r="S782" s="1" t="s">
        <v>27</v>
      </c>
      <c r="T782" s="1" t="s">
        <v>28</v>
      </c>
      <c r="U782" s="1" t="s">
        <v>29</v>
      </c>
      <c r="V782" s="1" t="s">
        <v>30</v>
      </c>
      <c r="W782" s="1">
        <v>1.2</v>
      </c>
      <c r="X782" s="1">
        <v>1250</v>
      </c>
      <c r="AC782" s="3">
        <v>25.395</v>
      </c>
      <c r="AD782" s="3">
        <f t="shared" si="316"/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f t="shared" si="311"/>
        <v>25.395</v>
      </c>
      <c r="AK782" s="3">
        <f>AC782</f>
        <v>25.395</v>
      </c>
      <c r="AL782" s="1">
        <v>0</v>
      </c>
      <c r="AM782" s="1">
        <v>0</v>
      </c>
      <c r="AN782" s="1">
        <v>0</v>
      </c>
      <c r="AO782" s="1">
        <v>0</v>
      </c>
      <c r="AP782" s="3">
        <f t="shared" si="314"/>
        <v>0</v>
      </c>
    </row>
    <row r="783" spans="1:42" x14ac:dyDescent="0.35">
      <c r="A783" s="1">
        <v>743</v>
      </c>
      <c r="B783" s="2">
        <v>45896</v>
      </c>
      <c r="C783" s="1" t="s">
        <v>64</v>
      </c>
      <c r="F783" s="1" t="s">
        <v>624</v>
      </c>
      <c r="G783" s="1" t="s">
        <v>1367</v>
      </c>
      <c r="H783" s="1" t="s">
        <v>56</v>
      </c>
      <c r="I783" s="1" t="s">
        <v>968</v>
      </c>
      <c r="K783" s="1" t="s">
        <v>969</v>
      </c>
      <c r="L783" s="1" t="str">
        <f t="shared" ref="L783:L803" si="317">K783</f>
        <v>IPP</v>
      </c>
      <c r="M783" s="1" t="s">
        <v>1232</v>
      </c>
      <c r="Q783" s="1" t="s">
        <v>1174</v>
      </c>
      <c r="R783" s="1">
        <v>1882051</v>
      </c>
      <c r="S783" s="1" t="s">
        <v>392</v>
      </c>
      <c r="T783" s="1" t="s">
        <v>60</v>
      </c>
      <c r="U783" s="1" t="s">
        <v>61</v>
      </c>
      <c r="V783" s="1" t="s">
        <v>103</v>
      </c>
      <c r="W783" s="1">
        <v>0.9</v>
      </c>
      <c r="X783" s="1">
        <v>1250</v>
      </c>
      <c r="AC783" s="3">
        <v>8.59</v>
      </c>
      <c r="AD783" s="3">
        <f t="shared" si="316"/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f t="shared" si="311"/>
        <v>8.59</v>
      </c>
      <c r="AK783" s="3">
        <v>0</v>
      </c>
      <c r="AL783" s="1">
        <v>0</v>
      </c>
      <c r="AM783" s="3">
        <f>AC783</f>
        <v>8.59</v>
      </c>
      <c r="AN783" s="1">
        <v>0</v>
      </c>
      <c r="AO783" s="1">
        <v>0</v>
      </c>
      <c r="AP783" s="3">
        <f t="shared" si="314"/>
        <v>0</v>
      </c>
    </row>
    <row r="784" spans="1:42" x14ac:dyDescent="0.35">
      <c r="A784" s="1">
        <v>743</v>
      </c>
      <c r="B784" s="2">
        <v>45896</v>
      </c>
      <c r="C784" s="1" t="s">
        <v>64</v>
      </c>
      <c r="F784" s="1" t="s">
        <v>625</v>
      </c>
      <c r="G784" s="1" t="s">
        <v>1367</v>
      </c>
      <c r="H784" s="1" t="s">
        <v>56</v>
      </c>
      <c r="I784" s="1" t="s">
        <v>968</v>
      </c>
      <c r="K784" s="1" t="s">
        <v>969</v>
      </c>
      <c r="L784" s="1" t="str">
        <f t="shared" si="317"/>
        <v>IPP</v>
      </c>
      <c r="M784" s="1" t="s">
        <v>1232</v>
      </c>
      <c r="Q784" s="1" t="s">
        <v>1174</v>
      </c>
      <c r="R784" s="1">
        <v>1882051</v>
      </c>
      <c r="S784" s="1" t="s">
        <v>392</v>
      </c>
      <c r="T784" s="1" t="s">
        <v>60</v>
      </c>
      <c r="U784" s="1" t="s">
        <v>61</v>
      </c>
      <c r="V784" s="1" t="s">
        <v>103</v>
      </c>
      <c r="W784" s="1">
        <v>0.9</v>
      </c>
      <c r="X784" s="1">
        <v>1250</v>
      </c>
      <c r="AC784" s="3">
        <v>93.95</v>
      </c>
      <c r="AD784" s="3">
        <f t="shared" si="316"/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f t="shared" si="311"/>
        <v>93.95</v>
      </c>
      <c r="AK784" s="3">
        <v>0</v>
      </c>
      <c r="AL784" s="1">
        <v>0</v>
      </c>
      <c r="AM784" s="3">
        <f>AC784</f>
        <v>93.95</v>
      </c>
      <c r="AN784" s="1">
        <v>0</v>
      </c>
      <c r="AO784" s="1">
        <v>0</v>
      </c>
      <c r="AP784" s="3">
        <f t="shared" si="314"/>
        <v>0</v>
      </c>
    </row>
    <row r="785" spans="1:42" x14ac:dyDescent="0.35">
      <c r="A785" s="1">
        <v>743</v>
      </c>
      <c r="C785" s="1" t="s">
        <v>52</v>
      </c>
      <c r="F785" s="1" t="s">
        <v>996</v>
      </c>
      <c r="G785" s="1" t="s">
        <v>1367</v>
      </c>
      <c r="H785" s="1" t="s">
        <v>56</v>
      </c>
      <c r="I785" s="1" t="s">
        <v>968</v>
      </c>
      <c r="K785" s="1" t="s">
        <v>969</v>
      </c>
      <c r="L785" s="1" t="str">
        <f t="shared" si="317"/>
        <v>IPP</v>
      </c>
      <c r="M785" s="1" t="s">
        <v>1232</v>
      </c>
      <c r="Q785" s="1" t="s">
        <v>1174</v>
      </c>
      <c r="R785" s="1">
        <v>3946362</v>
      </c>
      <c r="S785" s="1" t="s">
        <v>206</v>
      </c>
      <c r="T785" s="1" t="s">
        <v>60</v>
      </c>
      <c r="U785" s="1" t="s">
        <v>61</v>
      </c>
      <c r="V785" s="1" t="s">
        <v>207</v>
      </c>
      <c r="W785" s="1">
        <v>0.47</v>
      </c>
      <c r="X785" s="1">
        <v>1220</v>
      </c>
      <c r="AC785" s="3">
        <v>96.485000000000014</v>
      </c>
      <c r="AD785" s="3">
        <f t="shared" si="316"/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f t="shared" si="311"/>
        <v>96.485000000000014</v>
      </c>
      <c r="AK785" s="3">
        <v>0</v>
      </c>
      <c r="AL785" s="1">
        <v>0</v>
      </c>
      <c r="AM785" s="3">
        <f>AC785</f>
        <v>96.485000000000014</v>
      </c>
      <c r="AN785" s="1">
        <v>0</v>
      </c>
      <c r="AO785" s="1">
        <v>0</v>
      </c>
      <c r="AP785" s="3">
        <f t="shared" si="314"/>
        <v>0</v>
      </c>
    </row>
    <row r="786" spans="1:42" x14ac:dyDescent="0.35">
      <c r="A786" s="1">
        <v>743</v>
      </c>
      <c r="C786" s="1" t="s">
        <v>52</v>
      </c>
      <c r="F786" s="1" t="s">
        <v>1005</v>
      </c>
      <c r="G786" s="1" t="s">
        <v>1367</v>
      </c>
      <c r="H786" s="1" t="s">
        <v>56</v>
      </c>
      <c r="I786" s="1" t="s">
        <v>968</v>
      </c>
      <c r="K786" s="1" t="s">
        <v>969</v>
      </c>
      <c r="L786" s="1" t="str">
        <f t="shared" si="317"/>
        <v>IPP</v>
      </c>
      <c r="M786" s="1" t="s">
        <v>1232</v>
      </c>
      <c r="Q786" s="1" t="s">
        <v>1174</v>
      </c>
      <c r="R786" s="1">
        <v>1882051</v>
      </c>
      <c r="S786" s="1" t="s">
        <v>392</v>
      </c>
      <c r="T786" s="1" t="s">
        <v>60</v>
      </c>
      <c r="U786" s="1" t="s">
        <v>61</v>
      </c>
      <c r="V786" s="1" t="s">
        <v>103</v>
      </c>
      <c r="W786" s="1">
        <v>0.9</v>
      </c>
      <c r="X786" s="1">
        <v>1250</v>
      </c>
      <c r="AC786" s="3">
        <v>25.574999999999999</v>
      </c>
      <c r="AD786" s="3">
        <f t="shared" si="316"/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f t="shared" si="311"/>
        <v>25.574999999999999</v>
      </c>
      <c r="AK786" s="3">
        <v>0</v>
      </c>
      <c r="AL786" s="1">
        <v>0</v>
      </c>
      <c r="AM786" s="3">
        <f>AC786</f>
        <v>25.574999999999999</v>
      </c>
      <c r="AN786" s="1">
        <v>0</v>
      </c>
      <c r="AO786" s="1">
        <v>0</v>
      </c>
      <c r="AP786" s="3">
        <f t="shared" si="314"/>
        <v>0</v>
      </c>
    </row>
    <row r="787" spans="1:42" x14ac:dyDescent="0.35">
      <c r="A787" s="1">
        <v>743</v>
      </c>
      <c r="C787" s="1" t="s">
        <v>52</v>
      </c>
      <c r="F787" s="1" t="s">
        <v>1007</v>
      </c>
      <c r="G787" s="1" t="s">
        <v>1367</v>
      </c>
      <c r="H787" s="1" t="s">
        <v>56</v>
      </c>
      <c r="I787" s="1" t="s">
        <v>968</v>
      </c>
      <c r="K787" s="1" t="s">
        <v>969</v>
      </c>
      <c r="L787" s="1" t="str">
        <f t="shared" si="317"/>
        <v>IPP</v>
      </c>
      <c r="M787" s="1" t="s">
        <v>1232</v>
      </c>
      <c r="Q787" s="1" t="s">
        <v>1174</v>
      </c>
      <c r="R787" s="1">
        <v>3946363</v>
      </c>
      <c r="S787" s="1" t="s">
        <v>208</v>
      </c>
      <c r="T787" s="1" t="s">
        <v>60</v>
      </c>
      <c r="U787" s="1" t="s">
        <v>61</v>
      </c>
      <c r="V787" s="1" t="s">
        <v>207</v>
      </c>
      <c r="W787" s="1">
        <v>0.6</v>
      </c>
      <c r="X787" s="1">
        <v>1220</v>
      </c>
      <c r="AC787" s="3">
        <v>76.185000000000002</v>
      </c>
      <c r="AD787" s="3">
        <f t="shared" si="316"/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f t="shared" si="311"/>
        <v>76.185000000000002</v>
      </c>
      <c r="AK787" s="3">
        <v>0</v>
      </c>
      <c r="AL787" s="1">
        <v>0</v>
      </c>
      <c r="AM787" s="3">
        <f>AC787</f>
        <v>76.185000000000002</v>
      </c>
      <c r="AN787" s="1">
        <v>0</v>
      </c>
      <c r="AO787" s="1">
        <v>0</v>
      </c>
      <c r="AP787" s="3">
        <f t="shared" si="314"/>
        <v>0</v>
      </c>
    </row>
    <row r="788" spans="1:42" x14ac:dyDescent="0.35">
      <c r="A788" s="1">
        <v>742</v>
      </c>
      <c r="C788" s="1" t="s">
        <v>52</v>
      </c>
      <c r="F788" s="1" t="s">
        <v>1009</v>
      </c>
      <c r="G788" s="1" t="s">
        <v>1367</v>
      </c>
      <c r="H788" s="1" t="s">
        <v>21</v>
      </c>
      <c r="I788" s="1" t="s">
        <v>71</v>
      </c>
      <c r="K788" s="1" t="s">
        <v>970</v>
      </c>
      <c r="L788" s="1" t="str">
        <f t="shared" si="317"/>
        <v>BPRS</v>
      </c>
      <c r="M788" s="1" t="s">
        <v>1018</v>
      </c>
      <c r="Q788" s="1" t="s">
        <v>78</v>
      </c>
      <c r="R788" s="1">
        <v>3515913</v>
      </c>
      <c r="S788" s="1" t="s">
        <v>435</v>
      </c>
      <c r="T788" s="1" t="s">
        <v>28</v>
      </c>
      <c r="U788" s="1" t="s">
        <v>76</v>
      </c>
      <c r="V788" s="1" t="s">
        <v>246</v>
      </c>
      <c r="W788" s="1">
        <v>0.5</v>
      </c>
      <c r="X788" s="1">
        <v>900</v>
      </c>
      <c r="AC788" s="3">
        <v>18.84</v>
      </c>
      <c r="AD788" s="3">
        <f t="shared" si="316"/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f t="shared" si="311"/>
        <v>18.84</v>
      </c>
      <c r="AK788" s="3">
        <f>AC788</f>
        <v>18.84</v>
      </c>
      <c r="AL788" s="1">
        <v>0</v>
      </c>
      <c r="AM788" s="1">
        <v>0</v>
      </c>
      <c r="AN788" s="1">
        <v>0</v>
      </c>
      <c r="AO788" s="1">
        <v>0</v>
      </c>
      <c r="AP788" s="3">
        <f t="shared" si="314"/>
        <v>0</v>
      </c>
    </row>
    <row r="789" spans="1:42" x14ac:dyDescent="0.35">
      <c r="A789" s="1">
        <v>744</v>
      </c>
      <c r="C789" s="1" t="s">
        <v>52</v>
      </c>
      <c r="F789" s="1" t="s">
        <v>1008</v>
      </c>
      <c r="G789" s="1" t="s">
        <v>1367</v>
      </c>
      <c r="H789" s="1" t="s">
        <v>86</v>
      </c>
      <c r="I789" s="1" t="s">
        <v>968</v>
      </c>
      <c r="K789" s="1" t="s">
        <v>969</v>
      </c>
      <c r="L789" s="1" t="str">
        <f t="shared" si="317"/>
        <v>IPP</v>
      </c>
      <c r="M789" s="1" t="s">
        <v>1232</v>
      </c>
      <c r="Q789" s="1" t="s">
        <v>1174</v>
      </c>
      <c r="R789" s="1">
        <v>1635150</v>
      </c>
      <c r="S789" s="1" t="s">
        <v>432</v>
      </c>
      <c r="T789" s="1" t="s">
        <v>88</v>
      </c>
      <c r="U789" s="1" t="s">
        <v>89</v>
      </c>
      <c r="V789" s="1" t="s">
        <v>239</v>
      </c>
      <c r="W789" s="1">
        <v>0.5</v>
      </c>
      <c r="X789" s="1">
        <v>1220</v>
      </c>
      <c r="AC789" s="3">
        <v>1.925</v>
      </c>
      <c r="AD789" s="3">
        <f t="shared" si="316"/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f t="shared" si="311"/>
        <v>1.925</v>
      </c>
      <c r="AK789" s="1">
        <v>0</v>
      </c>
      <c r="AL789" s="3">
        <f>AC789</f>
        <v>1.925</v>
      </c>
      <c r="AM789" s="1">
        <v>0</v>
      </c>
      <c r="AN789" s="1">
        <v>0</v>
      </c>
      <c r="AO789" s="1">
        <v>0</v>
      </c>
      <c r="AP789" s="3">
        <f t="shared" si="314"/>
        <v>0</v>
      </c>
    </row>
    <row r="790" spans="1:42" x14ac:dyDescent="0.35">
      <c r="A790" s="1">
        <v>743</v>
      </c>
      <c r="C790" s="1" t="s">
        <v>52</v>
      </c>
      <c r="F790" s="1" t="s">
        <v>1010</v>
      </c>
      <c r="G790" s="1" t="s">
        <v>1367</v>
      </c>
      <c r="H790" s="1" t="s">
        <v>56</v>
      </c>
      <c r="I790" s="1" t="s">
        <v>968</v>
      </c>
      <c r="K790" s="1" t="s">
        <v>969</v>
      </c>
      <c r="L790" s="1" t="str">
        <f t="shared" si="317"/>
        <v>IPP</v>
      </c>
      <c r="M790" s="1" t="s">
        <v>1232</v>
      </c>
      <c r="Q790" s="1" t="s">
        <v>1174</v>
      </c>
      <c r="R790" s="1">
        <v>3856038</v>
      </c>
      <c r="S790" s="1" t="s">
        <v>438</v>
      </c>
      <c r="T790" s="1" t="s">
        <v>60</v>
      </c>
      <c r="U790" s="1" t="s">
        <v>61</v>
      </c>
      <c r="V790" s="1" t="s">
        <v>313</v>
      </c>
      <c r="W790" s="1">
        <v>0.33</v>
      </c>
      <c r="X790" s="1">
        <v>1000</v>
      </c>
      <c r="AC790" s="3">
        <v>4.1500000000000004</v>
      </c>
      <c r="AD790" s="3">
        <f t="shared" si="316"/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f t="shared" si="311"/>
        <v>4.1500000000000004</v>
      </c>
      <c r="AK790" s="3">
        <v>0</v>
      </c>
      <c r="AL790" s="1">
        <v>0</v>
      </c>
      <c r="AM790" s="3">
        <f>AC790</f>
        <v>4.1500000000000004</v>
      </c>
      <c r="AN790" s="1">
        <v>0</v>
      </c>
      <c r="AO790" s="1">
        <v>0</v>
      </c>
      <c r="AP790" s="3">
        <f t="shared" si="314"/>
        <v>0</v>
      </c>
    </row>
    <row r="791" spans="1:42" x14ac:dyDescent="0.35">
      <c r="A791" s="1">
        <v>742</v>
      </c>
      <c r="C791" s="1" t="s">
        <v>52</v>
      </c>
      <c r="F791" s="1" t="s">
        <v>1002</v>
      </c>
      <c r="G791" s="1" t="s">
        <v>1367</v>
      </c>
      <c r="H791" s="1" t="s">
        <v>21</v>
      </c>
      <c r="I791" s="1" t="s">
        <v>71</v>
      </c>
      <c r="K791" s="1" t="s">
        <v>970</v>
      </c>
      <c r="L791" s="1" t="str">
        <f t="shared" si="317"/>
        <v>BPRS</v>
      </c>
      <c r="M791" s="1" t="s">
        <v>1018</v>
      </c>
      <c r="Q791" s="1" t="s">
        <v>219</v>
      </c>
      <c r="R791" s="1">
        <v>3240785</v>
      </c>
      <c r="S791" s="1" t="s">
        <v>106</v>
      </c>
      <c r="T791" s="1" t="s">
        <v>75</v>
      </c>
      <c r="U791" s="1" t="s">
        <v>76</v>
      </c>
      <c r="V791" s="1" t="s">
        <v>77</v>
      </c>
      <c r="W791" s="1">
        <v>0.6</v>
      </c>
      <c r="X791" s="1">
        <v>1250</v>
      </c>
      <c r="AC791" s="3">
        <v>2.7</v>
      </c>
      <c r="AD791" s="3">
        <f t="shared" si="316"/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f t="shared" si="311"/>
        <v>2.7</v>
      </c>
      <c r="AK791" s="3">
        <f>AC791</f>
        <v>2.7</v>
      </c>
      <c r="AL791" s="1">
        <v>0</v>
      </c>
      <c r="AM791" s="1">
        <v>0</v>
      </c>
      <c r="AN791" s="1">
        <v>0</v>
      </c>
      <c r="AO791" s="1">
        <v>0</v>
      </c>
      <c r="AP791" s="3">
        <f t="shared" si="314"/>
        <v>0</v>
      </c>
    </row>
    <row r="792" spans="1:42" x14ac:dyDescent="0.35">
      <c r="A792" s="1">
        <v>744</v>
      </c>
      <c r="C792" s="1" t="s">
        <v>52</v>
      </c>
      <c r="F792" s="1" t="s">
        <v>1000</v>
      </c>
      <c r="G792" s="1" t="s">
        <v>1367</v>
      </c>
      <c r="H792" s="1" t="s">
        <v>86</v>
      </c>
      <c r="I792" s="1" t="s">
        <v>968</v>
      </c>
      <c r="K792" s="1" t="s">
        <v>969</v>
      </c>
      <c r="L792" s="1" t="str">
        <f t="shared" si="317"/>
        <v>IPP</v>
      </c>
      <c r="M792" s="1" t="s">
        <v>1232</v>
      </c>
      <c r="Q792" s="1" t="s">
        <v>1174</v>
      </c>
      <c r="R792" s="1">
        <v>3996225</v>
      </c>
      <c r="S792" s="1" t="s">
        <v>361</v>
      </c>
      <c r="T792" s="1" t="s">
        <v>88</v>
      </c>
      <c r="U792" s="1" t="s">
        <v>89</v>
      </c>
      <c r="V792" s="1" t="s">
        <v>218</v>
      </c>
      <c r="W792" s="1">
        <v>0.4</v>
      </c>
      <c r="X792" s="1">
        <v>1220</v>
      </c>
      <c r="AC792" s="3">
        <v>5.05</v>
      </c>
      <c r="AD792" s="3">
        <f t="shared" si="316"/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f t="shared" si="311"/>
        <v>5.05</v>
      </c>
      <c r="AK792" s="1">
        <v>0</v>
      </c>
      <c r="AL792" s="3">
        <f>AC792</f>
        <v>5.05</v>
      </c>
      <c r="AM792" s="1">
        <v>0</v>
      </c>
      <c r="AN792" s="1">
        <v>0</v>
      </c>
      <c r="AO792" s="1">
        <v>0</v>
      </c>
      <c r="AP792" s="3">
        <f t="shared" si="314"/>
        <v>0</v>
      </c>
    </row>
    <row r="793" spans="1:42" x14ac:dyDescent="0.35">
      <c r="A793" s="1">
        <v>744</v>
      </c>
      <c r="C793" s="1" t="s">
        <v>52</v>
      </c>
      <c r="F793" s="1" t="s">
        <v>1001</v>
      </c>
      <c r="G793" s="1" t="s">
        <v>1367</v>
      </c>
      <c r="H793" s="1" t="s">
        <v>86</v>
      </c>
      <c r="I793" s="1" t="s">
        <v>968</v>
      </c>
      <c r="K793" s="1" t="s">
        <v>969</v>
      </c>
      <c r="L793" s="1" t="str">
        <f t="shared" si="317"/>
        <v>IPP</v>
      </c>
      <c r="M793" s="1" t="s">
        <v>1232</v>
      </c>
      <c r="Q793" s="1" t="s">
        <v>1174</v>
      </c>
      <c r="R793" s="1">
        <v>3996225</v>
      </c>
      <c r="S793" s="1" t="s">
        <v>361</v>
      </c>
      <c r="T793" s="1" t="s">
        <v>88</v>
      </c>
      <c r="U793" s="1" t="s">
        <v>89</v>
      </c>
      <c r="V793" s="1" t="s">
        <v>218</v>
      </c>
      <c r="W793" s="1">
        <v>0.4</v>
      </c>
      <c r="X793" s="1">
        <v>1220</v>
      </c>
      <c r="AC793" s="3">
        <v>1.9450000000000001</v>
      </c>
      <c r="AD793" s="3">
        <f t="shared" si="316"/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f t="shared" si="311"/>
        <v>1.9450000000000001</v>
      </c>
      <c r="AK793" s="1">
        <v>0</v>
      </c>
      <c r="AL793" s="3">
        <f>AC793</f>
        <v>1.9450000000000001</v>
      </c>
      <c r="AM793" s="1">
        <v>0</v>
      </c>
      <c r="AN793" s="1">
        <v>0</v>
      </c>
      <c r="AO793" s="1">
        <v>0</v>
      </c>
      <c r="AP793" s="3">
        <f t="shared" si="314"/>
        <v>0</v>
      </c>
    </row>
    <row r="794" spans="1:42" x14ac:dyDescent="0.35">
      <c r="A794" s="1">
        <v>742</v>
      </c>
      <c r="C794" s="1" t="s">
        <v>52</v>
      </c>
      <c r="F794" s="1" t="s">
        <v>1011</v>
      </c>
      <c r="G794" s="1" t="s">
        <v>1367</v>
      </c>
      <c r="H794" s="1" t="s">
        <v>21</v>
      </c>
      <c r="I794" s="1" t="s">
        <v>22</v>
      </c>
      <c r="K794" s="1" t="s">
        <v>970</v>
      </c>
      <c r="L794" s="1" t="str">
        <f t="shared" si="317"/>
        <v>BPRS</v>
      </c>
      <c r="M794" s="1" t="s">
        <v>1017</v>
      </c>
      <c r="Q794" s="1" t="s">
        <v>51</v>
      </c>
      <c r="R794" s="1">
        <v>1804908</v>
      </c>
      <c r="S794" s="1" t="s">
        <v>191</v>
      </c>
      <c r="T794" s="1" t="s">
        <v>28</v>
      </c>
      <c r="U794" s="1" t="s">
        <v>122</v>
      </c>
      <c r="V794" s="1" t="s">
        <v>192</v>
      </c>
      <c r="W794" s="1">
        <v>0.5</v>
      </c>
      <c r="X794" s="1">
        <v>1250</v>
      </c>
      <c r="AC794" s="3">
        <v>8.69</v>
      </c>
      <c r="AD794" s="3">
        <f t="shared" si="316"/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f t="shared" si="311"/>
        <v>8.69</v>
      </c>
      <c r="AK794" s="3">
        <f>AC794</f>
        <v>8.69</v>
      </c>
      <c r="AL794" s="1">
        <v>0</v>
      </c>
      <c r="AM794" s="1">
        <v>0</v>
      </c>
      <c r="AN794" s="1">
        <v>0</v>
      </c>
      <c r="AO794" s="1">
        <v>0</v>
      </c>
      <c r="AP794" s="3">
        <f t="shared" si="314"/>
        <v>0</v>
      </c>
    </row>
    <row r="795" spans="1:42" x14ac:dyDescent="0.35">
      <c r="A795" s="1">
        <v>742</v>
      </c>
      <c r="C795" s="1" t="s">
        <v>52</v>
      </c>
      <c r="F795" s="1" t="s">
        <v>1006</v>
      </c>
      <c r="G795" s="1" t="s">
        <v>1367</v>
      </c>
      <c r="H795" s="1" t="s">
        <v>21</v>
      </c>
      <c r="I795" s="1" t="s">
        <v>71</v>
      </c>
      <c r="K795" s="1" t="s">
        <v>970</v>
      </c>
      <c r="L795" s="1" t="str">
        <f t="shared" si="317"/>
        <v>BPRS</v>
      </c>
      <c r="M795" s="1" t="s">
        <v>1017</v>
      </c>
      <c r="Q795" s="1" t="s">
        <v>49</v>
      </c>
      <c r="R795" s="1">
        <v>3914106</v>
      </c>
      <c r="S795" s="1" t="s">
        <v>352</v>
      </c>
      <c r="T795" s="1" t="s">
        <v>75</v>
      </c>
      <c r="U795" s="1" t="s">
        <v>76</v>
      </c>
      <c r="V795" s="1" t="s">
        <v>77</v>
      </c>
      <c r="W795" s="1">
        <v>0.55000000000000004</v>
      </c>
      <c r="X795" s="1">
        <v>1250</v>
      </c>
      <c r="AC795" s="3">
        <v>2.9</v>
      </c>
      <c r="AD795" s="3">
        <f t="shared" si="316"/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f t="shared" si="311"/>
        <v>2.9</v>
      </c>
      <c r="AK795" s="3">
        <f>AC795</f>
        <v>2.9</v>
      </c>
      <c r="AL795" s="1">
        <v>0</v>
      </c>
      <c r="AM795" s="1">
        <v>0</v>
      </c>
      <c r="AN795" s="1">
        <v>0</v>
      </c>
      <c r="AO795" s="1">
        <v>0</v>
      </c>
      <c r="AP795" s="3">
        <f t="shared" si="314"/>
        <v>0</v>
      </c>
    </row>
    <row r="796" spans="1:42" x14ac:dyDescent="0.35">
      <c r="A796" s="1">
        <v>742</v>
      </c>
      <c r="C796" s="1" t="s">
        <v>52</v>
      </c>
      <c r="F796" s="1" t="s">
        <v>1333</v>
      </c>
      <c r="G796" s="1" t="s">
        <v>1367</v>
      </c>
      <c r="H796" s="1" t="s">
        <v>21</v>
      </c>
      <c r="I796" s="1" t="s">
        <v>22</v>
      </c>
      <c r="K796" s="1" t="s">
        <v>970</v>
      </c>
      <c r="L796" s="1" t="str">
        <f t="shared" si="317"/>
        <v>BPRS</v>
      </c>
      <c r="M796" s="1" t="s">
        <v>1016</v>
      </c>
      <c r="Q796" s="1" t="s">
        <v>364</v>
      </c>
      <c r="R796" s="1">
        <v>187538</v>
      </c>
      <c r="S796" s="1" t="s">
        <v>1366</v>
      </c>
      <c r="T796" s="1" t="s">
        <v>28</v>
      </c>
      <c r="U796" s="1" t="s">
        <v>29</v>
      </c>
      <c r="V796" s="1" t="s">
        <v>30</v>
      </c>
      <c r="W796" s="1">
        <v>1.6</v>
      </c>
      <c r="X796" s="1">
        <v>1250</v>
      </c>
      <c r="AC796" s="3">
        <v>7.64</v>
      </c>
      <c r="AD796" s="3">
        <f t="shared" si="316"/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f t="shared" si="311"/>
        <v>7.64</v>
      </c>
      <c r="AK796" s="3">
        <f>AC796</f>
        <v>7.64</v>
      </c>
      <c r="AL796" s="1">
        <v>0</v>
      </c>
      <c r="AM796" s="1">
        <v>0</v>
      </c>
      <c r="AN796" s="1">
        <v>0</v>
      </c>
      <c r="AO796" s="1">
        <v>0</v>
      </c>
      <c r="AP796" s="3">
        <f t="shared" si="314"/>
        <v>0</v>
      </c>
    </row>
    <row r="797" spans="1:42" x14ac:dyDescent="0.35">
      <c r="A797" s="1">
        <v>743</v>
      </c>
      <c r="C797" s="1" t="s">
        <v>52</v>
      </c>
      <c r="F797" s="1" t="s">
        <v>1334</v>
      </c>
      <c r="G797" s="1" t="s">
        <v>1367</v>
      </c>
      <c r="H797" s="1" t="s">
        <v>56</v>
      </c>
      <c r="I797" s="1" t="s">
        <v>968</v>
      </c>
      <c r="K797" s="1" t="s">
        <v>969</v>
      </c>
      <c r="L797" s="1" t="str">
        <f t="shared" si="317"/>
        <v>IPP</v>
      </c>
      <c r="M797" s="1" t="s">
        <v>1232</v>
      </c>
      <c r="Q797" s="1" t="s">
        <v>1174</v>
      </c>
      <c r="R797" s="1">
        <v>3239573</v>
      </c>
      <c r="S797" s="1" t="s">
        <v>350</v>
      </c>
      <c r="T797" s="1" t="s">
        <v>60</v>
      </c>
      <c r="U797" s="1" t="s">
        <v>61</v>
      </c>
      <c r="V797" s="1" t="s">
        <v>103</v>
      </c>
      <c r="W797" s="1">
        <v>0.42</v>
      </c>
      <c r="X797" s="1">
        <v>1220</v>
      </c>
      <c r="AC797" s="3">
        <v>17.954999999999998</v>
      </c>
      <c r="AD797" s="3">
        <f t="shared" si="316"/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f t="shared" si="311"/>
        <v>17.954999999999998</v>
      </c>
      <c r="AK797" s="3">
        <v>0</v>
      </c>
      <c r="AL797" s="1">
        <v>0</v>
      </c>
      <c r="AM797" s="3">
        <f>AC797</f>
        <v>17.954999999999998</v>
      </c>
      <c r="AN797" s="1">
        <v>0</v>
      </c>
      <c r="AO797" s="1">
        <v>0</v>
      </c>
      <c r="AP797" s="3">
        <f t="shared" si="314"/>
        <v>0</v>
      </c>
    </row>
    <row r="798" spans="1:42" x14ac:dyDescent="0.35">
      <c r="A798" s="1">
        <v>744</v>
      </c>
      <c r="C798" s="1" t="s">
        <v>52</v>
      </c>
      <c r="F798" s="1" t="s">
        <v>1335</v>
      </c>
      <c r="G798" s="1" t="s">
        <v>1367</v>
      </c>
      <c r="H798" s="1" t="s">
        <v>86</v>
      </c>
      <c r="I798" s="1" t="s">
        <v>968</v>
      </c>
      <c r="K798" s="1" t="s">
        <v>969</v>
      </c>
      <c r="L798" s="1" t="str">
        <f t="shared" si="317"/>
        <v>IPP</v>
      </c>
      <c r="M798" s="1" t="s">
        <v>1232</v>
      </c>
      <c r="Q798" s="1" t="s">
        <v>1174</v>
      </c>
      <c r="R798" s="1">
        <v>3902332</v>
      </c>
      <c r="S798" s="1" t="s">
        <v>142</v>
      </c>
      <c r="T798" s="1" t="s">
        <v>88</v>
      </c>
      <c r="U798" s="1" t="s">
        <v>89</v>
      </c>
      <c r="V798" s="1" t="s">
        <v>143</v>
      </c>
      <c r="W798" s="1">
        <v>0.5</v>
      </c>
      <c r="X798" s="1">
        <v>1220</v>
      </c>
      <c r="AC798" s="3">
        <v>43.34</v>
      </c>
      <c r="AD798" s="3">
        <f t="shared" si="316"/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f t="shared" si="311"/>
        <v>43.34</v>
      </c>
      <c r="AK798" s="1">
        <v>0</v>
      </c>
      <c r="AL798" s="3">
        <f>AC798</f>
        <v>43.34</v>
      </c>
      <c r="AM798" s="1">
        <v>0</v>
      </c>
      <c r="AN798" s="1">
        <v>0</v>
      </c>
      <c r="AO798" s="1">
        <v>0</v>
      </c>
      <c r="AP798" s="3">
        <f t="shared" si="314"/>
        <v>0</v>
      </c>
    </row>
    <row r="799" spans="1:42" x14ac:dyDescent="0.35">
      <c r="A799" s="1">
        <v>744</v>
      </c>
      <c r="C799" s="1" t="s">
        <v>52</v>
      </c>
      <c r="F799" s="1" t="s">
        <v>1336</v>
      </c>
      <c r="G799" s="1" t="s">
        <v>1367</v>
      </c>
      <c r="H799" s="1" t="s">
        <v>86</v>
      </c>
      <c r="I799" s="1" t="s">
        <v>968</v>
      </c>
      <c r="K799" s="1" t="s">
        <v>969</v>
      </c>
      <c r="L799" s="1" t="str">
        <f t="shared" si="317"/>
        <v>IPP</v>
      </c>
      <c r="M799" s="1" t="s">
        <v>1232</v>
      </c>
      <c r="Q799" s="1" t="s">
        <v>1174</v>
      </c>
      <c r="R799" s="1">
        <v>3902332</v>
      </c>
      <c r="S799" s="1" t="s">
        <v>142</v>
      </c>
      <c r="T799" s="1" t="s">
        <v>88</v>
      </c>
      <c r="U799" s="1" t="s">
        <v>89</v>
      </c>
      <c r="V799" s="1" t="s">
        <v>143</v>
      </c>
      <c r="W799" s="1">
        <v>0.5</v>
      </c>
      <c r="X799" s="1">
        <v>1220</v>
      </c>
      <c r="AC799" s="3">
        <v>49.839999999999996</v>
      </c>
      <c r="AD799" s="3">
        <f t="shared" si="316"/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f t="shared" si="311"/>
        <v>49.839999999999996</v>
      </c>
      <c r="AK799" s="1">
        <v>0</v>
      </c>
      <c r="AL799" s="3">
        <f>AC799</f>
        <v>49.839999999999996</v>
      </c>
      <c r="AM799" s="1">
        <v>0</v>
      </c>
      <c r="AN799" s="1">
        <v>0</v>
      </c>
      <c r="AO799" s="1">
        <v>0</v>
      </c>
      <c r="AP799" s="3">
        <f t="shared" si="314"/>
        <v>0</v>
      </c>
    </row>
    <row r="800" spans="1:42" x14ac:dyDescent="0.35">
      <c r="A800" s="1">
        <v>742</v>
      </c>
      <c r="C800" s="1" t="s">
        <v>52</v>
      </c>
      <c r="F800" s="1" t="s">
        <v>1337</v>
      </c>
      <c r="G800" s="1" t="s">
        <v>1367</v>
      </c>
      <c r="H800" s="1" t="s">
        <v>21</v>
      </c>
      <c r="I800" s="1" t="s">
        <v>974</v>
      </c>
      <c r="K800" s="1" t="s">
        <v>969</v>
      </c>
      <c r="L800" s="1" t="str">
        <f t="shared" si="317"/>
        <v>IPP</v>
      </c>
      <c r="M800" s="1" t="s">
        <v>1017</v>
      </c>
      <c r="Q800" s="1" t="s">
        <v>1358</v>
      </c>
      <c r="R800" s="1">
        <v>2439203</v>
      </c>
      <c r="S800" s="1" t="s">
        <v>146</v>
      </c>
      <c r="T800" s="1" t="s">
        <v>28</v>
      </c>
      <c r="U800" s="1" t="s">
        <v>117</v>
      </c>
      <c r="V800" s="1" t="s">
        <v>118</v>
      </c>
      <c r="W800" s="1">
        <v>0.5</v>
      </c>
      <c r="X800" s="1">
        <v>1160</v>
      </c>
      <c r="AC800" s="3">
        <v>36.824999999999996</v>
      </c>
      <c r="AD800" s="3">
        <f t="shared" si="316"/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f t="shared" si="311"/>
        <v>36.824999999999996</v>
      </c>
      <c r="AK800" s="3">
        <f>AC800</f>
        <v>36.824999999999996</v>
      </c>
      <c r="AL800" s="1">
        <v>0</v>
      </c>
      <c r="AM800" s="1">
        <v>0</v>
      </c>
      <c r="AN800" s="1">
        <v>0</v>
      </c>
      <c r="AO800" s="1">
        <v>0</v>
      </c>
      <c r="AP800" s="3">
        <f t="shared" si="314"/>
        <v>0</v>
      </c>
    </row>
    <row r="801" spans="1:42" x14ac:dyDescent="0.35">
      <c r="A801" s="1">
        <v>742</v>
      </c>
      <c r="C801" s="1" t="s">
        <v>52</v>
      </c>
      <c r="F801" s="1" t="s">
        <v>1338</v>
      </c>
      <c r="G801" s="1" t="s">
        <v>1367</v>
      </c>
      <c r="H801" s="1" t="s">
        <v>21</v>
      </c>
      <c r="I801" s="1" t="s">
        <v>974</v>
      </c>
      <c r="K801" s="1" t="s">
        <v>969</v>
      </c>
      <c r="L801" s="1" t="str">
        <f t="shared" si="317"/>
        <v>IPP</v>
      </c>
      <c r="M801" s="1" t="s">
        <v>1017</v>
      </c>
      <c r="Q801" s="1" t="s">
        <v>1358</v>
      </c>
      <c r="R801" s="1">
        <v>2439203</v>
      </c>
      <c r="S801" s="1" t="s">
        <v>146</v>
      </c>
      <c r="T801" s="1" t="s">
        <v>28</v>
      </c>
      <c r="U801" s="1" t="s">
        <v>117</v>
      </c>
      <c r="V801" s="1" t="s">
        <v>118</v>
      </c>
      <c r="W801" s="1">
        <v>0.5</v>
      </c>
      <c r="X801" s="1">
        <v>1160</v>
      </c>
      <c r="AC801" s="3">
        <v>12.54</v>
      </c>
      <c r="AD801" s="3">
        <f t="shared" si="316"/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f t="shared" si="311"/>
        <v>12.54</v>
      </c>
      <c r="AK801" s="3">
        <f>AC801</f>
        <v>12.54</v>
      </c>
      <c r="AL801" s="1">
        <v>0</v>
      </c>
      <c r="AM801" s="1">
        <v>0</v>
      </c>
      <c r="AN801" s="1">
        <v>0</v>
      </c>
      <c r="AO801" s="1">
        <v>0</v>
      </c>
      <c r="AP801" s="3">
        <f t="shared" si="314"/>
        <v>0</v>
      </c>
    </row>
    <row r="802" spans="1:42" x14ac:dyDescent="0.35">
      <c r="A802" s="1">
        <v>742</v>
      </c>
      <c r="C802" s="1" t="s">
        <v>52</v>
      </c>
      <c r="F802" s="1" t="s">
        <v>1339</v>
      </c>
      <c r="G802" s="1" t="s">
        <v>1367</v>
      </c>
      <c r="H802" s="1" t="s">
        <v>21</v>
      </c>
      <c r="I802" s="1" t="s">
        <v>969</v>
      </c>
      <c r="K802" s="1" t="s">
        <v>969</v>
      </c>
      <c r="L802" s="1" t="str">
        <f t="shared" si="317"/>
        <v>IPP</v>
      </c>
      <c r="M802" s="1" t="s">
        <v>1016</v>
      </c>
      <c r="Q802" s="1" t="s">
        <v>1354</v>
      </c>
      <c r="R802" s="1">
        <v>3867647</v>
      </c>
      <c r="S802" s="1" t="s">
        <v>295</v>
      </c>
      <c r="T802" s="1" t="s">
        <v>28</v>
      </c>
      <c r="U802" s="1" t="s">
        <v>29</v>
      </c>
      <c r="V802" s="1" t="s">
        <v>296</v>
      </c>
      <c r="W802" s="1">
        <v>0.6</v>
      </c>
      <c r="X802" s="1">
        <v>1120</v>
      </c>
      <c r="AC802" s="3">
        <v>35.945</v>
      </c>
      <c r="AD802" s="3">
        <f t="shared" si="316"/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f t="shared" si="311"/>
        <v>35.945</v>
      </c>
      <c r="AK802" s="3">
        <f>AC802</f>
        <v>35.945</v>
      </c>
      <c r="AL802" s="1">
        <v>0</v>
      </c>
      <c r="AM802" s="1">
        <v>0</v>
      </c>
      <c r="AN802" s="1">
        <v>0</v>
      </c>
      <c r="AO802" s="1">
        <v>0</v>
      </c>
      <c r="AP802" s="3">
        <f t="shared" si="314"/>
        <v>0</v>
      </c>
    </row>
    <row r="803" spans="1:42" x14ac:dyDescent="0.35">
      <c r="A803" s="1">
        <v>742</v>
      </c>
      <c r="C803" s="1" t="s">
        <v>52</v>
      </c>
      <c r="F803" s="1" t="s">
        <v>1340</v>
      </c>
      <c r="G803" s="1" t="s">
        <v>1367</v>
      </c>
      <c r="H803" s="1" t="s">
        <v>21</v>
      </c>
      <c r="I803" s="1" t="s">
        <v>969</v>
      </c>
      <c r="K803" s="1" t="s">
        <v>969</v>
      </c>
      <c r="L803" s="1" t="str">
        <f t="shared" si="317"/>
        <v>IPP</v>
      </c>
      <c r="M803" s="1" t="s">
        <v>1019</v>
      </c>
      <c r="Q803" s="1" t="s">
        <v>1357</v>
      </c>
      <c r="R803" s="1">
        <v>2164800</v>
      </c>
      <c r="S803" s="1" t="s">
        <v>325</v>
      </c>
      <c r="T803" s="1" t="s">
        <v>28</v>
      </c>
      <c r="U803" s="1" t="s">
        <v>29</v>
      </c>
      <c r="V803" s="1" t="s">
        <v>101</v>
      </c>
      <c r="W803" s="1">
        <v>0.97</v>
      </c>
      <c r="X803" s="1">
        <v>913</v>
      </c>
      <c r="AC803" s="3">
        <v>7.14</v>
      </c>
      <c r="AD803" s="3">
        <f t="shared" si="316"/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f t="shared" si="311"/>
        <v>7.14</v>
      </c>
      <c r="AK803" s="3">
        <f>AC803</f>
        <v>7.14</v>
      </c>
      <c r="AL803" s="1">
        <v>0</v>
      </c>
      <c r="AM803" s="1">
        <v>0</v>
      </c>
      <c r="AN803" s="1">
        <v>0</v>
      </c>
      <c r="AO803" s="1">
        <v>0</v>
      </c>
      <c r="AP803" s="3">
        <f t="shared" si="314"/>
        <v>0</v>
      </c>
    </row>
  </sheetData>
  <autoFilter ref="A1:AQ803" xr:uid="{B97899D1-AFF6-4881-BA6A-C724616501AE}"/>
  <phoneticPr fontId="6" type="noConversion"/>
  <conditionalFormatting sqref="F1:F1048576">
    <cfRule type="duplicateValues" dxfId="3" priority="5"/>
    <cfRule type="duplicateValues" dxfId="2" priority="12"/>
    <cfRule type="duplicateValues" dxfId="1" priority="13"/>
    <cfRule type="duplicateValues" dxfId="0" priority="1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RM indent pivot</vt:lpstr>
      <vt:lpstr>Week wise plan summary</vt:lpstr>
      <vt:lpstr>Oct'25 order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Saini</dc:creator>
  <cp:lastModifiedBy>S. Subhash</cp:lastModifiedBy>
  <dcterms:created xsi:type="dcterms:W3CDTF">2025-09-19T04:33:26Z</dcterms:created>
  <dcterms:modified xsi:type="dcterms:W3CDTF">2025-10-03T14:37:00Z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2025-09-19T04:27:05Z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88fc892a-0310-4b1d-8e39-47b048845df7</vt:lpwstr>
  </property>
  <property fmtid="{D5CDD505-2E9C-101B-9397-08002B2CF9AE}" pid="8" name="MSIP_Label_2f50afb6-ab6e-4e8b-96b5-6e00ab52e29e_ContentBits">
    <vt:lpwstr>0</vt:lpwstr>
  </property>
</Properties>
</file>